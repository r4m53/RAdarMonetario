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Ex1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3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m5e\PycharmProjects\RAdarMonetario\data\master\"/>
    </mc:Choice>
  </mc:AlternateContent>
  <xr:revisionPtr revIDLastSave="0" documentId="13_ncr:1_{EA5BBF38-01AF-472D-9ACA-254006BED45F}" xr6:coauthVersionLast="47" xr6:coauthVersionMax="47" xr10:uidLastSave="{00000000-0000-0000-0000-000000000000}"/>
  <bookViews>
    <workbookView xWindow="1464" yWindow="1464" windowWidth="20208" windowHeight="8988" firstSheet="16" activeTab="19" xr2:uid="{00000000-000D-0000-FFFF-FFFF00000000}"/>
  </bookViews>
  <sheets>
    <sheet name="Resultados" sheetId="20" r:id="rId1"/>
    <sheet name="Metodologia" sheetId="21" r:id="rId2"/>
    <sheet name="Series_mensuales" sheetId="22" r:id="rId3"/>
    <sheet name="Series_trimestrales" sheetId="23" r:id="rId4"/>
    <sheet name="Factores_estacionales" sheetId="24" r:id="rId5"/>
    <sheet name="Observaciones" sheetId="1" r:id="rId6"/>
    <sheet name="G3" sheetId="19" r:id="rId7"/>
    <sheet name="Graficador3" sheetId="18" r:id="rId8"/>
    <sheet name="G2" sheetId="17" r:id="rId9"/>
    <sheet name="Graficador2" sheetId="16" r:id="rId10"/>
    <sheet name="G1" sheetId="7" r:id="rId11"/>
    <sheet name="Graficador" sheetId="2" r:id="rId12"/>
    <sheet name="Decisiones" sheetId="3" r:id="rId13"/>
    <sheet name="Pronosticos" sheetId="4" r:id="rId14"/>
    <sheet name="Validacion anterior" sheetId="5" r:id="rId15"/>
    <sheet name="Catalogos" sheetId="6" r:id="rId16"/>
    <sheet name="Comparacion_Observados" sheetId="25" r:id="rId17"/>
    <sheet name="Calc_Anclaje" sheetId="26" r:id="rId18"/>
    <sheet name="Dashboard_Anclaje" sheetId="27" r:id="rId19"/>
    <sheet name="Distribucion_Errores" sheetId="28" r:id="rId20"/>
  </sheets>
  <definedNames>
    <definedName name="_xlchart.v1.0" hidden="1">Distribucion_Errores!$AS$151:$AS$202</definedName>
    <definedName name="_xlchart.v1.1" hidden="1">Distribucion_Errores!$AT$150</definedName>
    <definedName name="_xlchart.v1.2" hidden="1">Distribucion_Errores!$AT$151:$AT$202</definedName>
    <definedName name="_xlchart.v1.3" hidden="1">Distribucion_Errores!$AJ$151:$AJ$426</definedName>
    <definedName name="_xlchart.v1.4" hidden="1">Distribucion_Errores!$AK$150</definedName>
    <definedName name="_xlchart.v1.5" hidden="1">Distribucion_Errores!$AK$151:$AK$426</definedName>
    <definedName name="_xlchart.v1.6" hidden="1">Distribucion_Errores!$AP$151:$AP$286</definedName>
    <definedName name="_xlchart.v1.7" hidden="1">Distribucion_Errores!$AQ$150</definedName>
    <definedName name="_xlchart.v1.8" hidden="1">Distribucion_Errores!$AQ$151:$AQ$286</definedName>
    <definedName name="_xlpm.cat" hidden="1" xlm="1">#NAME?</definedName>
    <definedName name="_xlpm.d0" hidden="1" xlm="1">#NAME?</definedName>
    <definedName name="_xlpm.dates" hidden="1" xlm="1">#NAME?</definedName>
    <definedName name="_xlpm.decDates" hidden="1" xlm="1">#NAME?</definedName>
    <definedName name="_xlpm.e" hidden="1" xlm="1">#NAME?</definedName>
    <definedName name="_xlpm.fin" hidden="1" xlm="1">#NAME?</definedName>
    <definedName name="_xlpm.h" hidden="1" xlm="1">#NAME?</definedName>
    <definedName name="_xlpm.idx" hidden="1" xlm="1">#NAME?</definedName>
    <definedName name="_xlpm.ini" hidden="1" xlm="1">#NAME?</definedName>
    <definedName name="_xlpm.keep" hidden="1" xlm="1">#NAME?</definedName>
    <definedName name="_xlpm.m" hidden="1" xlm="1">#NAME?</definedName>
    <definedName name="_xlpm.mask" hidden="1" xlm="1">#NAME?</definedName>
    <definedName name="_xlpm.n" hidden="1" xlm="1">#NAME?</definedName>
    <definedName name="_xlpm.p" hidden="1" xlm="1">#NAME?</definedName>
    <definedName name="_xlpm.qEnd" hidden="1" xlm="1">#NAME?</definedName>
    <definedName name="_xlpm.r" hidden="1" xlm="1">#NAME?</definedName>
    <definedName name="_xlpm.rel" hidden="1" xlm="1">#NAME?</definedName>
    <definedName name="_xlpm.targetDate" hidden="1" xlm="1">#NAME?</definedName>
    <definedName name="_xlpm.targetIdx" hidden="1" xlm="1">#NAME?</definedName>
    <definedName name="_xlpm.val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" i="18" l="1" a="1"/>
  <c r="AH2" i="18" s="1"/>
  <c r="AG2" i="18" a="1"/>
  <c r="AG2" i="18" s="1"/>
  <c r="AF2" i="18" a="1"/>
  <c r="AF2" i="18" s="1"/>
  <c r="AE2" i="18" a="1"/>
  <c r="AE2" i="18" s="1"/>
  <c r="AD2" i="18" a="1"/>
  <c r="AD2" i="18" s="1"/>
  <c r="AC2" i="18" a="1"/>
  <c r="AC2" i="18" s="1"/>
  <c r="AB2" i="18" a="1"/>
  <c r="AB2" i="18" s="1"/>
  <c r="AA2" i="18" a="1"/>
  <c r="AA2" i="18" s="1"/>
  <c r="Z2" i="18" a="1"/>
  <c r="Z2" i="18" s="1"/>
  <c r="Y2" i="18" a="1"/>
  <c r="Y2" i="18" s="1"/>
  <c r="X2" i="18" a="1"/>
  <c r="X2" i="18" s="1"/>
  <c r="W2" i="18" a="1"/>
  <c r="W2" i="18" s="1"/>
  <c r="F48" i="18" a="1"/>
  <c r="F48" i="18" s="1"/>
  <c r="D46" i="18" a="1"/>
  <c r="D46" i="18" s="1"/>
  <c r="F42" i="18" a="1"/>
  <c r="F42" i="18" s="1"/>
  <c r="F36" i="18" a="1"/>
  <c r="F36" i="18" s="1"/>
  <c r="F33" i="18" a="1"/>
  <c r="F33" i="18" s="1"/>
  <c r="F31" i="18" a="1"/>
  <c r="F31" i="18" s="1"/>
  <c r="F28" i="18" a="1"/>
  <c r="F28" i="18" s="1"/>
  <c r="D28" i="18" a="1"/>
  <c r="D28" i="18" s="1"/>
  <c r="D27" i="18" a="1"/>
  <c r="D27" i="18" s="1"/>
  <c r="F21" i="18" a="1"/>
  <c r="F21" i="18" s="1"/>
  <c r="F16" i="18" a="1"/>
  <c r="F16" i="18" s="1"/>
  <c r="B48" i="18" a="1"/>
  <c r="B48" i="18" s="1"/>
  <c r="C48" i="18" a="1"/>
  <c r="C48" i="18" s="1"/>
  <c r="D33" i="18" a="1"/>
  <c r="D33" i="18" s="1"/>
  <c r="E46" i="18" a="1"/>
  <c r="E46" i="18" s="1"/>
  <c r="F44" i="18" a="1"/>
  <c r="F44" i="18" s="1"/>
  <c r="G35" i="18" a="1"/>
  <c r="G35" i="18" s="1"/>
  <c r="E12" i="16" a="1"/>
  <c r="E12" i="16" s="1"/>
  <c r="D12" i="16" a="1"/>
  <c r="D12" i="16" s="1"/>
  <c r="C12" i="16" a="1"/>
  <c r="C12" i="16" s="1"/>
  <c r="B12" i="16" a="1"/>
  <c r="B12" i="16" s="1"/>
  <c r="A12" i="16" a="1"/>
  <c r="A12" i="16" s="1"/>
  <c r="D30" i="18" a="1"/>
  <c r="D30" i="18" s="1"/>
  <c r="D31" i="18" a="1"/>
  <c r="D31" i="18" s="1"/>
  <c r="D16" i="18" a="1"/>
  <c r="D16" i="18" s="1"/>
  <c r="D20" i="18" a="1"/>
  <c r="D20" i="18" s="1"/>
  <c r="D21" i="18" a="1"/>
  <c r="D21" i="18" s="1"/>
  <c r="D23" i="18" a="1"/>
  <c r="D23" i="18" s="1"/>
  <c r="D34" i="18" a="1"/>
  <c r="D34" i="18" s="1"/>
  <c r="D17" i="18" a="1"/>
  <c r="D17" i="18" s="1"/>
  <c r="D37" i="18" a="1"/>
  <c r="D37" i="18" s="1"/>
  <c r="D38" i="18" a="1"/>
  <c r="D38" i="18" s="1"/>
  <c r="D40" i="18" a="1"/>
  <c r="D40" i="18" s="1"/>
  <c r="D24" i="18" a="1"/>
  <c r="D24" i="18" s="1"/>
  <c r="D43" i="18" a="1"/>
  <c r="D43" i="18" s="1"/>
  <c r="F38" i="18" a="1"/>
  <c r="F38" i="18" s="1"/>
  <c r="F26" i="18" a="1"/>
  <c r="F26" i="18" s="1"/>
  <c r="F40" i="18" a="1"/>
  <c r="F40" i="18" s="1"/>
  <c r="G41" i="18" a="1"/>
  <c r="G41" i="18" s="1"/>
  <c r="G20" i="18" a="1"/>
  <c r="G20" i="18" s="1"/>
  <c r="G38" i="18" a="1"/>
  <c r="G38" i="18" s="1"/>
  <c r="G22" i="18" a="1"/>
  <c r="G22" i="18" s="1"/>
  <c r="G40" i="18" a="1"/>
  <c r="G40" i="18" s="1"/>
  <c r="G33" i="18" a="1"/>
  <c r="G33" i="18" s="1"/>
  <c r="G42" i="18" a="1"/>
  <c r="G42" i="18" s="1"/>
  <c r="G43" i="18" a="1"/>
  <c r="G43" i="18" s="1"/>
  <c r="G47" i="18" a="1"/>
  <c r="G47" i="18" s="1"/>
  <c r="G34" i="18" a="1"/>
  <c r="G34" i="18" s="1"/>
  <c r="G18" i="18" a="1"/>
  <c r="G18" i="18" s="1"/>
  <c r="G27" i="18" a="1"/>
  <c r="G27" i="18" s="1"/>
  <c r="G36" i="18" a="1"/>
  <c r="G36" i="18" s="1"/>
  <c r="G44" i="18" a="1"/>
  <c r="G44" i="18" s="1"/>
  <c r="G46" i="18" a="1"/>
  <c r="G46" i="18" s="1"/>
  <c r="G39" i="18" a="1"/>
  <c r="G39" i="18" s="1"/>
  <c r="G31" i="18" a="1"/>
  <c r="G31" i="18" s="1"/>
  <c r="G24" i="18" a="1"/>
  <c r="G24" i="18" s="1"/>
  <c r="G26" i="18" a="1"/>
  <c r="G26" i="18" s="1"/>
  <c r="G45" i="18" a="1"/>
  <c r="G45" i="18" s="1"/>
  <c r="G29" i="18" a="1"/>
  <c r="G29" i="18" s="1"/>
  <c r="G48" i="18" a="1"/>
  <c r="G48" i="18" s="1"/>
  <c r="G32" i="18" a="1"/>
  <c r="G32" i="18" s="1"/>
  <c r="G25" i="18" a="1"/>
  <c r="G25" i="18" s="1"/>
  <c r="G17" i="18" a="1"/>
  <c r="G17" i="18" s="1"/>
  <c r="G19" i="18" a="1"/>
  <c r="G19" i="18" s="1"/>
  <c r="B28" i="18" a="1"/>
  <c r="B28" i="18" s="1"/>
  <c r="B43" i="18" a="1"/>
  <c r="B43" i="18" s="1"/>
  <c r="B23" i="18" a="1"/>
  <c r="B23" i="18" s="1"/>
  <c r="B17" i="18" a="1"/>
  <c r="B17" i="18" s="1"/>
  <c r="B33" i="18" a="1"/>
  <c r="B33" i="18" s="1"/>
  <c r="B22" i="18" a="1"/>
  <c r="B22" i="18" s="1"/>
  <c r="B39" i="18" a="1"/>
  <c r="B39" i="18" s="1"/>
  <c r="B18" i="18" a="1"/>
  <c r="B18" i="18" s="1"/>
  <c r="B24" i="18" a="1"/>
  <c r="B24" i="18" s="1"/>
  <c r="B29" i="18" a="1"/>
  <c r="B29" i="18" s="1"/>
  <c r="B40" i="18" a="1"/>
  <c r="B40" i="18" s="1"/>
  <c r="B45" i="18" a="1"/>
  <c r="B45" i="18" s="1"/>
  <c r="B34" i="18" a="1"/>
  <c r="B34" i="18" s="1"/>
  <c r="B44" i="18" a="1"/>
  <c r="B44" i="18" s="1"/>
  <c r="B19" i="18" a="1"/>
  <c r="B19" i="18" s="1"/>
  <c r="B30" i="18" a="1"/>
  <c r="B30" i="18" s="1"/>
  <c r="B35" i="18" a="1"/>
  <c r="B35" i="18" s="1"/>
  <c r="B25" i="18" a="1"/>
  <c r="B25" i="18" s="1"/>
  <c r="B36" i="18" a="1"/>
  <c r="B36" i="18" s="1"/>
  <c r="B46" i="18" a="1"/>
  <c r="B46" i="18" s="1"/>
  <c r="B20" i="18" a="1"/>
  <c r="B20" i="18" s="1"/>
  <c r="B31" i="18" a="1"/>
  <c r="B31" i="18" s="1"/>
  <c r="B41" i="18" a="1"/>
  <c r="B41" i="18" s="1"/>
  <c r="B37" i="18" a="1"/>
  <c r="B37" i="18" s="1"/>
  <c r="B21" i="18" a="1"/>
  <c r="B21" i="18" s="1"/>
  <c r="B42" i="18" a="1"/>
  <c r="B42" i="18" s="1"/>
  <c r="B47" i="18" a="1"/>
  <c r="B47" i="18" s="1"/>
  <c r="B16" i="18" a="1"/>
  <c r="B16" i="18" s="1"/>
  <c r="B27" i="18" a="1"/>
  <c r="B27" i="18" s="1"/>
  <c r="B32" i="18" a="1"/>
  <c r="B32" i="18" s="1"/>
  <c r="B38" i="18" a="1"/>
  <c r="B38" i="18" s="1"/>
  <c r="B26" i="18" a="1"/>
  <c r="B26" i="18" s="1"/>
  <c r="C46" i="18" a="1"/>
  <c r="C46" i="18" s="1"/>
  <c r="C24" i="18" a="1"/>
  <c r="C24" i="18" s="1"/>
  <c r="C39" i="18" a="1"/>
  <c r="C39" i="18" s="1"/>
  <c r="C28" i="18" a="1"/>
  <c r="C28" i="18" s="1"/>
  <c r="C36" i="18" a="1"/>
  <c r="C36" i="18" s="1"/>
  <c r="C32" i="18" a="1"/>
  <c r="C32" i="18" s="1"/>
  <c r="C43" i="18" a="1"/>
  <c r="C43" i="18" s="1"/>
  <c r="C18" i="18" a="1"/>
  <c r="C18" i="18" s="1"/>
  <c r="C41" i="18" a="1"/>
  <c r="C41" i="18" s="1"/>
  <c r="C31" i="18" a="1"/>
  <c r="C31" i="18" s="1"/>
  <c r="C20" i="18" a="1"/>
  <c r="C20" i="18" s="1"/>
  <c r="C40" i="18" a="1"/>
  <c r="C40" i="18" s="1"/>
  <c r="C47" i="18" a="1"/>
  <c r="C47" i="18" s="1"/>
  <c r="C30" i="18" a="1"/>
  <c r="C30" i="18" s="1"/>
  <c r="C27" i="18" a="1"/>
  <c r="C27" i="18" s="1"/>
  <c r="C21" i="18" a="1"/>
  <c r="C21" i="18" s="1"/>
  <c r="C25" i="18" a="1"/>
  <c r="C25" i="18" s="1"/>
  <c r="C22" i="18" a="1"/>
  <c r="C22" i="18" s="1"/>
  <c r="C34" i="18" a="1"/>
  <c r="C34" i="18" s="1"/>
  <c r="C17" i="18" a="1"/>
  <c r="C17" i="18" s="1"/>
  <c r="C29" i="18" a="1"/>
  <c r="C29" i="18" s="1"/>
  <c r="C33" i="18" a="1"/>
  <c r="C33" i="18" s="1"/>
  <c r="C37" i="18" a="1"/>
  <c r="C37" i="18" s="1"/>
  <c r="C23" i="18" a="1"/>
  <c r="C23" i="18" s="1"/>
  <c r="C42" i="18" a="1"/>
  <c r="C42" i="18" s="1"/>
  <c r="C16" i="18" a="1"/>
  <c r="C16" i="18" s="1"/>
  <c r="C44" i="18" a="1"/>
  <c r="C44" i="18" s="1"/>
  <c r="C38" i="18" a="1"/>
  <c r="C38" i="18" s="1"/>
  <c r="C45" i="18" a="1"/>
  <c r="C45" i="18" s="1"/>
  <c r="C19" i="18" a="1"/>
  <c r="C19" i="18" s="1"/>
  <c r="C35" i="18" a="1"/>
  <c r="C35" i="18" s="1"/>
  <c r="C26" i="18" a="1"/>
  <c r="C26" i="18" s="1"/>
  <c r="D35" i="18" a="1"/>
  <c r="D35" i="18" s="1"/>
  <c r="D18" i="18" a="1"/>
  <c r="D18" i="18" s="1"/>
  <c r="D32" i="18" a="1"/>
  <c r="D32" i="18" s="1"/>
  <c r="D47" i="18" a="1"/>
  <c r="D47" i="18" s="1"/>
  <c r="D22" i="18" a="1"/>
  <c r="D22" i="18" s="1"/>
  <c r="D29" i="18" a="1"/>
  <c r="D29" i="18" s="1"/>
  <c r="D36" i="18" a="1"/>
  <c r="D36" i="18" s="1"/>
  <c r="D39" i="18" a="1"/>
  <c r="D39" i="18" s="1"/>
  <c r="D45" i="18" a="1"/>
  <c r="D45" i="18" s="1"/>
  <c r="D41" i="18" a="1"/>
  <c r="D41" i="18" s="1"/>
  <c r="D25" i="18" a="1"/>
  <c r="D25" i="18" s="1"/>
  <c r="D26" i="18" a="1"/>
  <c r="D26" i="18" s="1"/>
  <c r="D42" i="18" a="1"/>
  <c r="D42" i="18" s="1"/>
  <c r="D48" i="18" a="1"/>
  <c r="D48" i="18" s="1"/>
  <c r="D44" i="18" a="1"/>
  <c r="D44" i="18" s="1"/>
  <c r="D19" i="18" a="1"/>
  <c r="D19" i="18" s="1"/>
  <c r="E17" i="18" a="1"/>
  <c r="E17" i="18" s="1"/>
  <c r="E37" i="18" a="1"/>
  <c r="E37" i="18" s="1"/>
  <c r="E19" i="18" a="1"/>
  <c r="E19" i="18" s="1"/>
  <c r="E33" i="18" a="1"/>
  <c r="E33" i="18" s="1"/>
  <c r="E22" i="18" a="1"/>
  <c r="E22" i="18" s="1"/>
  <c r="E25" i="18" a="1"/>
  <c r="E25" i="18" s="1"/>
  <c r="E36" i="18" a="1"/>
  <c r="E36" i="18" s="1"/>
  <c r="E43" i="18" a="1"/>
  <c r="E43" i="18" s="1"/>
  <c r="E39" i="18" a="1"/>
  <c r="E39" i="18" s="1"/>
  <c r="E20" i="18" a="1"/>
  <c r="E20" i="18" s="1"/>
  <c r="E23" i="18" a="1"/>
  <c r="E23" i="18" s="1"/>
  <c r="E34" i="18" a="1"/>
  <c r="E34" i="18" s="1"/>
  <c r="E42" i="18" a="1"/>
  <c r="E42" i="18" s="1"/>
  <c r="E32" i="18" a="1"/>
  <c r="E32" i="18" s="1"/>
  <c r="E21" i="18" a="1"/>
  <c r="E21" i="18" s="1"/>
  <c r="E47" i="18" a="1"/>
  <c r="E47" i="18" s="1"/>
  <c r="E38" i="18" a="1"/>
  <c r="E38" i="18" s="1"/>
  <c r="E27" i="18" a="1"/>
  <c r="E27" i="18" s="1"/>
  <c r="E16" i="18" a="1"/>
  <c r="E16" i="18" s="1"/>
  <c r="E48" i="18" a="1"/>
  <c r="E48" i="18" s="1"/>
  <c r="E26" i="18" a="1"/>
  <c r="E26" i="18" s="1"/>
  <c r="E44" i="18" a="1"/>
  <c r="E44" i="18" s="1"/>
  <c r="E29" i="18" a="1"/>
  <c r="E29" i="18" s="1"/>
  <c r="E18" i="18" a="1"/>
  <c r="E18" i="18" s="1"/>
  <c r="E24" i="18" a="1"/>
  <c r="E24" i="18" s="1"/>
  <c r="E40" i="18" a="1"/>
  <c r="E40" i="18" s="1"/>
  <c r="E35" i="18" a="1"/>
  <c r="E35" i="18" s="1"/>
  <c r="E45" i="18" a="1"/>
  <c r="E45" i="18" s="1"/>
  <c r="E30" i="18" a="1"/>
  <c r="E30" i="18" s="1"/>
  <c r="E28" i="18" a="1"/>
  <c r="E28" i="18" s="1"/>
  <c r="E31" i="18" a="1"/>
  <c r="E31" i="18" s="1"/>
  <c r="E41" i="18" a="1"/>
  <c r="E41" i="18" s="1"/>
  <c r="F29" i="18" a="1"/>
  <c r="F29" i="18" s="1"/>
  <c r="F45" i="18" a="1"/>
  <c r="F45" i="18" s="1"/>
  <c r="F17" i="18" a="1"/>
  <c r="F17" i="18" s="1"/>
  <c r="F34" i="18" a="1"/>
  <c r="F34" i="18" s="1"/>
  <c r="F43" i="18" a="1"/>
  <c r="F43" i="18" s="1"/>
  <c r="F47" i="18" a="1"/>
  <c r="F47" i="18" s="1"/>
  <c r="F46" i="18" a="1"/>
  <c r="F46" i="18" s="1"/>
  <c r="F19" i="18" a="1"/>
  <c r="F19" i="18" s="1"/>
  <c r="F24" i="18" a="1"/>
  <c r="F24" i="18" s="1"/>
  <c r="F22" i="18" a="1"/>
  <c r="F22" i="18" s="1"/>
  <c r="F39" i="18" a="1"/>
  <c r="F39" i="18" s="1"/>
  <c r="F41" i="18" a="1"/>
  <c r="F41" i="18" s="1"/>
  <c r="F27" i="18" a="1"/>
  <c r="F27" i="18" s="1"/>
  <c r="F32" i="18" a="1"/>
  <c r="F32" i="18" s="1"/>
  <c r="F37" i="18" a="1"/>
  <c r="F37" i="18" s="1"/>
  <c r="F20" i="18" a="1"/>
  <c r="F20" i="18" s="1"/>
  <c r="F25" i="18" a="1"/>
  <c r="F25" i="18" s="1"/>
  <c r="F30" i="18" a="1"/>
  <c r="F30" i="18" s="1"/>
  <c r="F18" i="18" a="1"/>
  <c r="F18" i="18" s="1"/>
  <c r="F35" i="18" a="1"/>
  <c r="F35" i="18" s="1"/>
  <c r="F23" i="18" a="1"/>
  <c r="F23" i="18" s="1"/>
  <c r="G16" i="18" a="1"/>
  <c r="G16" i="18" s="1"/>
  <c r="G23" i="18" a="1"/>
  <c r="G23" i="18" s="1"/>
  <c r="G30" i="18" a="1"/>
  <c r="G30" i="18" s="1"/>
  <c r="G37" i="18" a="1"/>
  <c r="G37" i="18" s="1"/>
  <c r="G21" i="18" a="1"/>
  <c r="G21" i="18" s="1"/>
  <c r="G28" i="18" a="1"/>
  <c r="G28" i="18" s="1"/>
  <c r="E53" i="2"/>
  <c r="D53" i="2"/>
  <c r="C53" i="2"/>
  <c r="B53" i="2"/>
  <c r="E52" i="2"/>
  <c r="D52" i="2"/>
  <c r="C52" i="2"/>
  <c r="B52" i="2"/>
  <c r="E51" i="2"/>
  <c r="D51" i="2"/>
  <c r="C51" i="2"/>
  <c r="B51" i="2"/>
  <c r="E50" i="2"/>
  <c r="D50" i="2"/>
  <c r="C50" i="2"/>
  <c r="B50" i="2"/>
  <c r="E49" i="2"/>
  <c r="D49" i="2"/>
  <c r="C49" i="2"/>
  <c r="B49" i="2"/>
  <c r="E48" i="2"/>
  <c r="D48" i="2"/>
  <c r="C48" i="2"/>
  <c r="B48" i="2"/>
  <c r="E47" i="2"/>
  <c r="D47" i="2"/>
  <c r="C47" i="2"/>
  <c r="B47" i="2"/>
  <c r="E46" i="2"/>
  <c r="D46" i="2"/>
  <c r="C46" i="2"/>
  <c r="B46" i="2"/>
  <c r="E45" i="2"/>
  <c r="D45" i="2"/>
  <c r="C45" i="2"/>
  <c r="B45" i="2"/>
  <c r="E44" i="2"/>
  <c r="D44" i="2"/>
  <c r="C44" i="2"/>
  <c r="B44" i="2"/>
  <c r="E43" i="2"/>
  <c r="D43" i="2"/>
  <c r="C43" i="2"/>
  <c r="B43" i="2"/>
  <c r="E42" i="2"/>
  <c r="D42" i="2"/>
  <c r="C42" i="2"/>
  <c r="B42" i="2"/>
  <c r="E41" i="2"/>
  <c r="D41" i="2"/>
  <c r="C41" i="2"/>
  <c r="B41" i="2"/>
  <c r="E40" i="2"/>
  <c r="D40" i="2"/>
  <c r="C40" i="2"/>
  <c r="B40" i="2"/>
  <c r="E39" i="2"/>
  <c r="D39" i="2"/>
  <c r="C39" i="2"/>
  <c r="B39" i="2"/>
  <c r="E38" i="2"/>
  <c r="D38" i="2"/>
  <c r="C38" i="2"/>
  <c r="B38" i="2"/>
  <c r="E37" i="2"/>
  <c r="D37" i="2"/>
  <c r="C37" i="2"/>
  <c r="B37" i="2"/>
  <c r="E36" i="2"/>
  <c r="D36" i="2"/>
  <c r="C36" i="2"/>
  <c r="B36" i="2"/>
  <c r="E35" i="2"/>
  <c r="D35" i="2"/>
  <c r="C35" i="2"/>
  <c r="B35" i="2"/>
  <c r="E34" i="2"/>
  <c r="D34" i="2"/>
  <c r="C34" i="2"/>
  <c r="B34" i="2"/>
  <c r="E33" i="2"/>
  <c r="D33" i="2"/>
  <c r="C33" i="2"/>
  <c r="B33" i="2"/>
  <c r="E32" i="2"/>
  <c r="D32" i="2"/>
  <c r="C32" i="2"/>
  <c r="B32" i="2"/>
  <c r="E31" i="2"/>
  <c r="D31" i="2"/>
  <c r="C31" i="2"/>
  <c r="B31" i="2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5" i="2"/>
  <c r="D25" i="2"/>
  <c r="C25" i="2"/>
  <c r="B25" i="2"/>
  <c r="E24" i="2"/>
  <c r="D24" i="2"/>
  <c r="C24" i="2"/>
  <c r="B24" i="2"/>
  <c r="E23" i="2"/>
  <c r="D23" i="2"/>
  <c r="C23" i="2"/>
  <c r="B23" i="2"/>
  <c r="E22" i="2"/>
  <c r="D22" i="2"/>
  <c r="C22" i="2"/>
  <c r="B22" i="2"/>
  <c r="E21" i="2"/>
  <c r="D21" i="2"/>
  <c r="C21" i="2"/>
  <c r="B21" i="2"/>
  <c r="E20" i="2"/>
  <c r="D20" i="2"/>
  <c r="C20" i="2"/>
  <c r="B20" i="2"/>
  <c r="E19" i="2"/>
  <c r="D19" i="2"/>
  <c r="C19" i="2"/>
  <c r="B19" i="2"/>
  <c r="E18" i="2"/>
  <c r="D18" i="2"/>
  <c r="C18" i="2"/>
  <c r="B18" i="2"/>
  <c r="E17" i="2"/>
  <c r="D17" i="2"/>
  <c r="C17" i="2"/>
  <c r="B17" i="2"/>
  <c r="E16" i="2"/>
  <c r="D16" i="2"/>
  <c r="C16" i="2"/>
  <c r="B16" i="2"/>
  <c r="E15" i="2"/>
  <c r="D15" i="2"/>
  <c r="C15" i="2"/>
  <c r="B15" i="2"/>
  <c r="E14" i="2"/>
  <c r="D14" i="2"/>
  <c r="C14" i="2"/>
  <c r="B14" i="2"/>
  <c r="E13" i="2"/>
  <c r="D13" i="2"/>
  <c r="C13" i="2"/>
  <c r="B13" i="2"/>
  <c r="E12" i="2"/>
  <c r="D12" i="2"/>
  <c r="C12" i="2"/>
  <c r="B12" i="2"/>
  <c r="AS150" i="28" a="1"/>
  <c r="AS150" i="28" s="1"/>
  <c r="AP150" i="28" a="1"/>
  <c r="AP150" i="28" s="1"/>
  <c r="AJ150" i="28" a="1"/>
  <c r="AJ150" i="28" s="1"/>
  <c r="AW258" i="28" a="1"/>
  <c r="AW258" i="28" s="1"/>
  <c r="BA230" i="28" a="1"/>
  <c r="BA230" i="28" s="1"/>
  <c r="BD228" i="28" a="1"/>
  <c r="BD228" i="28" s="1"/>
  <c r="BF221" i="28" a="1"/>
  <c r="BF221" i="28" s="1"/>
  <c r="AZ198" i="28" a="1"/>
  <c r="AZ198" i="28" s="1"/>
  <c r="BD197" i="28" a="1"/>
  <c r="BD197" i="28" s="1"/>
  <c r="BB197" i="28" a="1"/>
  <c r="BB197" i="28" s="1"/>
  <c r="BI196" i="28" a="1"/>
  <c r="BI196" i="28" s="1"/>
  <c r="AZ189" i="28" a="1"/>
  <c r="AZ189" i="28" s="1"/>
  <c r="AX189" i="28" a="1"/>
  <c r="AX189" i="28" s="1"/>
  <c r="AU188" i="28" a="1"/>
  <c r="AU188" i="28" s="1"/>
  <c r="BB187" i="28" a="1"/>
  <c r="BB187" i="28" s="1"/>
  <c r="BJ164" i="28" a="1"/>
  <c r="BJ164" i="28" s="1"/>
  <c r="AZ162" i="28" a="1"/>
  <c r="AZ162" i="28" s="1"/>
  <c r="BN161" i="28" a="1"/>
  <c r="BN161" i="28" s="1"/>
  <c r="BM161" i="28" a="1"/>
  <c r="BM161" i="28" s="1"/>
  <c r="BL161" i="28" a="1"/>
  <c r="BL161" i="28" s="1"/>
  <c r="BK161" i="28" a="1"/>
  <c r="BK161" i="28" s="1"/>
  <c r="BI161" i="28" a="1"/>
  <c r="BI161" i="28" s="1"/>
  <c r="AY155" i="28" a="1"/>
  <c r="AY155" i="28" s="1"/>
  <c r="BD154" i="28" a="1"/>
  <c r="BD154" i="28" s="1"/>
  <c r="BH220" i="28" a="1"/>
  <c r="BH220" i="28" s="1"/>
  <c r="BG220" i="28" a="1"/>
  <c r="BG220" i="28" s="1"/>
  <c r="BB220" i="28" a="1"/>
  <c r="BB220" i="28" s="1"/>
  <c r="AY220" i="28" a="1"/>
  <c r="AY220" i="28" s="1"/>
  <c r="AX220" i="28" a="1"/>
  <c r="AX220" i="28" s="1"/>
  <c r="C285" i="28" a="1"/>
  <c r="C285" i="28" s="1"/>
  <c r="D282" i="28" a="1"/>
  <c r="D282" i="28" s="1"/>
  <c r="C282" i="28" a="1"/>
  <c r="C282" i="28" s="1"/>
  <c r="B281" i="28" a="1"/>
  <c r="B281" i="28" s="1"/>
  <c r="A281" i="28" a="1"/>
  <c r="A281" i="28" s="1"/>
  <c r="N280" i="28" a="1"/>
  <c r="N280" i="28" s="1"/>
  <c r="F280" i="28" a="1"/>
  <c r="F280" i="28" s="1"/>
  <c r="L277" i="28" a="1"/>
  <c r="L277" i="28" s="1"/>
  <c r="O275" i="28" a="1"/>
  <c r="O275" i="28" s="1"/>
  <c r="G275" i="28" a="1"/>
  <c r="G275" i="28" s="1"/>
  <c r="F275" i="28" a="1"/>
  <c r="F275" i="28" s="1"/>
  <c r="E275" i="28" a="1"/>
  <c r="E275" i="28" s="1"/>
  <c r="D275" i="28" a="1"/>
  <c r="D275" i="28" s="1"/>
  <c r="C275" i="28" a="1"/>
  <c r="C275" i="28" s="1"/>
  <c r="A272" i="28" a="1"/>
  <c r="A272" i="28" s="1"/>
  <c r="E270" i="28" a="1"/>
  <c r="E270" i="28" s="1"/>
  <c r="D270" i="28" a="1"/>
  <c r="D270" i="28" s="1"/>
  <c r="H269" i="28" a="1"/>
  <c r="H269" i="28" s="1"/>
  <c r="G269" i="28" a="1"/>
  <c r="G269" i="28" s="1"/>
  <c r="E269" i="28" a="1"/>
  <c r="E269" i="28" s="1"/>
  <c r="N268" i="28" a="1"/>
  <c r="N268" i="28" s="1"/>
  <c r="C266" i="28" a="1"/>
  <c r="C266" i="28" s="1"/>
  <c r="F264" i="28" a="1"/>
  <c r="F264" i="28" s="1"/>
  <c r="O263" i="28" a="1"/>
  <c r="O263" i="28" s="1"/>
  <c r="N263" i="28" a="1"/>
  <c r="N263" i="28" s="1"/>
  <c r="M263" i="28" a="1"/>
  <c r="M263" i="28" s="1"/>
  <c r="L263" i="28" a="1"/>
  <c r="L263" i="28" s="1"/>
  <c r="K263" i="28" a="1"/>
  <c r="K263" i="28" s="1"/>
  <c r="I260" i="28" a="1"/>
  <c r="I260" i="28" s="1"/>
  <c r="N258" i="28" a="1"/>
  <c r="N258" i="28" s="1"/>
  <c r="M258" i="28" a="1"/>
  <c r="M258" i="28" s="1"/>
  <c r="A258" i="28" a="1"/>
  <c r="A258" i="28" s="1"/>
  <c r="Q257" i="28" a="1"/>
  <c r="Q257" i="28" s="1"/>
  <c r="P257" i="28" a="1"/>
  <c r="P257" i="28" s="1"/>
  <c r="M257" i="28" a="1"/>
  <c r="M257" i="28" s="1"/>
  <c r="E249" i="28" a="1"/>
  <c r="E249" i="28" s="1"/>
  <c r="K247" i="28" a="1"/>
  <c r="K247" i="28" s="1"/>
  <c r="D247" i="28" a="1"/>
  <c r="D247" i="28" s="1"/>
  <c r="C247" i="28" a="1"/>
  <c r="C247" i="28" s="1"/>
  <c r="B247" i="28" a="1"/>
  <c r="B247" i="28" s="1"/>
  <c r="A247" i="28" a="1"/>
  <c r="A247" i="28" s="1"/>
  <c r="Q246" i="28" a="1"/>
  <c r="Q246" i="28" s="1"/>
  <c r="N244" i="28" a="1"/>
  <c r="N244" i="28" s="1"/>
  <c r="O243" i="28" a="1"/>
  <c r="O243" i="28" s="1"/>
  <c r="N243" i="28" a="1"/>
  <c r="N243" i="28" s="1"/>
  <c r="H243" i="28" a="1"/>
  <c r="H243" i="28" s="1"/>
  <c r="G243" i="28" a="1"/>
  <c r="G243" i="28" s="1"/>
  <c r="F243" i="28" a="1"/>
  <c r="F243" i="28" s="1"/>
  <c r="D243" i="28" a="1"/>
  <c r="D243" i="28" s="1"/>
  <c r="N241" i="28" a="1"/>
  <c r="N241" i="28" s="1"/>
  <c r="O240" i="28" a="1"/>
  <c r="O240" i="28" s="1"/>
  <c r="M240" i="28" a="1"/>
  <c r="M240" i="28" s="1"/>
  <c r="L240" i="28" a="1"/>
  <c r="L240" i="28" s="1"/>
  <c r="K240" i="28" a="1"/>
  <c r="K240" i="28" s="1"/>
  <c r="J240" i="28" a="1"/>
  <c r="J240" i="28" s="1"/>
  <c r="I240" i="28" a="1"/>
  <c r="I240" i="28" s="1"/>
  <c r="A239" i="28" a="1"/>
  <c r="A239" i="28" s="1"/>
  <c r="B238" i="28" a="1"/>
  <c r="B238" i="28" s="1"/>
  <c r="A238" i="28" a="1"/>
  <c r="A238" i="28" s="1"/>
  <c r="L237" i="28" a="1"/>
  <c r="L237" i="28" s="1"/>
  <c r="K237" i="28" a="1"/>
  <c r="K237" i="28" s="1"/>
  <c r="J237" i="28" a="1"/>
  <c r="J237" i="28" s="1"/>
  <c r="H237" i="28" a="1"/>
  <c r="H237" i="28" s="1"/>
  <c r="A236" i="28" a="1"/>
  <c r="A236" i="28" s="1"/>
  <c r="B235" i="28" a="1"/>
  <c r="B235" i="28" s="1"/>
  <c r="Q234" i="28" a="1"/>
  <c r="Q234" i="28" s="1"/>
  <c r="P234" i="28" a="1"/>
  <c r="P234" i="28" s="1"/>
  <c r="O234" i="28" a="1"/>
  <c r="O234" i="28" s="1"/>
  <c r="N234" i="28" a="1"/>
  <c r="N234" i="28" s="1"/>
  <c r="M234" i="28" a="1"/>
  <c r="M234" i="28" s="1"/>
  <c r="E233" i="28" a="1"/>
  <c r="E233" i="28" s="1"/>
  <c r="F232" i="28" a="1"/>
  <c r="F232" i="28" s="1"/>
  <c r="E232" i="28" a="1"/>
  <c r="E232" i="28" s="1"/>
  <c r="P231" i="28" a="1"/>
  <c r="P231" i="28" s="1"/>
  <c r="O231" i="28" a="1"/>
  <c r="O231" i="28" s="1"/>
  <c r="N231" i="28" a="1"/>
  <c r="N231" i="28" s="1"/>
  <c r="L231" i="28" a="1"/>
  <c r="L231" i="28" s="1"/>
  <c r="I230" i="28" a="1"/>
  <c r="I230" i="28" s="1"/>
  <c r="H229" i="28" a="1"/>
  <c r="H229" i="28" s="1"/>
  <c r="G229" i="28" a="1"/>
  <c r="G229" i="28" s="1"/>
  <c r="F229" i="28" a="1"/>
  <c r="F229" i="28" s="1"/>
  <c r="D229" i="28" a="1"/>
  <c r="D229" i="28" s="1"/>
  <c r="C229" i="28" a="1"/>
  <c r="C229" i="28" s="1"/>
  <c r="B229" i="28" a="1"/>
  <c r="B229" i="28" s="1"/>
  <c r="N227" i="28" a="1"/>
  <c r="N227" i="28" s="1"/>
  <c r="P226" i="28" a="1"/>
  <c r="P226" i="28" s="1"/>
  <c r="O226" i="28" a="1"/>
  <c r="O226" i="28" s="1"/>
  <c r="M226" i="28" a="1"/>
  <c r="M226" i="28" s="1"/>
  <c r="L226" i="28" a="1"/>
  <c r="L226" i="28" s="1"/>
  <c r="K226" i="28" a="1"/>
  <c r="K226" i="28" s="1"/>
  <c r="J226" i="28" a="1"/>
  <c r="J226" i="28" s="1"/>
  <c r="E225" i="28" a="1"/>
  <c r="E225" i="28" s="1"/>
  <c r="G224" i="28" a="1"/>
  <c r="G224" i="28" s="1"/>
  <c r="E224" i="28" a="1"/>
  <c r="E224" i="28" s="1"/>
  <c r="D224" i="28" a="1"/>
  <c r="D224" i="28" s="1"/>
  <c r="C224" i="28" a="1"/>
  <c r="C224" i="28" s="1"/>
  <c r="B224" i="28" a="1"/>
  <c r="B224" i="28" s="1"/>
  <c r="A224" i="28" a="1"/>
  <c r="A224" i="28" s="1"/>
  <c r="M222" i="28" a="1"/>
  <c r="M222" i="28" s="1"/>
  <c r="N215" i="28" a="1"/>
  <c r="N215" i="28" s="1"/>
  <c r="M215" i="28" a="1"/>
  <c r="M215" i="28" s="1"/>
  <c r="L215" i="28" a="1"/>
  <c r="L215" i="28" s="1"/>
  <c r="K215" i="28" a="1"/>
  <c r="K215" i="28" s="1"/>
  <c r="J215" i="28" a="1"/>
  <c r="J215" i="28" s="1"/>
  <c r="H215" i="28" a="1"/>
  <c r="H215" i="28" s="1"/>
  <c r="D214" i="28" a="1"/>
  <c r="D214" i="28" s="1"/>
  <c r="F213" i="28" a="1"/>
  <c r="F213" i="28" s="1"/>
  <c r="E213" i="28" a="1"/>
  <c r="E213" i="28" s="1"/>
  <c r="D213" i="28" a="1"/>
  <c r="D213" i="28" s="1"/>
  <c r="C213" i="28" a="1"/>
  <c r="C213" i="28" s="1"/>
  <c r="A213" i="28" a="1"/>
  <c r="A213" i="28" s="1"/>
  <c r="N212" i="28" a="1"/>
  <c r="N212" i="28" s="1"/>
  <c r="L211" i="28" a="1"/>
  <c r="L211" i="28" s="1"/>
  <c r="N210" i="28" a="1"/>
  <c r="N210" i="28" s="1"/>
  <c r="M210" i="28" a="1"/>
  <c r="M210" i="28" s="1"/>
  <c r="L210" i="28" a="1"/>
  <c r="L210" i="28" s="1"/>
  <c r="J210" i="28" a="1"/>
  <c r="J210" i="28" s="1"/>
  <c r="F210" i="28" a="1"/>
  <c r="F210" i="28" s="1"/>
  <c r="E210" i="28" a="1"/>
  <c r="E210" i="28" s="1"/>
  <c r="C209" i="28" a="1"/>
  <c r="C209" i="28" s="1"/>
  <c r="F208" i="28" a="1"/>
  <c r="F208" i="28" s="1"/>
  <c r="E208" i="28" a="1"/>
  <c r="E208" i="28" s="1"/>
  <c r="C208" i="28" a="1"/>
  <c r="C208" i="28" s="1"/>
  <c r="P207" i="28" a="1"/>
  <c r="P207" i="28" s="1"/>
  <c r="O207" i="28" a="1"/>
  <c r="O207" i="28" s="1"/>
  <c r="N207" i="28" a="1"/>
  <c r="N207" i="28" s="1"/>
  <c r="M206" i="28" a="1"/>
  <c r="M206" i="28" s="1"/>
  <c r="Q205" i="28" a="1"/>
  <c r="Q205" i="28" s="1"/>
  <c r="P205" i="28" a="1"/>
  <c r="P205" i="28" s="1"/>
  <c r="N205" i="28" a="1"/>
  <c r="N205" i="28" s="1"/>
  <c r="J205" i="28" a="1"/>
  <c r="J205" i="28" s="1"/>
  <c r="I205" i="28" a="1"/>
  <c r="I205" i="28" s="1"/>
  <c r="H205" i="28" a="1"/>
  <c r="H205" i="28" s="1"/>
  <c r="I204" i="28" a="1"/>
  <c r="I204" i="28" s="1"/>
  <c r="F204" i="28" a="1"/>
  <c r="F204" i="28" s="1"/>
  <c r="P203" i="28" a="1"/>
  <c r="P203" i="28" s="1"/>
  <c r="O203" i="28" a="1"/>
  <c r="O203" i="28" s="1"/>
  <c r="N203" i="28" a="1"/>
  <c r="N203" i="28" s="1"/>
  <c r="M203" i="28" a="1"/>
  <c r="M203" i="28" s="1"/>
  <c r="L203" i="28" a="1"/>
  <c r="L203" i="28" s="1"/>
  <c r="A203" i="28" a="1"/>
  <c r="A203" i="28" s="1"/>
  <c r="O202" i="28" a="1"/>
  <c r="O202" i="28" s="1"/>
  <c r="N202" i="28" a="1"/>
  <c r="N202" i="28" s="1"/>
  <c r="M202" i="28" a="1"/>
  <c r="M202" i="28" s="1"/>
  <c r="F202" i="28" a="1"/>
  <c r="F202" i="28" s="1"/>
  <c r="E202" i="28" a="1"/>
  <c r="E202" i="28" s="1"/>
  <c r="D202" i="28" a="1"/>
  <c r="D202" i="28" s="1"/>
  <c r="J201" i="28" a="1"/>
  <c r="J201" i="28" s="1"/>
  <c r="G201" i="28" a="1"/>
  <c r="G201" i="28" s="1"/>
  <c r="F201" i="28" a="1"/>
  <c r="F201" i="28" s="1"/>
  <c r="E201" i="28" a="1"/>
  <c r="E201" i="28" s="1"/>
  <c r="D201" i="28" a="1"/>
  <c r="D201" i="28" s="1"/>
  <c r="C201" i="28" a="1"/>
  <c r="C201" i="28" s="1"/>
  <c r="M200" i="28" a="1"/>
  <c r="M200" i="28" s="1"/>
  <c r="P199" i="28" a="1"/>
  <c r="P199" i="28" s="1"/>
  <c r="O199" i="28" a="1"/>
  <c r="O199" i="28" s="1"/>
  <c r="N199" i="28" a="1"/>
  <c r="N199" i="28" s="1"/>
  <c r="M199" i="28" a="1"/>
  <c r="M199" i="28" s="1"/>
  <c r="L199" i="28" a="1"/>
  <c r="L199" i="28" s="1"/>
  <c r="K199" i="28" a="1"/>
  <c r="K199" i="28" s="1"/>
  <c r="P198" i="28" a="1"/>
  <c r="P198" i="28" s="1"/>
  <c r="G198" i="28" a="1"/>
  <c r="G198" i="28" s="1"/>
  <c r="F198" i="28" a="1"/>
  <c r="F198" i="28" s="1"/>
  <c r="E198" i="28" a="1"/>
  <c r="E198" i="28" s="1"/>
  <c r="D198" i="28" a="1"/>
  <c r="D198" i="28" s="1"/>
  <c r="C198" i="28" a="1"/>
  <c r="C198" i="28" s="1"/>
  <c r="I197" i="28" a="1"/>
  <c r="I197" i="28" s="1"/>
  <c r="F197" i="28" a="1"/>
  <c r="F197" i="28" s="1"/>
  <c r="E197" i="28" a="1"/>
  <c r="E197" i="28" s="1"/>
  <c r="D197" i="28" a="1"/>
  <c r="D197" i="28" s="1"/>
  <c r="P196" i="28" a="1"/>
  <c r="P196" i="28" s="1"/>
  <c r="N196" i="28" a="1"/>
  <c r="N196" i="28" s="1"/>
  <c r="M196" i="28" a="1"/>
  <c r="M196" i="28" s="1"/>
  <c r="G196" i="28" a="1"/>
  <c r="G196" i="28" s="1"/>
  <c r="O195" i="28" a="1"/>
  <c r="O195" i="28" s="1"/>
  <c r="N195" i="28" a="1"/>
  <c r="N195" i="28" s="1"/>
  <c r="M195" i="28" a="1"/>
  <c r="M195" i="28" s="1"/>
  <c r="L195" i="28" a="1"/>
  <c r="L195" i="28" s="1"/>
  <c r="K195" i="28" a="1"/>
  <c r="K195" i="28" s="1"/>
  <c r="P194" i="28" a="1"/>
  <c r="P194" i="28" s="1"/>
  <c r="H194" i="28" a="1"/>
  <c r="H194" i="28" s="1"/>
  <c r="G194" i="28" a="1"/>
  <c r="G194" i="28" s="1"/>
  <c r="F194" i="28" a="1"/>
  <c r="F194" i="28" s="1"/>
  <c r="E194" i="28" a="1"/>
  <c r="E194" i="28" s="1"/>
  <c r="D194" i="28" a="1"/>
  <c r="D194" i="28" s="1"/>
  <c r="C194" i="28" a="1"/>
  <c r="C194" i="28" s="1"/>
  <c r="H193" i="28" a="1"/>
  <c r="H193" i="28" s="1"/>
  <c r="E193" i="28" a="1"/>
  <c r="E193" i="28" s="1"/>
  <c r="D193" i="28" a="1"/>
  <c r="D193" i="28" s="1"/>
  <c r="O192" i="28" a="1"/>
  <c r="O192" i="28" s="1"/>
  <c r="N192" i="28" a="1"/>
  <c r="N192" i="28" s="1"/>
  <c r="M192" i="28" a="1"/>
  <c r="M192" i="28" s="1"/>
  <c r="L192" i="28" a="1"/>
  <c r="L192" i="28" s="1"/>
  <c r="Q191" i="28" a="1"/>
  <c r="Q191" i="28" s="1"/>
  <c r="N191" i="28" a="1"/>
  <c r="N191" i="28" s="1"/>
  <c r="M191" i="28" a="1"/>
  <c r="M191" i="28" s="1"/>
  <c r="L191" i="28" a="1"/>
  <c r="L191" i="28" s="1"/>
  <c r="E191" i="28" a="1"/>
  <c r="E191" i="28" s="1"/>
  <c r="D191" i="28" a="1"/>
  <c r="D191" i="28" s="1"/>
  <c r="O190" i="28" a="1"/>
  <c r="O190" i="28" s="1"/>
  <c r="F190" i="28" a="1"/>
  <c r="F190" i="28" s="1"/>
  <c r="E190" i="28" a="1"/>
  <c r="E190" i="28" s="1"/>
  <c r="D190" i="28" a="1"/>
  <c r="D190" i="28" s="1"/>
  <c r="C190" i="28" a="1"/>
  <c r="C190" i="28" s="1"/>
  <c r="B190" i="28" a="1"/>
  <c r="B190" i="28" s="1"/>
  <c r="G189" i="28" a="1"/>
  <c r="G189" i="28" s="1"/>
  <c r="O188" i="28" a="1"/>
  <c r="O188" i="28" s="1"/>
  <c r="N188" i="28" a="1"/>
  <c r="N188" i="28" s="1"/>
  <c r="M188" i="28" a="1"/>
  <c r="M188" i="28" s="1"/>
  <c r="L188" i="28" a="1"/>
  <c r="L188" i="28" s="1"/>
  <c r="K188" i="28" a="1"/>
  <c r="K188" i="28" s="1"/>
  <c r="J188" i="28" a="1"/>
  <c r="J188" i="28" s="1"/>
  <c r="O187" i="28" a="1"/>
  <c r="O187" i="28" s="1"/>
  <c r="L187" i="28" a="1"/>
  <c r="L187" i="28" s="1"/>
  <c r="K187" i="28" a="1"/>
  <c r="K187" i="28" s="1"/>
  <c r="D187" i="28" a="1"/>
  <c r="D187" i="28" s="1"/>
  <c r="C187" i="28" a="1"/>
  <c r="C187" i="28" s="1"/>
  <c r="B187" i="28" a="1"/>
  <c r="B187" i="28" s="1"/>
  <c r="I180" i="28" a="1"/>
  <c r="I180" i="28" s="1"/>
  <c r="F180" i="28" a="1"/>
  <c r="F180" i="28" s="1"/>
  <c r="E180" i="28" a="1"/>
  <c r="E180" i="28" s="1"/>
  <c r="D180" i="28" a="1"/>
  <c r="D180" i="28" s="1"/>
  <c r="O179" i="28" a="1"/>
  <c r="O179" i="28" s="1"/>
  <c r="N179" i="28" a="1"/>
  <c r="N179" i="28" s="1"/>
  <c r="I179" i="28" a="1"/>
  <c r="I179" i="28" s="1"/>
  <c r="A179" i="28" a="1"/>
  <c r="A179" i="28" s="1"/>
  <c r="Q178" i="28" a="1"/>
  <c r="Q178" i="28" s="1"/>
  <c r="P178" i="28" a="1"/>
  <c r="P178" i="28" s="1"/>
  <c r="O178" i="28" a="1"/>
  <c r="O178" i="28" s="1"/>
  <c r="N178" i="28" a="1"/>
  <c r="N178" i="28" s="1"/>
  <c r="M178" i="28" a="1"/>
  <c r="M178" i="28" s="1"/>
  <c r="C178" i="28" a="1"/>
  <c r="C178" i="28" s="1"/>
  <c r="L177" i="28" a="1"/>
  <c r="L177" i="28" s="1"/>
  <c r="K177" i="28" a="1"/>
  <c r="K177" i="28" s="1"/>
  <c r="J177" i="28" a="1"/>
  <c r="J177" i="28" s="1"/>
  <c r="I177" i="28" a="1"/>
  <c r="I177" i="28" s="1"/>
  <c r="H177" i="28" a="1"/>
  <c r="H177" i="28" s="1"/>
  <c r="N176" i="28" a="1"/>
  <c r="N176" i="28" s="1"/>
  <c r="K176" i="28" a="1"/>
  <c r="K176" i="28" s="1"/>
  <c r="D176" i="28" a="1"/>
  <c r="D176" i="28" s="1"/>
  <c r="C176" i="28" a="1"/>
  <c r="C176" i="28" s="1"/>
  <c r="B176" i="28" a="1"/>
  <c r="B176" i="28" s="1"/>
  <c r="H175" i="28" a="1"/>
  <c r="H175" i="28" s="1"/>
  <c r="F175" i="28" a="1"/>
  <c r="F175" i="28" s="1"/>
  <c r="E175" i="28" a="1"/>
  <c r="E175" i="28" s="1"/>
  <c r="D175" i="28" a="1"/>
  <c r="D175" i="28" s="1"/>
  <c r="C175" i="28" a="1"/>
  <c r="C175" i="28" s="1"/>
  <c r="N174" i="28" a="1"/>
  <c r="N174" i="28" s="1"/>
  <c r="M174" i="28" a="1"/>
  <c r="M174" i="28" s="1"/>
  <c r="H174" i="28" a="1"/>
  <c r="H174" i="28" s="1"/>
  <c r="Q173" i="28" a="1"/>
  <c r="Q173" i="28" s="1"/>
  <c r="P173" i="28" a="1"/>
  <c r="P173" i="28" s="1"/>
  <c r="O173" i="28" a="1"/>
  <c r="O173" i="28" s="1"/>
  <c r="N173" i="28" a="1"/>
  <c r="N173" i="28" s="1"/>
  <c r="M173" i="28" a="1"/>
  <c r="M173" i="28" s="1"/>
  <c r="B173" i="28" a="1"/>
  <c r="B173" i="28" s="1"/>
  <c r="K172" i="28" a="1"/>
  <c r="K172" i="28" s="1"/>
  <c r="J172" i="28" a="1"/>
  <c r="J172" i="28" s="1"/>
  <c r="I172" i="28" a="1"/>
  <c r="I172" i="28" s="1"/>
  <c r="H172" i="28" a="1"/>
  <c r="H172" i="28" s="1"/>
  <c r="G172" i="28" a="1"/>
  <c r="G172" i="28" s="1"/>
  <c r="M171" i="28" a="1"/>
  <c r="M171" i="28" s="1"/>
  <c r="K171" i="28" a="1"/>
  <c r="K171" i="28" s="1"/>
  <c r="J171" i="28" a="1"/>
  <c r="J171" i="28" s="1"/>
  <c r="D171" i="28" a="1"/>
  <c r="D171" i="28" s="1"/>
  <c r="C171" i="28" a="1"/>
  <c r="C171" i="28" s="1"/>
  <c r="B171" i="28" a="1"/>
  <c r="B171" i="28" s="1"/>
  <c r="A171" i="28" a="1"/>
  <c r="A171" i="28" s="1"/>
  <c r="F170" i="28" a="1"/>
  <c r="F170" i="28" s="1"/>
  <c r="C170" i="28" a="1"/>
  <c r="C170" i="28" s="1"/>
  <c r="B170" i="28" a="1"/>
  <c r="B170" i="28" s="1"/>
  <c r="A170" i="28" a="1"/>
  <c r="A170" i="28" s="1"/>
  <c r="Q169" i="28" a="1"/>
  <c r="Q169" i="28" s="1"/>
  <c r="J169" i="28" a="1"/>
  <c r="J169" i="28" s="1"/>
  <c r="I169" i="28" a="1"/>
  <c r="I169" i="28" s="1"/>
  <c r="C169" i="28" a="1"/>
  <c r="C169" i="28" s="1"/>
  <c r="K168" i="28" a="1"/>
  <c r="K168" i="28" s="1"/>
  <c r="J168" i="28" a="1"/>
  <c r="J168" i="28" s="1"/>
  <c r="I168" i="28" a="1"/>
  <c r="I168" i="28" s="1"/>
  <c r="H168" i="28" a="1"/>
  <c r="H168" i="28" s="1"/>
  <c r="G168" i="28" a="1"/>
  <c r="G168" i="28" s="1"/>
  <c r="F168" i="28" a="1"/>
  <c r="F168" i="28" s="1"/>
  <c r="K167" i="28" a="1"/>
  <c r="K167" i="28" s="1"/>
  <c r="B167" i="28" a="1"/>
  <c r="B167" i="28" s="1"/>
  <c r="A167" i="28" a="1"/>
  <c r="A167" i="28" s="1"/>
  <c r="Q166" i="28" a="1"/>
  <c r="Q166" i="28" s="1"/>
  <c r="P166" i="28" a="1"/>
  <c r="P166" i="28" s="1"/>
  <c r="O166" i="28" a="1"/>
  <c r="O166" i="28" s="1"/>
  <c r="N166" i="28" a="1"/>
  <c r="N166" i="28" s="1"/>
  <c r="B166" i="28" a="1"/>
  <c r="B166" i="28" s="1"/>
  <c r="P165" i="28" a="1"/>
  <c r="P165" i="28" s="1"/>
  <c r="O165" i="28" a="1"/>
  <c r="O165" i="28" s="1"/>
  <c r="H165" i="28" a="1"/>
  <c r="H165" i="28" s="1"/>
  <c r="G165" i="28" a="1"/>
  <c r="G165" i="28" s="1"/>
  <c r="F165" i="28" a="1"/>
  <c r="F165" i="28" s="1"/>
  <c r="E165" i="28" a="1"/>
  <c r="E165" i="28" s="1"/>
  <c r="I164" i="28" a="1"/>
  <c r="I164" i="28" s="1"/>
  <c r="H164" i="28" a="1"/>
  <c r="H164" i="28" s="1"/>
  <c r="G164" i="28" a="1"/>
  <c r="G164" i="28" s="1"/>
  <c r="F164" i="28" a="1"/>
  <c r="F164" i="28" s="1"/>
  <c r="E164" i="28" a="1"/>
  <c r="E164" i="28" s="1"/>
  <c r="P163" i="28" a="1"/>
  <c r="P163" i="28" s="1"/>
  <c r="J163" i="28" a="1"/>
  <c r="J163" i="28" s="1"/>
  <c r="C163" i="28" a="1"/>
  <c r="C163" i="28" s="1"/>
  <c r="B163" i="28" a="1"/>
  <c r="B163" i="28" s="1"/>
  <c r="A163" i="28" a="1"/>
  <c r="A163" i="28" s="1"/>
  <c r="Q162" i="28" a="1"/>
  <c r="Q162" i="28" s="1"/>
  <c r="P162" i="28" a="1"/>
  <c r="P162" i="28" s="1"/>
  <c r="F162" i="28" a="1"/>
  <c r="F162" i="28" s="1"/>
  <c r="C162" i="28" a="1"/>
  <c r="C162" i="28" s="1"/>
  <c r="B162" i="28" a="1"/>
  <c r="B162" i="28" s="1"/>
  <c r="A162" i="28" a="1"/>
  <c r="A162" i="28" s="1"/>
  <c r="L161" i="28" a="1"/>
  <c r="L161" i="28" s="1"/>
  <c r="K161" i="28" a="1"/>
  <c r="K161" i="28" s="1"/>
  <c r="F161" i="28" a="1"/>
  <c r="F161" i="28" s="1"/>
  <c r="O160" i="28" a="1"/>
  <c r="O160" i="28" s="1"/>
  <c r="N160" i="28" a="1"/>
  <c r="N160" i="28" s="1"/>
  <c r="M160" i="28" a="1"/>
  <c r="M160" i="28" s="1"/>
  <c r="L160" i="28" a="1"/>
  <c r="L160" i="28" s="1"/>
  <c r="K160" i="28" a="1"/>
  <c r="K160" i="28" s="1"/>
  <c r="J160" i="28" a="1"/>
  <c r="J160" i="28" s="1"/>
  <c r="A160" i="28" a="1"/>
  <c r="A160" i="28" s="1"/>
  <c r="O159" i="28" a="1"/>
  <c r="O159" i="28" s="1"/>
  <c r="N159" i="28" a="1"/>
  <c r="N159" i="28" s="1"/>
  <c r="J159" i="28" a="1"/>
  <c r="J159" i="28" s="1"/>
  <c r="H159" i="28" a="1"/>
  <c r="H159" i="28" s="1"/>
  <c r="G159" i="28" a="1"/>
  <c r="G159" i="28" s="1"/>
  <c r="F159" i="28" a="1"/>
  <c r="F159" i="28" s="1"/>
  <c r="N158" i="28" a="1"/>
  <c r="N158" i="28" s="1"/>
  <c r="J158" i="28" a="1"/>
  <c r="J158" i="28" s="1"/>
  <c r="I158" i="28" a="1"/>
  <c r="I158" i="28" s="1"/>
  <c r="H158" i="28" a="1"/>
  <c r="H158" i="28" s="1"/>
  <c r="G158" i="28" a="1"/>
  <c r="G158" i="28" s="1"/>
  <c r="F158" i="28" a="1"/>
  <c r="F158" i="28" s="1"/>
  <c r="E158" i="28" a="1"/>
  <c r="E158" i="28" s="1"/>
  <c r="K157" i="28" a="1"/>
  <c r="K157" i="28" s="1"/>
  <c r="H157" i="28" a="1"/>
  <c r="H157" i="28" s="1"/>
  <c r="D157" i="28" a="1"/>
  <c r="D157" i="28" s="1"/>
  <c r="B157" i="28" a="1"/>
  <c r="B157" i="28" s="1"/>
  <c r="A157" i="28" a="1"/>
  <c r="A157" i="28" s="1"/>
  <c r="Q156" i="28" a="1"/>
  <c r="Q156" i="28" s="1"/>
  <c r="P156" i="28" a="1"/>
  <c r="P156" i="28" s="1"/>
  <c r="F156" i="28" a="1"/>
  <c r="F156" i="28" s="1"/>
  <c r="C156" i="28" a="1"/>
  <c r="C156" i="28" s="1"/>
  <c r="B156" i="28" a="1"/>
  <c r="B156" i="28" s="1"/>
  <c r="A156" i="28" a="1"/>
  <c r="A156" i="28" s="1"/>
  <c r="Q155" i="28" a="1"/>
  <c r="Q155" i="28" s="1"/>
  <c r="L155" i="28" a="1"/>
  <c r="L155" i="28" s="1"/>
  <c r="E155" i="28" a="1"/>
  <c r="E155" i="28" s="1"/>
  <c r="O154" i="28" a="1"/>
  <c r="O154" i="28" s="1"/>
  <c r="M154" i="28" a="1"/>
  <c r="M154" i="28" s="1"/>
  <c r="L154" i="28" a="1"/>
  <c r="L154" i="28" s="1"/>
  <c r="K154" i="28" a="1"/>
  <c r="K154" i="28" s="1"/>
  <c r="J154" i="28" a="1"/>
  <c r="J154" i="28" s="1"/>
  <c r="I154" i="28" a="1"/>
  <c r="I154" i="28" s="1"/>
  <c r="P153" i="28" a="1"/>
  <c r="P153" i="28" s="1"/>
  <c r="M153" i="28" a="1"/>
  <c r="M153" i="28" s="1"/>
  <c r="L153" i="28" a="1"/>
  <c r="L153" i="28" s="1"/>
  <c r="K153" i="28" a="1"/>
  <c r="K153" i="28" s="1"/>
  <c r="J153" i="28" a="1"/>
  <c r="J153" i="28" s="1"/>
  <c r="E153" i="28" a="1"/>
  <c r="E153" i="28" s="1"/>
  <c r="C153" i="28" a="1"/>
  <c r="C153" i="28" s="1"/>
  <c r="O152" i="28" a="1"/>
  <c r="O152" i="28" s="1"/>
  <c r="G152" i="28" a="1"/>
  <c r="G152" i="28" s="1"/>
  <c r="F152" i="28" a="1"/>
  <c r="F152" i="28" s="1"/>
  <c r="E152" i="28" a="1"/>
  <c r="E152" i="28" s="1"/>
  <c r="D152" i="28" a="1"/>
  <c r="D152" i="28" s="1"/>
  <c r="C152" i="28" a="1"/>
  <c r="C152" i="28" s="1"/>
  <c r="B152" i="28" a="1"/>
  <c r="B152" i="28" s="1"/>
  <c r="H256" i="28" a="1"/>
  <c r="H256" i="28" s="1"/>
  <c r="E256" i="28" a="1"/>
  <c r="E256" i="28" s="1"/>
  <c r="D256" i="28" a="1"/>
  <c r="D256" i="28" s="1"/>
  <c r="C256" i="28" a="1"/>
  <c r="C256" i="28" s="1"/>
  <c r="N221" i="28" a="1"/>
  <c r="N221" i="28" s="1"/>
  <c r="L221" i="28" a="1"/>
  <c r="L221" i="28" s="1"/>
  <c r="K221" i="28" a="1"/>
  <c r="K221" i="28" s="1"/>
  <c r="E221" i="28" a="1"/>
  <c r="E221" i="28" s="1"/>
  <c r="M186" i="28" a="1"/>
  <c r="M186" i="28" s="1"/>
  <c r="L186" i="28" a="1"/>
  <c r="L186" i="28" s="1"/>
  <c r="K186" i="28" a="1"/>
  <c r="K186" i="28" s="1"/>
  <c r="J186" i="28" a="1"/>
  <c r="J186" i="28" s="1"/>
  <c r="I186" i="28" a="1"/>
  <c r="I186" i="28" s="1"/>
  <c r="H186" i="28" a="1"/>
  <c r="H186" i="28" s="1"/>
  <c r="M151" i="28" a="1"/>
  <c r="M151" i="28" s="1"/>
  <c r="J151" i="28" a="1"/>
  <c r="J151" i="28" s="1"/>
  <c r="I151" i="28" a="1"/>
  <c r="I151" i="28" s="1"/>
  <c r="D151" i="28" a="1"/>
  <c r="D151" i="28" s="1"/>
  <c r="B151" i="28" a="1"/>
  <c r="B151" i="28" s="1"/>
  <c r="AC150" i="28" a="1"/>
  <c r="AC150" i="28" s="1"/>
  <c r="Z150" i="28" a="1"/>
  <c r="Z150" i="28" s="1"/>
  <c r="E53" i="28"/>
  <c r="I53" i="28"/>
  <c r="J53" i="28"/>
  <c r="K53" i="28"/>
  <c r="L53" i="28"/>
  <c r="M53" i="28"/>
  <c r="N53" i="28"/>
  <c r="H54" i="28"/>
  <c r="K54" i="28"/>
  <c r="P54" i="28"/>
  <c r="R54" i="28"/>
  <c r="B55" i="28"/>
  <c r="C55" i="28"/>
  <c r="D55" i="28"/>
  <c r="O55" i="28"/>
  <c r="R55" i="28"/>
  <c r="B56" i="28"/>
  <c r="C56" i="28"/>
  <c r="D56" i="28"/>
  <c r="E56" i="28"/>
  <c r="J56" i="28"/>
  <c r="Q56" i="28"/>
  <c r="B2" i="28"/>
  <c r="Q137" i="27"/>
  <c r="Q136" i="27"/>
  <c r="Q135" i="27"/>
  <c r="Q134" i="27"/>
  <c r="Q133" i="27"/>
  <c r="Q132" i="27"/>
  <c r="Q131" i="27"/>
  <c r="Q130" i="27"/>
  <c r="Q129" i="27"/>
  <c r="Q128" i="27"/>
  <c r="Q127" i="27"/>
  <c r="Q126" i="27"/>
  <c r="Q125" i="27"/>
  <c r="Q124" i="27"/>
  <c r="Q123" i="27"/>
  <c r="Q122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Q121" i="27"/>
  <c r="P121" i="27"/>
  <c r="O121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W117" i="27"/>
  <c r="W116" i="27"/>
  <c r="W115" i="27"/>
  <c r="W114" i="27"/>
  <c r="W113" i="27"/>
  <c r="W112" i="27"/>
  <c r="W111" i="27"/>
  <c r="W110" i="27"/>
  <c r="W109" i="27"/>
  <c r="W108" i="27"/>
  <c r="W107" i="27"/>
  <c r="W106" i="27"/>
  <c r="W105" i="27"/>
  <c r="W104" i="27"/>
  <c r="W103" i="27"/>
  <c r="W102" i="27"/>
  <c r="R117" i="27"/>
  <c r="R116" i="27"/>
  <c r="R115" i="27"/>
  <c r="R114" i="27"/>
  <c r="R113" i="27"/>
  <c r="R112" i="27"/>
  <c r="R111" i="27"/>
  <c r="R110" i="27"/>
  <c r="R109" i="27"/>
  <c r="R108" i="27"/>
  <c r="R107" i="27"/>
  <c r="R106" i="27"/>
  <c r="R105" i="27"/>
  <c r="R104" i="27"/>
  <c r="R103" i="27"/>
  <c r="R102" i="27"/>
  <c r="AB101" i="27"/>
  <c r="W101" i="27"/>
  <c r="R101" i="27"/>
  <c r="Y101" i="27"/>
  <c r="Z101" i="27"/>
  <c r="Y102" i="27"/>
  <c r="Z102" i="27"/>
  <c r="Y103" i="27"/>
  <c r="Z103" i="27"/>
  <c r="Y104" i="27"/>
  <c r="Z104" i="27"/>
  <c r="Y105" i="27"/>
  <c r="Z105" i="27"/>
  <c r="Y106" i="27"/>
  <c r="Z106" i="27"/>
  <c r="Y107" i="27"/>
  <c r="Z107" i="27"/>
  <c r="Y108" i="27"/>
  <c r="Z108" i="27"/>
  <c r="Y109" i="27"/>
  <c r="Z109" i="27"/>
  <c r="Y110" i="27"/>
  <c r="Z110" i="27"/>
  <c r="Y111" i="27"/>
  <c r="Z111" i="27"/>
  <c r="Y112" i="27"/>
  <c r="Z112" i="27"/>
  <c r="Y113" i="27"/>
  <c r="Z113" i="27"/>
  <c r="Y114" i="27"/>
  <c r="Z114" i="27"/>
  <c r="Y115" i="27"/>
  <c r="Z115" i="27"/>
  <c r="Y116" i="27"/>
  <c r="Z116" i="27"/>
  <c r="Y117" i="27"/>
  <c r="Z117" i="27"/>
  <c r="T101" i="27"/>
  <c r="U101" i="27"/>
  <c r="T102" i="27"/>
  <c r="U102" i="27"/>
  <c r="T103" i="27"/>
  <c r="U103" i="27"/>
  <c r="T104" i="27"/>
  <c r="U104" i="27"/>
  <c r="T105" i="27"/>
  <c r="U105" i="27"/>
  <c r="T106" i="27"/>
  <c r="U106" i="27"/>
  <c r="T107" i="27"/>
  <c r="U107" i="27"/>
  <c r="T108" i="27"/>
  <c r="U108" i="27"/>
  <c r="T109" i="27"/>
  <c r="U109" i="27"/>
  <c r="T110" i="27"/>
  <c r="U110" i="27"/>
  <c r="T111" i="27"/>
  <c r="U111" i="27"/>
  <c r="T112" i="27"/>
  <c r="U112" i="27"/>
  <c r="T113" i="27"/>
  <c r="U113" i="27"/>
  <c r="T114" i="27"/>
  <c r="U114" i="27"/>
  <c r="T115" i="27"/>
  <c r="U115" i="27"/>
  <c r="T116" i="27"/>
  <c r="U116" i="27"/>
  <c r="T117" i="27"/>
  <c r="U117" i="27"/>
  <c r="O101" i="27"/>
  <c r="P101" i="27"/>
  <c r="O102" i="27"/>
  <c r="P102" i="27"/>
  <c r="O103" i="27"/>
  <c r="P103" i="27"/>
  <c r="O104" i="27"/>
  <c r="P104" i="27"/>
  <c r="O105" i="27"/>
  <c r="P105" i="27"/>
  <c r="O106" i="27"/>
  <c r="P106" i="27"/>
  <c r="O107" i="27"/>
  <c r="P107" i="27"/>
  <c r="O108" i="27"/>
  <c r="P108" i="27"/>
  <c r="O109" i="27"/>
  <c r="P109" i="27"/>
  <c r="O110" i="27"/>
  <c r="P110" i="27"/>
  <c r="O111" i="27"/>
  <c r="P111" i="27"/>
  <c r="O112" i="27"/>
  <c r="P112" i="27"/>
  <c r="O113" i="27"/>
  <c r="P113" i="27"/>
  <c r="O114" i="27"/>
  <c r="P114" i="27"/>
  <c r="O115" i="27"/>
  <c r="P115" i="27"/>
  <c r="O116" i="27"/>
  <c r="P116" i="27"/>
  <c r="O117" i="27"/>
  <c r="P117" i="27"/>
  <c r="AA117" i="27"/>
  <c r="AA116" i="27"/>
  <c r="AA115" i="27"/>
  <c r="AA114" i="27"/>
  <c r="AA113" i="27"/>
  <c r="AA112" i="27"/>
  <c r="AA111" i="27"/>
  <c r="AA110" i="27"/>
  <c r="AA109" i="27"/>
  <c r="AA108" i="27"/>
  <c r="AA107" i="27"/>
  <c r="AA106" i="27"/>
  <c r="AA105" i="27"/>
  <c r="AA104" i="27"/>
  <c r="AA103" i="27"/>
  <c r="AA102" i="27"/>
  <c r="V117" i="27"/>
  <c r="V116" i="27"/>
  <c r="V115" i="27"/>
  <c r="V114" i="27"/>
  <c r="V113" i="27"/>
  <c r="V112" i="27"/>
  <c r="V111" i="27"/>
  <c r="V110" i="27"/>
  <c r="V109" i="27"/>
  <c r="V108" i="27"/>
  <c r="V107" i="27"/>
  <c r="V106" i="27"/>
  <c r="V105" i="27"/>
  <c r="V104" i="27"/>
  <c r="V103" i="27"/>
  <c r="V102" i="27"/>
  <c r="Q117" i="27"/>
  <c r="Q116" i="27"/>
  <c r="Q115" i="27"/>
  <c r="Q114" i="27"/>
  <c r="Q113" i="27"/>
  <c r="Q112" i="27"/>
  <c r="Q111" i="27"/>
  <c r="Q110" i="27"/>
  <c r="Q109" i="27"/>
  <c r="Q108" i="27"/>
  <c r="Q107" i="27"/>
  <c r="Q106" i="27"/>
  <c r="Q105" i="27"/>
  <c r="Q104" i="27"/>
  <c r="Q103" i="27"/>
  <c r="Q102" i="27"/>
  <c r="AA101" i="27"/>
  <c r="V101" i="27"/>
  <c r="Q101" i="27"/>
  <c r="S69" i="27"/>
  <c r="S68" i="27"/>
  <c r="S67" i="27"/>
  <c r="S66" i="27"/>
  <c r="S65" i="27"/>
  <c r="S64" i="27"/>
  <c r="S63" i="27"/>
  <c r="S62" i="27"/>
  <c r="S61" i="27"/>
  <c r="S60" i="27"/>
  <c r="S59" i="27"/>
  <c r="S58" i="27"/>
  <c r="S57" i="27"/>
  <c r="S56" i="27"/>
  <c r="S55" i="27"/>
  <c r="S54" i="27"/>
  <c r="S53" i="27"/>
  <c r="R29" i="27"/>
  <c r="R28" i="27"/>
  <c r="R27" i="27"/>
  <c r="R26" i="27"/>
  <c r="R25" i="27"/>
  <c r="R24" i="27"/>
  <c r="R23" i="27"/>
  <c r="R22" i="27"/>
  <c r="R21" i="27"/>
  <c r="R20" i="27"/>
  <c r="R19" i="27"/>
  <c r="R18" i="27"/>
  <c r="R17" i="27"/>
  <c r="R16" i="27"/>
  <c r="R15" i="27"/>
  <c r="R14" i="27"/>
  <c r="R13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69" i="27"/>
  <c r="O69" i="27"/>
  <c r="P68" i="27"/>
  <c r="O68" i="27"/>
  <c r="P67" i="27"/>
  <c r="O67" i="27"/>
  <c r="P66" i="27"/>
  <c r="O66" i="27"/>
  <c r="P65" i="27"/>
  <c r="O65" i="27"/>
  <c r="P64" i="27"/>
  <c r="O64" i="27"/>
  <c r="P63" i="27"/>
  <c r="O63" i="27"/>
  <c r="P62" i="27"/>
  <c r="O62" i="27"/>
  <c r="P61" i="27"/>
  <c r="O61" i="27"/>
  <c r="P60" i="27"/>
  <c r="O60" i="27"/>
  <c r="P59" i="27"/>
  <c r="O59" i="27"/>
  <c r="P58" i="27"/>
  <c r="O58" i="27"/>
  <c r="P57" i="27"/>
  <c r="O57" i="27"/>
  <c r="P56" i="27"/>
  <c r="O56" i="27"/>
  <c r="P55" i="27"/>
  <c r="O55" i="27"/>
  <c r="P54" i="27"/>
  <c r="O54" i="27"/>
  <c r="J29" i="27"/>
  <c r="I29" i="27"/>
  <c r="J28" i="27"/>
  <c r="I28" i="27"/>
  <c r="J27" i="27"/>
  <c r="I27" i="27"/>
  <c r="J26" i="27"/>
  <c r="I26" i="27"/>
  <c r="J25" i="27"/>
  <c r="I25" i="27"/>
  <c r="J24" i="27"/>
  <c r="I24" i="27"/>
  <c r="J23" i="27"/>
  <c r="I23" i="27"/>
  <c r="J22" i="27"/>
  <c r="I22" i="27"/>
  <c r="J21" i="27"/>
  <c r="I21" i="27"/>
  <c r="J20" i="27"/>
  <c r="I20" i="27"/>
  <c r="J19" i="27"/>
  <c r="I19" i="27"/>
  <c r="J18" i="27"/>
  <c r="I18" i="27"/>
  <c r="J17" i="27"/>
  <c r="I17" i="27"/>
  <c r="J16" i="27"/>
  <c r="I16" i="27"/>
  <c r="J15" i="27"/>
  <c r="I15" i="27"/>
  <c r="J14" i="27"/>
  <c r="I14" i="27"/>
  <c r="P53" i="27"/>
  <c r="O53" i="27"/>
  <c r="J13" i="27"/>
  <c r="I13" i="27"/>
  <c r="R49" i="27"/>
  <c r="R48" i="27"/>
  <c r="R47" i="27"/>
  <c r="R46" i="27"/>
  <c r="R45" i="27"/>
  <c r="R44" i="27"/>
  <c r="R43" i="27"/>
  <c r="R42" i="27"/>
  <c r="R41" i="27"/>
  <c r="R40" i="27"/>
  <c r="R39" i="27"/>
  <c r="R38" i="27"/>
  <c r="R37" i="27"/>
  <c r="R36" i="27"/>
  <c r="R35" i="27"/>
  <c r="R34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R33" i="27"/>
  <c r="O33" i="27"/>
  <c r="V76" i="27"/>
  <c r="U76" i="27"/>
  <c r="T76" i="27"/>
  <c r="S76" i="27"/>
  <c r="R76" i="27"/>
  <c r="Q76" i="27"/>
  <c r="P76" i="27"/>
  <c r="O76" i="27"/>
  <c r="V75" i="27"/>
  <c r="U75" i="27"/>
  <c r="T75" i="27"/>
  <c r="S75" i="27"/>
  <c r="R75" i="27"/>
  <c r="Q75" i="27"/>
  <c r="P75" i="27"/>
  <c r="O75" i="27"/>
  <c r="V74" i="27"/>
  <c r="U74" i="27"/>
  <c r="T74" i="27"/>
  <c r="S74" i="27"/>
  <c r="R74" i="27"/>
  <c r="Q74" i="27"/>
  <c r="P74" i="27"/>
  <c r="O74" i="27"/>
  <c r="V73" i="27"/>
  <c r="U73" i="27"/>
  <c r="T73" i="27"/>
  <c r="S73" i="27"/>
  <c r="R73" i="27"/>
  <c r="Q73" i="27"/>
  <c r="P73" i="27"/>
  <c r="O73" i="27"/>
  <c r="R69" i="27"/>
  <c r="R68" i="27"/>
  <c r="R67" i="27"/>
  <c r="R66" i="27"/>
  <c r="R65" i="27"/>
  <c r="R64" i="27"/>
  <c r="R63" i="27"/>
  <c r="R62" i="27"/>
  <c r="R61" i="27"/>
  <c r="R60" i="27"/>
  <c r="R59" i="27"/>
  <c r="R58" i="27"/>
  <c r="R57" i="27"/>
  <c r="R56" i="27"/>
  <c r="R55" i="27"/>
  <c r="R54" i="27"/>
  <c r="R53" i="27"/>
  <c r="Q29" i="27"/>
  <c r="O29" i="27"/>
  <c r="Q28" i="27"/>
  <c r="O28" i="27"/>
  <c r="Q27" i="27"/>
  <c r="O27" i="27"/>
  <c r="Q26" i="27"/>
  <c r="O26" i="27"/>
  <c r="Q25" i="27"/>
  <c r="O25" i="27"/>
  <c r="Q24" i="27"/>
  <c r="O24" i="27"/>
  <c r="Q23" i="27"/>
  <c r="O23" i="27"/>
  <c r="Q22" i="27"/>
  <c r="O22" i="27"/>
  <c r="Q21" i="27"/>
  <c r="O21" i="27"/>
  <c r="Q20" i="27"/>
  <c r="O20" i="27"/>
  <c r="Q19" i="27"/>
  <c r="O19" i="27"/>
  <c r="Q18" i="27"/>
  <c r="O18" i="27"/>
  <c r="Q17" i="27"/>
  <c r="O17" i="27"/>
  <c r="Q16" i="27"/>
  <c r="O16" i="27"/>
  <c r="Q15" i="27"/>
  <c r="O15" i="27"/>
  <c r="Q14" i="27"/>
  <c r="O14" i="27"/>
  <c r="Q13" i="27"/>
  <c r="O13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G29" i="27"/>
  <c r="F29" i="27"/>
  <c r="E29" i="27"/>
  <c r="D29" i="27"/>
  <c r="C29" i="27"/>
  <c r="G28" i="27"/>
  <c r="F28" i="27"/>
  <c r="E28" i="27"/>
  <c r="D28" i="27"/>
  <c r="C28" i="27"/>
  <c r="G27" i="27"/>
  <c r="F27" i="27"/>
  <c r="E27" i="27"/>
  <c r="D27" i="27"/>
  <c r="C27" i="27"/>
  <c r="G26" i="27"/>
  <c r="F26" i="27"/>
  <c r="E26" i="27"/>
  <c r="D26" i="27"/>
  <c r="C26" i="27"/>
  <c r="G25" i="27"/>
  <c r="F25" i="27"/>
  <c r="E25" i="27"/>
  <c r="D25" i="27"/>
  <c r="C25" i="27"/>
  <c r="G24" i="27"/>
  <c r="F24" i="27"/>
  <c r="E24" i="27"/>
  <c r="D24" i="27"/>
  <c r="C24" i="27"/>
  <c r="G23" i="27"/>
  <c r="F23" i="27"/>
  <c r="E23" i="27"/>
  <c r="D23" i="27"/>
  <c r="C23" i="27"/>
  <c r="G22" i="27"/>
  <c r="F22" i="27"/>
  <c r="E22" i="27"/>
  <c r="D22" i="27"/>
  <c r="C22" i="27"/>
  <c r="G21" i="27"/>
  <c r="F21" i="27"/>
  <c r="E21" i="27"/>
  <c r="D21" i="27"/>
  <c r="C21" i="27"/>
  <c r="G20" i="27"/>
  <c r="F20" i="27"/>
  <c r="E20" i="27"/>
  <c r="D20" i="27"/>
  <c r="C20" i="27"/>
  <c r="G19" i="27"/>
  <c r="F19" i="27"/>
  <c r="E19" i="27"/>
  <c r="D19" i="27"/>
  <c r="C19" i="27"/>
  <c r="G18" i="27"/>
  <c r="F18" i="27"/>
  <c r="E18" i="27"/>
  <c r="D18" i="27"/>
  <c r="C18" i="27"/>
  <c r="G17" i="27"/>
  <c r="F17" i="27"/>
  <c r="E17" i="27"/>
  <c r="D17" i="27"/>
  <c r="C17" i="27"/>
  <c r="G16" i="27"/>
  <c r="F16" i="27"/>
  <c r="E16" i="27"/>
  <c r="D16" i="27"/>
  <c r="C16" i="27"/>
  <c r="G15" i="27"/>
  <c r="F15" i="27"/>
  <c r="E15" i="27"/>
  <c r="D15" i="27"/>
  <c r="C15" i="27"/>
  <c r="G14" i="27"/>
  <c r="F14" i="27"/>
  <c r="E14" i="27"/>
  <c r="D14" i="27"/>
  <c r="C14" i="27"/>
  <c r="G13" i="27"/>
  <c r="F13" i="27"/>
  <c r="E13" i="27"/>
  <c r="D13" i="27"/>
  <c r="C13" i="27"/>
  <c r="G8" i="27"/>
  <c r="C8" i="27"/>
  <c r="A8" i="27"/>
  <c r="I5" i="27"/>
  <c r="G5" i="27"/>
  <c r="E5" i="27"/>
  <c r="C5" i="27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V2" i="18"/>
  <c r="B15" i="18"/>
  <c r="C15" i="18"/>
  <c r="D15" i="18"/>
  <c r="E15" i="18"/>
  <c r="F15" i="18"/>
  <c r="G15" i="18"/>
  <c r="B2" i="16"/>
  <c r="H53" i="28" l="1"/>
  <c r="I152" i="28" a="1"/>
  <c r="I152" i="28" s="1"/>
  <c r="I157" i="28" a="1"/>
  <c r="I157" i="28" s="1"/>
  <c r="D162" i="28" a="1"/>
  <c r="D162" i="28" s="1"/>
  <c r="E163" i="28" a="1"/>
  <c r="E163" i="28" s="1"/>
  <c r="J164" i="28" a="1"/>
  <c r="J164" i="28" s="1"/>
  <c r="Q165" i="28" a="1"/>
  <c r="Q165" i="28" s="1"/>
  <c r="I167" i="28" a="1"/>
  <c r="I167" i="28" s="1"/>
  <c r="L168" i="28" a="1"/>
  <c r="L168" i="28" s="1"/>
  <c r="D170" i="28" a="1"/>
  <c r="D170" i="28" s="1"/>
  <c r="L171" i="28" a="1"/>
  <c r="L171" i="28" s="1"/>
  <c r="Q172" i="28" a="1"/>
  <c r="Q172" i="28" s="1"/>
  <c r="A174" i="28" a="1"/>
  <c r="A174" i="28" s="1"/>
  <c r="G175" i="28" a="1"/>
  <c r="G175" i="28" s="1"/>
  <c r="L176" i="28" a="1"/>
  <c r="L176" i="28" s="1"/>
  <c r="A178" i="28" a="1"/>
  <c r="A178" i="28" s="1"/>
  <c r="B179" i="28" a="1"/>
  <c r="B179" i="28" s="1"/>
  <c r="G180" i="28" a="1"/>
  <c r="G180" i="28" s="1"/>
  <c r="M187" i="28" a="1"/>
  <c r="M187" i="28" s="1"/>
  <c r="E189" i="28" a="1"/>
  <c r="E189" i="28" s="1"/>
  <c r="G190" i="28" a="1"/>
  <c r="G190" i="28" s="1"/>
  <c r="O191" i="28" a="1"/>
  <c r="O191" i="28" s="1"/>
  <c r="F193" i="28" a="1"/>
  <c r="F193" i="28" s="1"/>
  <c r="N194" i="28" a="1"/>
  <c r="N194" i="28" s="1"/>
  <c r="P195" i="28" a="1"/>
  <c r="P195" i="28" s="1"/>
  <c r="G197" i="28" a="1"/>
  <c r="G197" i="28" s="1"/>
  <c r="N198" i="28" a="1"/>
  <c r="N198" i="28" s="1"/>
  <c r="Q199" i="28" a="1"/>
  <c r="Q199" i="28" s="1"/>
  <c r="H201" i="28" a="1"/>
  <c r="H201" i="28" s="1"/>
  <c r="P202" i="28" a="1"/>
  <c r="P202" i="28" s="1"/>
  <c r="G204" i="28" a="1"/>
  <c r="G204" i="28" s="1"/>
  <c r="A206" i="28" a="1"/>
  <c r="A206" i="28" s="1"/>
  <c r="G208" i="28" a="1"/>
  <c r="G208" i="28" s="1"/>
  <c r="O210" i="28" a="1"/>
  <c r="O210" i="28" s="1"/>
  <c r="G213" i="28" a="1"/>
  <c r="G213" i="28" s="1"/>
  <c r="P215" i="28" a="1"/>
  <c r="P215" i="28" s="1"/>
  <c r="H224" i="28" a="1"/>
  <c r="H224" i="28" s="1"/>
  <c r="Q226" i="28" a="1"/>
  <c r="Q226" i="28" s="1"/>
  <c r="L229" i="28" a="1"/>
  <c r="L229" i="28" s="1"/>
  <c r="G232" i="28" a="1"/>
  <c r="G232" i="28" s="1"/>
  <c r="C235" i="28" a="1"/>
  <c r="C235" i="28" s="1"/>
  <c r="C238" i="28" a="1"/>
  <c r="C238" i="28" s="1"/>
  <c r="P240" i="28" a="1"/>
  <c r="P240" i="28" s="1"/>
  <c r="P243" i="28" a="1"/>
  <c r="P243" i="28" s="1"/>
  <c r="M247" i="28" a="1"/>
  <c r="M247" i="28" s="1"/>
  <c r="O258" i="28" a="1"/>
  <c r="O258" i="28" s="1"/>
  <c r="H264" i="28" a="1"/>
  <c r="H264" i="28" s="1"/>
  <c r="F270" i="28" a="1"/>
  <c r="F270" i="28" s="1"/>
  <c r="Q275" i="28" a="1"/>
  <c r="Q275" i="28" s="1"/>
  <c r="F282" i="28" a="1"/>
  <c r="F282" i="28" s="1"/>
  <c r="AU255" i="28" a="1"/>
  <c r="AU255" i="28" s="1"/>
  <c r="BD162" i="28" a="1"/>
  <c r="BD162" i="28" s="1"/>
  <c r="BC189" i="28" a="1"/>
  <c r="BC189" i="28" s="1"/>
  <c r="BG198" i="28" a="1"/>
  <c r="BG198" i="28" s="1"/>
  <c r="BN271" i="28" a="1"/>
  <c r="BN271" i="28" s="1"/>
  <c r="BA271" i="28" a="1"/>
  <c r="BA271" i="28" s="1"/>
  <c r="BC270" i="28" a="1"/>
  <c r="BC270" i="28" s="1"/>
  <c r="BE269" i="28" a="1"/>
  <c r="BE269" i="28" s="1"/>
  <c r="BG268" i="28" a="1"/>
  <c r="BG268" i="28" s="1"/>
  <c r="BI267" i="28" a="1"/>
  <c r="BI267" i="28" s="1"/>
  <c r="AV267" i="28" a="1"/>
  <c r="AV267" i="28" s="1"/>
  <c r="BL266" i="28" a="1"/>
  <c r="BL266" i="28" s="1"/>
  <c r="AX266" i="28" a="1"/>
  <c r="AX266" i="28" s="1"/>
  <c r="BN265" i="28" a="1"/>
  <c r="BN265" i="28" s="1"/>
  <c r="BA265" i="28" a="1"/>
  <c r="BA265" i="28" s="1"/>
  <c r="BC264" i="28" a="1"/>
  <c r="BC264" i="28" s="1"/>
  <c r="BE263" i="28" a="1"/>
  <c r="BE263" i="28" s="1"/>
  <c r="BG262" i="28" a="1"/>
  <c r="BG262" i="28" s="1"/>
  <c r="BI261" i="28" a="1"/>
  <c r="BI261" i="28" s="1"/>
  <c r="AU261" i="28" a="1"/>
  <c r="AU261" i="28" s="1"/>
  <c r="BK260" i="28" a="1"/>
  <c r="BK260" i="28" s="1"/>
  <c r="AW260" i="28" a="1"/>
  <c r="AW260" i="28" s="1"/>
  <c r="BM259" i="28" a="1"/>
  <c r="BM259" i="28" s="1"/>
  <c r="AY259" i="28" a="1"/>
  <c r="AY259" i="28" s="1"/>
  <c r="BA258" i="28" a="1"/>
  <c r="BA258" i="28" s="1"/>
  <c r="BC257" i="28" a="1"/>
  <c r="BC257" i="28" s="1"/>
  <c r="BE256" i="28" a="1"/>
  <c r="BE256" i="28" s="1"/>
  <c r="BH236" i="28" a="1"/>
  <c r="BH236" i="28" s="1"/>
  <c r="AV236" i="28" a="1"/>
  <c r="AV236" i="28" s="1"/>
  <c r="BA235" i="28" a="1"/>
  <c r="BA235" i="28" s="1"/>
  <c r="BG234" i="28" a="1"/>
  <c r="BG234" i="28" s="1"/>
  <c r="BL233" i="28" a="1"/>
  <c r="BL233" i="28" s="1"/>
  <c r="AZ233" i="28" a="1"/>
  <c r="AZ233" i="28" s="1"/>
  <c r="BH231" i="28" a="1"/>
  <c r="BH231" i="28" s="1"/>
  <c r="BJ230" i="28" a="1"/>
  <c r="BJ230" i="28" s="1"/>
  <c r="AV230" i="28" a="1"/>
  <c r="AV230" i="28" s="1"/>
  <c r="BL229" i="28" a="1"/>
  <c r="BL229" i="28" s="1"/>
  <c r="AX229" i="28" a="1"/>
  <c r="AX229" i="28" s="1"/>
  <c r="BN228" i="28" a="1"/>
  <c r="BN228" i="28" s="1"/>
  <c r="AZ228" i="28" a="1"/>
  <c r="AZ228" i="28" s="1"/>
  <c r="BB227" i="28" a="1"/>
  <c r="BB227" i="28" s="1"/>
  <c r="BD226" i="28" a="1"/>
  <c r="BD226" i="28" s="1"/>
  <c r="BF225" i="28" a="1"/>
  <c r="BF225" i="28" s="1"/>
  <c r="BH224" i="28" a="1"/>
  <c r="BH224" i="28" s="1"/>
  <c r="BM271" i="28" a="1"/>
  <c r="BM271" i="28" s="1"/>
  <c r="AZ271" i="28" a="1"/>
  <c r="AZ271" i="28" s="1"/>
  <c r="BB270" i="28" a="1"/>
  <c r="BB270" i="28" s="1"/>
  <c r="BD269" i="28" a="1"/>
  <c r="BD269" i="28" s="1"/>
  <c r="BF268" i="28" a="1"/>
  <c r="BF268" i="28" s="1"/>
  <c r="BH267" i="28" a="1"/>
  <c r="BH267" i="28" s="1"/>
  <c r="AU267" i="28" a="1"/>
  <c r="AU267" i="28" s="1"/>
  <c r="BK266" i="28" a="1"/>
  <c r="BK266" i="28" s="1"/>
  <c r="AW266" i="28" a="1"/>
  <c r="AW266" i="28" s="1"/>
  <c r="AZ265" i="28" a="1"/>
  <c r="AZ265" i="28" s="1"/>
  <c r="BB264" i="28" a="1"/>
  <c r="BB264" i="28" s="1"/>
  <c r="BD263" i="28" a="1"/>
  <c r="BD263" i="28" s="1"/>
  <c r="BF262" i="28" a="1"/>
  <c r="BF262" i="28" s="1"/>
  <c r="BH261" i="28" a="1"/>
  <c r="BH261" i="28" s="1"/>
  <c r="BJ260" i="28" a="1"/>
  <c r="BJ260" i="28" s="1"/>
  <c r="AV260" i="28" a="1"/>
  <c r="AV260" i="28" s="1"/>
  <c r="BL259" i="28" a="1"/>
  <c r="BL259" i="28" s="1"/>
  <c r="AX259" i="28" a="1"/>
  <c r="AX259" i="28" s="1"/>
  <c r="BN258" i="28" a="1"/>
  <c r="BN258" i="28" s="1"/>
  <c r="AZ258" i="28" a="1"/>
  <c r="AZ258" i="28" s="1"/>
  <c r="BB257" i="28" a="1"/>
  <c r="BB257" i="28" s="1"/>
  <c r="BD256" i="28" a="1"/>
  <c r="BD256" i="28" s="1"/>
  <c r="BG236" i="28" a="1"/>
  <c r="BG236" i="28" s="1"/>
  <c r="AU236" i="28" a="1"/>
  <c r="AU236" i="28" s="1"/>
  <c r="BM235" i="28" a="1"/>
  <c r="BM235" i="28" s="1"/>
  <c r="AZ235" i="28" a="1"/>
  <c r="AZ235" i="28" s="1"/>
  <c r="BF234" i="28" a="1"/>
  <c r="BF234" i="28" s="1"/>
  <c r="BK233" i="28" a="1"/>
  <c r="BK233" i="28" s="1"/>
  <c r="AY233" i="28" a="1"/>
  <c r="AY233" i="28" s="1"/>
  <c r="BE232" i="28" a="1"/>
  <c r="BE232" i="28" s="1"/>
  <c r="BG231" i="28" a="1"/>
  <c r="BG231" i="28" s="1"/>
  <c r="BI230" i="28" a="1"/>
  <c r="BI230" i="28" s="1"/>
  <c r="AU230" i="28" a="1"/>
  <c r="AU230" i="28" s="1"/>
  <c r="BK229" i="28" a="1"/>
  <c r="BK229" i="28" s="1"/>
  <c r="AW229" i="28" a="1"/>
  <c r="AW229" i="28" s="1"/>
  <c r="BM228" i="28" a="1"/>
  <c r="BM228" i="28" s="1"/>
  <c r="AY228" i="28" a="1"/>
  <c r="AY228" i="28" s="1"/>
  <c r="BA227" i="28" a="1"/>
  <c r="BA227" i="28" s="1"/>
  <c r="BC226" i="28" a="1"/>
  <c r="BC226" i="28" s="1"/>
  <c r="BE225" i="28" a="1"/>
  <c r="BE225" i="28" s="1"/>
  <c r="BG224" i="28" a="1"/>
  <c r="BG224" i="28" s="1"/>
  <c r="BI223" i="28" a="1"/>
  <c r="BI223" i="28" s="1"/>
  <c r="AU223" i="28" a="1"/>
  <c r="AU223" i="28" s="1"/>
  <c r="BK222" i="28" a="1"/>
  <c r="BK222" i="28" s="1"/>
  <c r="AW222" i="28" a="1"/>
  <c r="AW222" i="28" s="1"/>
  <c r="BM221" i="28" a="1"/>
  <c r="BM221" i="28" s="1"/>
  <c r="AY221" i="28" a="1"/>
  <c r="AY221" i="28" s="1"/>
  <c r="BA201" i="28" a="1"/>
  <c r="BA201" i="28" s="1"/>
  <c r="BD200" i="28" a="1"/>
  <c r="BD200" i="28" s="1"/>
  <c r="BG199" i="28" a="1"/>
  <c r="BG199" i="28" s="1"/>
  <c r="BJ198" i="28" a="1"/>
  <c r="BJ198" i="28" s="1"/>
  <c r="AV198" i="28" a="1"/>
  <c r="AV198" i="28" s="1"/>
  <c r="BL197" i="28" a="1"/>
  <c r="BL197" i="28" s="1"/>
  <c r="AX197" i="28" a="1"/>
  <c r="AX197" i="28" s="1"/>
  <c r="BN196" i="28" a="1"/>
  <c r="BN196" i="28" s="1"/>
  <c r="AZ196" i="28" a="1"/>
  <c r="AZ196" i="28" s="1"/>
  <c r="BB195" i="28" a="1"/>
  <c r="BB195" i="28" s="1"/>
  <c r="BK271" i="28" a="1"/>
  <c r="BK271" i="28" s="1"/>
  <c r="BG271" i="28" a="1"/>
  <c r="BG271" i="28" s="1"/>
  <c r="BJ270" i="28" a="1"/>
  <c r="BJ270" i="28" s="1"/>
  <c r="AV270" i="28" a="1"/>
  <c r="AV270" i="28" s="1"/>
  <c r="BL269" i="28" a="1"/>
  <c r="BL269" i="28" s="1"/>
  <c r="AX269" i="28" a="1"/>
  <c r="AX269" i="28" s="1"/>
  <c r="BN268" i="28" a="1"/>
  <c r="BN268" i="28" s="1"/>
  <c r="AZ268" i="28" a="1"/>
  <c r="AZ268" i="28" s="1"/>
  <c r="BE266" i="28" a="1"/>
  <c r="BE266" i="28" s="1"/>
  <c r="BH265" i="28" a="1"/>
  <c r="BH265" i="28" s="1"/>
  <c r="BJ264" i="28" a="1"/>
  <c r="BJ264" i="28" s="1"/>
  <c r="AV264" i="28" a="1"/>
  <c r="AV264" i="28" s="1"/>
  <c r="BL263" i="28" a="1"/>
  <c r="BL263" i="28" s="1"/>
  <c r="AX263" i="28" a="1"/>
  <c r="AX263" i="28" s="1"/>
  <c r="BN262" i="28" a="1"/>
  <c r="BN262" i="28" s="1"/>
  <c r="AZ262" i="28" a="1"/>
  <c r="AZ262" i="28" s="1"/>
  <c r="BB261" i="28" a="1"/>
  <c r="BB261" i="28" s="1"/>
  <c r="BD260" i="28" a="1"/>
  <c r="BD260" i="28" s="1"/>
  <c r="BF259" i="28" a="1"/>
  <c r="BF259" i="28" s="1"/>
  <c r="BH258" i="28" a="1"/>
  <c r="BH258" i="28" s="1"/>
  <c r="BJ257" i="28" a="1"/>
  <c r="BJ257" i="28" s="1"/>
  <c r="AV257" i="28" a="1"/>
  <c r="AV257" i="28" s="1"/>
  <c r="BL256" i="28" a="1"/>
  <c r="BL256" i="28" s="1"/>
  <c r="AX256" i="28" a="1"/>
  <c r="AX256" i="28" s="1"/>
  <c r="BN236" i="28" a="1"/>
  <c r="BN236" i="28" s="1"/>
  <c r="BB236" i="28" a="1"/>
  <c r="BB236" i="28" s="1"/>
  <c r="BL271" i="28" a="1"/>
  <c r="BL271" i="28" s="1"/>
  <c r="AU271" i="28" a="1"/>
  <c r="AU271" i="28" s="1"/>
  <c r="BG270" i="28" a="1"/>
  <c r="BG270" i="28" s="1"/>
  <c r="BA269" i="28" a="1"/>
  <c r="BA269" i="28" s="1"/>
  <c r="BM268" i="28" a="1"/>
  <c r="BM268" i="28" s="1"/>
  <c r="AV268" i="28" a="1"/>
  <c r="AV268" i="28" s="1"/>
  <c r="BG267" i="28" a="1"/>
  <c r="BG267" i="28" s="1"/>
  <c r="BC266" i="28" a="1"/>
  <c r="BC266" i="28" s="1"/>
  <c r="AX265" i="28" a="1"/>
  <c r="AX265" i="28" s="1"/>
  <c r="BK264" i="28" a="1"/>
  <c r="BK264" i="28" s="1"/>
  <c r="BF263" i="28" a="1"/>
  <c r="BF263" i="28" s="1"/>
  <c r="AY262" i="28" a="1"/>
  <c r="AY262" i="28" s="1"/>
  <c r="BL261" i="28" a="1"/>
  <c r="BL261" i="28" s="1"/>
  <c r="BF260" i="28" a="1"/>
  <c r="BF260" i="28" s="1"/>
  <c r="BA259" i="28" a="1"/>
  <c r="BA259" i="28" s="1"/>
  <c r="BL258" i="28" a="1"/>
  <c r="BL258" i="28" s="1"/>
  <c r="AU258" i="28" a="1"/>
  <c r="AU258" i="28" s="1"/>
  <c r="BG257" i="28" a="1"/>
  <c r="BG257" i="28" s="1"/>
  <c r="BA256" i="28" a="1"/>
  <c r="BA256" i="28" s="1"/>
  <c r="BM236" i="28" a="1"/>
  <c r="BM236" i="28" s="1"/>
  <c r="AX236" i="28" a="1"/>
  <c r="AX236" i="28" s="1"/>
  <c r="BL235" i="28" a="1"/>
  <c r="BL235" i="28" s="1"/>
  <c r="AX235" i="28" a="1"/>
  <c r="AX235" i="28" s="1"/>
  <c r="BN234" i="28" a="1"/>
  <c r="BN234" i="28" s="1"/>
  <c r="AZ234" i="28" a="1"/>
  <c r="AZ234" i="28" s="1"/>
  <c r="BB233" i="28" a="1"/>
  <c r="BB233" i="28" s="1"/>
  <c r="BB232" i="28" a="1"/>
  <c r="BB232" i="28" s="1"/>
  <c r="AZ231" i="28" a="1"/>
  <c r="AZ231" i="28" s="1"/>
  <c r="BN230" i="28" a="1"/>
  <c r="BN230" i="28" s="1"/>
  <c r="AX230" i="28" a="1"/>
  <c r="AX230" i="28" s="1"/>
  <c r="BJ229" i="28" a="1"/>
  <c r="BJ229" i="28" s="1"/>
  <c r="BH228" i="28" a="1"/>
  <c r="BH228" i="28" s="1"/>
  <c r="BF227" i="28" a="1"/>
  <c r="BF227" i="28" s="1"/>
  <c r="BB226" i="28" a="1"/>
  <c r="BB226" i="28" s="1"/>
  <c r="AZ225" i="28" a="1"/>
  <c r="AZ225" i="28" s="1"/>
  <c r="BN224" i="28" a="1"/>
  <c r="BN224" i="28" s="1"/>
  <c r="AX224" i="28" a="1"/>
  <c r="AX224" i="28" s="1"/>
  <c r="BL223" i="28" a="1"/>
  <c r="BL223" i="28" s="1"/>
  <c r="AW223" i="28" a="1"/>
  <c r="AW223" i="28" s="1"/>
  <c r="BL222" i="28" a="1"/>
  <c r="BL222" i="28" s="1"/>
  <c r="AV222" i="28" a="1"/>
  <c r="AV222" i="28" s="1"/>
  <c r="BK221" i="28" a="1"/>
  <c r="BK221" i="28" s="1"/>
  <c r="AV221" i="28" a="1"/>
  <c r="AV221" i="28" s="1"/>
  <c r="BK201" i="28" a="1"/>
  <c r="BK201" i="28" s="1"/>
  <c r="AV201" i="28" a="1"/>
  <c r="AV201" i="28" s="1"/>
  <c r="BL200" i="28" a="1"/>
  <c r="BL200" i="28" s="1"/>
  <c r="AW200" i="28" a="1"/>
  <c r="AW200" i="28" s="1"/>
  <c r="BN198" i="28" a="1"/>
  <c r="BN198" i="28" s="1"/>
  <c r="AY198" i="28" a="1"/>
  <c r="AY198" i="28" s="1"/>
  <c r="BN197" i="28" a="1"/>
  <c r="BN197" i="28" s="1"/>
  <c r="AY197" i="28" a="1"/>
  <c r="AY197" i="28" s="1"/>
  <c r="BM196" i="28" a="1"/>
  <c r="BM196" i="28" s="1"/>
  <c r="AX196" i="28" a="1"/>
  <c r="AX196" i="28" s="1"/>
  <c r="BM195" i="28" a="1"/>
  <c r="BM195" i="28" s="1"/>
  <c r="AX195" i="28" a="1"/>
  <c r="AX195" i="28" s="1"/>
  <c r="BN194" i="28" a="1"/>
  <c r="BN194" i="28" s="1"/>
  <c r="AZ194" i="28" a="1"/>
  <c r="AZ194" i="28" s="1"/>
  <c r="BB193" i="28" a="1"/>
  <c r="BB193" i="28" s="1"/>
  <c r="BD192" i="28" a="1"/>
  <c r="BD192" i="28" s="1"/>
  <c r="BG191" i="28" a="1"/>
  <c r="BG191" i="28" s="1"/>
  <c r="BJ190" i="28" a="1"/>
  <c r="BJ190" i="28" s="1"/>
  <c r="AW190" i="28" a="1"/>
  <c r="AW190" i="28" s="1"/>
  <c r="BN189" i="28" a="1"/>
  <c r="BN189" i="28" s="1"/>
  <c r="BA189" i="28" a="1"/>
  <c r="BA189" i="28" s="1"/>
  <c r="BJ271" i="28" a="1"/>
  <c r="BJ271" i="28" s="1"/>
  <c r="BF270" i="28" a="1"/>
  <c r="BF270" i="28" s="1"/>
  <c r="AZ269" i="28" a="1"/>
  <c r="AZ269" i="28" s="1"/>
  <c r="BL268" i="28" a="1"/>
  <c r="BL268" i="28" s="1"/>
  <c r="AU268" i="28" a="1"/>
  <c r="AU268" i="28" s="1"/>
  <c r="BF267" i="28" a="1"/>
  <c r="BF267" i="28" s="1"/>
  <c r="BB266" i="28" a="1"/>
  <c r="BB266" i="28" s="1"/>
  <c r="AW265" i="28" a="1"/>
  <c r="AW265" i="28" s="1"/>
  <c r="BI264" i="28" a="1"/>
  <c r="BI264" i="28" s="1"/>
  <c r="BC263" i="28" a="1"/>
  <c r="BC263" i="28" s="1"/>
  <c r="AX262" i="28" a="1"/>
  <c r="AX262" i="28" s="1"/>
  <c r="BK261" i="28" a="1"/>
  <c r="BK261" i="28" s="1"/>
  <c r="BE260" i="28" a="1"/>
  <c r="BE260" i="28" s="1"/>
  <c r="AZ259" i="28" a="1"/>
  <c r="AZ259" i="28" s="1"/>
  <c r="BK258" i="28" a="1"/>
  <c r="BK258" i="28" s="1"/>
  <c r="BF257" i="28" a="1"/>
  <c r="BF257" i="28" s="1"/>
  <c r="AZ256" i="28" a="1"/>
  <c r="AZ256" i="28" s="1"/>
  <c r="BL236" i="28" a="1"/>
  <c r="BL236" i="28" s="1"/>
  <c r="BK235" i="28" a="1"/>
  <c r="BK235" i="28" s="1"/>
  <c r="AW235" i="28" a="1"/>
  <c r="AW235" i="28" s="1"/>
  <c r="BM234" i="28" a="1"/>
  <c r="BM234" i="28" s="1"/>
  <c r="AY234" i="28" a="1"/>
  <c r="AY234" i="28" s="1"/>
  <c r="BA233" i="28" a="1"/>
  <c r="BA233" i="28" s="1"/>
  <c r="BA232" i="28" a="1"/>
  <c r="BA232" i="28" s="1"/>
  <c r="AY231" i="28" a="1"/>
  <c r="AY231" i="28" s="1"/>
  <c r="BM230" i="28" a="1"/>
  <c r="BM230" i="28" s="1"/>
  <c r="AW230" i="28" a="1"/>
  <c r="AW230" i="28" s="1"/>
  <c r="BI229" i="28" a="1"/>
  <c r="BI229" i="28" s="1"/>
  <c r="BG228" i="28" a="1"/>
  <c r="BG228" i="28" s="1"/>
  <c r="BE227" i="28" a="1"/>
  <c r="BE227" i="28" s="1"/>
  <c r="BA226" i="28" a="1"/>
  <c r="BA226" i="28" s="1"/>
  <c r="AY225" i="28" a="1"/>
  <c r="AY225" i="28" s="1"/>
  <c r="BM224" i="28" a="1"/>
  <c r="BM224" i="28" s="1"/>
  <c r="AW224" i="28" a="1"/>
  <c r="AW224" i="28" s="1"/>
  <c r="BK223" i="28" a="1"/>
  <c r="BK223" i="28" s="1"/>
  <c r="AV223" i="28" a="1"/>
  <c r="AV223" i="28" s="1"/>
  <c r="BJ222" i="28" a="1"/>
  <c r="BJ222" i="28" s="1"/>
  <c r="AU222" i="28" a="1"/>
  <c r="AU222" i="28" s="1"/>
  <c r="BJ221" i="28" a="1"/>
  <c r="BJ221" i="28" s="1"/>
  <c r="AU221" i="28" a="1"/>
  <c r="AU221" i="28" s="1"/>
  <c r="BJ201" i="28" a="1"/>
  <c r="BJ201" i="28" s="1"/>
  <c r="AU201" i="28" a="1"/>
  <c r="AU201" i="28" s="1"/>
  <c r="BK200" i="28" a="1"/>
  <c r="BK200" i="28" s="1"/>
  <c r="AV200" i="28" a="1"/>
  <c r="AV200" i="28" s="1"/>
  <c r="BL199" i="28" a="1"/>
  <c r="BL199" i="28" s="1"/>
  <c r="AX199" i="28" a="1"/>
  <c r="AX199" i="28" s="1"/>
  <c r="BM198" i="28" a="1"/>
  <c r="BM198" i="28" s="1"/>
  <c r="AX198" i="28" a="1"/>
  <c r="AX198" i="28" s="1"/>
  <c r="BI271" i="28" a="1"/>
  <c r="BI271" i="28" s="1"/>
  <c r="BE270" i="28" a="1"/>
  <c r="BE270" i="28" s="1"/>
  <c r="AY269" i="28" a="1"/>
  <c r="AY269" i="28" s="1"/>
  <c r="BK268" i="28" a="1"/>
  <c r="BK268" i="28" s="1"/>
  <c r="BE267" i="28" a="1"/>
  <c r="BE267" i="28" s="1"/>
  <c r="BA266" i="28" a="1"/>
  <c r="BA266" i="28" s="1"/>
  <c r="BM265" i="28" a="1"/>
  <c r="BM265" i="28" s="1"/>
  <c r="AV265" i="28" a="1"/>
  <c r="AV265" i="28" s="1"/>
  <c r="BH264" i="28" a="1"/>
  <c r="BH264" i="28" s="1"/>
  <c r="BB263" i="28" a="1"/>
  <c r="BB263" i="28" s="1"/>
  <c r="AW262" i="28" a="1"/>
  <c r="AW262" i="28" s="1"/>
  <c r="BJ261" i="28" a="1"/>
  <c r="BJ261" i="28" s="1"/>
  <c r="BC260" i="28" a="1"/>
  <c r="BC260" i="28" s="1"/>
  <c r="AW259" i="28" a="1"/>
  <c r="AW259" i="28" s="1"/>
  <c r="BJ258" i="28" a="1"/>
  <c r="BJ258" i="28" s="1"/>
  <c r="BE257" i="28" a="1"/>
  <c r="BE257" i="28" s="1"/>
  <c r="AY256" i="28" a="1"/>
  <c r="AY256" i="28" s="1"/>
  <c r="AW236" i="28" a="1"/>
  <c r="AW236" i="28" s="1"/>
  <c r="BJ235" i="28" a="1"/>
  <c r="BJ235" i="28" s="1"/>
  <c r="AV235" i="28" a="1"/>
  <c r="AV235" i="28" s="1"/>
  <c r="BL234" i="28" a="1"/>
  <c r="BL234" i="28" s="1"/>
  <c r="AX234" i="28" a="1"/>
  <c r="AX234" i="28" s="1"/>
  <c r="BN233" i="28" a="1"/>
  <c r="BN233" i="28" s="1"/>
  <c r="AX233" i="28" a="1"/>
  <c r="AX233" i="28" s="1"/>
  <c r="BN232" i="28" a="1"/>
  <c r="BN232" i="28" s="1"/>
  <c r="AZ232" i="28" a="1"/>
  <c r="AZ232" i="28" s="1"/>
  <c r="BN231" i="28" a="1"/>
  <c r="BN231" i="28" s="1"/>
  <c r="AX231" i="28" a="1"/>
  <c r="AX231" i="28" s="1"/>
  <c r="BL230" i="28" a="1"/>
  <c r="BL230" i="28" s="1"/>
  <c r="BH229" i="28" a="1"/>
  <c r="BH229" i="28" s="1"/>
  <c r="BF228" i="28" a="1"/>
  <c r="BF228" i="28" s="1"/>
  <c r="BD227" i="28" a="1"/>
  <c r="BD227" i="28" s="1"/>
  <c r="AZ226" i="28" a="1"/>
  <c r="AZ226" i="28" s="1"/>
  <c r="BN225" i="28" a="1"/>
  <c r="BN225" i="28" s="1"/>
  <c r="AX225" i="28" a="1"/>
  <c r="AX225" i="28" s="1"/>
  <c r="BL224" i="28" a="1"/>
  <c r="BL224" i="28" s="1"/>
  <c r="AV224" i="28" a="1"/>
  <c r="AV224" i="28" s="1"/>
  <c r="BJ223" i="28" a="1"/>
  <c r="BJ223" i="28" s="1"/>
  <c r="BI222" i="28" a="1"/>
  <c r="BI222" i="28" s="1"/>
  <c r="BI221" i="28" a="1"/>
  <c r="BI221" i="28" s="1"/>
  <c r="BI201" i="28" a="1"/>
  <c r="BI201" i="28" s="1"/>
  <c r="BJ200" i="28" a="1"/>
  <c r="BJ200" i="28" s="1"/>
  <c r="AU200" i="28" a="1"/>
  <c r="AU200" i="28" s="1"/>
  <c r="BK199" i="28" a="1"/>
  <c r="BK199" i="28" s="1"/>
  <c r="AW199" i="28" a="1"/>
  <c r="AW199" i="28" s="1"/>
  <c r="BL198" i="28" a="1"/>
  <c r="BL198" i="28" s="1"/>
  <c r="BH271" i="28" a="1"/>
  <c r="BH271" i="28" s="1"/>
  <c r="BD270" i="28" a="1"/>
  <c r="BD270" i="28" s="1"/>
  <c r="AW269" i="28" a="1"/>
  <c r="AW269" i="28" s="1"/>
  <c r="BJ268" i="28" a="1"/>
  <c r="BJ268" i="28" s="1"/>
  <c r="BD267" i="28" a="1"/>
  <c r="BD267" i="28" s="1"/>
  <c r="AZ266" i="28" a="1"/>
  <c r="AZ266" i="28" s="1"/>
  <c r="BL265" i="28" a="1"/>
  <c r="BL265" i="28" s="1"/>
  <c r="AU265" i="28" a="1"/>
  <c r="AU265" i="28" s="1"/>
  <c r="BG264" i="28" a="1"/>
  <c r="BG264" i="28" s="1"/>
  <c r="BA263" i="28" a="1"/>
  <c r="BA263" i="28" s="1"/>
  <c r="BM262" i="28" a="1"/>
  <c r="BM262" i="28" s="1"/>
  <c r="AV262" i="28" a="1"/>
  <c r="AV262" i="28" s="1"/>
  <c r="BG261" i="28" a="1"/>
  <c r="BG261" i="28" s="1"/>
  <c r="BB260" i="28" a="1"/>
  <c r="BB260" i="28" s="1"/>
  <c r="AV259" i="28" a="1"/>
  <c r="AV259" i="28" s="1"/>
  <c r="BI258" i="28" a="1"/>
  <c r="BI258" i="28" s="1"/>
  <c r="BD257" i="28" a="1"/>
  <c r="BD257" i="28" s="1"/>
  <c r="AW256" i="28" a="1"/>
  <c r="AW256" i="28" s="1"/>
  <c r="BK236" i="28" a="1"/>
  <c r="BK236" i="28" s="1"/>
  <c r="BI235" i="28" a="1"/>
  <c r="BI235" i="28" s="1"/>
  <c r="AU235" i="28" a="1"/>
  <c r="AU235" i="28" s="1"/>
  <c r="BK234" i="28" a="1"/>
  <c r="BK234" i="28" s="1"/>
  <c r="AW234" i="28" a="1"/>
  <c r="AW234" i="28" s="1"/>
  <c r="BM233" i="28" a="1"/>
  <c r="BM233" i="28" s="1"/>
  <c r="AW233" i="28" a="1"/>
  <c r="AW233" i="28" s="1"/>
  <c r="BM232" i="28" a="1"/>
  <c r="BM232" i="28" s="1"/>
  <c r="AY232" i="28" a="1"/>
  <c r="AY232" i="28" s="1"/>
  <c r="BM231" i="28" a="1"/>
  <c r="BM231" i="28" s="1"/>
  <c r="AW231" i="28" a="1"/>
  <c r="AW231" i="28" s="1"/>
  <c r="BK230" i="28" a="1"/>
  <c r="BK230" i="28" s="1"/>
  <c r="BG229" i="28" a="1"/>
  <c r="BG229" i="28" s="1"/>
  <c r="BE228" i="28" a="1"/>
  <c r="BE228" i="28" s="1"/>
  <c r="BC227" i="28" a="1"/>
  <c r="BC227" i="28" s="1"/>
  <c r="AY226" i="28" a="1"/>
  <c r="AY226" i="28" s="1"/>
  <c r="BM225" i="28" a="1"/>
  <c r="BM225" i="28" s="1"/>
  <c r="AW225" i="28" a="1"/>
  <c r="AW225" i="28" s="1"/>
  <c r="BK224" i="28" a="1"/>
  <c r="BK224" i="28" s="1"/>
  <c r="AU224" i="28" a="1"/>
  <c r="AU224" i="28" s="1"/>
  <c r="BH223" i="28" a="1"/>
  <c r="BH223" i="28" s="1"/>
  <c r="BE271" i="28" a="1"/>
  <c r="BE271" i="28" s="1"/>
  <c r="AZ270" i="28" a="1"/>
  <c r="AZ270" i="28" s="1"/>
  <c r="BM269" i="28" a="1"/>
  <c r="BM269" i="28" s="1"/>
  <c r="AU269" i="28" a="1"/>
  <c r="AU269" i="28" s="1"/>
  <c r="BH268" i="28" a="1"/>
  <c r="BH268" i="28" s="1"/>
  <c r="BB267" i="28" a="1"/>
  <c r="BB267" i="28" s="1"/>
  <c r="AV266" i="28" a="1"/>
  <c r="AV266" i="28" s="1"/>
  <c r="BJ265" i="28" a="1"/>
  <c r="BJ265" i="28" s="1"/>
  <c r="BE264" i="28" a="1"/>
  <c r="BE264" i="28" s="1"/>
  <c r="AY263" i="28" a="1"/>
  <c r="AY263" i="28" s="1"/>
  <c r="BK262" i="28" a="1"/>
  <c r="BK262" i="28" s="1"/>
  <c r="BE261" i="28" a="1"/>
  <c r="BE261" i="28" s="1"/>
  <c r="AZ260" i="28" a="1"/>
  <c r="AZ260" i="28" s="1"/>
  <c r="BK259" i="28" a="1"/>
  <c r="BK259" i="28" s="1"/>
  <c r="BF258" i="28" a="1"/>
  <c r="BF258" i="28" s="1"/>
  <c r="AZ257" i="28" a="1"/>
  <c r="AZ257" i="28" s="1"/>
  <c r="BM256" i="28" a="1"/>
  <c r="BM256" i="28" s="1"/>
  <c r="AU256" i="28" a="1"/>
  <c r="AU256" i="28" s="1"/>
  <c r="BI236" i="28" a="1"/>
  <c r="BI236" i="28" s="1"/>
  <c r="BG235" i="28" a="1"/>
  <c r="BG235" i="28" s="1"/>
  <c r="BI234" i="28" a="1"/>
  <c r="BI234" i="28" s="1"/>
  <c r="AU234" i="28" a="1"/>
  <c r="AU234" i="28" s="1"/>
  <c r="BJ233" i="28" a="1"/>
  <c r="BJ233" i="28" s="1"/>
  <c r="AV233" i="28" a="1"/>
  <c r="AV233" i="28" s="1"/>
  <c r="BL232" i="28" a="1"/>
  <c r="BL232" i="28" s="1"/>
  <c r="AW232" i="28" a="1"/>
  <c r="AW232" i="28" s="1"/>
  <c r="BK231" i="28" a="1"/>
  <c r="BK231" i="28" s="1"/>
  <c r="AU231" i="28" a="1"/>
  <c r="AU231" i="28" s="1"/>
  <c r="BG230" i="28" a="1"/>
  <c r="BG230" i="28" s="1"/>
  <c r="BE229" i="28" a="1"/>
  <c r="BE229" i="28" s="1"/>
  <c r="BC271" i="28" a="1"/>
  <c r="BC271" i="28" s="1"/>
  <c r="AX270" i="28" a="1"/>
  <c r="AX270" i="28" s="1"/>
  <c r="BJ269" i="28" a="1"/>
  <c r="BJ269" i="28" s="1"/>
  <c r="BD268" i="28" a="1"/>
  <c r="BD268" i="28" s="1"/>
  <c r="AZ267" i="28" a="1"/>
  <c r="AZ267" i="28" s="1"/>
  <c r="BM266" i="28" a="1"/>
  <c r="BM266" i="28" s="1"/>
  <c r="BG265" i="28" a="1"/>
  <c r="BG265" i="28" s="1"/>
  <c r="BA264" i="28" a="1"/>
  <c r="BA264" i="28" s="1"/>
  <c r="BN263" i="28" a="1"/>
  <c r="BN263" i="28" s="1"/>
  <c r="AV263" i="28" a="1"/>
  <c r="AV263" i="28" s="1"/>
  <c r="BI262" i="28" a="1"/>
  <c r="BI262" i="28" s="1"/>
  <c r="BC261" i="28" a="1"/>
  <c r="BC261" i="28" s="1"/>
  <c r="AX260" i="28" a="1"/>
  <c r="AX260" i="28" s="1"/>
  <c r="BI259" i="28" a="1"/>
  <c r="BI259" i="28" s="1"/>
  <c r="BD258" i="28" a="1"/>
  <c r="BD258" i="28" s="1"/>
  <c r="AX257" i="28" a="1"/>
  <c r="AX257" i="28" s="1"/>
  <c r="BJ256" i="28" a="1"/>
  <c r="BJ256" i="28" s="1"/>
  <c r="BE236" i="28" a="1"/>
  <c r="BE236" i="28" s="1"/>
  <c r="BF235" i="28" a="1"/>
  <c r="BF235" i="28" s="1"/>
  <c r="BH234" i="28" a="1"/>
  <c r="BH234" i="28" s="1"/>
  <c r="BH233" i="28" a="1"/>
  <c r="BH233" i="28" s="1"/>
  <c r="BJ232" i="28" a="1"/>
  <c r="BJ232" i="28" s="1"/>
  <c r="BB271" i="28" a="1"/>
  <c r="BB271" i="28" s="1"/>
  <c r="BN270" i="28" a="1"/>
  <c r="BN270" i="28" s="1"/>
  <c r="AW270" i="28" a="1"/>
  <c r="AW270" i="28" s="1"/>
  <c r="BI269" i="28" a="1"/>
  <c r="BI269" i="28" s="1"/>
  <c r="BC268" i="28" a="1"/>
  <c r="BC268" i="28" s="1"/>
  <c r="AY267" i="28" a="1"/>
  <c r="AY267" i="28" s="1"/>
  <c r="BJ266" i="28" a="1"/>
  <c r="BJ266" i="28" s="1"/>
  <c r="BF265" i="28" a="1"/>
  <c r="BF265" i="28" s="1"/>
  <c r="AZ264" i="28" a="1"/>
  <c r="AZ264" i="28" s="1"/>
  <c r="BM263" i="28" a="1"/>
  <c r="BM263" i="28" s="1"/>
  <c r="AU263" i="28" a="1"/>
  <c r="AU263" i="28" s="1"/>
  <c r="BH262" i="28" a="1"/>
  <c r="BH262" i="28" s="1"/>
  <c r="BF271" i="28" a="1"/>
  <c r="BF271" i="28" s="1"/>
  <c r="BA270" i="28" a="1"/>
  <c r="BA270" i="28" s="1"/>
  <c r="AV269" i="28" a="1"/>
  <c r="AV269" i="28" s="1"/>
  <c r="BK265" i="28" a="1"/>
  <c r="BK265" i="28" s="1"/>
  <c r="BF264" i="28" a="1"/>
  <c r="BF264" i="28" s="1"/>
  <c r="AZ263" i="28" a="1"/>
  <c r="AZ263" i="28" s="1"/>
  <c r="AU262" i="28" a="1"/>
  <c r="AU262" i="28" s="1"/>
  <c r="AW261" i="28" a="1"/>
  <c r="AW261" i="28" s="1"/>
  <c r="BE233" i="28" a="1"/>
  <c r="BE233" i="28" s="1"/>
  <c r="BI232" i="28" a="1"/>
  <c r="BI232" i="28" s="1"/>
  <c r="AZ229" i="28" a="1"/>
  <c r="AZ229" i="28" s="1"/>
  <c r="BC228" i="28" a="1"/>
  <c r="BC228" i="28" s="1"/>
  <c r="BK227" i="28" a="1"/>
  <c r="BK227" i="28" s="1"/>
  <c r="AU226" i="28" a="1"/>
  <c r="AU226" i="28" s="1"/>
  <c r="BC225" i="28" a="1"/>
  <c r="BC225" i="28" s="1"/>
  <c r="BI224" i="28" a="1"/>
  <c r="BI224" i="28" s="1"/>
  <c r="AX223" i="28" a="1"/>
  <c r="AX223" i="28" s="1"/>
  <c r="BF222" i="28" a="1"/>
  <c r="BF222" i="28" s="1"/>
  <c r="AZ221" i="28" a="1"/>
  <c r="AZ221" i="28" s="1"/>
  <c r="BH201" i="28" a="1"/>
  <c r="BH201" i="28" s="1"/>
  <c r="BB200" i="28" a="1"/>
  <c r="BB200" i="28" s="1"/>
  <c r="BN199" i="28" a="1"/>
  <c r="BN199" i="28" s="1"/>
  <c r="AU199" i="28" a="1"/>
  <c r="AU199" i="28" s="1"/>
  <c r="BF198" i="28" a="1"/>
  <c r="BF198" i="28" s="1"/>
  <c r="BC197" i="28" a="1"/>
  <c r="BC197" i="28" s="1"/>
  <c r="BA196" i="28" a="1"/>
  <c r="BA196" i="28" s="1"/>
  <c r="BN195" i="28" a="1"/>
  <c r="BN195" i="28" s="1"/>
  <c r="AW195" i="28" a="1"/>
  <c r="AW195" i="28" s="1"/>
  <c r="BL194" i="28" a="1"/>
  <c r="BL194" i="28" s="1"/>
  <c r="AW194" i="28" a="1"/>
  <c r="AW194" i="28" s="1"/>
  <c r="BL193" i="28" a="1"/>
  <c r="BL193" i="28" s="1"/>
  <c r="AW193" i="28" a="1"/>
  <c r="AW193" i="28" s="1"/>
  <c r="BL192" i="28" a="1"/>
  <c r="BL192" i="28" s="1"/>
  <c r="AW192" i="28" a="1"/>
  <c r="AW192" i="28" s="1"/>
  <c r="BM191" i="28" a="1"/>
  <c r="BM191" i="28" s="1"/>
  <c r="AX191" i="28" a="1"/>
  <c r="AX191" i="28" s="1"/>
  <c r="BN190" i="28" a="1"/>
  <c r="BN190" i="28" s="1"/>
  <c r="AZ190" i="28" a="1"/>
  <c r="AZ190" i="28" s="1"/>
  <c r="BB189" i="28" a="1"/>
  <c r="BB189" i="28" s="1"/>
  <c r="BE188" i="28" a="1"/>
  <c r="BE188" i="28" s="1"/>
  <c r="BH187" i="28" a="1"/>
  <c r="BH187" i="28" s="1"/>
  <c r="AU187" i="28" a="1"/>
  <c r="AU187" i="28" s="1"/>
  <c r="BL186" i="28" a="1"/>
  <c r="BL186" i="28" s="1"/>
  <c r="AX186" i="28" a="1"/>
  <c r="AX186" i="28" s="1"/>
  <c r="BN166" i="28" a="1"/>
  <c r="BN166" i="28" s="1"/>
  <c r="AZ166" i="28" a="1"/>
  <c r="AZ166" i="28" s="1"/>
  <c r="BB165" i="28" a="1"/>
  <c r="BB165" i="28" s="1"/>
  <c r="BD164" i="28" a="1"/>
  <c r="BD164" i="28" s="1"/>
  <c r="BF163" i="28" a="1"/>
  <c r="BF163" i="28" s="1"/>
  <c r="BH162" i="28" a="1"/>
  <c r="BH162" i="28" s="1"/>
  <c r="BJ161" i="28" a="1"/>
  <c r="BJ161" i="28" s="1"/>
  <c r="AV161" i="28" a="1"/>
  <c r="AV161" i="28" s="1"/>
  <c r="BL160" i="28" a="1"/>
  <c r="BL160" i="28" s="1"/>
  <c r="AX160" i="28" a="1"/>
  <c r="AX160" i="28" s="1"/>
  <c r="BN159" i="28" a="1"/>
  <c r="BN159" i="28" s="1"/>
  <c r="AZ159" i="28" a="1"/>
  <c r="AZ159" i="28" s="1"/>
  <c r="BB158" i="28" a="1"/>
  <c r="BB158" i="28" s="1"/>
  <c r="BD157" i="28" a="1"/>
  <c r="BD157" i="28" s="1"/>
  <c r="BF156" i="28" a="1"/>
  <c r="BF156" i="28" s="1"/>
  <c r="BH155" i="28" a="1"/>
  <c r="BH155" i="28" s="1"/>
  <c r="BJ154" i="28" a="1"/>
  <c r="BJ154" i="28" s="1"/>
  <c r="AV154" i="28" a="1"/>
  <c r="AV154" i="28" s="1"/>
  <c r="AU270" i="28" a="1"/>
  <c r="AU270" i="28" s="1"/>
  <c r="BN267" i="28" a="1"/>
  <c r="BN267" i="28" s="1"/>
  <c r="BI266" i="28" a="1"/>
  <c r="BI266" i="28" s="1"/>
  <c r="BE265" i="28" a="1"/>
  <c r="BE265" i="28" s="1"/>
  <c r="AY264" i="28" a="1"/>
  <c r="AY264" i="28" s="1"/>
  <c r="BN257" i="28" a="1"/>
  <c r="BN257" i="28" s="1"/>
  <c r="BN256" i="28" a="1"/>
  <c r="BN256" i="28" s="1"/>
  <c r="AV234" i="28" a="1"/>
  <c r="AV234" i="28" s="1"/>
  <c r="BG232" i="28" a="1"/>
  <c r="BG232" i="28" s="1"/>
  <c r="BJ231" i="28" a="1"/>
  <c r="BJ231" i="28" s="1"/>
  <c r="AV229" i="28" a="1"/>
  <c r="AV229" i="28" s="1"/>
  <c r="BA228" i="28" a="1"/>
  <c r="BA228" i="28" s="1"/>
  <c r="BI227" i="28" a="1"/>
  <c r="BI227" i="28" s="1"/>
  <c r="BM226" i="28" a="1"/>
  <c r="BM226" i="28" s="1"/>
  <c r="BA225" i="28" a="1"/>
  <c r="BA225" i="28" s="1"/>
  <c r="BE224" i="28" a="1"/>
  <c r="BE224" i="28" s="1"/>
  <c r="BD222" i="28" a="1"/>
  <c r="BD222" i="28" s="1"/>
  <c r="AW221" i="28" a="1"/>
  <c r="AW221" i="28" s="1"/>
  <c r="BF201" i="28" a="1"/>
  <c r="BF201" i="28" s="1"/>
  <c r="AZ200" i="28" a="1"/>
  <c r="AZ200" i="28" s="1"/>
  <c r="BJ199" i="28" a="1"/>
  <c r="BJ199" i="28" s="1"/>
  <c r="BD198" i="28" a="1"/>
  <c r="BD198" i="28" s="1"/>
  <c r="BA197" i="28" a="1"/>
  <c r="BA197" i="28" s="1"/>
  <c r="AW196" i="28" a="1"/>
  <c r="AW196" i="28" s="1"/>
  <c r="BK195" i="28" a="1"/>
  <c r="BK195" i="28" s="1"/>
  <c r="AU195" i="28" a="1"/>
  <c r="AU195" i="28" s="1"/>
  <c r="BJ194" i="28" a="1"/>
  <c r="BJ194" i="28" s="1"/>
  <c r="AU194" i="28" a="1"/>
  <c r="AU194" i="28" s="1"/>
  <c r="BJ193" i="28" a="1"/>
  <c r="BJ193" i="28" s="1"/>
  <c r="AU193" i="28" a="1"/>
  <c r="AU193" i="28" s="1"/>
  <c r="BJ192" i="28" a="1"/>
  <c r="BJ192" i="28" s="1"/>
  <c r="AU192" i="28" a="1"/>
  <c r="AU192" i="28" s="1"/>
  <c r="BK191" i="28" a="1"/>
  <c r="BK191" i="28" s="1"/>
  <c r="AV191" i="28" a="1"/>
  <c r="AV191" i="28" s="1"/>
  <c r="BL190" i="28" a="1"/>
  <c r="BL190" i="28" s="1"/>
  <c r="AX190" i="28" a="1"/>
  <c r="AX190" i="28" s="1"/>
  <c r="BM189" i="28" a="1"/>
  <c r="BM189" i="28" s="1"/>
  <c r="AY189" i="28" a="1"/>
  <c r="AY189" i="28" s="1"/>
  <c r="BC188" i="28" a="1"/>
  <c r="BC188" i="28" s="1"/>
  <c r="BF187" i="28" a="1"/>
  <c r="BF187" i="28" s="1"/>
  <c r="BJ186" i="28" a="1"/>
  <c r="BJ186" i="28" s="1"/>
  <c r="AV186" i="28" a="1"/>
  <c r="AV186" i="28" s="1"/>
  <c r="BL166" i="28" a="1"/>
  <c r="BL166" i="28" s="1"/>
  <c r="AX166" i="28" a="1"/>
  <c r="AX166" i="28" s="1"/>
  <c r="BN165" i="28" a="1"/>
  <c r="BN165" i="28" s="1"/>
  <c r="AZ165" i="28" a="1"/>
  <c r="AZ165" i="28" s="1"/>
  <c r="BB164" i="28" a="1"/>
  <c r="BB164" i="28" s="1"/>
  <c r="BD163" i="28" a="1"/>
  <c r="BD163" i="28" s="1"/>
  <c r="BF162" i="28" a="1"/>
  <c r="BF162" i="28" s="1"/>
  <c r="BH161" i="28" a="1"/>
  <c r="BH161" i="28" s="1"/>
  <c r="BJ160" i="28" a="1"/>
  <c r="BJ160" i="28" s="1"/>
  <c r="AV160" i="28" a="1"/>
  <c r="AV160" i="28" s="1"/>
  <c r="BL159" i="28" a="1"/>
  <c r="BL159" i="28" s="1"/>
  <c r="AX159" i="28" a="1"/>
  <c r="AX159" i="28" s="1"/>
  <c r="BN158" i="28" a="1"/>
  <c r="BN158" i="28" s="1"/>
  <c r="AZ158" i="28" a="1"/>
  <c r="AZ158" i="28" s="1"/>
  <c r="AY271" i="28" a="1"/>
  <c r="AY271" i="28" s="1"/>
  <c r="BM267" i="28" a="1"/>
  <c r="BM267" i="28" s="1"/>
  <c r="BH266" i="28" a="1"/>
  <c r="BH266" i="28" s="1"/>
  <c r="BD265" i="28" a="1"/>
  <c r="BD265" i="28" s="1"/>
  <c r="AX264" i="28" a="1"/>
  <c r="AX264" i="28" s="1"/>
  <c r="BM257" i="28" a="1"/>
  <c r="BM257" i="28" s="1"/>
  <c r="BK256" i="28" a="1"/>
  <c r="BK256" i="28" s="1"/>
  <c r="BC233" i="28" a="1"/>
  <c r="BC233" i="28" s="1"/>
  <c r="BF232" i="28" a="1"/>
  <c r="BF232" i="28" s="1"/>
  <c r="BI231" i="28" a="1"/>
  <c r="BI231" i="28" s="1"/>
  <c r="AU229" i="28" a="1"/>
  <c r="AU229" i="28" s="1"/>
  <c r="AX228" i="28" a="1"/>
  <c r="AX228" i="28" s="1"/>
  <c r="BH227" i="28" a="1"/>
  <c r="BH227" i="28" s="1"/>
  <c r="BL226" i="28" a="1"/>
  <c r="BL226" i="28" s="1"/>
  <c r="AV225" i="28" a="1"/>
  <c r="AV225" i="28" s="1"/>
  <c r="BD224" i="28" a="1"/>
  <c r="BD224" i="28" s="1"/>
  <c r="BN223" i="28" a="1"/>
  <c r="BN223" i="28" s="1"/>
  <c r="BC222" i="28" a="1"/>
  <c r="BC222" i="28" s="1"/>
  <c r="BE201" i="28" a="1"/>
  <c r="BE201" i="28" s="1"/>
  <c r="AY200" i="28" a="1"/>
  <c r="AY200" i="28" s="1"/>
  <c r="BI199" i="28" a="1"/>
  <c r="BI199" i="28" s="1"/>
  <c r="BC198" i="28" a="1"/>
  <c r="BC198" i="28" s="1"/>
  <c r="AZ197" i="28" a="1"/>
  <c r="AZ197" i="28" s="1"/>
  <c r="BL196" i="28" a="1"/>
  <c r="BL196" i="28" s="1"/>
  <c r="AV196" i="28" a="1"/>
  <c r="AV196" i="28" s="1"/>
  <c r="AX271" i="28" a="1"/>
  <c r="AX271" i="28" s="1"/>
  <c r="BL267" i="28" a="1"/>
  <c r="BL267" i="28" s="1"/>
  <c r="BG266" i="28" a="1"/>
  <c r="BG266" i="28" s="1"/>
  <c r="BC265" i="28" a="1"/>
  <c r="BC265" i="28" s="1"/>
  <c r="AW264" i="28" a="1"/>
  <c r="AW264" i="28" s="1"/>
  <c r="BN260" i="28" a="1"/>
  <c r="BN260" i="28" s="1"/>
  <c r="BN259" i="28" a="1"/>
  <c r="BN259" i="28" s="1"/>
  <c r="BL257" i="28" a="1"/>
  <c r="BL257" i="28" s="1"/>
  <c r="BI256" i="28" a="1"/>
  <c r="BI256" i="28" s="1"/>
  <c r="BJ236" i="28" a="1"/>
  <c r="BJ236" i="28" s="1"/>
  <c r="BD232" i="28" a="1"/>
  <c r="BD232" i="28" s="1"/>
  <c r="BF231" i="28" a="1"/>
  <c r="BF231" i="28" s="1"/>
  <c r="AW228" i="28" a="1"/>
  <c r="AW228" i="28" s="1"/>
  <c r="BG227" i="28" a="1"/>
  <c r="BG227" i="28" s="1"/>
  <c r="BK226" i="28" a="1"/>
  <c r="BK226" i="28" s="1"/>
  <c r="AU225" i="28" a="1"/>
  <c r="AU225" i="28" s="1"/>
  <c r="BC224" i="28" a="1"/>
  <c r="BC224" i="28" s="1"/>
  <c r="BM223" i="28" a="1"/>
  <c r="BM223" i="28" s="1"/>
  <c r="BB222" i="28" a="1"/>
  <c r="BB222" i="28" s="1"/>
  <c r="BN221" i="28" a="1"/>
  <c r="BN221" i="28" s="1"/>
  <c r="BD201" i="28" a="1"/>
  <c r="BD201" i="28" s="1"/>
  <c r="AX200" i="28" a="1"/>
  <c r="AX200" i="28" s="1"/>
  <c r="BH199" i="28" a="1"/>
  <c r="BH199" i="28" s="1"/>
  <c r="BB198" i="28" a="1"/>
  <c r="BB198" i="28" s="1"/>
  <c r="AW197" i="28" a="1"/>
  <c r="AW197" i="28" s="1"/>
  <c r="BK196" i="28" a="1"/>
  <c r="BK196" i="28" s="1"/>
  <c r="AU196" i="28" a="1"/>
  <c r="AU196" i="28" s="1"/>
  <c r="BI195" i="28" a="1"/>
  <c r="BI195" i="28" s="1"/>
  <c r="AW271" i="28" a="1"/>
  <c r="AW271" i="28" s="1"/>
  <c r="BK267" i="28" a="1"/>
  <c r="BK267" i="28" s="1"/>
  <c r="BF266" i="28" a="1"/>
  <c r="BF266" i="28" s="1"/>
  <c r="BB265" i="28" a="1"/>
  <c r="BB265" i="28" s="1"/>
  <c r="AU264" i="28" a="1"/>
  <c r="AU264" i="28" s="1"/>
  <c r="BM260" i="28" a="1"/>
  <c r="BM260" i="28" s="1"/>
  <c r="BJ259" i="28" a="1"/>
  <c r="BJ259" i="28" s="1"/>
  <c r="BM258" i="28" a="1"/>
  <c r="BM258" i="28" s="1"/>
  <c r="BK257" i="28" a="1"/>
  <c r="BK257" i="28" s="1"/>
  <c r="BH256" i="28" a="1"/>
  <c r="BH256" i="28" s="1"/>
  <c r="BF236" i="28" a="1"/>
  <c r="BF236" i="28" s="1"/>
  <c r="BN235" i="28" a="1"/>
  <c r="BN235" i="28" s="1"/>
  <c r="AU233" i="28" a="1"/>
  <c r="AU233" i="28" s="1"/>
  <c r="BC232" i="28" a="1"/>
  <c r="BC232" i="28" s="1"/>
  <c r="BE231" i="28" a="1"/>
  <c r="BE231" i="28" s="1"/>
  <c r="BH230" i="28" a="1"/>
  <c r="BH230" i="28" s="1"/>
  <c r="AV228" i="28" a="1"/>
  <c r="AV228" i="28" s="1"/>
  <c r="AZ227" i="28" a="1"/>
  <c r="AZ227" i="28" s="1"/>
  <c r="BJ226" i="28" a="1"/>
  <c r="BJ226" i="28" s="1"/>
  <c r="BB224" i="28" a="1"/>
  <c r="BB224" i="28" s="1"/>
  <c r="BG223" i="28" a="1"/>
  <c r="BG223" i="28" s="1"/>
  <c r="BA222" i="28" a="1"/>
  <c r="BA222" i="28" s="1"/>
  <c r="BL221" i="28" a="1"/>
  <c r="BL221" i="28" s="1"/>
  <c r="BC201" i="28" a="1"/>
  <c r="BC201" i="28" s="1"/>
  <c r="BF199" i="28" a="1"/>
  <c r="BF199" i="28" s="1"/>
  <c r="BA198" i="28" a="1"/>
  <c r="BA198" i="28" s="1"/>
  <c r="BM197" i="28" a="1"/>
  <c r="BM197" i="28" s="1"/>
  <c r="AV197" i="28" a="1"/>
  <c r="AV197" i="28" s="1"/>
  <c r="BJ196" i="28" a="1"/>
  <c r="BJ196" i="28" s="1"/>
  <c r="BH195" i="28" a="1"/>
  <c r="BH195" i="28" s="1"/>
  <c r="BG194" i="28" a="1"/>
  <c r="BG194" i="28" s="1"/>
  <c r="BG193" i="28" a="1"/>
  <c r="BG193" i="28" s="1"/>
  <c r="BG192" i="28" a="1"/>
  <c r="BG192" i="28" s="1"/>
  <c r="BH191" i="28" a="1"/>
  <c r="BH191" i="28" s="1"/>
  <c r="BI190" i="28" a="1"/>
  <c r="BI190" i="28" s="1"/>
  <c r="AU190" i="28" a="1"/>
  <c r="AU190" i="28" s="1"/>
  <c r="BJ189" i="28" a="1"/>
  <c r="BJ189" i="28" s="1"/>
  <c r="AV189" i="28" a="1"/>
  <c r="AV189" i="28" s="1"/>
  <c r="BM188" i="28" a="1"/>
  <c r="BM188" i="28" s="1"/>
  <c r="AZ188" i="28" a="1"/>
  <c r="AZ188" i="28" s="1"/>
  <c r="BC187" i="28" a="1"/>
  <c r="BC187" i="28" s="1"/>
  <c r="BG186" i="28" a="1"/>
  <c r="BG186" i="28" s="1"/>
  <c r="BI166" i="28" a="1"/>
  <c r="BI166" i="28" s="1"/>
  <c r="AU166" i="28" a="1"/>
  <c r="AU166" i="28" s="1"/>
  <c r="BK165" i="28" a="1"/>
  <c r="BK165" i="28" s="1"/>
  <c r="AW165" i="28" a="1"/>
  <c r="AW165" i="28" s="1"/>
  <c r="BM164" i="28" a="1"/>
  <c r="BM164" i="28" s="1"/>
  <c r="AY164" i="28" a="1"/>
  <c r="AY164" i="28" s="1"/>
  <c r="BN269" i="28" a="1"/>
  <c r="BN269" i="28" s="1"/>
  <c r="BI268" i="28" a="1"/>
  <c r="BI268" i="28" s="1"/>
  <c r="BC267" i="28" a="1"/>
  <c r="BC267" i="28" s="1"/>
  <c r="AY266" i="28" a="1"/>
  <c r="AY266" i="28" s="1"/>
  <c r="BL262" i="28" a="1"/>
  <c r="BL262" i="28" s="1"/>
  <c r="BM261" i="28" a="1"/>
  <c r="BM261" i="28" s="1"/>
  <c r="BI260" i="28" a="1"/>
  <c r="BI260" i="28" s="1"/>
  <c r="BG259" i="28" a="1"/>
  <c r="BG259" i="28" s="1"/>
  <c r="BE258" i="28" a="1"/>
  <c r="BE258" i="28" s="1"/>
  <c r="BH257" i="28" a="1"/>
  <c r="BH257" i="28" s="1"/>
  <c r="BF256" i="28" a="1"/>
  <c r="BF256" i="28" s="1"/>
  <c r="BD236" i="28" a="1"/>
  <c r="BD236" i="28" s="1"/>
  <c r="AV232" i="28" a="1"/>
  <c r="AV232" i="28" s="1"/>
  <c r="BC231" i="28" a="1"/>
  <c r="BC231" i="28" s="1"/>
  <c r="BE230" i="28" a="1"/>
  <c r="BE230" i="28" s="1"/>
  <c r="BN229" i="28" a="1"/>
  <c r="BN229" i="28" s="1"/>
  <c r="AX227" i="28" a="1"/>
  <c r="AX227" i="28" s="1"/>
  <c r="BH226" i="28" a="1"/>
  <c r="BH226" i="28" s="1"/>
  <c r="BL225" i="28" a="1"/>
  <c r="BL225" i="28" s="1"/>
  <c r="AZ224" i="28" a="1"/>
  <c r="AZ224" i="28" s="1"/>
  <c r="BE223" i="28" a="1"/>
  <c r="BE223" i="28" s="1"/>
  <c r="AY222" i="28" a="1"/>
  <c r="AY222" i="28" s="1"/>
  <c r="BG221" i="28" a="1"/>
  <c r="BG221" i="28" s="1"/>
  <c r="AZ201" i="28" a="1"/>
  <c r="AZ201" i="28" s="1"/>
  <c r="BM200" i="28" a="1"/>
  <c r="BM200" i="28" s="1"/>
  <c r="BD199" i="28" a="1"/>
  <c r="BD199" i="28" s="1"/>
  <c r="AW198" i="28" a="1"/>
  <c r="AW198" i="28" s="1"/>
  <c r="BJ197" i="28" a="1"/>
  <c r="BJ197" i="28" s="1"/>
  <c r="BH196" i="28" a="1"/>
  <c r="BH196" i="28" s="1"/>
  <c r="BF195" i="28" a="1"/>
  <c r="BF195" i="28" s="1"/>
  <c r="BE194" i="28" a="1"/>
  <c r="BE194" i="28" s="1"/>
  <c r="BE193" i="28" a="1"/>
  <c r="BE193" i="28" s="1"/>
  <c r="BE192" i="28" a="1"/>
  <c r="BE192" i="28" s="1"/>
  <c r="BE191" i="28" a="1"/>
  <c r="BE191" i="28" s="1"/>
  <c r="BG190" i="28" a="1"/>
  <c r="BG190" i="28" s="1"/>
  <c r="BH189" i="28" a="1"/>
  <c r="BH189" i="28" s="1"/>
  <c r="BK188" i="28" a="1"/>
  <c r="BK188" i="28" s="1"/>
  <c r="AX188" i="28" a="1"/>
  <c r="AX188" i="28" s="1"/>
  <c r="BE186" i="28" a="1"/>
  <c r="BE186" i="28" s="1"/>
  <c r="BG166" i="28" a="1"/>
  <c r="BG166" i="28" s="1"/>
  <c r="BI165" i="28" a="1"/>
  <c r="BI165" i="28" s="1"/>
  <c r="AU165" i="28" a="1"/>
  <c r="AU165" i="28" s="1"/>
  <c r="BK164" i="28" a="1"/>
  <c r="BK164" i="28" s="1"/>
  <c r="AW164" i="28" a="1"/>
  <c r="AW164" i="28" s="1"/>
  <c r="BM163" i="28" a="1"/>
  <c r="BM163" i="28" s="1"/>
  <c r="AY163" i="28" a="1"/>
  <c r="AY163" i="28" s="1"/>
  <c r="AV271" i="28" a="1"/>
  <c r="AV271" i="28" s="1"/>
  <c r="BB269" i="28" a="1"/>
  <c r="BB269" i="28" s="1"/>
  <c r="AX261" i="28" a="1"/>
  <c r="AX261" i="28" s="1"/>
  <c r="BB259" i="28" a="1"/>
  <c r="BB259" i="28" s="1"/>
  <c r="AY257" i="28" a="1"/>
  <c r="AY257" i="28" s="1"/>
  <c r="AY235" i="28" a="1"/>
  <c r="AY235" i="28" s="1"/>
  <c r="BI233" i="28" a="1"/>
  <c r="BI233" i="28" s="1"/>
  <c r="BF230" i="28" a="1"/>
  <c r="BF230" i="28" s="1"/>
  <c r="BA229" i="28" a="1"/>
  <c r="BA229" i="28" s="1"/>
  <c r="BN227" i="28" a="1"/>
  <c r="BN227" i="28" s="1"/>
  <c r="BF226" i="28" a="1"/>
  <c r="BF226" i="28" s="1"/>
  <c r="BM222" i="28" a="1"/>
  <c r="BM222" i="28" s="1"/>
  <c r="BE221" i="28" a="1"/>
  <c r="BE221" i="28" s="1"/>
  <c r="BB201" i="28" a="1"/>
  <c r="BB201" i="28" s="1"/>
  <c r="BC200" i="28" a="1"/>
  <c r="BC200" i="28" s="1"/>
  <c r="AZ199" i="28" a="1"/>
  <c r="AZ199" i="28" s="1"/>
  <c r="AU197" i="28" a="1"/>
  <c r="AU197" i="28" s="1"/>
  <c r="BB196" i="28" a="1"/>
  <c r="BB196" i="28" s="1"/>
  <c r="BC195" i="28" a="1"/>
  <c r="BC195" i="28" s="1"/>
  <c r="BI194" i="28" a="1"/>
  <c r="BI194" i="28" s="1"/>
  <c r="AX193" i="28" a="1"/>
  <c r="AX193" i="28" s="1"/>
  <c r="BF192" i="28" a="1"/>
  <c r="BF192" i="28" s="1"/>
  <c r="AU191" i="28" a="1"/>
  <c r="AU191" i="28" s="1"/>
  <c r="BE190" i="28" a="1"/>
  <c r="BE190" i="28" s="1"/>
  <c r="AU189" i="28" a="1"/>
  <c r="AU189" i="28" s="1"/>
  <c r="BG188" i="28" a="1"/>
  <c r="BG188" i="28" s="1"/>
  <c r="AZ187" i="28" a="1"/>
  <c r="AZ187" i="28" s="1"/>
  <c r="BM186" i="28" a="1"/>
  <c r="BM186" i="28" s="1"/>
  <c r="BC166" i="28" a="1"/>
  <c r="BC166" i="28" s="1"/>
  <c r="BM165" i="28" a="1"/>
  <c r="BM165" i="28" s="1"/>
  <c r="BE164" i="28" a="1"/>
  <c r="BE164" i="28" s="1"/>
  <c r="AW163" i="28" a="1"/>
  <c r="AW163" i="28" s="1"/>
  <c r="BJ162" i="28" a="1"/>
  <c r="BJ162" i="28" s="1"/>
  <c r="BF161" i="28" a="1"/>
  <c r="BF161" i="28" s="1"/>
  <c r="BD160" i="28" a="1"/>
  <c r="BD160" i="28" s="1"/>
  <c r="BB159" i="28" a="1"/>
  <c r="BB159" i="28" s="1"/>
  <c r="AX158" i="28" a="1"/>
  <c r="AX158" i="28" s="1"/>
  <c r="BM157" i="28" a="1"/>
  <c r="BM157" i="28" s="1"/>
  <c r="AX157" i="28" a="1"/>
  <c r="AX157" i="28" s="1"/>
  <c r="BM156" i="28" a="1"/>
  <c r="BM156" i="28" s="1"/>
  <c r="AX156" i="28" a="1"/>
  <c r="AX156" i="28" s="1"/>
  <c r="BM155" i="28" a="1"/>
  <c r="BM155" i="28" s="1"/>
  <c r="AX155" i="28" a="1"/>
  <c r="AX155" i="28" s="1"/>
  <c r="BM154" i="28" a="1"/>
  <c r="BM154" i="28" s="1"/>
  <c r="AX154" i="28" a="1"/>
  <c r="AX154" i="28" s="1"/>
  <c r="BM153" i="28" a="1"/>
  <c r="BM153" i="28" s="1"/>
  <c r="AY153" i="28" a="1"/>
  <c r="AY153" i="28" s="1"/>
  <c r="BA152" i="28" a="1"/>
  <c r="BA152" i="28" s="1"/>
  <c r="BC151" i="28" a="1"/>
  <c r="BC151" i="28" s="1"/>
  <c r="BE255" i="28" a="1"/>
  <c r="BE255" i="28" s="1"/>
  <c r="BF220" i="28" a="1"/>
  <c r="BF220" i="28" s="1"/>
  <c r="BG185" i="28" a="1"/>
  <c r="BG185" i="28" s="1"/>
  <c r="BH150" i="28" a="1"/>
  <c r="BH150" i="28" s="1"/>
  <c r="P285" i="28" a="1"/>
  <c r="P285" i="28" s="1"/>
  <c r="B285" i="28" a="1"/>
  <c r="B285" i="28" s="1"/>
  <c r="E284" i="28" a="1"/>
  <c r="E284" i="28" s="1"/>
  <c r="H283" i="28" a="1"/>
  <c r="H283" i="28" s="1"/>
  <c r="K282" i="28" a="1"/>
  <c r="K282" i="28" s="1"/>
  <c r="N281" i="28" a="1"/>
  <c r="N281" i="28" s="1"/>
  <c r="Q280" i="28" a="1"/>
  <c r="Q280" i="28" s="1"/>
  <c r="BJ262" i="28" a="1"/>
  <c r="BJ262" i="28" s="1"/>
  <c r="AV261" i="28" a="1"/>
  <c r="AV261" i="28" s="1"/>
  <c r="AU259" i="28" a="1"/>
  <c r="AU259" i="28" s="1"/>
  <c r="AW257" i="28" a="1"/>
  <c r="AW257" i="28" s="1"/>
  <c r="BC236" i="28" a="1"/>
  <c r="BC236" i="28" s="1"/>
  <c r="BG233" i="28" a="1"/>
  <c r="BG233" i="28" s="1"/>
  <c r="BD230" i="28" a="1"/>
  <c r="BD230" i="28" s="1"/>
  <c r="AY229" i="28" a="1"/>
  <c r="AY229" i="28" s="1"/>
  <c r="BM227" i="28" a="1"/>
  <c r="BM227" i="28" s="1"/>
  <c r="BE226" i="28" a="1"/>
  <c r="BE226" i="28" s="1"/>
  <c r="BH222" i="28" a="1"/>
  <c r="BH222" i="28" s="1"/>
  <c r="BD221" i="28" a="1"/>
  <c r="BD221" i="28" s="1"/>
  <c r="AY201" i="28" a="1"/>
  <c r="AY201" i="28" s="1"/>
  <c r="BA200" i="28" a="1"/>
  <c r="BA200" i="28" s="1"/>
  <c r="AY199" i="28" a="1"/>
  <c r="AY199" i="28" s="1"/>
  <c r="AY196" i="28" a="1"/>
  <c r="AY196" i="28" s="1"/>
  <c r="BA195" i="28" a="1"/>
  <c r="BA195" i="28" s="1"/>
  <c r="BH194" i="28" a="1"/>
  <c r="BH194" i="28" s="1"/>
  <c r="AV193" i="28" a="1"/>
  <c r="AV193" i="28" s="1"/>
  <c r="BC192" i="28" a="1"/>
  <c r="BC192" i="28" s="1"/>
  <c r="BD190" i="28" a="1"/>
  <c r="BD190" i="28" s="1"/>
  <c r="AY187" i="28" a="1"/>
  <c r="AY187" i="28" s="1"/>
  <c r="BK186" i="28" a="1"/>
  <c r="BK186" i="28" s="1"/>
  <c r="BB166" i="28" a="1"/>
  <c r="BB166" i="28" s="1"/>
  <c r="BL165" i="28" a="1"/>
  <c r="BL165" i="28" s="1"/>
  <c r="BC164" i="28" a="1"/>
  <c r="BC164" i="28" s="1"/>
  <c r="BN163" i="28" a="1"/>
  <c r="BN163" i="28" s="1"/>
  <c r="AV163" i="28" a="1"/>
  <c r="AV163" i="28" s="1"/>
  <c r="BI162" i="28" a="1"/>
  <c r="BI162" i="28" s="1"/>
  <c r="BE161" i="28" a="1"/>
  <c r="BE161" i="28" s="1"/>
  <c r="BC160" i="28" a="1"/>
  <c r="BC160" i="28" s="1"/>
  <c r="BA159" i="28" a="1"/>
  <c r="BA159" i="28" s="1"/>
  <c r="BM158" i="28" a="1"/>
  <c r="BM158" i="28" s="1"/>
  <c r="AW158" i="28" a="1"/>
  <c r="AW158" i="28" s="1"/>
  <c r="BL157" i="28" a="1"/>
  <c r="BL157" i="28" s="1"/>
  <c r="AW157" i="28" a="1"/>
  <c r="AW157" i="28" s="1"/>
  <c r="BL156" i="28" a="1"/>
  <c r="BL156" i="28" s="1"/>
  <c r="AW156" i="28" a="1"/>
  <c r="AW156" i="28" s="1"/>
  <c r="BL155" i="28" a="1"/>
  <c r="BL155" i="28" s="1"/>
  <c r="AW155" i="28" a="1"/>
  <c r="AW155" i="28" s="1"/>
  <c r="BL154" i="28" a="1"/>
  <c r="BL154" i="28" s="1"/>
  <c r="AW154" i="28" a="1"/>
  <c r="AW154" i="28" s="1"/>
  <c r="BL153" i="28" a="1"/>
  <c r="BL153" i="28" s="1"/>
  <c r="AX153" i="28" a="1"/>
  <c r="AX153" i="28" s="1"/>
  <c r="BN152" i="28" a="1"/>
  <c r="BN152" i="28" s="1"/>
  <c r="AZ152" i="28" a="1"/>
  <c r="AZ152" i="28" s="1"/>
  <c r="BB151" i="28" a="1"/>
  <c r="BB151" i="28" s="1"/>
  <c r="BD255" i="28" a="1"/>
  <c r="BD255" i="28" s="1"/>
  <c r="BE220" i="28" a="1"/>
  <c r="BE220" i="28" s="1"/>
  <c r="BF185" i="28" a="1"/>
  <c r="BF185" i="28" s="1"/>
  <c r="BG150" i="28" a="1"/>
  <c r="BG150" i="28" s="1"/>
  <c r="O285" i="28" a="1"/>
  <c r="O285" i="28" s="1"/>
  <c r="A285" i="28" a="1"/>
  <c r="A285" i="28" s="1"/>
  <c r="D284" i="28" a="1"/>
  <c r="D284" i="28" s="1"/>
  <c r="G283" i="28" a="1"/>
  <c r="G283" i="28" s="1"/>
  <c r="J282" i="28" a="1"/>
  <c r="J282" i="28" s="1"/>
  <c r="M281" i="28" a="1"/>
  <c r="M281" i="28" s="1"/>
  <c r="P280" i="28" a="1"/>
  <c r="P280" i="28" s="1"/>
  <c r="BM270" i="28" a="1"/>
  <c r="BM270" i="28" s="1"/>
  <c r="BN264" i="28" a="1"/>
  <c r="BN264" i="28" s="1"/>
  <c r="BE262" i="28" a="1"/>
  <c r="BE262" i="28" s="1"/>
  <c r="BL260" i="28" a="1"/>
  <c r="BL260" i="28" s="1"/>
  <c r="AU257" i="28" a="1"/>
  <c r="AU257" i="28" s="1"/>
  <c r="BA236" i="28" a="1"/>
  <c r="BA236" i="28" s="1"/>
  <c r="BF233" i="28" a="1"/>
  <c r="BF233" i="28" s="1"/>
  <c r="BC230" i="28" a="1"/>
  <c r="BC230" i="28" s="1"/>
  <c r="BL227" i="28" a="1"/>
  <c r="BL227" i="28" s="1"/>
  <c r="AX226" i="28" a="1"/>
  <c r="AX226" i="28" s="1"/>
  <c r="BF223" i="28" a="1"/>
  <c r="BF223" i="28" s="1"/>
  <c r="BG222" i="28" a="1"/>
  <c r="BG222" i="28" s="1"/>
  <c r="BC221" i="28" a="1"/>
  <c r="BC221" i="28" s="1"/>
  <c r="AX201" i="28" a="1"/>
  <c r="AX201" i="28" s="1"/>
  <c r="AV199" i="28" a="1"/>
  <c r="AV199" i="28" s="1"/>
  <c r="AZ195" i="28" a="1"/>
  <c r="AZ195" i="28" s="1"/>
  <c r="BF194" i="28" a="1"/>
  <c r="BF194" i="28" s="1"/>
  <c r="BB192" i="28" a="1"/>
  <c r="BB192" i="28" s="1"/>
  <c r="BN191" i="28" a="1"/>
  <c r="BN191" i="28" s="1"/>
  <c r="BC190" i="28" a="1"/>
  <c r="BC190" i="28" s="1"/>
  <c r="BL189" i="28" a="1"/>
  <c r="BL189" i="28" s="1"/>
  <c r="BF188" i="28" a="1"/>
  <c r="BF188" i="28" s="1"/>
  <c r="AX187" i="28" a="1"/>
  <c r="AX187" i="28" s="1"/>
  <c r="BI186" i="28" a="1"/>
  <c r="BI186" i="28" s="1"/>
  <c r="BA166" i="28" a="1"/>
  <c r="BA166" i="28" s="1"/>
  <c r="BJ165" i="28" a="1"/>
  <c r="BJ165" i="28" s="1"/>
  <c r="BA164" i="28" a="1"/>
  <c r="BA164" i="28" s="1"/>
  <c r="BL163" i="28" a="1"/>
  <c r="BL163" i="28" s="1"/>
  <c r="AU163" i="28" a="1"/>
  <c r="AU163" i="28" s="1"/>
  <c r="BG162" i="28" a="1"/>
  <c r="BG162" i="28" s="1"/>
  <c r="BD161" i="28" a="1"/>
  <c r="BD161" i="28" s="1"/>
  <c r="BB160" i="28" a="1"/>
  <c r="BB160" i="28" s="1"/>
  <c r="AY159" i="28" a="1"/>
  <c r="AY159" i="28" s="1"/>
  <c r="BL158" i="28" a="1"/>
  <c r="BL158" i="28" s="1"/>
  <c r="AV158" i="28" a="1"/>
  <c r="AV158" i="28" s="1"/>
  <c r="BK157" i="28" a="1"/>
  <c r="BK157" i="28" s="1"/>
  <c r="AV157" i="28" a="1"/>
  <c r="AV157" i="28" s="1"/>
  <c r="BK156" i="28" a="1"/>
  <c r="BK156" i="28" s="1"/>
  <c r="AV156" i="28" a="1"/>
  <c r="AV156" i="28" s="1"/>
  <c r="BK155" i="28" a="1"/>
  <c r="BK155" i="28" s="1"/>
  <c r="AV155" i="28" a="1"/>
  <c r="AV155" i="28" s="1"/>
  <c r="BK154" i="28" a="1"/>
  <c r="BK154" i="28" s="1"/>
  <c r="AU154" i="28" a="1"/>
  <c r="AU154" i="28" s="1"/>
  <c r="BK153" i="28" a="1"/>
  <c r="BK153" i="28" s="1"/>
  <c r="AW153" i="28" a="1"/>
  <c r="AW153" i="28" s="1"/>
  <c r="BM152" i="28" a="1"/>
  <c r="BM152" i="28" s="1"/>
  <c r="AY152" i="28" a="1"/>
  <c r="AY152" i="28" s="1"/>
  <c r="BA151" i="28" a="1"/>
  <c r="BA151" i="28" s="1"/>
  <c r="BC255" i="28" a="1"/>
  <c r="BC255" i="28" s="1"/>
  <c r="BD220" i="28" a="1"/>
  <c r="BD220" i="28" s="1"/>
  <c r="BE185" i="28" a="1"/>
  <c r="BE185" i="28" s="1"/>
  <c r="BF150" i="28" a="1"/>
  <c r="BF150" i="28" s="1"/>
  <c r="N285" i="28" a="1"/>
  <c r="N285" i="28" s="1"/>
  <c r="Q284" i="28" a="1"/>
  <c r="Q284" i="28" s="1"/>
  <c r="C284" i="28" a="1"/>
  <c r="C284" i="28" s="1"/>
  <c r="F283" i="28" a="1"/>
  <c r="F283" i="28" s="1"/>
  <c r="I282" i="28" a="1"/>
  <c r="I282" i="28" s="1"/>
  <c r="L281" i="28" a="1"/>
  <c r="L281" i="28" s="1"/>
  <c r="BL270" i="28" a="1"/>
  <c r="BL270" i="28" s="1"/>
  <c r="BE268" i="28" a="1"/>
  <c r="BE268" i="28" s="1"/>
  <c r="BN266" i="28" a="1"/>
  <c r="BN266" i="28" s="1"/>
  <c r="BM264" i="28" a="1"/>
  <c r="BM264" i="28" s="1"/>
  <c r="BD262" i="28" a="1"/>
  <c r="BD262" i="28" s="1"/>
  <c r="BH260" i="28" a="1"/>
  <c r="BH260" i="28" s="1"/>
  <c r="AZ236" i="28" a="1"/>
  <c r="AZ236" i="28" s="1"/>
  <c r="BJ234" i="28" a="1"/>
  <c r="BJ234" i="28" s="1"/>
  <c r="BD233" i="28" a="1"/>
  <c r="BD233" i="28" s="1"/>
  <c r="BB230" i="28" a="1"/>
  <c r="BB230" i="28" s="1"/>
  <c r="BJ227" i="28" a="1"/>
  <c r="BJ227" i="28" s="1"/>
  <c r="AW226" i="28" a="1"/>
  <c r="AW226" i="28" s="1"/>
  <c r="BD223" i="28" a="1"/>
  <c r="BD223" i="28" s="1"/>
  <c r="BE222" i="28" a="1"/>
  <c r="BE222" i="28" s="1"/>
  <c r="BB221" i="28" a="1"/>
  <c r="BB221" i="28" s="1"/>
  <c r="AW201" i="28" a="1"/>
  <c r="AW201" i="28" s="1"/>
  <c r="AY195" i="28" a="1"/>
  <c r="AY195" i="28" s="1"/>
  <c r="BD194" i="28" a="1"/>
  <c r="BD194" i="28" s="1"/>
  <c r="BN193" i="28" a="1"/>
  <c r="BN193" i="28" s="1"/>
  <c r="BA192" i="28" a="1"/>
  <c r="BA192" i="28" s="1"/>
  <c r="BL191" i="28" a="1"/>
  <c r="BL191" i="28" s="1"/>
  <c r="BB190" i="28" a="1"/>
  <c r="BB190" i="28" s="1"/>
  <c r="BK189" i="28" a="1"/>
  <c r="BK189" i="28" s="1"/>
  <c r="BD188" i="28" a="1"/>
  <c r="BD188" i="28" s="1"/>
  <c r="BN187" i="28" a="1"/>
  <c r="BN187" i="28" s="1"/>
  <c r="AW187" i="28" a="1"/>
  <c r="AW187" i="28" s="1"/>
  <c r="BH186" i="28" a="1"/>
  <c r="BH186" i="28" s="1"/>
  <c r="AY166" i="28" a="1"/>
  <c r="AY166" i="28" s="1"/>
  <c r="BH165" i="28" a="1"/>
  <c r="BH165" i="28" s="1"/>
  <c r="AZ164" i="28" a="1"/>
  <c r="AZ164" i="28" s="1"/>
  <c r="BK163" i="28" a="1"/>
  <c r="BK163" i="28" s="1"/>
  <c r="BE162" i="28" a="1"/>
  <c r="BE162" i="28" s="1"/>
  <c r="BC161" i="28" a="1"/>
  <c r="BC161" i="28" s="1"/>
  <c r="BA160" i="28" a="1"/>
  <c r="BA160" i="28" s="1"/>
  <c r="AW159" i="28" a="1"/>
  <c r="AW159" i="28" s="1"/>
  <c r="BK158" i="28" a="1"/>
  <c r="BK158" i="28" s="1"/>
  <c r="AU158" i="28" a="1"/>
  <c r="AU158" i="28" s="1"/>
  <c r="BJ157" i="28" a="1"/>
  <c r="BJ157" i="28" s="1"/>
  <c r="AU157" i="28" a="1"/>
  <c r="AU157" i="28" s="1"/>
  <c r="BJ156" i="28" a="1"/>
  <c r="BJ156" i="28" s="1"/>
  <c r="AU156" i="28" a="1"/>
  <c r="AU156" i="28" s="1"/>
  <c r="BJ155" i="28" a="1"/>
  <c r="BJ155" i="28" s="1"/>
  <c r="AU155" i="28" a="1"/>
  <c r="AU155" i="28" s="1"/>
  <c r="BI154" i="28" a="1"/>
  <c r="BI154" i="28" s="1"/>
  <c r="BJ153" i="28" a="1"/>
  <c r="BJ153" i="28" s="1"/>
  <c r="AV153" i="28" a="1"/>
  <c r="AV153" i="28" s="1"/>
  <c r="BL152" i="28" a="1"/>
  <c r="BL152" i="28" s="1"/>
  <c r="AX152" i="28" a="1"/>
  <c r="AX152" i="28" s="1"/>
  <c r="BN151" i="28" a="1"/>
  <c r="BN151" i="28" s="1"/>
  <c r="AZ151" i="28" a="1"/>
  <c r="AZ151" i="28" s="1"/>
  <c r="BB255" i="28" a="1"/>
  <c r="BB255" i="28" s="1"/>
  <c r="BC220" i="28" a="1"/>
  <c r="BC220" i="28" s="1"/>
  <c r="BD185" i="28" a="1"/>
  <c r="BD185" i="28" s="1"/>
  <c r="BE150" i="28" a="1"/>
  <c r="BE150" i="28" s="1"/>
  <c r="M285" i="28" a="1"/>
  <c r="M285" i="28" s="1"/>
  <c r="P284" i="28" a="1"/>
  <c r="P284" i="28" s="1"/>
  <c r="B284" i="28" a="1"/>
  <c r="B284" i="28" s="1"/>
  <c r="E283" i="28" a="1"/>
  <c r="E283" i="28" s="1"/>
  <c r="H282" i="28" a="1"/>
  <c r="H282" i="28" s="1"/>
  <c r="K281" i="28" a="1"/>
  <c r="K281" i="28" s="1"/>
  <c r="BI270" i="28" a="1"/>
  <c r="BI270" i="28" s="1"/>
  <c r="BA268" i="28" a="1"/>
  <c r="BA268" i="28" s="1"/>
  <c r="AU266" i="28" a="1"/>
  <c r="AU266" i="28" s="1"/>
  <c r="BD264" i="28" a="1"/>
  <c r="BD264" i="28" s="1"/>
  <c r="BB262" i="28" a="1"/>
  <c r="BB262" i="28" s="1"/>
  <c r="BA260" i="28" a="1"/>
  <c r="BA260" i="28" s="1"/>
  <c r="BC258" i="28" a="1"/>
  <c r="BC258" i="28" s="1"/>
  <c r="BE234" i="28" a="1"/>
  <c r="BE234" i="28" s="1"/>
  <c r="BL231" i="28" a="1"/>
  <c r="BL231" i="28" s="1"/>
  <c r="AZ230" i="28" a="1"/>
  <c r="AZ230" i="28" s="1"/>
  <c r="BK228" i="28" a="1"/>
  <c r="BK228" i="28" s="1"/>
  <c r="AW227" i="28" a="1"/>
  <c r="AW227" i="28" s="1"/>
  <c r="BB223" i="28" a="1"/>
  <c r="BB223" i="28" s="1"/>
  <c r="AX222" i="28" a="1"/>
  <c r="AX222" i="28" s="1"/>
  <c r="AX221" i="28" a="1"/>
  <c r="AX221" i="28" s="1"/>
  <c r="BB194" i="28" a="1"/>
  <c r="BB194" i="28" s="1"/>
  <c r="BK193" i="28" a="1"/>
  <c r="BK193" i="28" s="1"/>
  <c r="AY192" i="28" a="1"/>
  <c r="AY192" i="28" s="1"/>
  <c r="BI191" i="28" a="1"/>
  <c r="BI191" i="28" s="1"/>
  <c r="AY190" i="28" a="1"/>
  <c r="AY190" i="28" s="1"/>
  <c r="BG189" i="28" a="1"/>
  <c r="BG189" i="28" s="1"/>
  <c r="BA188" i="28" a="1"/>
  <c r="BA188" i="28" s="1"/>
  <c r="BL187" i="28" a="1"/>
  <c r="BL187" i="28" s="1"/>
  <c r="BD186" i="28" a="1"/>
  <c r="BD186" i="28" s="1"/>
  <c r="AV166" i="28" a="1"/>
  <c r="AV166" i="28" s="1"/>
  <c r="BF165" i="28" a="1"/>
  <c r="BF165" i="28" s="1"/>
  <c r="AV164" i="28" a="1"/>
  <c r="AV164" i="28" s="1"/>
  <c r="BI163" i="28" a="1"/>
  <c r="BI163" i="28" s="1"/>
  <c r="BC162" i="28" a="1"/>
  <c r="BC162" i="28" s="1"/>
  <c r="BA161" i="28" a="1"/>
  <c r="BA161" i="28" s="1"/>
  <c r="AY160" i="28" a="1"/>
  <c r="AY160" i="28" s="1"/>
  <c r="BK159" i="28" a="1"/>
  <c r="BK159" i="28" s="1"/>
  <c r="AU159" i="28" a="1"/>
  <c r="AU159" i="28" s="1"/>
  <c r="BI158" i="28" a="1"/>
  <c r="BI158" i="28" s="1"/>
  <c r="BH157" i="28" a="1"/>
  <c r="BH157" i="28" s="1"/>
  <c r="BH156" i="28" a="1"/>
  <c r="BH156" i="28" s="1"/>
  <c r="BG155" i="28" a="1"/>
  <c r="BG155" i="28" s="1"/>
  <c r="BG154" i="28" a="1"/>
  <c r="BG154" i="28" s="1"/>
  <c r="BH153" i="28" a="1"/>
  <c r="BH153" i="28" s="1"/>
  <c r="BJ152" i="28" a="1"/>
  <c r="BJ152" i="28" s="1"/>
  <c r="AV152" i="28" a="1"/>
  <c r="AV152" i="28" s="1"/>
  <c r="BL151" i="28" a="1"/>
  <c r="BL151" i="28" s="1"/>
  <c r="AX151" i="28" a="1"/>
  <c r="AX151" i="28" s="1"/>
  <c r="BN255" i="28" a="1"/>
  <c r="BN255" i="28" s="1"/>
  <c r="AZ255" i="28" a="1"/>
  <c r="AZ255" i="28" s="1"/>
  <c r="BA220" i="28" a="1"/>
  <c r="BA220" i="28" s="1"/>
  <c r="BB185" i="28" a="1"/>
  <c r="BB185" i="28" s="1"/>
  <c r="BC150" i="28" a="1"/>
  <c r="BC150" i="28" s="1"/>
  <c r="K285" i="28" a="1"/>
  <c r="K285" i="28" s="1"/>
  <c r="BH270" i="28" a="1"/>
  <c r="BH270" i="28" s="1"/>
  <c r="AY268" i="28" a="1"/>
  <c r="AY268" i="28" s="1"/>
  <c r="BA262" i="28" a="1"/>
  <c r="BA262" i="28" s="1"/>
  <c r="AY260" i="28" a="1"/>
  <c r="AY260" i="28" s="1"/>
  <c r="BB258" i="28" a="1"/>
  <c r="BB258" i="28" s="1"/>
  <c r="BG256" i="28" a="1"/>
  <c r="BG256" i="28" s="1"/>
  <c r="BD234" i="28" a="1"/>
  <c r="BD234" i="28" s="1"/>
  <c r="BD231" i="28" a="1"/>
  <c r="BD231" i="28" s="1"/>
  <c r="AY230" i="28" a="1"/>
  <c r="AY230" i="28" s="1"/>
  <c r="BJ228" i="28" a="1"/>
  <c r="BJ228" i="28" s="1"/>
  <c r="AV227" i="28" a="1"/>
  <c r="AV227" i="28" s="1"/>
  <c r="BJ224" i="28" a="1"/>
  <c r="BJ224" i="28" s="1"/>
  <c r="BA223" i="28" a="1"/>
  <c r="BA223" i="28" s="1"/>
  <c r="BK197" i="28" a="1"/>
  <c r="BK197" i="28" s="1"/>
  <c r="BA194" i="28" a="1"/>
  <c r="BA194" i="28" s="1"/>
  <c r="BI193" i="28" a="1"/>
  <c r="BI193" i="28" s="1"/>
  <c r="AX192" i="28" a="1"/>
  <c r="AX192" i="28" s="1"/>
  <c r="BF191" i="28" a="1"/>
  <c r="BF191" i="28" s="1"/>
  <c r="AV190" i="28" a="1"/>
  <c r="AV190" i="28" s="1"/>
  <c r="BF189" i="28" a="1"/>
  <c r="BF189" i="28" s="1"/>
  <c r="AY188" i="28" a="1"/>
  <c r="AY188" i="28" s="1"/>
  <c r="BK187" i="28" a="1"/>
  <c r="BK187" i="28" s="1"/>
  <c r="BC186" i="28" a="1"/>
  <c r="BC186" i="28" s="1"/>
  <c r="BE165" i="28" a="1"/>
  <c r="BE165" i="28" s="1"/>
  <c r="AU164" i="28" a="1"/>
  <c r="AU164" i="28" s="1"/>
  <c r="BH163" i="28" a="1"/>
  <c r="BH163" i="28" s="1"/>
  <c r="BB162" i="28" a="1"/>
  <c r="BB162" i="28" s="1"/>
  <c r="AZ161" i="28" a="1"/>
  <c r="AZ161" i="28" s="1"/>
  <c r="BN160" i="28" a="1"/>
  <c r="BN160" i="28" s="1"/>
  <c r="AW160" i="28" a="1"/>
  <c r="AW160" i="28" s="1"/>
  <c r="BJ159" i="28" a="1"/>
  <c r="BJ159" i="28" s="1"/>
  <c r="BH158" i="28" a="1"/>
  <c r="BH158" i="28" s="1"/>
  <c r="BG157" i="28" a="1"/>
  <c r="BG157" i="28" s="1"/>
  <c r="BG156" i="28" a="1"/>
  <c r="BG156" i="28" s="1"/>
  <c r="BF155" i="28" a="1"/>
  <c r="BF155" i="28" s="1"/>
  <c r="BF154" i="28" a="1"/>
  <c r="BF154" i="28" s="1"/>
  <c r="BG153" i="28" a="1"/>
  <c r="BG153" i="28" s="1"/>
  <c r="BI152" i="28" a="1"/>
  <c r="BI152" i="28" s="1"/>
  <c r="AU152" i="28" a="1"/>
  <c r="AU152" i="28" s="1"/>
  <c r="BK151" i="28" a="1"/>
  <c r="BK151" i="28" s="1"/>
  <c r="AW151" i="28" a="1"/>
  <c r="AW151" i="28" s="1"/>
  <c r="BM255" i="28" a="1"/>
  <c r="BM255" i="28" s="1"/>
  <c r="AY255" i="28" a="1"/>
  <c r="AY255" i="28" s="1"/>
  <c r="BN220" i="28" a="1"/>
  <c r="BN220" i="28" s="1"/>
  <c r="AZ220" i="28" a="1"/>
  <c r="AZ220" i="28" s="1"/>
  <c r="BA185" i="28" a="1"/>
  <c r="BA185" i="28" s="1"/>
  <c r="BB150" i="28" a="1"/>
  <c r="BB150" i="28" s="1"/>
  <c r="J285" i="28" a="1"/>
  <c r="J285" i="28" s="1"/>
  <c r="M284" i="28" a="1"/>
  <c r="M284" i="28" s="1"/>
  <c r="P283" i="28" a="1"/>
  <c r="P283" i="28" s="1"/>
  <c r="B283" i="28" a="1"/>
  <c r="B283" i="28" s="1"/>
  <c r="E282" i="28" a="1"/>
  <c r="E282" i="28" s="1"/>
  <c r="H281" i="28" a="1"/>
  <c r="H281" i="28" s="1"/>
  <c r="BD271" i="28" a="1"/>
  <c r="BD271" i="28" s="1"/>
  <c r="BA267" i="28" a="1"/>
  <c r="BA267" i="28" s="1"/>
  <c r="BJ263" i="28" a="1"/>
  <c r="BJ263" i="28" s="1"/>
  <c r="AU260" i="28" a="1"/>
  <c r="AU260" i="28" s="1"/>
  <c r="BA257" i="28" a="1"/>
  <c r="BA257" i="28" s="1"/>
  <c r="BC235" i="28" a="1"/>
  <c r="BC235" i="28" s="1"/>
  <c r="BG225" i="28" a="1"/>
  <c r="BG225" i="28" s="1"/>
  <c r="BE200" i="28" a="1"/>
  <c r="BE200" i="28" s="1"/>
  <c r="BE198" i="28" a="1"/>
  <c r="BE198" i="28" s="1"/>
  <c r="BG196" i="28" a="1"/>
  <c r="BG196" i="28" s="1"/>
  <c r="BK192" i="28" a="1"/>
  <c r="BK192" i="28" s="1"/>
  <c r="BB191" i="28" a="1"/>
  <c r="BB191" i="28" s="1"/>
  <c r="AW189" i="28" a="1"/>
  <c r="AW189" i="28" s="1"/>
  <c r="BM166" i="28" a="1"/>
  <c r="BM166" i="28" s="1"/>
  <c r="BH164" i="28" a="1"/>
  <c r="BH164" i="28" s="1"/>
  <c r="BC163" i="28" a="1"/>
  <c r="BC163" i="28" s="1"/>
  <c r="BA162" i="28" a="1"/>
  <c r="BA162" i="28" s="1"/>
  <c r="BG161" i="28" a="1"/>
  <c r="BG161" i="28" s="1"/>
  <c r="BG160" i="28" a="1"/>
  <c r="BG160" i="28" s="1"/>
  <c r="BG159" i="28" a="1"/>
  <c r="BG159" i="28" s="1"/>
  <c r="BG158" i="28" a="1"/>
  <c r="BG158" i="28" s="1"/>
  <c r="BN157" i="28" a="1"/>
  <c r="BN157" i="28" s="1"/>
  <c r="AY154" i="28" a="1"/>
  <c r="AY154" i="28" s="1"/>
  <c r="BB153" i="28" a="1"/>
  <c r="BB153" i="28" s="1"/>
  <c r="BF152" i="28" a="1"/>
  <c r="BF152" i="28" s="1"/>
  <c r="BJ151" i="28" a="1"/>
  <c r="BJ151" i="28" s="1"/>
  <c r="AW220" i="28" a="1"/>
  <c r="AW220" i="28" s="1"/>
  <c r="AZ185" i="28" a="1"/>
  <c r="AZ185" i="28" s="1"/>
  <c r="BI150" i="28" a="1"/>
  <c r="BI150" i="28" s="1"/>
  <c r="K284" i="28" a="1"/>
  <c r="K284" i="28" s="1"/>
  <c r="I283" i="28" a="1"/>
  <c r="I283" i="28" s="1"/>
  <c r="B282" i="28" a="1"/>
  <c r="B282" i="28" s="1"/>
  <c r="O280" i="28" a="1"/>
  <c r="O280" i="28" s="1"/>
  <c r="A280" i="28" a="1"/>
  <c r="A280" i="28" s="1"/>
  <c r="D279" i="28" a="1"/>
  <c r="D279" i="28" s="1"/>
  <c r="G278" i="28" a="1"/>
  <c r="G278" i="28" s="1"/>
  <c r="J277" i="28" a="1"/>
  <c r="J277" i="28" s="1"/>
  <c r="M276" i="28" a="1"/>
  <c r="M276" i="28" s="1"/>
  <c r="P275" i="28" a="1"/>
  <c r="P275" i="28" s="1"/>
  <c r="B275" i="28" a="1"/>
  <c r="B275" i="28" s="1"/>
  <c r="E274" i="28" a="1"/>
  <c r="E274" i="28" s="1"/>
  <c r="H273" i="28" a="1"/>
  <c r="H273" i="28" s="1"/>
  <c r="K272" i="28" a="1"/>
  <c r="K272" i="28" s="1"/>
  <c r="N271" i="28" a="1"/>
  <c r="N271" i="28" s="1"/>
  <c r="Q270" i="28" a="1"/>
  <c r="Q270" i="28" s="1"/>
  <c r="C270" i="28" a="1"/>
  <c r="C270" i="28" s="1"/>
  <c r="F269" i="28" a="1"/>
  <c r="F269" i="28" s="1"/>
  <c r="I268" i="28" a="1"/>
  <c r="I268" i="28" s="1"/>
  <c r="L267" i="28" a="1"/>
  <c r="L267" i="28" s="1"/>
  <c r="O266" i="28" a="1"/>
  <c r="O266" i="28" s="1"/>
  <c r="A266" i="28" a="1"/>
  <c r="A266" i="28" s="1"/>
  <c r="D265" i="28" a="1"/>
  <c r="D265" i="28" s="1"/>
  <c r="G264" i="28" a="1"/>
  <c r="G264" i="28" s="1"/>
  <c r="J263" i="28" a="1"/>
  <c r="J263" i="28" s="1"/>
  <c r="M262" i="28" a="1"/>
  <c r="M262" i="28" s="1"/>
  <c r="P261" i="28" a="1"/>
  <c r="P261" i="28" s="1"/>
  <c r="B261" i="28" a="1"/>
  <c r="B261" i="28" s="1"/>
  <c r="E260" i="28" a="1"/>
  <c r="E260" i="28" s="1"/>
  <c r="H259" i="28" a="1"/>
  <c r="H259" i="28" s="1"/>
  <c r="K258" i="28" a="1"/>
  <c r="K258" i="28" s="1"/>
  <c r="N257" i="28" a="1"/>
  <c r="N257" i="28" s="1"/>
  <c r="Q250" i="28" a="1"/>
  <c r="Q250" i="28" s="1"/>
  <c r="C250" i="28" a="1"/>
  <c r="C250" i="28" s="1"/>
  <c r="F249" i="28" a="1"/>
  <c r="F249" i="28" s="1"/>
  <c r="I248" i="28" a="1"/>
  <c r="I248" i="28" s="1"/>
  <c r="L247" i="28" a="1"/>
  <c r="L247" i="28" s="1"/>
  <c r="O246" i="28" a="1"/>
  <c r="O246" i="28" s="1"/>
  <c r="A246" i="28" a="1"/>
  <c r="A246" i="28" s="1"/>
  <c r="AY270" i="28" a="1"/>
  <c r="AY270" i="28" s="1"/>
  <c r="AW267" i="28" a="1"/>
  <c r="AW267" i="28" s="1"/>
  <c r="BH263" i="28" a="1"/>
  <c r="BH263" i="28" s="1"/>
  <c r="BC256" i="28" a="1"/>
  <c r="BC256" i="28" s="1"/>
  <c r="BH232" i="28" a="1"/>
  <c r="BH232" i="28" s="1"/>
  <c r="BM229" i="28" a="1"/>
  <c r="BM229" i="28" s="1"/>
  <c r="AU227" i="28" a="1"/>
  <c r="AU227" i="28" s="1"/>
  <c r="BB225" i="28" a="1"/>
  <c r="BB225" i="28" s="1"/>
  <c r="AU198" i="28" a="1"/>
  <c r="AU198" i="28" s="1"/>
  <c r="BE196" i="28" a="1"/>
  <c r="BE196" i="28" s="1"/>
  <c r="BH193" i="28" a="1"/>
  <c r="BH193" i="28" s="1"/>
  <c r="BH192" i="28" a="1"/>
  <c r="BH192" i="28" s="1"/>
  <c r="AZ191" i="28" a="1"/>
  <c r="AZ191" i="28" s="1"/>
  <c r="BJ166" i="28" a="1"/>
  <c r="BJ166" i="28" s="1"/>
  <c r="BD165" i="28" a="1"/>
  <c r="BD165" i="28" s="1"/>
  <c r="BF164" i="28" a="1"/>
  <c r="BF164" i="28" s="1"/>
  <c r="BA163" i="28" a="1"/>
  <c r="BA163" i="28" s="1"/>
  <c r="AY162" i="28" a="1"/>
  <c r="AY162" i="28" s="1"/>
  <c r="AY161" i="28" a="1"/>
  <c r="AY161" i="28" s="1"/>
  <c r="BE160" i="28" a="1"/>
  <c r="BE160" i="28" s="1"/>
  <c r="BE159" i="28" a="1"/>
  <c r="BE159" i="28" s="1"/>
  <c r="BE158" i="28" a="1"/>
  <c r="BE158" i="28" s="1"/>
  <c r="BF157" i="28" a="1"/>
  <c r="BF157" i="28" s="1"/>
  <c r="BN156" i="28" a="1"/>
  <c r="BN156" i="28" s="1"/>
  <c r="AZ153" i="28" a="1"/>
  <c r="AZ153" i="28" s="1"/>
  <c r="BD152" i="28" a="1"/>
  <c r="BD152" i="28" s="1"/>
  <c r="BH151" i="28" a="1"/>
  <c r="BH151" i="28" s="1"/>
  <c r="BL255" i="28" a="1"/>
  <c r="BL255" i="28" s="1"/>
  <c r="AU220" i="28" a="1"/>
  <c r="AU220" i="28" s="1"/>
  <c r="AX185" i="28" a="1"/>
  <c r="AX185" i="28" s="1"/>
  <c r="BA150" i="28" a="1"/>
  <c r="BA150" i="28" s="1"/>
  <c r="Q285" i="28" a="1"/>
  <c r="Q285" i="28" s="1"/>
  <c r="I284" i="28" a="1"/>
  <c r="I284" i="28" s="1"/>
  <c r="C283" i="28" a="1"/>
  <c r="C283" i="28" s="1"/>
  <c r="Q281" i="28" a="1"/>
  <c r="Q281" i="28" s="1"/>
  <c r="M280" i="28" a="1"/>
  <c r="M280" i="28" s="1"/>
  <c r="P279" i="28" a="1"/>
  <c r="P279" i="28" s="1"/>
  <c r="B279" i="28" a="1"/>
  <c r="B279" i="28" s="1"/>
  <c r="E278" i="28" a="1"/>
  <c r="E278" i="28" s="1"/>
  <c r="H277" i="28" a="1"/>
  <c r="H277" i="28" s="1"/>
  <c r="K276" i="28" a="1"/>
  <c r="K276" i="28" s="1"/>
  <c r="N275" i="28" a="1"/>
  <c r="N275" i="28" s="1"/>
  <c r="Q274" i="28" a="1"/>
  <c r="Q274" i="28" s="1"/>
  <c r="C274" i="28" a="1"/>
  <c r="C274" i="28" s="1"/>
  <c r="F273" i="28" a="1"/>
  <c r="F273" i="28" s="1"/>
  <c r="I272" i="28" a="1"/>
  <c r="I272" i="28" s="1"/>
  <c r="L271" i="28" a="1"/>
  <c r="L271" i="28" s="1"/>
  <c r="O270" i="28" a="1"/>
  <c r="O270" i="28" s="1"/>
  <c r="A270" i="28" a="1"/>
  <c r="A270" i="28" s="1"/>
  <c r="D269" i="28" a="1"/>
  <c r="D269" i="28" s="1"/>
  <c r="G268" i="28" a="1"/>
  <c r="G268" i="28" s="1"/>
  <c r="J267" i="28" a="1"/>
  <c r="J267" i="28" s="1"/>
  <c r="M266" i="28" a="1"/>
  <c r="M266" i="28" s="1"/>
  <c r="P265" i="28" a="1"/>
  <c r="P265" i="28" s="1"/>
  <c r="B265" i="28" a="1"/>
  <c r="B265" i="28" s="1"/>
  <c r="E264" i="28" a="1"/>
  <c r="E264" i="28" s="1"/>
  <c r="H263" i="28" a="1"/>
  <c r="H263" i="28" s="1"/>
  <c r="K262" i="28" a="1"/>
  <c r="K262" i="28" s="1"/>
  <c r="N261" i="28" a="1"/>
  <c r="N261" i="28" s="1"/>
  <c r="Q260" i="28" a="1"/>
  <c r="Q260" i="28" s="1"/>
  <c r="C260" i="28" a="1"/>
  <c r="C260" i="28" s="1"/>
  <c r="F259" i="28" a="1"/>
  <c r="F259" i="28" s="1"/>
  <c r="I258" i="28" a="1"/>
  <c r="I258" i="28" s="1"/>
  <c r="L257" i="28" a="1"/>
  <c r="L257" i="28" s="1"/>
  <c r="O250" i="28" a="1"/>
  <c r="O250" i="28" s="1"/>
  <c r="A250" i="28" a="1"/>
  <c r="A250" i="28" s="1"/>
  <c r="D249" i="28" a="1"/>
  <c r="D249" i="28" s="1"/>
  <c r="G248" i="28" a="1"/>
  <c r="G248" i="28" s="1"/>
  <c r="J247" i="28" a="1"/>
  <c r="J247" i="28" s="1"/>
  <c r="M246" i="28" a="1"/>
  <c r="M246" i="28" s="1"/>
  <c r="P245" i="28" a="1"/>
  <c r="P245" i="28" s="1"/>
  <c r="BD266" i="28" a="1"/>
  <c r="BD266" i="28" s="1"/>
  <c r="BG263" i="28" a="1"/>
  <c r="BG263" i="28" s="1"/>
  <c r="BH259" i="28" a="1"/>
  <c r="BH259" i="28" s="1"/>
  <c r="BB256" i="28" a="1"/>
  <c r="BB256" i="28" s="1"/>
  <c r="AX232" i="28" a="1"/>
  <c r="AX232" i="28" s="1"/>
  <c r="BF229" i="28" a="1"/>
  <c r="BF229" i="28" s="1"/>
  <c r="BN201" i="28" a="1"/>
  <c r="BN201" i="28" s="1"/>
  <c r="BD196" i="28" a="1"/>
  <c r="BD196" i="28" s="1"/>
  <c r="BF193" i="28" a="1"/>
  <c r="BF193" i="28" s="1"/>
  <c r="AZ192" i="28" a="1"/>
  <c r="AZ192" i="28" s="1"/>
  <c r="AY191" i="28" a="1"/>
  <c r="AY191" i="28" s="1"/>
  <c r="BM187" i="28" a="1"/>
  <c r="BM187" i="28" s="1"/>
  <c r="BH166" i="28" a="1"/>
  <c r="BH166" i="28" s="1"/>
  <c r="BC165" i="28" a="1"/>
  <c r="BC165" i="28" s="1"/>
  <c r="AX164" i="28" a="1"/>
  <c r="AX164" i="28" s="1"/>
  <c r="AZ163" i="28" a="1"/>
  <c r="AZ163" i="28" s="1"/>
  <c r="AX162" i="28" a="1"/>
  <c r="AX162" i="28" s="1"/>
  <c r="AX161" i="28" a="1"/>
  <c r="AX161" i="28" s="1"/>
  <c r="AZ160" i="28" a="1"/>
  <c r="AZ160" i="28" s="1"/>
  <c r="BD159" i="28" a="1"/>
  <c r="BD159" i="28" s="1"/>
  <c r="BD158" i="28" a="1"/>
  <c r="BD158" i="28" s="1"/>
  <c r="BE157" i="28" a="1"/>
  <c r="BE157" i="28" s="1"/>
  <c r="BI156" i="28" a="1"/>
  <c r="BI156" i="28" s="1"/>
  <c r="AU153" i="28" a="1"/>
  <c r="AU153" i="28" s="1"/>
  <c r="BC152" i="28" a="1"/>
  <c r="BC152" i="28" s="1"/>
  <c r="BG151" i="28" a="1"/>
  <c r="BG151" i="28" s="1"/>
  <c r="BK255" i="28" a="1"/>
  <c r="BK255" i="28" s="1"/>
  <c r="AW185" i="28" a="1"/>
  <c r="AW185" i="28" s="1"/>
  <c r="AZ150" i="28" a="1"/>
  <c r="AZ150" i="28" s="1"/>
  <c r="L285" i="28" a="1"/>
  <c r="L285" i="28" s="1"/>
  <c r="H284" i="28" a="1"/>
  <c r="H284" i="28" s="1"/>
  <c r="A283" i="28" a="1"/>
  <c r="A283" i="28" s="1"/>
  <c r="P281" i="28" a="1"/>
  <c r="P281" i="28" s="1"/>
  <c r="L280" i="28" a="1"/>
  <c r="L280" i="28" s="1"/>
  <c r="O279" i="28" a="1"/>
  <c r="O279" i="28" s="1"/>
  <c r="A279" i="28" a="1"/>
  <c r="A279" i="28" s="1"/>
  <c r="D278" i="28" a="1"/>
  <c r="D278" i="28" s="1"/>
  <c r="G277" i="28" a="1"/>
  <c r="G277" i="28" s="1"/>
  <c r="J276" i="28" a="1"/>
  <c r="J276" i="28" s="1"/>
  <c r="M275" i="28" a="1"/>
  <c r="M275" i="28" s="1"/>
  <c r="P274" i="28" a="1"/>
  <c r="P274" i="28" s="1"/>
  <c r="B274" i="28" a="1"/>
  <c r="B274" i="28" s="1"/>
  <c r="E273" i="28" a="1"/>
  <c r="E273" i="28" s="1"/>
  <c r="H272" i="28" a="1"/>
  <c r="H272" i="28" s="1"/>
  <c r="K271" i="28" a="1"/>
  <c r="K271" i="28" s="1"/>
  <c r="N270" i="28" a="1"/>
  <c r="N270" i="28" s="1"/>
  <c r="Q269" i="28" a="1"/>
  <c r="Q269" i="28" s="1"/>
  <c r="C269" i="28" a="1"/>
  <c r="C269" i="28" s="1"/>
  <c r="F268" i="28" a="1"/>
  <c r="F268" i="28" s="1"/>
  <c r="I267" i="28" a="1"/>
  <c r="I267" i="28" s="1"/>
  <c r="L266" i="28" a="1"/>
  <c r="L266" i="28" s="1"/>
  <c r="O265" i="28" a="1"/>
  <c r="O265" i="28" s="1"/>
  <c r="A265" i="28" a="1"/>
  <c r="A265" i="28" s="1"/>
  <c r="D264" i="28" a="1"/>
  <c r="D264" i="28" s="1"/>
  <c r="G263" i="28" a="1"/>
  <c r="G263" i="28" s="1"/>
  <c r="J262" i="28" a="1"/>
  <c r="J262" i="28" s="1"/>
  <c r="M261" i="28" a="1"/>
  <c r="M261" i="28" s="1"/>
  <c r="P260" i="28" a="1"/>
  <c r="P260" i="28" s="1"/>
  <c r="B260" i="28" a="1"/>
  <c r="B260" i="28" s="1"/>
  <c r="E259" i="28" a="1"/>
  <c r="E259" i="28" s="1"/>
  <c r="H258" i="28" a="1"/>
  <c r="H258" i="28" s="1"/>
  <c r="K257" i="28" a="1"/>
  <c r="K257" i="28" s="1"/>
  <c r="N250" i="28" a="1"/>
  <c r="N250" i="28" s="1"/>
  <c r="Q249" i="28" a="1"/>
  <c r="Q249" i="28" s="1"/>
  <c r="C249" i="28" a="1"/>
  <c r="C249" i="28" s="1"/>
  <c r="F248" i="28" a="1"/>
  <c r="F248" i="28" s="1"/>
  <c r="I247" i="28" a="1"/>
  <c r="I247" i="28" s="1"/>
  <c r="L246" i="28" a="1"/>
  <c r="L246" i="28" s="1"/>
  <c r="O245" i="28" a="1"/>
  <c r="O245" i="28" s="1"/>
  <c r="BK269" i="28" a="1"/>
  <c r="BK269" i="28" s="1"/>
  <c r="AW263" i="28" a="1"/>
  <c r="AW263" i="28" s="1"/>
  <c r="BE259" i="28" a="1"/>
  <c r="BE259" i="28" s="1"/>
  <c r="AV256" i="28" a="1"/>
  <c r="AV256" i="28" s="1"/>
  <c r="BC234" i="28" a="1"/>
  <c r="BC234" i="28" s="1"/>
  <c r="AU232" i="28" a="1"/>
  <c r="AU232" i="28" s="1"/>
  <c r="BD229" i="28" a="1"/>
  <c r="BD229" i="28" s="1"/>
  <c r="BF224" i="28" a="1"/>
  <c r="BF224" i="28" s="1"/>
  <c r="BN222" i="28" a="1"/>
  <c r="BN222" i="28" s="1"/>
  <c r="BM201" i="28" a="1"/>
  <c r="BM201" i="28" s="1"/>
  <c r="BM199" i="28" a="1"/>
  <c r="BM199" i="28" s="1"/>
  <c r="BI197" i="28" a="1"/>
  <c r="BI197" i="28" s="1"/>
  <c r="BC196" i="28" a="1"/>
  <c r="BC196" i="28" s="1"/>
  <c r="BD193" i="28" a="1"/>
  <c r="BD193" i="28" s="1"/>
  <c r="AV192" i="28" a="1"/>
  <c r="AV192" i="28" s="1"/>
  <c r="AW191" i="28" a="1"/>
  <c r="AW191" i="28" s="1"/>
  <c r="BN188" i="28" a="1"/>
  <c r="BN188" i="28" s="1"/>
  <c r="BJ187" i="28" a="1"/>
  <c r="BJ187" i="28" s="1"/>
  <c r="BN186" i="28" a="1"/>
  <c r="BN186" i="28" s="1"/>
  <c r="BF166" i="28" a="1"/>
  <c r="BF166" i="28" s="1"/>
  <c r="BA165" i="28" a="1"/>
  <c r="BA165" i="28" s="1"/>
  <c r="AX163" i="28" a="1"/>
  <c r="AX163" i="28" s="1"/>
  <c r="AW162" i="28" a="1"/>
  <c r="AW162" i="28" s="1"/>
  <c r="AW161" i="28" a="1"/>
  <c r="AW161" i="28" s="1"/>
  <c r="AU160" i="28" a="1"/>
  <c r="AU160" i="28" s="1"/>
  <c r="BC159" i="28" a="1"/>
  <c r="BC159" i="28" s="1"/>
  <c r="BC158" i="28" a="1"/>
  <c r="BC158" i="28" s="1"/>
  <c r="BC157" i="28" a="1"/>
  <c r="BC157" i="28" s="1"/>
  <c r="BE156" i="28" a="1"/>
  <c r="BE156" i="28" s="1"/>
  <c r="BN155" i="28" a="1"/>
  <c r="BN155" i="28" s="1"/>
  <c r="BB152" i="28" a="1"/>
  <c r="BB152" i="28" s="1"/>
  <c r="BF151" i="28" a="1"/>
  <c r="BF151" i="28" s="1"/>
  <c r="BJ255" i="28" a="1"/>
  <c r="BJ255" i="28" s="1"/>
  <c r="BM220" i="28" a="1"/>
  <c r="BM220" i="28" s="1"/>
  <c r="AV185" i="28" a="1"/>
  <c r="AV185" i="28" s="1"/>
  <c r="AY150" i="28" a="1"/>
  <c r="AY150" i="28" s="1"/>
  <c r="I285" i="28" a="1"/>
  <c r="I285" i="28" s="1"/>
  <c r="G284" i="28" a="1"/>
  <c r="G284" i="28" s="1"/>
  <c r="Q282" i="28" a="1"/>
  <c r="Q282" i="28" s="1"/>
  <c r="O281" i="28" a="1"/>
  <c r="O281" i="28" s="1"/>
  <c r="K280" i="28" a="1"/>
  <c r="K280" i="28" s="1"/>
  <c r="N279" i="28" a="1"/>
  <c r="N279" i="28" s="1"/>
  <c r="Q278" i="28" a="1"/>
  <c r="Q278" i="28" s="1"/>
  <c r="C278" i="28" a="1"/>
  <c r="C278" i="28" s="1"/>
  <c r="F277" i="28" a="1"/>
  <c r="F277" i="28" s="1"/>
  <c r="I276" i="28" a="1"/>
  <c r="I276" i="28" s="1"/>
  <c r="L275" i="28" a="1"/>
  <c r="L275" i="28" s="1"/>
  <c r="O274" i="28" a="1"/>
  <c r="O274" i="28" s="1"/>
  <c r="A274" i="28" a="1"/>
  <c r="A274" i="28" s="1"/>
  <c r="D273" i="28" a="1"/>
  <c r="D273" i="28" s="1"/>
  <c r="G272" i="28" a="1"/>
  <c r="G272" i="28" s="1"/>
  <c r="J271" i="28" a="1"/>
  <c r="J271" i="28" s="1"/>
  <c r="M270" i="28" a="1"/>
  <c r="M270" i="28" s="1"/>
  <c r="P269" i="28" a="1"/>
  <c r="P269" i="28" s="1"/>
  <c r="B269" i="28" a="1"/>
  <c r="B269" i="28" s="1"/>
  <c r="E268" i="28" a="1"/>
  <c r="E268" i="28" s="1"/>
  <c r="H267" i="28" a="1"/>
  <c r="H267" i="28" s="1"/>
  <c r="K266" i="28" a="1"/>
  <c r="K266" i="28" s="1"/>
  <c r="N265" i="28" a="1"/>
  <c r="N265" i="28" s="1"/>
  <c r="Q264" i="28" a="1"/>
  <c r="Q264" i="28" s="1"/>
  <c r="C264" i="28" a="1"/>
  <c r="C264" i="28" s="1"/>
  <c r="F263" i="28" a="1"/>
  <c r="F263" i="28" s="1"/>
  <c r="I262" i="28" a="1"/>
  <c r="I262" i="28" s="1"/>
  <c r="L261" i="28" a="1"/>
  <c r="L261" i="28" s="1"/>
  <c r="O260" i="28" a="1"/>
  <c r="O260" i="28" s="1"/>
  <c r="A260" i="28" a="1"/>
  <c r="A260" i="28" s="1"/>
  <c r="D259" i="28" a="1"/>
  <c r="D259" i="28" s="1"/>
  <c r="G258" i="28" a="1"/>
  <c r="G258" i="28" s="1"/>
  <c r="J257" i="28" a="1"/>
  <c r="J257" i="28" s="1"/>
  <c r="M250" i="28" a="1"/>
  <c r="M250" i="28" s="1"/>
  <c r="P249" i="28" a="1"/>
  <c r="P249" i="28" s="1"/>
  <c r="B249" i="28" a="1"/>
  <c r="B249" i="28" s="1"/>
  <c r="E248" i="28" a="1"/>
  <c r="E248" i="28" s="1"/>
  <c r="H247" i="28" a="1"/>
  <c r="H247" i="28" s="1"/>
  <c r="K246" i="28" a="1"/>
  <c r="K246" i="28" s="1"/>
  <c r="N245" i="28" a="1"/>
  <c r="N245" i="28" s="1"/>
  <c r="BH269" i="28" a="1"/>
  <c r="BH269" i="28" s="1"/>
  <c r="BC262" i="28" a="1"/>
  <c r="BC262" i="28" s="1"/>
  <c r="BD259" i="28" a="1"/>
  <c r="BD259" i="28" s="1"/>
  <c r="BB234" i="28" a="1"/>
  <c r="BB234" i="28" s="1"/>
  <c r="BC229" i="28" a="1"/>
  <c r="BC229" i="28" s="1"/>
  <c r="BA224" i="28" a="1"/>
  <c r="BA224" i="28" s="1"/>
  <c r="AZ222" i="28" a="1"/>
  <c r="AZ222" i="28" s="1"/>
  <c r="BL201" i="28" a="1"/>
  <c r="BL201" i="28" s="1"/>
  <c r="BE199" i="28" a="1"/>
  <c r="BE199" i="28" s="1"/>
  <c r="BH197" i="28" a="1"/>
  <c r="BH197" i="28" s="1"/>
  <c r="BM194" i="28" a="1"/>
  <c r="BM194" i="28" s="1"/>
  <c r="BC193" i="28" a="1"/>
  <c r="BC193" i="28" s="1"/>
  <c r="BL188" i="28" a="1"/>
  <c r="BL188" i="28" s="1"/>
  <c r="BI187" i="28" a="1"/>
  <c r="BI187" i="28" s="1"/>
  <c r="BF186" i="28" a="1"/>
  <c r="BF186" i="28" s="1"/>
  <c r="BE166" i="28" a="1"/>
  <c r="BE166" i="28" s="1"/>
  <c r="AY165" i="28" a="1"/>
  <c r="AY165" i="28" s="1"/>
  <c r="AV162" i="28" a="1"/>
  <c r="AV162" i="28" s="1"/>
  <c r="AU161" i="28" a="1"/>
  <c r="AU161" i="28" s="1"/>
  <c r="AV159" i="28" a="1"/>
  <c r="AV159" i="28" s="1"/>
  <c r="BA158" i="28" a="1"/>
  <c r="BA158" i="28" s="1"/>
  <c r="BB157" i="28" a="1"/>
  <c r="BB157" i="28" s="1"/>
  <c r="BD156" i="28" a="1"/>
  <c r="BD156" i="28" s="1"/>
  <c r="BI155" i="28" a="1"/>
  <c r="BI155" i="28" s="1"/>
  <c r="AW152" i="28" a="1"/>
  <c r="AW152" i="28" s="1"/>
  <c r="BE151" i="28" a="1"/>
  <c r="BE151" i="28" s="1"/>
  <c r="BI255" i="28" a="1"/>
  <c r="BI255" i="28" s="1"/>
  <c r="BL220" i="28" a="1"/>
  <c r="BL220" i="28" s="1"/>
  <c r="AU185" i="28" a="1"/>
  <c r="AU185" i="28" s="1"/>
  <c r="AX150" i="28" a="1"/>
  <c r="AX150" i="28" s="1"/>
  <c r="H285" i="28" a="1"/>
  <c r="H285" i="28" s="1"/>
  <c r="F284" i="28" a="1"/>
  <c r="F284" i="28" s="1"/>
  <c r="P282" i="28" a="1"/>
  <c r="P282" i="28" s="1"/>
  <c r="J281" i="28" a="1"/>
  <c r="J281" i="28" s="1"/>
  <c r="J280" i="28" a="1"/>
  <c r="J280" i="28" s="1"/>
  <c r="M279" i="28" a="1"/>
  <c r="M279" i="28" s="1"/>
  <c r="P278" i="28" a="1"/>
  <c r="P278" i="28" s="1"/>
  <c r="B278" i="28" a="1"/>
  <c r="B278" i="28" s="1"/>
  <c r="E277" i="28" a="1"/>
  <c r="E277" i="28" s="1"/>
  <c r="H276" i="28" a="1"/>
  <c r="H276" i="28" s="1"/>
  <c r="K275" i="28" a="1"/>
  <c r="K275" i="28" s="1"/>
  <c r="N274" i="28" a="1"/>
  <c r="N274" i="28" s="1"/>
  <c r="Q273" i="28" a="1"/>
  <c r="Q273" i="28" s="1"/>
  <c r="C273" i="28" a="1"/>
  <c r="C273" i="28" s="1"/>
  <c r="F272" i="28" a="1"/>
  <c r="F272" i="28" s="1"/>
  <c r="I271" i="28" a="1"/>
  <c r="I271" i="28" s="1"/>
  <c r="L270" i="28" a="1"/>
  <c r="L270" i="28" s="1"/>
  <c r="O269" i="28" a="1"/>
  <c r="O269" i="28" s="1"/>
  <c r="A269" i="28" a="1"/>
  <c r="A269" i="28" s="1"/>
  <c r="D268" i="28" a="1"/>
  <c r="D268" i="28" s="1"/>
  <c r="G267" i="28" a="1"/>
  <c r="G267" i="28" s="1"/>
  <c r="J266" i="28" a="1"/>
  <c r="J266" i="28" s="1"/>
  <c r="M265" i="28" a="1"/>
  <c r="M265" i="28" s="1"/>
  <c r="P264" i="28" a="1"/>
  <c r="P264" i="28" s="1"/>
  <c r="B264" i="28" a="1"/>
  <c r="B264" i="28" s="1"/>
  <c r="E263" i="28" a="1"/>
  <c r="E263" i="28" s="1"/>
  <c r="H262" i="28" a="1"/>
  <c r="H262" i="28" s="1"/>
  <c r="K261" i="28" a="1"/>
  <c r="K261" i="28" s="1"/>
  <c r="N260" i="28" a="1"/>
  <c r="N260" i="28" s="1"/>
  <c r="Q259" i="28" a="1"/>
  <c r="Q259" i="28" s="1"/>
  <c r="C259" i="28" a="1"/>
  <c r="C259" i="28" s="1"/>
  <c r="F258" i="28" a="1"/>
  <c r="F258" i="28" s="1"/>
  <c r="I257" i="28" a="1"/>
  <c r="I257" i="28" s="1"/>
  <c r="L250" i="28" a="1"/>
  <c r="L250" i="28" s="1"/>
  <c r="O249" i="28" a="1"/>
  <c r="O249" i="28" s="1"/>
  <c r="A249" i="28" a="1"/>
  <c r="A249" i="28" s="1"/>
  <c r="D248" i="28" a="1"/>
  <c r="D248" i="28" s="1"/>
  <c r="G247" i="28" a="1"/>
  <c r="G247" i="28" s="1"/>
  <c r="J246" i="28" a="1"/>
  <c r="J246" i="28" s="1"/>
  <c r="M245" i="28" a="1"/>
  <c r="M245" i="28" s="1"/>
  <c r="BG269" i="28" a="1"/>
  <c r="BG269" i="28" s="1"/>
  <c r="BC259" i="28" a="1"/>
  <c r="BC259" i="28" s="1"/>
  <c r="BA234" i="28" a="1"/>
  <c r="BA234" i="28" s="1"/>
  <c r="BB231" i="28" a="1"/>
  <c r="BB231" i="28" s="1"/>
  <c r="BB229" i="28" a="1"/>
  <c r="BB229" i="28" s="1"/>
  <c r="BN226" i="28" a="1"/>
  <c r="BN226" i="28" s="1"/>
  <c r="AY224" i="28" a="1"/>
  <c r="AY224" i="28" s="1"/>
  <c r="BG201" i="28" a="1"/>
  <c r="BG201" i="28" s="1"/>
  <c r="BC199" i="28" a="1"/>
  <c r="BC199" i="28" s="1"/>
  <c r="BG197" i="28" a="1"/>
  <c r="BG197" i="28" s="1"/>
  <c r="BK194" i="28" a="1"/>
  <c r="BK194" i="28" s="1"/>
  <c r="BA193" i="28" a="1"/>
  <c r="BA193" i="28" s="1"/>
  <c r="BJ188" i="28" a="1"/>
  <c r="BJ188" i="28" s="1"/>
  <c r="BG187" i="28" a="1"/>
  <c r="BG187" i="28" s="1"/>
  <c r="BB186" i="28" a="1"/>
  <c r="BB186" i="28" s="1"/>
  <c r="BD166" i="28" a="1"/>
  <c r="BD166" i="28" s="1"/>
  <c r="AX165" i="28" a="1"/>
  <c r="AX165" i="28" s="1"/>
  <c r="AU162" i="28" a="1"/>
  <c r="AU162" i="28" s="1"/>
  <c r="AY158" i="28" a="1"/>
  <c r="AY158" i="28" s="1"/>
  <c r="BA157" i="28" a="1"/>
  <c r="BA157" i="28" s="1"/>
  <c r="BC156" i="28" a="1"/>
  <c r="BC156" i="28" s="1"/>
  <c r="BE155" i="28" a="1"/>
  <c r="BE155" i="28" s="1"/>
  <c r="BN154" i="28" a="1"/>
  <c r="BN154" i="28" s="1"/>
  <c r="BD151" i="28" a="1"/>
  <c r="BD151" i="28" s="1"/>
  <c r="BH255" i="28" a="1"/>
  <c r="BH255" i="28" s="1"/>
  <c r="BK220" i="28" a="1"/>
  <c r="BK220" i="28" s="1"/>
  <c r="BN185" i="28" a="1"/>
  <c r="BN185" i="28" s="1"/>
  <c r="AW150" i="28" a="1"/>
  <c r="AW150" i="28" s="1"/>
  <c r="G285" i="28" a="1"/>
  <c r="G285" i="28" s="1"/>
  <c r="A284" i="28" a="1"/>
  <c r="A284" i="28" s="1"/>
  <c r="O282" i="28" a="1"/>
  <c r="O282" i="28" s="1"/>
  <c r="I281" i="28" a="1"/>
  <c r="I281" i="28" s="1"/>
  <c r="I280" i="28" a="1"/>
  <c r="I280" i="28" s="1"/>
  <c r="L279" i="28" a="1"/>
  <c r="L279" i="28" s="1"/>
  <c r="O278" i="28" a="1"/>
  <c r="O278" i="28" s="1"/>
  <c r="A278" i="28" a="1"/>
  <c r="A278" i="28" s="1"/>
  <c r="D277" i="28" a="1"/>
  <c r="D277" i="28" s="1"/>
  <c r="G276" i="28" a="1"/>
  <c r="G276" i="28" s="1"/>
  <c r="J275" i="28" a="1"/>
  <c r="J275" i="28" s="1"/>
  <c r="M274" i="28" a="1"/>
  <c r="M274" i="28" s="1"/>
  <c r="P273" i="28" a="1"/>
  <c r="P273" i="28" s="1"/>
  <c r="B273" i="28" a="1"/>
  <c r="B273" i="28" s="1"/>
  <c r="E272" i="28" a="1"/>
  <c r="E272" i="28" s="1"/>
  <c r="H271" i="28" a="1"/>
  <c r="H271" i="28" s="1"/>
  <c r="K270" i="28" a="1"/>
  <c r="K270" i="28" s="1"/>
  <c r="N269" i="28" a="1"/>
  <c r="N269" i="28" s="1"/>
  <c r="Q268" i="28" a="1"/>
  <c r="Q268" i="28" s="1"/>
  <c r="C268" i="28" a="1"/>
  <c r="C268" i="28" s="1"/>
  <c r="F267" i="28" a="1"/>
  <c r="F267" i="28" s="1"/>
  <c r="I266" i="28" a="1"/>
  <c r="I266" i="28" s="1"/>
  <c r="L265" i="28" a="1"/>
  <c r="L265" i="28" s="1"/>
  <c r="O264" i="28" a="1"/>
  <c r="O264" i="28" s="1"/>
  <c r="A264" i="28" a="1"/>
  <c r="A264" i="28" s="1"/>
  <c r="D263" i="28" a="1"/>
  <c r="D263" i="28" s="1"/>
  <c r="G262" i="28" a="1"/>
  <c r="G262" i="28" s="1"/>
  <c r="J261" i="28" a="1"/>
  <c r="J261" i="28" s="1"/>
  <c r="M260" i="28" a="1"/>
  <c r="M260" i="28" s="1"/>
  <c r="P259" i="28" a="1"/>
  <c r="P259" i="28" s="1"/>
  <c r="B259" i="28" a="1"/>
  <c r="B259" i="28" s="1"/>
  <c r="E258" i="28" a="1"/>
  <c r="E258" i="28" s="1"/>
  <c r="H257" i="28" a="1"/>
  <c r="H257" i="28" s="1"/>
  <c r="K250" i="28" a="1"/>
  <c r="K250" i="28" s="1"/>
  <c r="N249" i="28" a="1"/>
  <c r="N249" i="28" s="1"/>
  <c r="Q248" i="28" a="1"/>
  <c r="Q248" i="28" s="1"/>
  <c r="C248" i="28" a="1"/>
  <c r="C248" i="28" s="1"/>
  <c r="F247" i="28" a="1"/>
  <c r="F247" i="28" s="1"/>
  <c r="I246" i="28" a="1"/>
  <c r="I246" i="28" s="1"/>
  <c r="L245" i="28" a="1"/>
  <c r="L245" i="28" s="1"/>
  <c r="BC269" i="28" a="1"/>
  <c r="BC269" i="28" s="1"/>
  <c r="BI265" i="28" a="1"/>
  <c r="BI265" i="28" s="1"/>
  <c r="BF261" i="28" a="1"/>
  <c r="BF261" i="28" s="1"/>
  <c r="AY258" i="28" a="1"/>
  <c r="AY258" i="28" s="1"/>
  <c r="AV231" i="28" a="1"/>
  <c r="AV231" i="28" s="1"/>
  <c r="BI228" i="28" a="1"/>
  <c r="BI228" i="28" s="1"/>
  <c r="BG226" i="28" a="1"/>
  <c r="BG226" i="28" s="1"/>
  <c r="BA199" i="28" a="1"/>
  <c r="BA199" i="28" s="1"/>
  <c r="BE197" i="28" a="1"/>
  <c r="BE197" i="28" s="1"/>
  <c r="BL195" i="28" a="1"/>
  <c r="BL195" i="28" s="1"/>
  <c r="AY194" i="28" a="1"/>
  <c r="AY194" i="28" s="1"/>
  <c r="AY193" i="28" a="1"/>
  <c r="AY193" i="28" s="1"/>
  <c r="BM190" i="28" a="1"/>
  <c r="BM190" i="28" s="1"/>
  <c r="BE189" i="28" a="1"/>
  <c r="BE189" i="28" s="1"/>
  <c r="BH188" i="28" a="1"/>
  <c r="BH188" i="28" s="1"/>
  <c r="BD187" i="28" a="1"/>
  <c r="BD187" i="28" s="1"/>
  <c r="AZ186" i="28" a="1"/>
  <c r="AZ186" i="28" s="1"/>
  <c r="AY157" i="28" a="1"/>
  <c r="AY157" i="28" s="1"/>
  <c r="BA156" i="28" a="1"/>
  <c r="BA156" i="28" s="1"/>
  <c r="BC155" i="28" a="1"/>
  <c r="BC155" i="28" s="1"/>
  <c r="BE154" i="28" a="1"/>
  <c r="BE154" i="28" s="1"/>
  <c r="BN153" i="28" a="1"/>
  <c r="BN153" i="28" s="1"/>
  <c r="AV151" i="28" a="1"/>
  <c r="AV151" i="28" s="1"/>
  <c r="BF255" i="28" a="1"/>
  <c r="BF255" i="28" s="1"/>
  <c r="BI220" i="28" a="1"/>
  <c r="BI220" i="28" s="1"/>
  <c r="BL185" i="28" a="1"/>
  <c r="BL185" i="28" s="1"/>
  <c r="AU150" i="28" a="1"/>
  <c r="AU150" i="28" s="1"/>
  <c r="E285" i="28" a="1"/>
  <c r="E285" i="28" s="1"/>
  <c r="O283" i="28" a="1"/>
  <c r="O283" i="28" s="1"/>
  <c r="M282" i="28" a="1"/>
  <c r="M282" i="28" s="1"/>
  <c r="F281" i="28" a="1"/>
  <c r="F281" i="28" s="1"/>
  <c r="G280" i="28" a="1"/>
  <c r="G280" i="28" s="1"/>
  <c r="J279" i="28" a="1"/>
  <c r="J279" i="28" s="1"/>
  <c r="M278" i="28" a="1"/>
  <c r="M278" i="28" s="1"/>
  <c r="P277" i="28" a="1"/>
  <c r="P277" i="28" s="1"/>
  <c r="B277" i="28" a="1"/>
  <c r="B277" i="28" s="1"/>
  <c r="E276" i="28" a="1"/>
  <c r="E276" i="28" s="1"/>
  <c r="H275" i="28" a="1"/>
  <c r="H275" i="28" s="1"/>
  <c r="K274" i="28" a="1"/>
  <c r="K274" i="28" s="1"/>
  <c r="N273" i="28" a="1"/>
  <c r="N273" i="28" s="1"/>
  <c r="Q272" i="28" a="1"/>
  <c r="Q272" i="28" s="1"/>
  <c r="C272" i="28" a="1"/>
  <c r="C272" i="28" s="1"/>
  <c r="F271" i="28" a="1"/>
  <c r="F271" i="28" s="1"/>
  <c r="I270" i="28" a="1"/>
  <c r="I270" i="28" s="1"/>
  <c r="L269" i="28" a="1"/>
  <c r="L269" i="28" s="1"/>
  <c r="O268" i="28" a="1"/>
  <c r="O268" i="28" s="1"/>
  <c r="A268" i="28" a="1"/>
  <c r="A268" i="28" s="1"/>
  <c r="D267" i="28" a="1"/>
  <c r="D267" i="28" s="1"/>
  <c r="G266" i="28" a="1"/>
  <c r="G266" i="28" s="1"/>
  <c r="J265" i="28" a="1"/>
  <c r="J265" i="28" s="1"/>
  <c r="M264" i="28" a="1"/>
  <c r="M264" i="28" s="1"/>
  <c r="P263" i="28" a="1"/>
  <c r="P263" i="28" s="1"/>
  <c r="B263" i="28" a="1"/>
  <c r="B263" i="28" s="1"/>
  <c r="E262" i="28" a="1"/>
  <c r="E262" i="28" s="1"/>
  <c r="H261" i="28" a="1"/>
  <c r="H261" i="28" s="1"/>
  <c r="K260" i="28" a="1"/>
  <c r="K260" i="28" s="1"/>
  <c r="N259" i="28" a="1"/>
  <c r="N259" i="28" s="1"/>
  <c r="BK270" i="28" a="1"/>
  <c r="BK270" i="28" s="1"/>
  <c r="BI263" i="28" a="1"/>
  <c r="BI263" i="28" s="1"/>
  <c r="BK232" i="28" a="1"/>
  <c r="BK232" i="28" s="1"/>
  <c r="AY227" i="28" a="1"/>
  <c r="AY227" i="28" s="1"/>
  <c r="BF196" i="28" a="1"/>
  <c r="BF196" i="28" s="1"/>
  <c r="BM193" i="28" a="1"/>
  <c r="BM193" i="28" s="1"/>
  <c r="BA191" i="28" a="1"/>
  <c r="BA191" i="28" s="1"/>
  <c r="BG165" i="28" a="1"/>
  <c r="BG165" i="28" s="1"/>
  <c r="BB163" i="28" a="1"/>
  <c r="BB163" i="28" s="1"/>
  <c r="BB161" i="28" a="1"/>
  <c r="BB161" i="28" s="1"/>
  <c r="BF159" i="28" a="1"/>
  <c r="BF159" i="28" s="1"/>
  <c r="BI157" i="28" a="1"/>
  <c r="BI157" i="28" s="1"/>
  <c r="BE152" i="28" a="1"/>
  <c r="BE152" i="28" s="1"/>
  <c r="AV220" i="28" a="1"/>
  <c r="AV220" i="28" s="1"/>
  <c r="BD150" i="28" a="1"/>
  <c r="BD150" i="28" s="1"/>
  <c r="J284" i="28" a="1"/>
  <c r="J284" i="28" s="1"/>
  <c r="A282" i="28" a="1"/>
  <c r="A282" i="28" s="1"/>
  <c r="Q279" i="28" a="1"/>
  <c r="Q279" i="28" s="1"/>
  <c r="F278" i="28" a="1"/>
  <c r="F278" i="28" s="1"/>
  <c r="L276" i="28" a="1"/>
  <c r="L276" i="28" s="1"/>
  <c r="A275" i="28" a="1"/>
  <c r="A275" i="28" s="1"/>
  <c r="G273" i="28" a="1"/>
  <c r="G273" i="28" s="1"/>
  <c r="M271" i="28" a="1"/>
  <c r="M271" i="28" s="1"/>
  <c r="B270" i="28" a="1"/>
  <c r="B270" i="28" s="1"/>
  <c r="H268" i="28" a="1"/>
  <c r="H268" i="28" s="1"/>
  <c r="N266" i="28" a="1"/>
  <c r="N266" i="28" s="1"/>
  <c r="C265" i="28" a="1"/>
  <c r="C265" i="28" s="1"/>
  <c r="I263" i="28" a="1"/>
  <c r="I263" i="28" s="1"/>
  <c r="O261" i="28" a="1"/>
  <c r="O261" i="28" s="1"/>
  <c r="D260" i="28" a="1"/>
  <c r="D260" i="28" s="1"/>
  <c r="L258" i="28" a="1"/>
  <c r="L258" i="28" s="1"/>
  <c r="C257" i="28" a="1"/>
  <c r="C257" i="28" s="1"/>
  <c r="K249" i="28" a="1"/>
  <c r="K249" i="28" s="1"/>
  <c r="B248" i="28" a="1"/>
  <c r="B248" i="28" s="1"/>
  <c r="P246" i="28" a="1"/>
  <c r="P246" i="28" s="1"/>
  <c r="G245" i="28" a="1"/>
  <c r="G245" i="28" s="1"/>
  <c r="J244" i="28" a="1"/>
  <c r="J244" i="28" s="1"/>
  <c r="M243" i="28" a="1"/>
  <c r="M243" i="28" s="1"/>
  <c r="P242" i="28" a="1"/>
  <c r="P242" i="28" s="1"/>
  <c r="B242" i="28" a="1"/>
  <c r="B242" i="28" s="1"/>
  <c r="E241" i="28" a="1"/>
  <c r="E241" i="28" s="1"/>
  <c r="H240" i="28" a="1"/>
  <c r="H240" i="28" s="1"/>
  <c r="K239" i="28" a="1"/>
  <c r="K239" i="28" s="1"/>
  <c r="N238" i="28" a="1"/>
  <c r="N238" i="28" s="1"/>
  <c r="Q237" i="28" a="1"/>
  <c r="Q237" i="28" s="1"/>
  <c r="C237" i="28" a="1"/>
  <c r="C237" i="28" s="1"/>
  <c r="F236" i="28" a="1"/>
  <c r="F236" i="28" s="1"/>
  <c r="I235" i="28" a="1"/>
  <c r="I235" i="28" s="1"/>
  <c r="L234" i="28" a="1"/>
  <c r="L234" i="28" s="1"/>
  <c r="O233" i="28" a="1"/>
  <c r="O233" i="28" s="1"/>
  <c r="A233" i="28" a="1"/>
  <c r="A233" i="28" s="1"/>
  <c r="D232" i="28" a="1"/>
  <c r="D232" i="28" s="1"/>
  <c r="G231" i="28" a="1"/>
  <c r="G231" i="28" s="1"/>
  <c r="J230" i="28" a="1"/>
  <c r="J230" i="28" s="1"/>
  <c r="M229" i="28" a="1"/>
  <c r="M229" i="28" s="1"/>
  <c r="P228" i="28" a="1"/>
  <c r="P228" i="28" s="1"/>
  <c r="B228" i="28" a="1"/>
  <c r="B228" i="28" s="1"/>
  <c r="E227" i="28" a="1"/>
  <c r="E227" i="28" s="1"/>
  <c r="H226" i="28" a="1"/>
  <c r="H226" i="28" s="1"/>
  <c r="K225" i="28" a="1"/>
  <c r="K225" i="28" s="1"/>
  <c r="N224" i="28" a="1"/>
  <c r="N224" i="28" s="1"/>
  <c r="Q223" i="28" a="1"/>
  <c r="Q223" i="28" s="1"/>
  <c r="C223" i="28" a="1"/>
  <c r="C223" i="28" s="1"/>
  <c r="F222" i="28" a="1"/>
  <c r="F222" i="28" s="1"/>
  <c r="I215" i="28" a="1"/>
  <c r="I215" i="28" s="1"/>
  <c r="M214" i="28" a="1"/>
  <c r="M214" i="28" s="1"/>
  <c r="P213" i="28" a="1"/>
  <c r="P213" i="28" s="1"/>
  <c r="B213" i="28" a="1"/>
  <c r="B213" i="28" s="1"/>
  <c r="E212" i="28" a="1"/>
  <c r="E212" i="28" s="1"/>
  <c r="H211" i="28" a="1"/>
  <c r="H211" i="28" s="1"/>
  <c r="K210" i="28" a="1"/>
  <c r="K210" i="28" s="1"/>
  <c r="N209" i="28" a="1"/>
  <c r="N209" i="28" s="1"/>
  <c r="A209" i="28" a="1"/>
  <c r="A209" i="28" s="1"/>
  <c r="D208" i="28" a="1"/>
  <c r="D208" i="28" s="1"/>
  <c r="K206" i="28" a="1"/>
  <c r="K206" i="28" s="1"/>
  <c r="O205" i="28" a="1"/>
  <c r="O205" i="28" s="1"/>
  <c r="A205" i="28" a="1"/>
  <c r="A205" i="28" s="1"/>
  <c r="BF269" i="28" a="1"/>
  <c r="BF269" i="28" s="1"/>
  <c r="BN261" i="28" a="1"/>
  <c r="BN261" i="28" s="1"/>
  <c r="BA231" i="28" a="1"/>
  <c r="BA231" i="28" s="1"/>
  <c r="BI226" i="28" a="1"/>
  <c r="BI226" i="28" s="1"/>
  <c r="BB199" i="28" a="1"/>
  <c r="BB199" i="28" s="1"/>
  <c r="AZ193" i="28" a="1"/>
  <c r="AZ193" i="28" s="1"/>
  <c r="BI188" i="28" a="1"/>
  <c r="BI188" i="28" s="1"/>
  <c r="BA186" i="28" a="1"/>
  <c r="BA186" i="28" s="1"/>
  <c r="AV165" i="28" a="1"/>
  <c r="AV165" i="28" s="1"/>
  <c r="AZ157" i="28" a="1"/>
  <c r="AZ157" i="28" s="1"/>
  <c r="BD155" i="28" a="1"/>
  <c r="BD155" i="28" s="1"/>
  <c r="BG255" i="28" a="1"/>
  <c r="BG255" i="28" s="1"/>
  <c r="BM185" i="28" a="1"/>
  <c r="BM185" i="28" s="1"/>
  <c r="AV150" i="28" a="1"/>
  <c r="AV150" i="28" s="1"/>
  <c r="Q283" i="28" a="1"/>
  <c r="Q283" i="28" s="1"/>
  <c r="G281" i="28" a="1"/>
  <c r="G281" i="28" s="1"/>
  <c r="K279" i="28" a="1"/>
  <c r="K279" i="28" s="1"/>
  <c r="Q277" i="28" a="1"/>
  <c r="Q277" i="28" s="1"/>
  <c r="F276" i="28" a="1"/>
  <c r="F276" i="28" s="1"/>
  <c r="L274" i="28" a="1"/>
  <c r="L274" i="28" s="1"/>
  <c r="A273" i="28" a="1"/>
  <c r="A273" i="28" s="1"/>
  <c r="G271" i="28" a="1"/>
  <c r="G271" i="28" s="1"/>
  <c r="M269" i="28" a="1"/>
  <c r="M269" i="28" s="1"/>
  <c r="B268" i="28" a="1"/>
  <c r="B268" i="28" s="1"/>
  <c r="H266" i="28" a="1"/>
  <c r="H266" i="28" s="1"/>
  <c r="N264" i="28" a="1"/>
  <c r="N264" i="28" s="1"/>
  <c r="C263" i="28" a="1"/>
  <c r="C263" i="28" s="1"/>
  <c r="I261" i="28" a="1"/>
  <c r="I261" i="28" s="1"/>
  <c r="O259" i="28" a="1"/>
  <c r="O259" i="28" s="1"/>
  <c r="J258" i="28" a="1"/>
  <c r="J258" i="28" s="1"/>
  <c r="B257" i="28" a="1"/>
  <c r="B257" i="28" s="1"/>
  <c r="J249" i="28" a="1"/>
  <c r="J249" i="28" s="1"/>
  <c r="A248" i="28" a="1"/>
  <c r="A248" i="28" s="1"/>
  <c r="N246" i="28" a="1"/>
  <c r="N246" i="28" s="1"/>
  <c r="F245" i="28" a="1"/>
  <c r="F245" i="28" s="1"/>
  <c r="I244" i="28" a="1"/>
  <c r="I244" i="28" s="1"/>
  <c r="L243" i="28" a="1"/>
  <c r="L243" i="28" s="1"/>
  <c r="O242" i="28" a="1"/>
  <c r="O242" i="28" s="1"/>
  <c r="A242" i="28" a="1"/>
  <c r="A242" i="28" s="1"/>
  <c r="D241" i="28" a="1"/>
  <c r="D241" i="28" s="1"/>
  <c r="G240" i="28" a="1"/>
  <c r="G240" i="28" s="1"/>
  <c r="J239" i="28" a="1"/>
  <c r="J239" i="28" s="1"/>
  <c r="M238" i="28" a="1"/>
  <c r="M238" i="28" s="1"/>
  <c r="P237" i="28" a="1"/>
  <c r="P237" i="28" s="1"/>
  <c r="B237" i="28" a="1"/>
  <c r="B237" i="28" s="1"/>
  <c r="E236" i="28" a="1"/>
  <c r="E236" i="28" s="1"/>
  <c r="H235" i="28" a="1"/>
  <c r="H235" i="28" s="1"/>
  <c r="K234" i="28" a="1"/>
  <c r="K234" i="28" s="1"/>
  <c r="N233" i="28" a="1"/>
  <c r="N233" i="28" s="1"/>
  <c r="Q232" i="28" a="1"/>
  <c r="Q232" i="28" s="1"/>
  <c r="C232" i="28" a="1"/>
  <c r="C232" i="28" s="1"/>
  <c r="F231" i="28" a="1"/>
  <c r="F231" i="28" s="1"/>
  <c r="BB268" i="28" a="1"/>
  <c r="BB268" i="28" s="1"/>
  <c r="BD261" i="28" a="1"/>
  <c r="BD261" i="28" s="1"/>
  <c r="AY236" i="28" a="1"/>
  <c r="AY236" i="28" s="1"/>
  <c r="AV226" i="28" a="1"/>
  <c r="AV226" i="28" s="1"/>
  <c r="BJ195" i="28" a="1"/>
  <c r="BJ195" i="28" s="1"/>
  <c r="BK190" i="28" a="1"/>
  <c r="BK190" i="28" s="1"/>
  <c r="BB188" i="28" a="1"/>
  <c r="BB188" i="28" s="1"/>
  <c r="AY186" i="28" a="1"/>
  <c r="AY186" i="28" s="1"/>
  <c r="BN162" i="28" a="1"/>
  <c r="BN162" i="28" s="1"/>
  <c r="BB155" i="28" a="1"/>
  <c r="BB155" i="28" s="1"/>
  <c r="BI153" i="28" a="1"/>
  <c r="BI153" i="28" s="1"/>
  <c r="BA255" i="28" a="1"/>
  <c r="BA255" i="28" s="1"/>
  <c r="BK185" i="28" a="1"/>
  <c r="BK185" i="28" s="1"/>
  <c r="N283" i="28" a="1"/>
  <c r="N283" i="28" s="1"/>
  <c r="E281" i="28" a="1"/>
  <c r="E281" i="28" s="1"/>
  <c r="I279" i="28" a="1"/>
  <c r="I279" i="28" s="1"/>
  <c r="O277" i="28" a="1"/>
  <c r="O277" i="28" s="1"/>
  <c r="D276" i="28" a="1"/>
  <c r="D276" i="28" s="1"/>
  <c r="J274" i="28" a="1"/>
  <c r="J274" i="28" s="1"/>
  <c r="P272" i="28" a="1"/>
  <c r="P272" i="28" s="1"/>
  <c r="E271" i="28" a="1"/>
  <c r="E271" i="28" s="1"/>
  <c r="K269" i="28" a="1"/>
  <c r="K269" i="28" s="1"/>
  <c r="Q267" i="28" a="1"/>
  <c r="Q267" i="28" s="1"/>
  <c r="F266" i="28" a="1"/>
  <c r="F266" i="28" s="1"/>
  <c r="L264" i="28" a="1"/>
  <c r="L264" i="28" s="1"/>
  <c r="A263" i="28" a="1"/>
  <c r="A263" i="28" s="1"/>
  <c r="G261" i="28" a="1"/>
  <c r="G261" i="28" s="1"/>
  <c r="M259" i="28" a="1"/>
  <c r="M259" i="28" s="1"/>
  <c r="D258" i="28" a="1"/>
  <c r="D258" i="28" s="1"/>
  <c r="A257" i="28" a="1"/>
  <c r="A257" i="28" s="1"/>
  <c r="I249" i="28" a="1"/>
  <c r="I249" i="28" s="1"/>
  <c r="Q247" i="28" a="1"/>
  <c r="Q247" i="28" s="1"/>
  <c r="H246" i="28" a="1"/>
  <c r="H246" i="28" s="1"/>
  <c r="E245" i="28" a="1"/>
  <c r="E245" i="28" s="1"/>
  <c r="H244" i="28" a="1"/>
  <c r="H244" i="28" s="1"/>
  <c r="K243" i="28" a="1"/>
  <c r="K243" i="28" s="1"/>
  <c r="N242" i="28" a="1"/>
  <c r="N242" i="28" s="1"/>
  <c r="Q241" i="28" a="1"/>
  <c r="Q241" i="28" s="1"/>
  <c r="C241" i="28" a="1"/>
  <c r="C241" i="28" s="1"/>
  <c r="F240" i="28" a="1"/>
  <c r="F240" i="28" s="1"/>
  <c r="I239" i="28" a="1"/>
  <c r="I239" i="28" s="1"/>
  <c r="L238" i="28" a="1"/>
  <c r="L238" i="28" s="1"/>
  <c r="O237" i="28" a="1"/>
  <c r="O237" i="28" s="1"/>
  <c r="A237" i="28" a="1"/>
  <c r="A237" i="28" s="1"/>
  <c r="D236" i="28" a="1"/>
  <c r="D236" i="28" s="1"/>
  <c r="G235" i="28" a="1"/>
  <c r="G235" i="28" s="1"/>
  <c r="J234" i="28" a="1"/>
  <c r="J234" i="28" s="1"/>
  <c r="M233" i="28" a="1"/>
  <c r="M233" i="28" s="1"/>
  <c r="P232" i="28" a="1"/>
  <c r="P232" i="28" s="1"/>
  <c r="B232" i="28" a="1"/>
  <c r="B232" i="28" s="1"/>
  <c r="E231" i="28" a="1"/>
  <c r="E231" i="28" s="1"/>
  <c r="H230" i="28" a="1"/>
  <c r="H230" i="28" s="1"/>
  <c r="K229" i="28" a="1"/>
  <c r="K229" i="28" s="1"/>
  <c r="N228" i="28" a="1"/>
  <c r="N228" i="28" s="1"/>
  <c r="Q227" i="28" a="1"/>
  <c r="Q227" i="28" s="1"/>
  <c r="C227" i="28" a="1"/>
  <c r="C227" i="28" s="1"/>
  <c r="F226" i="28" a="1"/>
  <c r="F226" i="28" s="1"/>
  <c r="I225" i="28" a="1"/>
  <c r="I225" i="28" s="1"/>
  <c r="L224" i="28" a="1"/>
  <c r="L224" i="28" s="1"/>
  <c r="O223" i="28" a="1"/>
  <c r="O223" i="28" s="1"/>
  <c r="A223" i="28" a="1"/>
  <c r="A223" i="28" s="1"/>
  <c r="D222" i="28" a="1"/>
  <c r="D222" i="28" s="1"/>
  <c r="G215" i="28" a="1"/>
  <c r="G215" i="28" s="1"/>
  <c r="K214" i="28" a="1"/>
  <c r="K214" i="28" s="1"/>
  <c r="N213" i="28" a="1"/>
  <c r="N213" i="28" s="1"/>
  <c r="Q212" i="28" a="1"/>
  <c r="Q212" i="28" s="1"/>
  <c r="C212" i="28" a="1"/>
  <c r="C212" i="28" s="1"/>
  <c r="F211" i="28" a="1"/>
  <c r="F211" i="28" s="1"/>
  <c r="I210" i="28" a="1"/>
  <c r="I210" i="28" s="1"/>
  <c r="L209" i="28" a="1"/>
  <c r="L209" i="28" s="1"/>
  <c r="P208" i="28" a="1"/>
  <c r="P208" i="28" s="1"/>
  <c r="B208" i="28" a="1"/>
  <c r="B208" i="28" s="1"/>
  <c r="F207" i="28" a="1"/>
  <c r="F207" i="28" s="1"/>
  <c r="I206" i="28" a="1"/>
  <c r="I206" i="28" s="1"/>
  <c r="M205" i="28" a="1"/>
  <c r="M205" i="28" s="1"/>
  <c r="P204" i="28" a="1"/>
  <c r="P204" i="28" s="1"/>
  <c r="AX268" i="28" a="1"/>
  <c r="AX268" i="28" s="1"/>
  <c r="BA261" i="28" a="1"/>
  <c r="BA261" i="28" s="1"/>
  <c r="BK225" i="28" a="1"/>
  <c r="BK225" i="28" s="1"/>
  <c r="BK198" i="28" a="1"/>
  <c r="BK198" i="28" s="1"/>
  <c r="BG195" i="28" a="1"/>
  <c r="BG195" i="28" s="1"/>
  <c r="AW188" i="28" a="1"/>
  <c r="AW188" i="28" s="1"/>
  <c r="AW186" i="28" a="1"/>
  <c r="AW186" i="28" s="1"/>
  <c r="BN164" i="28" a="1"/>
  <c r="BN164" i="28" s="1"/>
  <c r="BM162" i="28" a="1"/>
  <c r="BM162" i="28" s="1"/>
  <c r="BM160" i="28" a="1"/>
  <c r="BM160" i="28" s="1"/>
  <c r="BA155" i="28" a="1"/>
  <c r="BA155" i="28" s="1"/>
  <c r="BF153" i="28" a="1"/>
  <c r="BF153" i="28" s="1"/>
  <c r="AX255" i="28" a="1"/>
  <c r="AX255" i="28" s="1"/>
  <c r="BJ185" i="28" a="1"/>
  <c r="BJ185" i="28" s="1"/>
  <c r="M283" i="28" a="1"/>
  <c r="M283" i="28" s="1"/>
  <c r="D281" i="28" a="1"/>
  <c r="D281" i="28" s="1"/>
  <c r="H279" i="28" a="1"/>
  <c r="H279" i="28" s="1"/>
  <c r="N277" i="28" a="1"/>
  <c r="N277" i="28" s="1"/>
  <c r="C276" i="28" a="1"/>
  <c r="C276" i="28" s="1"/>
  <c r="I274" i="28" a="1"/>
  <c r="I274" i="28" s="1"/>
  <c r="O272" i="28" a="1"/>
  <c r="O272" i="28" s="1"/>
  <c r="D271" i="28" a="1"/>
  <c r="D271" i="28" s="1"/>
  <c r="J269" i="28" a="1"/>
  <c r="J269" i="28" s="1"/>
  <c r="P267" i="28" a="1"/>
  <c r="P267" i="28" s="1"/>
  <c r="E266" i="28" a="1"/>
  <c r="E266" i="28" s="1"/>
  <c r="K264" i="28" a="1"/>
  <c r="K264" i="28" s="1"/>
  <c r="Q262" i="28" a="1"/>
  <c r="Q262" i="28" s="1"/>
  <c r="F261" i="28" a="1"/>
  <c r="F261" i="28" s="1"/>
  <c r="L259" i="28" a="1"/>
  <c r="L259" i="28" s="1"/>
  <c r="C258" i="28" a="1"/>
  <c r="C258" i="28" s="1"/>
  <c r="P250" i="28" a="1"/>
  <c r="P250" i="28" s="1"/>
  <c r="H249" i="28" a="1"/>
  <c r="H249" i="28" s="1"/>
  <c r="P247" i="28" a="1"/>
  <c r="P247" i="28" s="1"/>
  <c r="G246" i="28" a="1"/>
  <c r="G246" i="28" s="1"/>
  <c r="D245" i="28" a="1"/>
  <c r="D245" i="28" s="1"/>
  <c r="G244" i="28" a="1"/>
  <c r="G244" i="28" s="1"/>
  <c r="J243" i="28" a="1"/>
  <c r="J243" i="28" s="1"/>
  <c r="M242" i="28" a="1"/>
  <c r="M242" i="28" s="1"/>
  <c r="P241" i="28" a="1"/>
  <c r="P241" i="28" s="1"/>
  <c r="B241" i="28" a="1"/>
  <c r="B241" i="28" s="1"/>
  <c r="E240" i="28" a="1"/>
  <c r="E240" i="28" s="1"/>
  <c r="H239" i="28" a="1"/>
  <c r="H239" i="28" s="1"/>
  <c r="K238" i="28" a="1"/>
  <c r="K238" i="28" s="1"/>
  <c r="N237" i="28" a="1"/>
  <c r="N237" i="28" s="1"/>
  <c r="Q236" i="28" a="1"/>
  <c r="Q236" i="28" s="1"/>
  <c r="C236" i="28" a="1"/>
  <c r="C236" i="28" s="1"/>
  <c r="F235" i="28" a="1"/>
  <c r="F235" i="28" s="1"/>
  <c r="I234" i="28" a="1"/>
  <c r="I234" i="28" s="1"/>
  <c r="L233" i="28" a="1"/>
  <c r="L233" i="28" s="1"/>
  <c r="O232" i="28" a="1"/>
  <c r="O232" i="28" s="1"/>
  <c r="A232" i="28" a="1"/>
  <c r="A232" i="28" s="1"/>
  <c r="D231" i="28" a="1"/>
  <c r="D231" i="28" s="1"/>
  <c r="G230" i="28" a="1"/>
  <c r="G230" i="28" s="1"/>
  <c r="J229" i="28" a="1"/>
  <c r="J229" i="28" s="1"/>
  <c r="M228" i="28" a="1"/>
  <c r="M228" i="28" s="1"/>
  <c r="P227" i="28" a="1"/>
  <c r="P227" i="28" s="1"/>
  <c r="B227" i="28" a="1"/>
  <c r="B227" i="28" s="1"/>
  <c r="E226" i="28" a="1"/>
  <c r="E226" i="28" s="1"/>
  <c r="H225" i="28" a="1"/>
  <c r="H225" i="28" s="1"/>
  <c r="K224" i="28" a="1"/>
  <c r="K224" i="28" s="1"/>
  <c r="N223" i="28" a="1"/>
  <c r="N223" i="28" s="1"/>
  <c r="Q222" i="28" a="1"/>
  <c r="Q222" i="28" s="1"/>
  <c r="C222" i="28" a="1"/>
  <c r="C222" i="28" s="1"/>
  <c r="F215" i="28" a="1"/>
  <c r="F215" i="28" s="1"/>
  <c r="J214" i="28" a="1"/>
  <c r="J214" i="28" s="1"/>
  <c r="M213" i="28" a="1"/>
  <c r="M213" i="28" s="1"/>
  <c r="P212" i="28" a="1"/>
  <c r="P212" i="28" s="1"/>
  <c r="B212" i="28" a="1"/>
  <c r="B212" i="28" s="1"/>
  <c r="E211" i="28" a="1"/>
  <c r="E211" i="28" s="1"/>
  <c r="H210" i="28" a="1"/>
  <c r="H210" i="28" s="1"/>
  <c r="K209" i="28" a="1"/>
  <c r="K209" i="28" s="1"/>
  <c r="O208" i="28" a="1"/>
  <c r="O208" i="28" s="1"/>
  <c r="A208" i="28" a="1"/>
  <c r="A208" i="28" s="1"/>
  <c r="E207" i="28" a="1"/>
  <c r="E207" i="28" s="1"/>
  <c r="H206" i="28" a="1"/>
  <c r="H206" i="28" s="1"/>
  <c r="L205" i="28" a="1"/>
  <c r="L205" i="28" s="1"/>
  <c r="O204" i="28" a="1"/>
  <c r="O204" i="28" s="1"/>
  <c r="AW268" i="28" a="1"/>
  <c r="AW268" i="28" s="1"/>
  <c r="AZ261" i="28" a="1"/>
  <c r="AZ261" i="28" s="1"/>
  <c r="BH235" i="28" a="1"/>
  <c r="BH235" i="28" s="1"/>
  <c r="BJ225" i="28" a="1"/>
  <c r="BJ225" i="28" s="1"/>
  <c r="BH221" i="28" a="1"/>
  <c r="BH221" i="28" s="1"/>
  <c r="BI198" i="28" a="1"/>
  <c r="BI198" i="28" s="1"/>
  <c r="BE195" i="28" a="1"/>
  <c r="BE195" i="28" s="1"/>
  <c r="BH190" i="28" a="1"/>
  <c r="BH190" i="28" s="1"/>
  <c r="AV188" i="28" a="1"/>
  <c r="AV188" i="28" s="1"/>
  <c r="AU186" i="28" a="1"/>
  <c r="AU186" i="28" s="1"/>
  <c r="BL164" i="28" a="1"/>
  <c r="BL164" i="28" s="1"/>
  <c r="BL162" i="28" a="1"/>
  <c r="BL162" i="28" s="1"/>
  <c r="BK160" i="28" a="1"/>
  <c r="BK160" i="28" s="1"/>
  <c r="AZ155" i="28" a="1"/>
  <c r="AZ155" i="28" s="1"/>
  <c r="BE153" i="28" a="1"/>
  <c r="BE153" i="28" s="1"/>
  <c r="AW255" i="28" a="1"/>
  <c r="AW255" i="28" s="1"/>
  <c r="BI185" i="28" a="1"/>
  <c r="BI185" i="28" s="1"/>
  <c r="L283" i="28" a="1"/>
  <c r="L283" i="28" s="1"/>
  <c r="C281" i="28" a="1"/>
  <c r="C281" i="28" s="1"/>
  <c r="G279" i="28" a="1"/>
  <c r="G279" i="28" s="1"/>
  <c r="M277" i="28" a="1"/>
  <c r="M277" i="28" s="1"/>
  <c r="B276" i="28" a="1"/>
  <c r="B276" i="28" s="1"/>
  <c r="H274" i="28" a="1"/>
  <c r="H274" i="28" s="1"/>
  <c r="N272" i="28" a="1"/>
  <c r="N272" i="28" s="1"/>
  <c r="C271" i="28" a="1"/>
  <c r="C271" i="28" s="1"/>
  <c r="I269" i="28" a="1"/>
  <c r="I269" i="28" s="1"/>
  <c r="O267" i="28" a="1"/>
  <c r="O267" i="28" s="1"/>
  <c r="D266" i="28" a="1"/>
  <c r="D266" i="28" s="1"/>
  <c r="J264" i="28" a="1"/>
  <c r="J264" i="28" s="1"/>
  <c r="P262" i="28" a="1"/>
  <c r="P262" i="28" s="1"/>
  <c r="E261" i="28" a="1"/>
  <c r="E261" i="28" s="1"/>
  <c r="K259" i="28" a="1"/>
  <c r="K259" i="28" s="1"/>
  <c r="B258" i="28" a="1"/>
  <c r="B258" i="28" s="1"/>
  <c r="J250" i="28" a="1"/>
  <c r="J250" i="28" s="1"/>
  <c r="G249" i="28" a="1"/>
  <c r="G249" i="28" s="1"/>
  <c r="O247" i="28" a="1"/>
  <c r="O247" i="28" s="1"/>
  <c r="F246" i="28" a="1"/>
  <c r="F246" i="28" s="1"/>
  <c r="C245" i="28" a="1"/>
  <c r="C245" i="28" s="1"/>
  <c r="F244" i="28" a="1"/>
  <c r="F244" i="28" s="1"/>
  <c r="I243" i="28" a="1"/>
  <c r="I243" i="28" s="1"/>
  <c r="L242" i="28" a="1"/>
  <c r="L242" i="28" s="1"/>
  <c r="O241" i="28" a="1"/>
  <c r="O241" i="28" s="1"/>
  <c r="A241" i="28" a="1"/>
  <c r="A241" i="28" s="1"/>
  <c r="D240" i="28" a="1"/>
  <c r="D240" i="28" s="1"/>
  <c r="G239" i="28" a="1"/>
  <c r="G239" i="28" s="1"/>
  <c r="J238" i="28" a="1"/>
  <c r="J238" i="28" s="1"/>
  <c r="M237" i="28" a="1"/>
  <c r="M237" i="28" s="1"/>
  <c r="P236" i="28" a="1"/>
  <c r="P236" i="28" s="1"/>
  <c r="B236" i="28" a="1"/>
  <c r="B236" i="28" s="1"/>
  <c r="E235" i="28" a="1"/>
  <c r="E235" i="28" s="1"/>
  <c r="H234" i="28" a="1"/>
  <c r="H234" i="28" s="1"/>
  <c r="K233" i="28" a="1"/>
  <c r="K233" i="28" s="1"/>
  <c r="N232" i="28" a="1"/>
  <c r="N232" i="28" s="1"/>
  <c r="Q231" i="28" a="1"/>
  <c r="Q231" i="28" s="1"/>
  <c r="C231" i="28" a="1"/>
  <c r="C231" i="28" s="1"/>
  <c r="F230" i="28" a="1"/>
  <c r="F230" i="28" s="1"/>
  <c r="I229" i="28" a="1"/>
  <c r="I229" i="28" s="1"/>
  <c r="L228" i="28" a="1"/>
  <c r="L228" i="28" s="1"/>
  <c r="O227" i="28" a="1"/>
  <c r="O227" i="28" s="1"/>
  <c r="A227" i="28" a="1"/>
  <c r="A227" i="28" s="1"/>
  <c r="D226" i="28" a="1"/>
  <c r="D226" i="28" s="1"/>
  <c r="G225" i="28" a="1"/>
  <c r="G225" i="28" s="1"/>
  <c r="J224" i="28" a="1"/>
  <c r="J224" i="28" s="1"/>
  <c r="M223" i="28" a="1"/>
  <c r="M223" i="28" s="1"/>
  <c r="P222" i="28" a="1"/>
  <c r="P222" i="28" s="1"/>
  <c r="B222" i="28" a="1"/>
  <c r="B222" i="28" s="1"/>
  <c r="E215" i="28" a="1"/>
  <c r="E215" i="28" s="1"/>
  <c r="I214" i="28" a="1"/>
  <c r="I214" i="28" s="1"/>
  <c r="L213" i="28" a="1"/>
  <c r="L213" i="28" s="1"/>
  <c r="O212" i="28" a="1"/>
  <c r="O212" i="28" s="1"/>
  <c r="A212" i="28" a="1"/>
  <c r="A212" i="28" s="1"/>
  <c r="D211" i="28" a="1"/>
  <c r="D211" i="28" s="1"/>
  <c r="G210" i="28" a="1"/>
  <c r="G210" i="28" s="1"/>
  <c r="J209" i="28" a="1"/>
  <c r="J209" i="28" s="1"/>
  <c r="N208" i="28" a="1"/>
  <c r="N208" i="28" s="1"/>
  <c r="Q207" i="28" a="1"/>
  <c r="Q207" i="28" s="1"/>
  <c r="D207" i="28" a="1"/>
  <c r="D207" i="28" s="1"/>
  <c r="G206" i="28" a="1"/>
  <c r="G206" i="28" s="1"/>
  <c r="K205" i="28" a="1"/>
  <c r="K205" i="28" s="1"/>
  <c r="N204" i="28" a="1"/>
  <c r="N204" i="28" s="1"/>
  <c r="BG258" i="28" a="1"/>
  <c r="BG258" i="28" s="1"/>
  <c r="BL228" i="28" a="1"/>
  <c r="BL228" i="28" s="1"/>
  <c r="BF197" i="28" a="1"/>
  <c r="BF197" i="28" s="1"/>
  <c r="BC194" i="28" a="1"/>
  <c r="BC194" i="28" s="1"/>
  <c r="BI189" i="28" a="1"/>
  <c r="BI189" i="28" s="1"/>
  <c r="BE187" i="28" a="1"/>
  <c r="BE187" i="28" s="1"/>
  <c r="AW166" i="28" a="1"/>
  <c r="AW166" i="28" s="1"/>
  <c r="BB156" i="28" a="1"/>
  <c r="BB156" i="28" s="1"/>
  <c r="BH154" i="28" a="1"/>
  <c r="BH154" i="28" s="1"/>
  <c r="AY151" i="28" a="1"/>
  <c r="AY151" i="28" s="1"/>
  <c r="BJ220" i="28" a="1"/>
  <c r="BJ220" i="28" s="1"/>
  <c r="F285" i="28" a="1"/>
  <c r="F285" i="28" s="1"/>
  <c r="N282" i="28" a="1"/>
  <c r="N282" i="28" s="1"/>
  <c r="H280" i="28" a="1"/>
  <c r="H280" i="28" s="1"/>
  <c r="N278" i="28" a="1"/>
  <c r="N278" i="28" s="1"/>
  <c r="C277" i="28" a="1"/>
  <c r="C277" i="28" s="1"/>
  <c r="I275" i="28" a="1"/>
  <c r="I275" i="28" s="1"/>
  <c r="O273" i="28" a="1"/>
  <c r="O273" i="28" s="1"/>
  <c r="D272" i="28" a="1"/>
  <c r="D272" i="28" s="1"/>
  <c r="J270" i="28" a="1"/>
  <c r="J270" i="28" s="1"/>
  <c r="P268" i="28" a="1"/>
  <c r="P268" i="28" s="1"/>
  <c r="E267" i="28" a="1"/>
  <c r="E267" i="28" s="1"/>
  <c r="K265" i="28" a="1"/>
  <c r="K265" i="28" s="1"/>
  <c r="Q263" i="28" a="1"/>
  <c r="Q263" i="28" s="1"/>
  <c r="F262" i="28" a="1"/>
  <c r="F262" i="28" s="1"/>
  <c r="L260" i="28" a="1"/>
  <c r="L260" i="28" s="1"/>
  <c r="A259" i="28" a="1"/>
  <c r="A259" i="28" s="1"/>
  <c r="O257" i="28" a="1"/>
  <c r="O257" i="28" s="1"/>
  <c r="F250" i="28" a="1"/>
  <c r="F250" i="28" s="1"/>
  <c r="N248" i="28" a="1"/>
  <c r="N248" i="28" s="1"/>
  <c r="E247" i="28" a="1"/>
  <c r="E247" i="28" s="1"/>
  <c r="B246" i="28" a="1"/>
  <c r="B246" i="28" s="1"/>
  <c r="P244" i="28" a="1"/>
  <c r="P244" i="28" s="1"/>
  <c r="B244" i="28" a="1"/>
  <c r="B244" i="28" s="1"/>
  <c r="E243" i="28" a="1"/>
  <c r="E243" i="28" s="1"/>
  <c r="H242" i="28" a="1"/>
  <c r="H242" i="28" s="1"/>
  <c r="K241" i="28" a="1"/>
  <c r="K241" i="28" s="1"/>
  <c r="N240" i="28" a="1"/>
  <c r="N240" i="28" s="1"/>
  <c r="Q239" i="28" a="1"/>
  <c r="Q239" i="28" s="1"/>
  <c r="C239" i="28" a="1"/>
  <c r="C239" i="28" s="1"/>
  <c r="F238" i="28" a="1"/>
  <c r="F238" i="28" s="1"/>
  <c r="I237" i="28" a="1"/>
  <c r="I237" i="28" s="1"/>
  <c r="L236" i="28" a="1"/>
  <c r="L236" i="28" s="1"/>
  <c r="O235" i="28" a="1"/>
  <c r="O235" i="28" s="1"/>
  <c r="A235" i="28" a="1"/>
  <c r="A235" i="28" s="1"/>
  <c r="D234" i="28" a="1"/>
  <c r="D234" i="28" s="1"/>
  <c r="G233" i="28" a="1"/>
  <c r="G233" i="28" s="1"/>
  <c r="J232" i="28" a="1"/>
  <c r="J232" i="28" s="1"/>
  <c r="M231" i="28" a="1"/>
  <c r="M231" i="28" s="1"/>
  <c r="P230" i="28" a="1"/>
  <c r="P230" i="28" s="1"/>
  <c r="B230" i="28" a="1"/>
  <c r="B230" i="28" s="1"/>
  <c r="E229" i="28" a="1"/>
  <c r="E229" i="28" s="1"/>
  <c r="H228" i="28" a="1"/>
  <c r="H228" i="28" s="1"/>
  <c r="K227" i="28" a="1"/>
  <c r="K227" i="28" s="1"/>
  <c r="N226" i="28" a="1"/>
  <c r="N226" i="28" s="1"/>
  <c r="Q225" i="28" a="1"/>
  <c r="Q225" i="28" s="1"/>
  <c r="C225" i="28" a="1"/>
  <c r="C225" i="28" s="1"/>
  <c r="F224" i="28" a="1"/>
  <c r="F224" i="28" s="1"/>
  <c r="I223" i="28" a="1"/>
  <c r="I223" i="28" s="1"/>
  <c r="L222" i="28" a="1"/>
  <c r="L222" i="28" s="1"/>
  <c r="O215" i="28" a="1"/>
  <c r="O215" i="28" s="1"/>
  <c r="B215" i="28" a="1"/>
  <c r="B215" i="28" s="1"/>
  <c r="E214" i="28" a="1"/>
  <c r="E214" i="28" s="1"/>
  <c r="H213" i="28" a="1"/>
  <c r="H213" i="28" s="1"/>
  <c r="K212" i="28" a="1"/>
  <c r="K212" i="28" s="1"/>
  <c r="N211" i="28" a="1"/>
  <c r="N211" i="28" s="1"/>
  <c r="Q210" i="28" a="1"/>
  <c r="Q210" i="28" s="1"/>
  <c r="C210" i="28" a="1"/>
  <c r="C210" i="28" s="1"/>
  <c r="F209" i="28" a="1"/>
  <c r="F209" i="28" s="1"/>
  <c r="J208" i="28" a="1"/>
  <c r="J208" i="28" s="1"/>
  <c r="M207" i="28" a="1"/>
  <c r="M207" i="28" s="1"/>
  <c r="Q206" i="28" a="1"/>
  <c r="Q206" i="28" s="1"/>
  <c r="G205" i="28" a="1"/>
  <c r="G205" i="28" s="1"/>
  <c r="BB228" i="28" a="1"/>
  <c r="BB228" i="28" s="1"/>
  <c r="BD195" i="28" a="1"/>
  <c r="BD195" i="28" s="1"/>
  <c r="BD191" i="28" a="1"/>
  <c r="BD191" i="28" s="1"/>
  <c r="BA187" i="28" a="1"/>
  <c r="BA187" i="28" s="1"/>
  <c r="BG164" i="28" a="1"/>
  <c r="BG164" i="28" s="1"/>
  <c r="BI160" i="28" a="1"/>
  <c r="BI160" i="28" s="1"/>
  <c r="BC154" i="28" a="1"/>
  <c r="BC154" i="28" s="1"/>
  <c r="BI151" i="28" a="1"/>
  <c r="BI151" i="28" s="1"/>
  <c r="BH185" i="28" a="1"/>
  <c r="BH185" i="28" s="1"/>
  <c r="N284" i="28" a="1"/>
  <c r="N284" i="28" s="1"/>
  <c r="E280" i="28" a="1"/>
  <c r="E280" i="28" s="1"/>
  <c r="I277" i="28" a="1"/>
  <c r="I277" i="28" s="1"/>
  <c r="G274" i="28" a="1"/>
  <c r="G274" i="28" s="1"/>
  <c r="P271" i="28" a="1"/>
  <c r="P271" i="28" s="1"/>
  <c r="M268" i="28" a="1"/>
  <c r="M268" i="28" s="1"/>
  <c r="Q265" i="28" a="1"/>
  <c r="Q265" i="28" s="1"/>
  <c r="O262" i="28" a="1"/>
  <c r="O262" i="28" s="1"/>
  <c r="G260" i="28" a="1"/>
  <c r="G260" i="28" s="1"/>
  <c r="G257" i="28" a="1"/>
  <c r="G257" i="28" s="1"/>
  <c r="O248" i="28" a="1"/>
  <c r="O248" i="28" s="1"/>
  <c r="E246" i="28" a="1"/>
  <c r="E246" i="28" s="1"/>
  <c r="L244" i="28" a="1"/>
  <c r="L244" i="28" s="1"/>
  <c r="C243" i="28" a="1"/>
  <c r="C243" i="28" s="1"/>
  <c r="L241" i="28" a="1"/>
  <c r="L241" i="28" s="1"/>
  <c r="C240" i="28" a="1"/>
  <c r="C240" i="28" s="1"/>
  <c r="P238" i="28" a="1"/>
  <c r="P238" i="28" s="1"/>
  <c r="G237" i="28" a="1"/>
  <c r="G237" i="28" s="1"/>
  <c r="P235" i="28" a="1"/>
  <c r="P235" i="28" s="1"/>
  <c r="G234" i="28" a="1"/>
  <c r="G234" i="28" s="1"/>
  <c r="C233" i="28" a="1"/>
  <c r="C233" i="28" s="1"/>
  <c r="K231" i="28" a="1"/>
  <c r="K231" i="28" s="1"/>
  <c r="D230" i="28" a="1"/>
  <c r="D230" i="28" s="1"/>
  <c r="A229" i="28" a="1"/>
  <c r="A229" i="28" s="1"/>
  <c r="L227" i="28" a="1"/>
  <c r="L227" i="28" s="1"/>
  <c r="I226" i="28" a="1"/>
  <c r="I226" i="28" s="1"/>
  <c r="B225" i="28" a="1"/>
  <c r="B225" i="28" s="1"/>
  <c r="P223" i="28" a="1"/>
  <c r="P223" i="28" s="1"/>
  <c r="J222" i="28" a="1"/>
  <c r="J222" i="28" s="1"/>
  <c r="B214" i="28" a="1"/>
  <c r="B214" i="28" s="1"/>
  <c r="M212" i="28" a="1"/>
  <c r="M212" i="28" s="1"/>
  <c r="J211" i="28" a="1"/>
  <c r="J211" i="28" s="1"/>
  <c r="D210" i="28" a="1"/>
  <c r="D210" i="28" s="1"/>
  <c r="L207" i="28" a="1"/>
  <c r="L207" i="28" s="1"/>
  <c r="J206" i="28" a="1"/>
  <c r="J206" i="28" s="1"/>
  <c r="E205" i="28" a="1"/>
  <c r="E205" i="28" s="1"/>
  <c r="E204" i="28" a="1"/>
  <c r="E204" i="28" s="1"/>
  <c r="H203" i="28" a="1"/>
  <c r="H203" i="28" s="1"/>
  <c r="L202" i="28" a="1"/>
  <c r="L202" i="28" s="1"/>
  <c r="O201" i="28" a="1"/>
  <c r="O201" i="28" s="1"/>
  <c r="B201" i="28" a="1"/>
  <c r="B201" i="28" s="1"/>
  <c r="F200" i="28" a="1"/>
  <c r="F200" i="28" s="1"/>
  <c r="I199" i="28" a="1"/>
  <c r="I199" i="28" s="1"/>
  <c r="M198" i="28" a="1"/>
  <c r="M198" i="28" s="1"/>
  <c r="P197" i="28" a="1"/>
  <c r="P197" i="28" s="1"/>
  <c r="C197" i="28" a="1"/>
  <c r="C197" i="28" s="1"/>
  <c r="F196" i="28" a="1"/>
  <c r="F196" i="28" s="1"/>
  <c r="J195" i="28" a="1"/>
  <c r="J195" i="28" s="1"/>
  <c r="M194" i="28" a="1"/>
  <c r="M194" i="28" s="1"/>
  <c r="Q193" i="28" a="1"/>
  <c r="Q193" i="28" s="1"/>
  <c r="C193" i="28" a="1"/>
  <c r="C193" i="28" s="1"/>
  <c r="G192" i="28" a="1"/>
  <c r="G192" i="28" s="1"/>
  <c r="K191" i="28" a="1"/>
  <c r="K191" i="28" s="1"/>
  <c r="N190" i="28" a="1"/>
  <c r="N190" i="28" s="1"/>
  <c r="A190" i="28" a="1"/>
  <c r="A190" i="28" s="1"/>
  <c r="D189" i="28" a="1"/>
  <c r="D189" i="28" s="1"/>
  <c r="G188" i="28" a="1"/>
  <c r="G188" i="28" s="1"/>
  <c r="J187" i="28" a="1"/>
  <c r="J187" i="28" s="1"/>
  <c r="C180" i="28" a="1"/>
  <c r="C180" i="28" s="1"/>
  <c r="H179" i="28" a="1"/>
  <c r="H179" i="28" s="1"/>
  <c r="Q177" i="28" a="1"/>
  <c r="Q177" i="28" s="1"/>
  <c r="E177" i="28" a="1"/>
  <c r="E177" i="28" s="1"/>
  <c r="J176" i="28" a="1"/>
  <c r="J176" i="28" s="1"/>
  <c r="B175" i="28" a="1"/>
  <c r="B175" i="28" s="1"/>
  <c r="G174" i="28" a="1"/>
  <c r="G174" i="28" s="1"/>
  <c r="L173" i="28" a="1"/>
  <c r="L173" i="28" s="1"/>
  <c r="D172" i="28" a="1"/>
  <c r="D172" i="28" s="1"/>
  <c r="I171" i="28" a="1"/>
  <c r="I171" i="28" s="1"/>
  <c r="M170" i="28" a="1"/>
  <c r="M170" i="28" s="1"/>
  <c r="P169" i="28" a="1"/>
  <c r="P169" i="28" s="1"/>
  <c r="B169" i="28" a="1"/>
  <c r="B169" i="28" s="1"/>
  <c r="E168" i="28" a="1"/>
  <c r="E168" i="28" s="1"/>
  <c r="H167" i="28" a="1"/>
  <c r="H167" i="28" s="1"/>
  <c r="K166" i="28" a="1"/>
  <c r="K166" i="28" s="1"/>
  <c r="N165" i="28" a="1"/>
  <c r="N165" i="28" s="1"/>
  <c r="Q164" i="28" a="1"/>
  <c r="Q164" i="28" s="1"/>
  <c r="H163" i="28" a="1"/>
  <c r="H163" i="28" s="1"/>
  <c r="M162" i="28" a="1"/>
  <c r="M162" i="28" s="1"/>
  <c r="Q161" i="28" a="1"/>
  <c r="Q161" i="28" s="1"/>
  <c r="E161" i="28" a="1"/>
  <c r="E161" i="28" s="1"/>
  <c r="I160" i="28" a="1"/>
  <c r="I160" i="28" s="1"/>
  <c r="M159" i="28" a="1"/>
  <c r="M159" i="28" s="1"/>
  <c r="Q158" i="28" a="1"/>
  <c r="Q158" i="28" s="1"/>
  <c r="D158" i="28" a="1"/>
  <c r="D158" i="28" s="1"/>
  <c r="G157" i="28" a="1"/>
  <c r="G157" i="28" s="1"/>
  <c r="L156" i="28" a="1"/>
  <c r="L156" i="28" s="1"/>
  <c r="P155" i="28" a="1"/>
  <c r="P155" i="28" s="1"/>
  <c r="B155" i="28" a="1"/>
  <c r="B155" i="28" s="1"/>
  <c r="F154" i="28" a="1"/>
  <c r="F154" i="28" s="1"/>
  <c r="I153" i="28" a="1"/>
  <c r="I153" i="28" s="1"/>
  <c r="M152" i="28" a="1"/>
  <c r="M152" i="28" s="1"/>
  <c r="P256" i="28" a="1"/>
  <c r="P256" i="28" s="1"/>
  <c r="B256" i="28" a="1"/>
  <c r="B256" i="28" s="1"/>
  <c r="D221" i="28" a="1"/>
  <c r="D221" i="28" s="1"/>
  <c r="F186" i="28" a="1"/>
  <c r="F186" i="28" s="1"/>
  <c r="H151" i="28" a="1"/>
  <c r="H151" i="28" s="1"/>
  <c r="A151" i="28" a="1"/>
  <c r="A151" i="28" s="1"/>
  <c r="O53" i="28"/>
  <c r="L54" i="28"/>
  <c r="I55" i="28"/>
  <c r="F56" i="28"/>
  <c r="C221" i="28" a="1"/>
  <c r="C221" i="28" s="1"/>
  <c r="M54" i="28"/>
  <c r="BI225" i="28" a="1"/>
  <c r="BI225" i="28" s="1"/>
  <c r="AV194" i="28" a="1"/>
  <c r="AV194" i="28" s="1"/>
  <c r="BG163" i="28" a="1"/>
  <c r="BG163" i="28" s="1"/>
  <c r="BM150" i="28" a="1"/>
  <c r="BM150" i="28" s="1"/>
  <c r="F279" i="28" a="1"/>
  <c r="F279" i="28" s="1"/>
  <c r="L273" i="28" a="1"/>
  <c r="L273" i="28" s="1"/>
  <c r="P270" i="28" a="1"/>
  <c r="P270" i="28" s="1"/>
  <c r="C262" i="28" a="1"/>
  <c r="C262" i="28" s="1"/>
  <c r="I250" i="28" a="1"/>
  <c r="I250" i="28" s="1"/>
  <c r="K245" i="28" a="1"/>
  <c r="K245" i="28" s="1"/>
  <c r="K242" i="28" a="1"/>
  <c r="K242" i="28" s="1"/>
  <c r="O239" i="28" a="1"/>
  <c r="O239" i="28" s="1"/>
  <c r="O236" i="28" a="1"/>
  <c r="O236" i="28" s="1"/>
  <c r="B234" i="28" a="1"/>
  <c r="B234" i="28" s="1"/>
  <c r="B231" i="28" a="1"/>
  <c r="B231" i="28" s="1"/>
  <c r="G227" i="28" a="1"/>
  <c r="G227" i="28" s="1"/>
  <c r="O224" i="28" a="1"/>
  <c r="O224" i="28" s="1"/>
  <c r="Q214" i="28" a="1"/>
  <c r="Q214" i="28" s="1"/>
  <c r="B211" i="28" a="1"/>
  <c r="B211" i="28" s="1"/>
  <c r="K208" i="28" a="1"/>
  <c r="K208" i="28" s="1"/>
  <c r="Q204" i="28" a="1"/>
  <c r="Q204" i="28" s="1"/>
  <c r="O200" i="28" a="1"/>
  <c r="O200" i="28" s="1"/>
  <c r="I198" i="28" a="1"/>
  <c r="I198" i="28" s="1"/>
  <c r="F195" i="28" a="1"/>
  <c r="F195" i="28" s="1"/>
  <c r="Q192" i="28" a="1"/>
  <c r="Q192" i="28" s="1"/>
  <c r="N189" i="28" a="1"/>
  <c r="N189" i="28" s="1"/>
  <c r="L180" i="28" a="1"/>
  <c r="L180" i="28" s="1"/>
  <c r="I178" i="28" a="1"/>
  <c r="I178" i="28" s="1"/>
  <c r="K175" i="28" a="1"/>
  <c r="K175" i="28" s="1"/>
  <c r="M172" i="28" a="1"/>
  <c r="M172" i="28" s="1"/>
  <c r="O168" i="28" a="1"/>
  <c r="O168" i="28" s="1"/>
  <c r="G166" i="28" a="1"/>
  <c r="G166" i="28" s="1"/>
  <c r="BJ267" i="28" a="1"/>
  <c r="BJ267" i="28" s="1"/>
  <c r="BI257" i="28" a="1"/>
  <c r="BI257" i="28" s="1"/>
  <c r="AU228" i="28" a="1"/>
  <c r="AU228" i="28" s="1"/>
  <c r="BN200" i="28" a="1"/>
  <c r="BN200" i="28" s="1"/>
  <c r="AV195" i="28" a="1"/>
  <c r="AV195" i="28" s="1"/>
  <c r="BC191" i="28" a="1"/>
  <c r="BC191" i="28" s="1"/>
  <c r="AV187" i="28" a="1"/>
  <c r="AV187" i="28" s="1"/>
  <c r="BH160" i="28" a="1"/>
  <c r="BH160" i="28" s="1"/>
  <c r="BB154" i="28" a="1"/>
  <c r="BB154" i="28" s="1"/>
  <c r="AU151" i="28" a="1"/>
  <c r="AU151" i="28" s="1"/>
  <c r="BC185" i="28" a="1"/>
  <c r="BC185" i="28" s="1"/>
  <c r="L284" i="28" a="1"/>
  <c r="L284" i="28" s="1"/>
  <c r="D280" i="28" a="1"/>
  <c r="D280" i="28" s="1"/>
  <c r="A277" i="28" a="1"/>
  <c r="A277" i="28" s="1"/>
  <c r="F274" i="28" a="1"/>
  <c r="F274" i="28" s="1"/>
  <c r="O271" i="28" a="1"/>
  <c r="O271" i="28" s="1"/>
  <c r="L268" i="28" a="1"/>
  <c r="L268" i="28" s="1"/>
  <c r="I265" i="28" a="1"/>
  <c r="I265" i="28" s="1"/>
  <c r="N262" i="28" a="1"/>
  <c r="N262" i="28" s="1"/>
  <c r="F260" i="28" a="1"/>
  <c r="F260" i="28" s="1"/>
  <c r="F257" i="28" a="1"/>
  <c r="F257" i="28" s="1"/>
  <c r="M248" i="28" a="1"/>
  <c r="M248" i="28" s="1"/>
  <c r="D246" i="28" a="1"/>
  <c r="D246" i="28" s="1"/>
  <c r="K244" i="28" a="1"/>
  <c r="K244" i="28" s="1"/>
  <c r="B243" i="28" a="1"/>
  <c r="B243" i="28" s="1"/>
  <c r="J241" i="28" a="1"/>
  <c r="J241" i="28" s="1"/>
  <c r="B240" i="28" a="1"/>
  <c r="B240" i="28" s="1"/>
  <c r="O238" i="28" a="1"/>
  <c r="O238" i="28" s="1"/>
  <c r="F237" i="28" a="1"/>
  <c r="F237" i="28" s="1"/>
  <c r="N235" i="28" a="1"/>
  <c r="N235" i="28" s="1"/>
  <c r="F234" i="28" a="1"/>
  <c r="F234" i="28" s="1"/>
  <c r="B233" i="28" a="1"/>
  <c r="B233" i="28" s="1"/>
  <c r="J231" i="28" a="1"/>
  <c r="J231" i="28" s="1"/>
  <c r="C230" i="28" a="1"/>
  <c r="C230" i="28" s="1"/>
  <c r="Q228" i="28" a="1"/>
  <c r="Q228" i="28" s="1"/>
  <c r="J227" i="28" a="1"/>
  <c r="J227" i="28" s="1"/>
  <c r="G226" i="28" a="1"/>
  <c r="G226" i="28" s="1"/>
  <c r="A225" i="28" a="1"/>
  <c r="A225" i="28" s="1"/>
  <c r="L223" i="28" a="1"/>
  <c r="L223" i="28" s="1"/>
  <c r="I222" i="28" a="1"/>
  <c r="I222" i="28" s="1"/>
  <c r="D215" i="28" a="1"/>
  <c r="D215" i="28" s="1"/>
  <c r="A214" i="28" a="1"/>
  <c r="A214" i="28" s="1"/>
  <c r="L212" i="28" a="1"/>
  <c r="L212" i="28" s="1"/>
  <c r="I211" i="28" a="1"/>
  <c r="I211" i="28" s="1"/>
  <c r="B210" i="28" a="1"/>
  <c r="B210" i="28" s="1"/>
  <c r="Q208" i="28" a="1"/>
  <c r="Q208" i="28" s="1"/>
  <c r="K207" i="28" a="1"/>
  <c r="K207" i="28" s="1"/>
  <c r="F206" i="28" a="1"/>
  <c r="F206" i="28" s="1"/>
  <c r="D205" i="28" a="1"/>
  <c r="D205" i="28" s="1"/>
  <c r="D204" i="28" a="1"/>
  <c r="D204" i="28" s="1"/>
  <c r="G203" i="28" a="1"/>
  <c r="G203" i="28" s="1"/>
  <c r="K202" i="28" a="1"/>
  <c r="K202" i="28" s="1"/>
  <c r="N201" i="28" a="1"/>
  <c r="N201" i="28" s="1"/>
  <c r="A201" i="28" a="1"/>
  <c r="A201" i="28" s="1"/>
  <c r="E200" i="28" a="1"/>
  <c r="E200" i="28" s="1"/>
  <c r="H199" i="28" a="1"/>
  <c r="H199" i="28" s="1"/>
  <c r="L198" i="28" a="1"/>
  <c r="L198" i="28" s="1"/>
  <c r="O197" i="28" a="1"/>
  <c r="O197" i="28" s="1"/>
  <c r="B197" i="28" a="1"/>
  <c r="B197" i="28" s="1"/>
  <c r="E196" i="28" a="1"/>
  <c r="E196" i="28" s="1"/>
  <c r="I195" i="28" a="1"/>
  <c r="I195" i="28" s="1"/>
  <c r="L194" i="28" a="1"/>
  <c r="L194" i="28" s="1"/>
  <c r="P193" i="28" a="1"/>
  <c r="P193" i="28" s="1"/>
  <c r="B193" i="28" a="1"/>
  <c r="B193" i="28" s="1"/>
  <c r="F192" i="28" a="1"/>
  <c r="F192" i="28" s="1"/>
  <c r="J191" i="28" a="1"/>
  <c r="J191" i="28" s="1"/>
  <c r="M190" i="28" a="1"/>
  <c r="M190" i="28" s="1"/>
  <c r="Q189" i="28" a="1"/>
  <c r="Q189" i="28" s="1"/>
  <c r="C189" i="28" a="1"/>
  <c r="C189" i="28" s="1"/>
  <c r="F188" i="28" a="1"/>
  <c r="F188" i="28" s="1"/>
  <c r="I187" i="28" a="1"/>
  <c r="I187" i="28" s="1"/>
  <c r="N180" i="28" a="1"/>
  <c r="N180" i="28" s="1"/>
  <c r="B180" i="28" a="1"/>
  <c r="B180" i="28" s="1"/>
  <c r="G179" i="28" a="1"/>
  <c r="G179" i="28" s="1"/>
  <c r="L178" i="28" a="1"/>
  <c r="L178" i="28" s="1"/>
  <c r="P177" i="28" a="1"/>
  <c r="P177" i="28" s="1"/>
  <c r="D177" i="28" a="1"/>
  <c r="D177" i="28" s="1"/>
  <c r="I176" i="28" a="1"/>
  <c r="I176" i="28" s="1"/>
  <c r="N175" i="28" a="1"/>
  <c r="N175" i="28" s="1"/>
  <c r="A175" i="28" a="1"/>
  <c r="A175" i="28" s="1"/>
  <c r="F174" i="28" a="1"/>
  <c r="F174" i="28" s="1"/>
  <c r="K173" i="28" a="1"/>
  <c r="K173" i="28" s="1"/>
  <c r="P172" i="28" a="1"/>
  <c r="P172" i="28" s="1"/>
  <c r="C172" i="28" a="1"/>
  <c r="C172" i="28" s="1"/>
  <c r="H171" i="28" a="1"/>
  <c r="H171" i="28" s="1"/>
  <c r="L170" i="28" a="1"/>
  <c r="L170" i="28" s="1"/>
  <c r="O169" i="28" a="1"/>
  <c r="O169" i="28" s="1"/>
  <c r="A169" i="28" a="1"/>
  <c r="A169" i="28" s="1"/>
  <c r="D168" i="28" a="1"/>
  <c r="D168" i="28" s="1"/>
  <c r="G167" i="28" a="1"/>
  <c r="G167" i="28" s="1"/>
  <c r="J166" i="28" a="1"/>
  <c r="J166" i="28" s="1"/>
  <c r="M165" i="28" a="1"/>
  <c r="M165" i="28" s="1"/>
  <c r="P164" i="28" a="1"/>
  <c r="P164" i="28" s="1"/>
  <c r="D164" i="28" a="1"/>
  <c r="D164" i="28" s="1"/>
  <c r="L162" i="28" a="1"/>
  <c r="L162" i="28" s="1"/>
  <c r="P161" i="28" a="1"/>
  <c r="P161" i="28" s="1"/>
  <c r="D161" i="28" a="1"/>
  <c r="D161" i="28" s="1"/>
  <c r="H160" i="28" a="1"/>
  <c r="H160" i="28" s="1"/>
  <c r="P158" i="28" a="1"/>
  <c r="P158" i="28" s="1"/>
  <c r="C158" i="28" a="1"/>
  <c r="C158" i="28" s="1"/>
  <c r="F157" i="28" a="1"/>
  <c r="F157" i="28" s="1"/>
  <c r="K156" i="28" a="1"/>
  <c r="K156" i="28" s="1"/>
  <c r="O155" i="28" a="1"/>
  <c r="O155" i="28" s="1"/>
  <c r="A155" i="28" a="1"/>
  <c r="A155" i="28" s="1"/>
  <c r="E154" i="28" a="1"/>
  <c r="E154" i="28" s="1"/>
  <c r="H153" i="28" a="1"/>
  <c r="H153" i="28" s="1"/>
  <c r="L152" i="28" a="1"/>
  <c r="L152" i="28" s="1"/>
  <c r="O256" i="28" a="1"/>
  <c r="O256" i="28" s="1"/>
  <c r="Q221" i="28" a="1"/>
  <c r="Q221" i="28" s="1"/>
  <c r="E186" i="28" a="1"/>
  <c r="E186" i="28" s="1"/>
  <c r="G151" i="28" a="1"/>
  <c r="G151" i="28" s="1"/>
  <c r="B53" i="28"/>
  <c r="P53" i="28"/>
  <c r="J55" i="28"/>
  <c r="G56" i="28"/>
  <c r="BG200" i="28" a="1"/>
  <c r="BG200" i="28" s="1"/>
  <c r="J228" i="28" a="1"/>
  <c r="J228" i="28" s="1"/>
  <c r="A204" i="28" a="1"/>
  <c r="A204" i="28" s="1"/>
  <c r="M193" i="28" a="1"/>
  <c r="M193" i="28" s="1"/>
  <c r="F187" i="28" a="1"/>
  <c r="F187" i="28" s="1"/>
  <c r="F176" i="28" a="1"/>
  <c r="F176" i="28" s="1"/>
  <c r="D167" i="28" a="1"/>
  <c r="D167" i="28" s="1"/>
  <c r="AX267" i="28" a="1"/>
  <c r="AX267" i="28" s="1"/>
  <c r="BE235" i="28" a="1"/>
  <c r="BE235" i="28" s="1"/>
  <c r="BI200" i="28" a="1"/>
  <c r="BI200" i="28" s="1"/>
  <c r="BF190" i="28" a="1"/>
  <c r="BF190" i="28" s="1"/>
  <c r="BF160" i="28" a="1"/>
  <c r="BF160" i="28" s="1"/>
  <c r="BA154" i="28" a="1"/>
  <c r="BA154" i="28" s="1"/>
  <c r="AY185" i="28" a="1"/>
  <c r="AY185" i="28" s="1"/>
  <c r="K283" i="28" a="1"/>
  <c r="K283" i="28" s="1"/>
  <c r="C280" i="28" a="1"/>
  <c r="C280" i="28" s="1"/>
  <c r="Q276" i="28" a="1"/>
  <c r="Q276" i="28" s="1"/>
  <c r="D274" i="28" a="1"/>
  <c r="D274" i="28" s="1"/>
  <c r="B271" i="28" a="1"/>
  <c r="B271" i="28" s="1"/>
  <c r="K268" i="28" a="1"/>
  <c r="K268" i="28" s="1"/>
  <c r="H265" i="28" a="1"/>
  <c r="H265" i="28" s="1"/>
  <c r="L262" i="28" a="1"/>
  <c r="L262" i="28" s="1"/>
  <c r="J259" i="28" a="1"/>
  <c r="J259" i="28" s="1"/>
  <c r="E257" i="28" a="1"/>
  <c r="E257" i="28" s="1"/>
  <c r="L248" i="28" a="1"/>
  <c r="L248" i="28" s="1"/>
  <c r="C246" i="28" a="1"/>
  <c r="C246" i="28" s="1"/>
  <c r="E244" i="28" a="1"/>
  <c r="E244" i="28" s="1"/>
  <c r="A243" i="28" a="1"/>
  <c r="A243" i="28" s="1"/>
  <c r="I241" i="28" a="1"/>
  <c r="I241" i="28" s="1"/>
  <c r="A240" i="28" a="1"/>
  <c r="A240" i="28" s="1"/>
  <c r="I238" i="28" a="1"/>
  <c r="I238" i="28" s="1"/>
  <c r="E237" i="28" a="1"/>
  <c r="E237" i="28" s="1"/>
  <c r="M235" i="28" a="1"/>
  <c r="M235" i="28" s="1"/>
  <c r="E234" i="28" a="1"/>
  <c r="E234" i="28" s="1"/>
  <c r="M232" i="28" a="1"/>
  <c r="M232" i="28" s="1"/>
  <c r="I231" i="28" a="1"/>
  <c r="I231" i="28" s="1"/>
  <c r="A230" i="28" a="1"/>
  <c r="A230" i="28" s="1"/>
  <c r="O228" i="28" a="1"/>
  <c r="O228" i="28" s="1"/>
  <c r="I227" i="28" a="1"/>
  <c r="I227" i="28" s="1"/>
  <c r="C226" i="28" a="1"/>
  <c r="C226" i="28" s="1"/>
  <c r="Q224" i="28" a="1"/>
  <c r="Q224" i="28" s="1"/>
  <c r="K223" i="28" a="1"/>
  <c r="K223" i="28" s="1"/>
  <c r="H222" i="28" a="1"/>
  <c r="H222" i="28" s="1"/>
  <c r="C215" i="28" a="1"/>
  <c r="C215" i="28" s="1"/>
  <c r="Q213" i="28" a="1"/>
  <c r="Q213" i="28" s="1"/>
  <c r="J212" i="28" a="1"/>
  <c r="J212" i="28" s="1"/>
  <c r="G211" i="28" a="1"/>
  <c r="G211" i="28" s="1"/>
  <c r="A210" i="28" a="1"/>
  <c r="A210" i="28" s="1"/>
  <c r="M208" i="28" a="1"/>
  <c r="M208" i="28" s="1"/>
  <c r="J207" i="28" a="1"/>
  <c r="J207" i="28" s="1"/>
  <c r="E206" i="28" a="1"/>
  <c r="E206" i="28" s="1"/>
  <c r="C205" i="28" a="1"/>
  <c r="C205" i="28" s="1"/>
  <c r="C204" i="28" a="1"/>
  <c r="C204" i="28" s="1"/>
  <c r="F203" i="28" a="1"/>
  <c r="F203" i="28" s="1"/>
  <c r="J202" i="28" a="1"/>
  <c r="J202" i="28" s="1"/>
  <c r="M201" i="28" a="1"/>
  <c r="M201" i="28" s="1"/>
  <c r="Q200" i="28" a="1"/>
  <c r="Q200" i="28" s="1"/>
  <c r="D200" i="28" a="1"/>
  <c r="D200" i="28" s="1"/>
  <c r="G199" i="28" a="1"/>
  <c r="G199" i="28" s="1"/>
  <c r="K198" i="28" a="1"/>
  <c r="K198" i="28" s="1"/>
  <c r="N197" i="28" a="1"/>
  <c r="N197" i="28" s="1"/>
  <c r="A197" i="28" a="1"/>
  <c r="A197" i="28" s="1"/>
  <c r="D196" i="28" a="1"/>
  <c r="D196" i="28" s="1"/>
  <c r="H195" i="28" a="1"/>
  <c r="H195" i="28" s="1"/>
  <c r="O193" i="28" a="1"/>
  <c r="O193" i="28" s="1"/>
  <c r="A193" i="28" a="1"/>
  <c r="A193" i="28" s="1"/>
  <c r="E192" i="28" a="1"/>
  <c r="E192" i="28" s="1"/>
  <c r="I191" i="28" a="1"/>
  <c r="I191" i="28" s="1"/>
  <c r="L190" i="28" a="1"/>
  <c r="L190" i="28" s="1"/>
  <c r="P189" i="28" a="1"/>
  <c r="P189" i="28" s="1"/>
  <c r="B189" i="28" a="1"/>
  <c r="B189" i="28" s="1"/>
  <c r="E188" i="28" a="1"/>
  <c r="E188" i="28" s="1"/>
  <c r="H187" i="28" a="1"/>
  <c r="H187" i="28" s="1"/>
  <c r="A180" i="28" a="1"/>
  <c r="A180" i="28" s="1"/>
  <c r="F179" i="28" a="1"/>
  <c r="F179" i="28" s="1"/>
  <c r="K178" i="28" a="1"/>
  <c r="K178" i="28" s="1"/>
  <c r="C177" i="28" a="1"/>
  <c r="C177" i="28" s="1"/>
  <c r="H176" i="28" a="1"/>
  <c r="H176" i="28" s="1"/>
  <c r="M175" i="28" a="1"/>
  <c r="M175" i="28" s="1"/>
  <c r="E174" i="28" a="1"/>
  <c r="E174" i="28" s="1"/>
  <c r="J173" i="28" a="1"/>
  <c r="J173" i="28" s="1"/>
  <c r="O172" i="28" a="1"/>
  <c r="O172" i="28" s="1"/>
  <c r="G171" i="28" a="1"/>
  <c r="G171" i="28" s="1"/>
  <c r="K170" i="28" a="1"/>
  <c r="K170" i="28" s="1"/>
  <c r="N169" i="28" a="1"/>
  <c r="N169" i="28" s="1"/>
  <c r="Q168" i="28" a="1"/>
  <c r="Q168" i="28" s="1"/>
  <c r="C168" i="28" a="1"/>
  <c r="C168" i="28" s="1"/>
  <c r="F167" i="28" a="1"/>
  <c r="F167" i="28" s="1"/>
  <c r="I166" i="28" a="1"/>
  <c r="I166" i="28" s="1"/>
  <c r="L165" i="28" a="1"/>
  <c r="L165" i="28" s="1"/>
  <c r="O164" i="28" a="1"/>
  <c r="O164" i="28" s="1"/>
  <c r="C164" i="28" a="1"/>
  <c r="C164" i="28" s="1"/>
  <c r="G163" i="28" a="1"/>
  <c r="G163" i="28" s="1"/>
  <c r="K162" i="28" a="1"/>
  <c r="K162" i="28" s="1"/>
  <c r="O161" i="28" a="1"/>
  <c r="O161" i="28" s="1"/>
  <c r="C161" i="28" a="1"/>
  <c r="C161" i="28" s="1"/>
  <c r="G160" i="28" a="1"/>
  <c r="G160" i="28" s="1"/>
  <c r="L159" i="28" a="1"/>
  <c r="L159" i="28" s="1"/>
  <c r="B158" i="28" a="1"/>
  <c r="B158" i="28" s="1"/>
  <c r="E157" i="28" a="1"/>
  <c r="E157" i="28" s="1"/>
  <c r="J156" i="28" a="1"/>
  <c r="J156" i="28" s="1"/>
  <c r="N155" i="28" a="1"/>
  <c r="N155" i="28" s="1"/>
  <c r="Q154" i="28" a="1"/>
  <c r="Q154" i="28" s="1"/>
  <c r="D154" i="28" a="1"/>
  <c r="D154" i="28" s="1"/>
  <c r="G153" i="28" a="1"/>
  <c r="G153" i="28" s="1"/>
  <c r="K152" i="28" a="1"/>
  <c r="K152" i="28" s="1"/>
  <c r="N256" i="28" a="1"/>
  <c r="N256" i="28" s="1"/>
  <c r="P221" i="28" a="1"/>
  <c r="P221" i="28" s="1"/>
  <c r="B221" i="28" a="1"/>
  <c r="B221" i="28" s="1"/>
  <c r="D186" i="28" a="1"/>
  <c r="D186" i="28" s="1"/>
  <c r="F151" i="28" a="1"/>
  <c r="F151" i="28" s="1"/>
  <c r="C53" i="28"/>
  <c r="Q53" i="28"/>
  <c r="N54" i="28"/>
  <c r="K55" i="28"/>
  <c r="H56" i="28"/>
  <c r="BB235" i="28" a="1"/>
  <c r="BB235" i="28" s="1"/>
  <c r="D283" i="28" a="1"/>
  <c r="D283" i="28" s="1"/>
  <c r="F265" i="28" a="1"/>
  <c r="F265" i="28" s="1"/>
  <c r="J248" i="28" a="1"/>
  <c r="J248" i="28" s="1"/>
  <c r="G241" i="28" a="1"/>
  <c r="G241" i="28" s="1"/>
  <c r="K235" i="28" a="1"/>
  <c r="K235" i="28" s="1"/>
  <c r="P229" i="28" a="1"/>
  <c r="P229" i="28" s="1"/>
  <c r="H223" i="28" a="1"/>
  <c r="H223" i="28" s="1"/>
  <c r="H212" i="28" a="1"/>
  <c r="H212" i="28" s="1"/>
  <c r="H207" i="28" a="1"/>
  <c r="H207" i="28" s="1"/>
  <c r="E203" i="28" a="1"/>
  <c r="E203" i="28" s="1"/>
  <c r="E199" i="28" a="1"/>
  <c r="E199" i="28" s="1"/>
  <c r="B196" i="28" a="1"/>
  <c r="B196" i="28" s="1"/>
  <c r="G191" i="28" a="1"/>
  <c r="G191" i="28" s="1"/>
  <c r="C188" i="28" a="1"/>
  <c r="C188" i="28" s="1"/>
  <c r="N177" i="28" a="1"/>
  <c r="N177" i="28" s="1"/>
  <c r="I170" i="28" a="1"/>
  <c r="I170" i="28" s="1"/>
  <c r="AY265" i="28" a="1"/>
  <c r="AY265" i="28" s="1"/>
  <c r="BD235" i="28" a="1"/>
  <c r="BD235" i="28" s="1"/>
  <c r="BH200" i="28" a="1"/>
  <c r="BH200" i="28" s="1"/>
  <c r="AX194" i="28" a="1"/>
  <c r="AX194" i="28" s="1"/>
  <c r="BA190" i="28" a="1"/>
  <c r="BA190" i="28" s="1"/>
  <c r="BJ163" i="28" a="1"/>
  <c r="BJ163" i="28" s="1"/>
  <c r="AZ154" i="28" a="1"/>
  <c r="AZ154" i="28" s="1"/>
  <c r="BN150" i="28" a="1"/>
  <c r="BN150" i="28" s="1"/>
  <c r="J283" i="28" a="1"/>
  <c r="J283" i="28" s="1"/>
  <c r="B280" i="28" a="1"/>
  <c r="B280" i="28" s="1"/>
  <c r="P276" i="28" a="1"/>
  <c r="P276" i="28" s="1"/>
  <c r="M273" i="28" a="1"/>
  <c r="M273" i="28" s="1"/>
  <c r="A271" i="28" a="1"/>
  <c r="A271" i="28" s="1"/>
  <c r="J268" i="28" a="1"/>
  <c r="J268" i="28" s="1"/>
  <c r="G265" i="28" a="1"/>
  <c r="G265" i="28" s="1"/>
  <c r="D262" i="28" a="1"/>
  <c r="D262" i="28" s="1"/>
  <c r="I259" i="28" a="1"/>
  <c r="I259" i="28" s="1"/>
  <c r="D257" i="28" a="1"/>
  <c r="D257" i="28" s="1"/>
  <c r="K248" i="28" a="1"/>
  <c r="K248" i="28" s="1"/>
  <c r="Q245" i="28" a="1"/>
  <c r="Q245" i="28" s="1"/>
  <c r="D244" i="28" a="1"/>
  <c r="D244" i="28" s="1"/>
  <c r="Q242" i="28" a="1"/>
  <c r="Q242" i="28" s="1"/>
  <c r="H241" i="28" a="1"/>
  <c r="H241" i="28" s="1"/>
  <c r="P239" i="28" a="1"/>
  <c r="P239" i="28" s="1"/>
  <c r="H238" i="28" a="1"/>
  <c r="H238" i="28" s="1"/>
  <c r="D237" i="28" a="1"/>
  <c r="D237" i="28" s="1"/>
  <c r="L235" i="28" a="1"/>
  <c r="L235" i="28" s="1"/>
  <c r="C234" i="28" a="1"/>
  <c r="C234" i="28" s="1"/>
  <c r="L232" i="28" a="1"/>
  <c r="L232" i="28" s="1"/>
  <c r="H231" i="28" a="1"/>
  <c r="H231" i="28" s="1"/>
  <c r="Q229" i="28" a="1"/>
  <c r="Q229" i="28" s="1"/>
  <c r="K228" i="28" a="1"/>
  <c r="K228" i="28" s="1"/>
  <c r="H227" i="28" a="1"/>
  <c r="H227" i="28" s="1"/>
  <c r="B226" i="28" a="1"/>
  <c r="B226" i="28" s="1"/>
  <c r="P224" i="28" a="1"/>
  <c r="P224" i="28" s="1"/>
  <c r="J223" i="28" a="1"/>
  <c r="J223" i="28" s="1"/>
  <c r="G222" i="28" a="1"/>
  <c r="G222" i="28" s="1"/>
  <c r="A215" i="28" a="1"/>
  <c r="A215" i="28" s="1"/>
  <c r="O213" i="28" a="1"/>
  <c r="O213" i="28" s="1"/>
  <c r="I212" i="28" a="1"/>
  <c r="I212" i="28" s="1"/>
  <c r="C211" i="28" a="1"/>
  <c r="C211" i="28" s="1"/>
  <c r="Q209" i="28" a="1"/>
  <c r="Q209" i="28" s="1"/>
  <c r="L208" i="28" a="1"/>
  <c r="L208" i="28" s="1"/>
  <c r="I207" i="28" a="1"/>
  <c r="I207" i="28" s="1"/>
  <c r="D206" i="28" a="1"/>
  <c r="D206" i="28" s="1"/>
  <c r="B205" i="28" a="1"/>
  <c r="B205" i="28" s="1"/>
  <c r="B204" i="28" a="1"/>
  <c r="B204" i="28" s="1"/>
  <c r="I202" i="28" a="1"/>
  <c r="I202" i="28" s="1"/>
  <c r="L201" i="28" a="1"/>
  <c r="L201" i="28" s="1"/>
  <c r="P200" i="28" a="1"/>
  <c r="P200" i="28" s="1"/>
  <c r="C200" i="28" a="1"/>
  <c r="C200" i="28" s="1"/>
  <c r="F199" i="28" a="1"/>
  <c r="F199" i="28" s="1"/>
  <c r="J198" i="28" a="1"/>
  <c r="J198" i="28" s="1"/>
  <c r="M197" i="28" a="1"/>
  <c r="M197" i="28" s="1"/>
  <c r="Q196" i="28" a="1"/>
  <c r="Q196" i="28" s="1"/>
  <c r="C196" i="28" a="1"/>
  <c r="C196" i="28" s="1"/>
  <c r="G195" i="28" a="1"/>
  <c r="G195" i="28" s="1"/>
  <c r="K194" i="28" a="1"/>
  <c r="K194" i="28" s="1"/>
  <c r="N193" i="28" a="1"/>
  <c r="N193" i="28" s="1"/>
  <c r="D192" i="28" a="1"/>
  <c r="D192" i="28" s="1"/>
  <c r="H191" i="28" a="1"/>
  <c r="H191" i="28" s="1"/>
  <c r="K190" i="28" a="1"/>
  <c r="K190" i="28" s="1"/>
  <c r="O189" i="28" a="1"/>
  <c r="O189" i="28" s="1"/>
  <c r="A189" i="28" a="1"/>
  <c r="A189" i="28" s="1"/>
  <c r="D188" i="28" a="1"/>
  <c r="D188" i="28" s="1"/>
  <c r="G187" i="28" a="1"/>
  <c r="G187" i="28" s="1"/>
  <c r="M180" i="28" a="1"/>
  <c r="M180" i="28" s="1"/>
  <c r="Q179" i="28" a="1"/>
  <c r="Q179" i="28" s="1"/>
  <c r="E179" i="28" a="1"/>
  <c r="E179" i="28" s="1"/>
  <c r="J178" i="28" a="1"/>
  <c r="J178" i="28" s="1"/>
  <c r="O177" i="28" a="1"/>
  <c r="O177" i="28" s="1"/>
  <c r="B177" i="28" a="1"/>
  <c r="B177" i="28" s="1"/>
  <c r="G176" i="28" a="1"/>
  <c r="G176" i="28" s="1"/>
  <c r="L175" i="28" a="1"/>
  <c r="L175" i="28" s="1"/>
  <c r="Q174" i="28" a="1"/>
  <c r="Q174" i="28" s="1"/>
  <c r="D174" i="28" a="1"/>
  <c r="D174" i="28" s="1"/>
  <c r="I173" i="28" a="1"/>
  <c r="I173" i="28" s="1"/>
  <c r="N172" i="28" a="1"/>
  <c r="N172" i="28" s="1"/>
  <c r="B172" i="28" a="1"/>
  <c r="B172" i="28" s="1"/>
  <c r="F171" i="28" a="1"/>
  <c r="F171" i="28" s="1"/>
  <c r="J170" i="28" a="1"/>
  <c r="J170" i="28" s="1"/>
  <c r="M169" i="28" a="1"/>
  <c r="M169" i="28" s="1"/>
  <c r="P168" i="28" a="1"/>
  <c r="P168" i="28" s="1"/>
  <c r="B168" i="28" a="1"/>
  <c r="B168" i="28" s="1"/>
  <c r="E167" i="28" a="1"/>
  <c r="E167" i="28" s="1"/>
  <c r="H166" i="28" a="1"/>
  <c r="H166" i="28" s="1"/>
  <c r="K165" i="28" a="1"/>
  <c r="K165" i="28" s="1"/>
  <c r="N164" i="28" a="1"/>
  <c r="N164" i="28" s="1"/>
  <c r="B164" i="28" a="1"/>
  <c r="B164" i="28" s="1"/>
  <c r="F163" i="28" a="1"/>
  <c r="F163" i="28" s="1"/>
  <c r="N161" i="28" a="1"/>
  <c r="N161" i="28" s="1"/>
  <c r="B161" i="28" a="1"/>
  <c r="B161" i="28" s="1"/>
  <c r="F160" i="28" a="1"/>
  <c r="F160" i="28" s="1"/>
  <c r="K159" i="28" a="1"/>
  <c r="K159" i="28" s="1"/>
  <c r="O158" i="28" a="1"/>
  <c r="O158" i="28" s="1"/>
  <c r="A158" i="28" a="1"/>
  <c r="A158" i="28" s="1"/>
  <c r="I156" i="28" a="1"/>
  <c r="I156" i="28" s="1"/>
  <c r="M155" i="28" a="1"/>
  <c r="M155" i="28" s="1"/>
  <c r="P154" i="28" a="1"/>
  <c r="P154" i="28" s="1"/>
  <c r="C154" i="28" a="1"/>
  <c r="C154" i="28" s="1"/>
  <c r="F153" i="28" a="1"/>
  <c r="F153" i="28" s="1"/>
  <c r="J152" i="28" a="1"/>
  <c r="J152" i="28" s="1"/>
  <c r="M256" i="28" a="1"/>
  <c r="M256" i="28" s="1"/>
  <c r="O221" i="28" a="1"/>
  <c r="O221" i="28" s="1"/>
  <c r="Q186" i="28" a="1"/>
  <c r="Q186" i="28" s="1"/>
  <c r="C186" i="28" a="1"/>
  <c r="C186" i="28" s="1"/>
  <c r="E151" i="28" a="1"/>
  <c r="E151" i="28" s="1"/>
  <c r="D53" i="28"/>
  <c r="R53" i="28"/>
  <c r="O54" i="28"/>
  <c r="L55" i="28"/>
  <c r="I56" i="28"/>
  <c r="BD153" i="28" a="1"/>
  <c r="BD153" i="28" s="1"/>
  <c r="O276" i="28" a="1"/>
  <c r="O276" i="28" s="1"/>
  <c r="N267" i="28" a="1"/>
  <c r="N267" i="28" s="1"/>
  <c r="G259" i="28" a="1"/>
  <c r="G259" i="28" s="1"/>
  <c r="C244" i="28" a="1"/>
  <c r="C244" i="28" s="1"/>
  <c r="G238" i="28" a="1"/>
  <c r="G238" i="28" s="1"/>
  <c r="K232" i="28" a="1"/>
  <c r="K232" i="28" s="1"/>
  <c r="A226" i="28" a="1"/>
  <c r="A226" i="28" s="1"/>
  <c r="E222" i="28" a="1"/>
  <c r="E222" i="28" s="1"/>
  <c r="K213" i="28" a="1"/>
  <c r="K213" i="28" s="1"/>
  <c r="P209" i="28" a="1"/>
  <c r="P209" i="28" s="1"/>
  <c r="C206" i="28" a="1"/>
  <c r="C206" i="28" s="1"/>
  <c r="H202" i="28" a="1"/>
  <c r="H202" i="28" s="1"/>
  <c r="B200" i="28" a="1"/>
  <c r="B200" i="28" s="1"/>
  <c r="L197" i="28" a="1"/>
  <c r="L197" i="28" s="1"/>
  <c r="J194" i="28" a="1"/>
  <c r="J194" i="28" s="1"/>
  <c r="C192" i="28" a="1"/>
  <c r="C192" i="28" s="1"/>
  <c r="J190" i="28" a="1"/>
  <c r="J190" i="28" s="1"/>
  <c r="Q188" i="28" a="1"/>
  <c r="Q188" i="28" s="1"/>
  <c r="D179" i="28" a="1"/>
  <c r="D179" i="28" s="1"/>
  <c r="P174" i="28" a="1"/>
  <c r="P174" i="28" s="1"/>
  <c r="H173" i="28" a="1"/>
  <c r="H173" i="28" s="1"/>
  <c r="A172" i="28" a="1"/>
  <c r="A172" i="28" s="1"/>
  <c r="L169" i="28" a="1"/>
  <c r="L169" i="28" s="1"/>
  <c r="A168" i="28" a="1"/>
  <c r="A168" i="28" s="1"/>
  <c r="J165" i="28" a="1"/>
  <c r="J165" i="28" s="1"/>
  <c r="A164" i="28" a="1"/>
  <c r="A164" i="28" s="1"/>
  <c r="BL264" i="28" a="1"/>
  <c r="BL264" i="28" s="1"/>
  <c r="BH225" i="28" a="1"/>
  <c r="BH225" i="28" s="1"/>
  <c r="BF200" i="28" a="1"/>
  <c r="BF200" i="28" s="1"/>
  <c r="BE163" i="28" a="1"/>
  <c r="BE163" i="28" s="1"/>
  <c r="BM159" i="28" a="1"/>
  <c r="BM159" i="28" s="1"/>
  <c r="AZ156" i="28" a="1"/>
  <c r="AZ156" i="28" s="1"/>
  <c r="BC153" i="28" a="1"/>
  <c r="BC153" i="28" s="1"/>
  <c r="BL150" i="28" a="1"/>
  <c r="BL150" i="28" s="1"/>
  <c r="L282" i="28" a="1"/>
  <c r="L282" i="28" s="1"/>
  <c r="E279" i="28" a="1"/>
  <c r="E279" i="28" s="1"/>
  <c r="N276" i="28" a="1"/>
  <c r="N276" i="28" s="1"/>
  <c r="K273" i="28" a="1"/>
  <c r="K273" i="28" s="1"/>
  <c r="H270" i="28" a="1"/>
  <c r="H270" i="28" s="1"/>
  <c r="M267" i="28" a="1"/>
  <c r="M267" i="28" s="1"/>
  <c r="E265" i="28" a="1"/>
  <c r="E265" i="28" s="1"/>
  <c r="B262" i="28" a="1"/>
  <c r="B262" i="28" s="1"/>
  <c r="Q258" i="28" a="1"/>
  <c r="Q258" i="28" s="1"/>
  <c r="H250" i="28" a="1"/>
  <c r="H250" i="28" s="1"/>
  <c r="H248" i="28" a="1"/>
  <c r="H248" i="28" s="1"/>
  <c r="J245" i="28" a="1"/>
  <c r="J245" i="28" s="1"/>
  <c r="A244" i="28" a="1"/>
  <c r="A244" i="28" s="1"/>
  <c r="J242" i="28" a="1"/>
  <c r="J242" i="28" s="1"/>
  <c r="F241" i="28" a="1"/>
  <c r="F241" i="28" s="1"/>
  <c r="N239" i="28" a="1"/>
  <c r="N239" i="28" s="1"/>
  <c r="E238" i="28" a="1"/>
  <c r="E238" i="28" s="1"/>
  <c r="N236" i="28" a="1"/>
  <c r="N236" i="28" s="1"/>
  <c r="J235" i="28" a="1"/>
  <c r="J235" i="28" s="1"/>
  <c r="A234" i="28" a="1"/>
  <c r="A234" i="28" s="1"/>
  <c r="I232" i="28" a="1"/>
  <c r="I232" i="28" s="1"/>
  <c r="A231" i="28" a="1"/>
  <c r="A231" i="28" s="1"/>
  <c r="O229" i="28" a="1"/>
  <c r="O229" i="28" s="1"/>
  <c r="I228" i="28" a="1"/>
  <c r="I228" i="28" s="1"/>
  <c r="F227" i="28" a="1"/>
  <c r="F227" i="28" s="1"/>
  <c r="P225" i="28" a="1"/>
  <c r="P225" i="28" s="1"/>
  <c r="M224" i="28" a="1"/>
  <c r="M224" i="28" s="1"/>
  <c r="G223" i="28" a="1"/>
  <c r="G223" i="28" s="1"/>
  <c r="A222" i="28" a="1"/>
  <c r="A222" i="28" s="1"/>
  <c r="P214" i="28" a="1"/>
  <c r="P214" i="28" s="1"/>
  <c r="J213" i="28" a="1"/>
  <c r="J213" i="28" s="1"/>
  <c r="G212" i="28" a="1"/>
  <c r="G212" i="28" s="1"/>
  <c r="A211" i="28" a="1"/>
  <c r="A211" i="28" s="1"/>
  <c r="O209" i="28" a="1"/>
  <c r="O209" i="28" s="1"/>
  <c r="I208" i="28" a="1"/>
  <c r="I208" i="28" s="1"/>
  <c r="G207" i="28" a="1"/>
  <c r="G207" i="28" s="1"/>
  <c r="B206" i="28" a="1"/>
  <c r="B206" i="28" s="1"/>
  <c r="M204" i="28" a="1"/>
  <c r="M204" i="28" s="1"/>
  <c r="Q203" i="28" a="1"/>
  <c r="Q203" i="28" s="1"/>
  <c r="D203" i="28" a="1"/>
  <c r="D203" i="28" s="1"/>
  <c r="G202" i="28" a="1"/>
  <c r="G202" i="28" s="1"/>
  <c r="K201" i="28" a="1"/>
  <c r="K201" i="28" s="1"/>
  <c r="N200" i="28" a="1"/>
  <c r="N200" i="28" s="1"/>
  <c r="A200" i="28" a="1"/>
  <c r="A200" i="28" s="1"/>
  <c r="D199" i="28" a="1"/>
  <c r="D199" i="28" s="1"/>
  <c r="H198" i="28" a="1"/>
  <c r="H198" i="28" s="1"/>
  <c r="K197" i="28" a="1"/>
  <c r="K197" i="28" s="1"/>
  <c r="O196" i="28" a="1"/>
  <c r="O196" i="28" s="1"/>
  <c r="A196" i="28" a="1"/>
  <c r="A196" i="28" s="1"/>
  <c r="E195" i="28" a="1"/>
  <c r="E195" i="28" s="1"/>
  <c r="I194" i="28" a="1"/>
  <c r="I194" i="28" s="1"/>
  <c r="L193" i="28" a="1"/>
  <c r="L193" i="28" s="1"/>
  <c r="P192" i="28" a="1"/>
  <c r="P192" i="28" s="1"/>
  <c r="B192" i="28" a="1"/>
  <c r="B192" i="28" s="1"/>
  <c r="F191" i="28" a="1"/>
  <c r="F191" i="28" s="1"/>
  <c r="I190" i="28" a="1"/>
  <c r="I190" i="28" s="1"/>
  <c r="M189" i="28" a="1"/>
  <c r="M189" i="28" s="1"/>
  <c r="P188" i="28" a="1"/>
  <c r="P188" i="28" s="1"/>
  <c r="B188" i="28" a="1"/>
  <c r="B188" i="28" s="1"/>
  <c r="E187" i="28" a="1"/>
  <c r="E187" i="28" s="1"/>
  <c r="K180" i="28" a="1"/>
  <c r="K180" i="28" s="1"/>
  <c r="P179" i="28" a="1"/>
  <c r="P179" i="28" s="1"/>
  <c r="C179" i="28" a="1"/>
  <c r="C179" i="28" s="1"/>
  <c r="H178" i="28" a="1"/>
  <c r="H178" i="28" s="1"/>
  <c r="M177" i="28" a="1"/>
  <c r="M177" i="28" s="1"/>
  <c r="A177" i="28" a="1"/>
  <c r="A177" i="28" s="1"/>
  <c r="E176" i="28" a="1"/>
  <c r="E176" i="28" s="1"/>
  <c r="J175" i="28" a="1"/>
  <c r="J175" i="28" s="1"/>
  <c r="O174" i="28" a="1"/>
  <c r="O174" i="28" s="1"/>
  <c r="C174" i="28" a="1"/>
  <c r="C174" i="28" s="1"/>
  <c r="G173" i="28" a="1"/>
  <c r="G173" i="28" s="1"/>
  <c r="L172" i="28" a="1"/>
  <c r="L172" i="28" s="1"/>
  <c r="Q171" i="28" a="1"/>
  <c r="Q171" i="28" s="1"/>
  <c r="E171" i="28" a="1"/>
  <c r="E171" i="28" s="1"/>
  <c r="H170" i="28" a="1"/>
  <c r="H170" i="28" s="1"/>
  <c r="K169" i="28" a="1"/>
  <c r="K169" i="28" s="1"/>
  <c r="N168" i="28" a="1"/>
  <c r="N168" i="28" s="1"/>
  <c r="Q167" i="28" a="1"/>
  <c r="Q167" i="28" s="1"/>
  <c r="C167" i="28" a="1"/>
  <c r="C167" i="28" s="1"/>
  <c r="F166" i="28" a="1"/>
  <c r="F166" i="28" s="1"/>
  <c r="I165" i="28" a="1"/>
  <c r="I165" i="28" s="1"/>
  <c r="L164" i="28" a="1"/>
  <c r="L164" i="28" s="1"/>
  <c r="Q163" i="28" a="1"/>
  <c r="Q163" i="28" s="1"/>
  <c r="D163" i="28" a="1"/>
  <c r="D163" i="28" s="1"/>
  <c r="I162" i="28" a="1"/>
  <c r="I162" i="28" s="1"/>
  <c r="M161" i="28" a="1"/>
  <c r="M161" i="28" s="1"/>
  <c r="Q160" i="28" a="1"/>
  <c r="Q160" i="28" s="1"/>
  <c r="D160" i="28" a="1"/>
  <c r="D160" i="28" s="1"/>
  <c r="I159" i="28" a="1"/>
  <c r="I159" i="28" s="1"/>
  <c r="M158" i="28" a="1"/>
  <c r="M158" i="28" s="1"/>
  <c r="P157" i="28" a="1"/>
  <c r="P157" i="28" s="1"/>
  <c r="C157" i="28" a="1"/>
  <c r="C157" i="28" s="1"/>
  <c r="G156" i="28" a="1"/>
  <c r="G156" i="28" s="1"/>
  <c r="K155" i="28" a="1"/>
  <c r="K155" i="28" s="1"/>
  <c r="N154" i="28" a="1"/>
  <c r="N154" i="28" s="1"/>
  <c r="A154" i="28" a="1"/>
  <c r="A154" i="28" s="1"/>
  <c r="D153" i="28" a="1"/>
  <c r="D153" i="28" s="1"/>
  <c r="H152" i="28" a="1"/>
  <c r="H152" i="28" s="1"/>
  <c r="K256" i="28" a="1"/>
  <c r="K256" i="28" s="1"/>
  <c r="M221" i="28" a="1"/>
  <c r="M221" i="28" s="1"/>
  <c r="O186" i="28" a="1"/>
  <c r="O186" i="28" s="1"/>
  <c r="Q151" i="28" a="1"/>
  <c r="Q151" i="28" s="1"/>
  <c r="C151" i="28" a="1"/>
  <c r="C151" i="28" s="1"/>
  <c r="F53" i="28"/>
  <c r="C54" i="28"/>
  <c r="Q54" i="28"/>
  <c r="N55" i="28"/>
  <c r="K56" i="28"/>
  <c r="BD225" i="28" a="1"/>
  <c r="BD225" i="28" s="1"/>
  <c r="BH198" i="28" a="1"/>
  <c r="BH198" i="28" s="1"/>
  <c r="BD189" i="28" a="1"/>
  <c r="BD189" i="28" s="1"/>
  <c r="BK166" i="28" a="1"/>
  <c r="BK166" i="28" s="1"/>
  <c r="BK162" i="28" a="1"/>
  <c r="BK162" i="28" s="1"/>
  <c r="BI159" i="28" a="1"/>
  <c r="BI159" i="28" s="1"/>
  <c r="AY156" i="28" a="1"/>
  <c r="AY156" i="28" s="1"/>
  <c r="BA153" i="28" a="1"/>
  <c r="BA153" i="28" s="1"/>
  <c r="AV255" i="28" a="1"/>
  <c r="AV255" i="28" s="1"/>
  <c r="BK150" i="28" a="1"/>
  <c r="BK150" i="28" s="1"/>
  <c r="G282" i="28" a="1"/>
  <c r="G282" i="28" s="1"/>
  <c r="C279" i="28" a="1"/>
  <c r="C279" i="28" s="1"/>
  <c r="A276" i="28" a="1"/>
  <c r="A276" i="28" s="1"/>
  <c r="J273" i="28" a="1"/>
  <c r="J273" i="28" s="1"/>
  <c r="G270" i="28" a="1"/>
  <c r="G270" i="28" s="1"/>
  <c r="K267" i="28" a="1"/>
  <c r="K267" i="28" s="1"/>
  <c r="I264" i="28" a="1"/>
  <c r="I264" i="28" s="1"/>
  <c r="A262" i="28" a="1"/>
  <c r="A262" i="28" s="1"/>
  <c r="P258" i="28" a="1"/>
  <c r="P258" i="28" s="1"/>
  <c r="G250" i="28" a="1"/>
  <c r="G250" i="28" s="1"/>
  <c r="N247" i="28" a="1"/>
  <c r="N247" i="28" s="1"/>
  <c r="I245" i="28" a="1"/>
  <c r="I245" i="28" s="1"/>
  <c r="Q243" i="28" a="1"/>
  <c r="Q243" i="28" s="1"/>
  <c r="I242" i="28" a="1"/>
  <c r="I242" i="28" s="1"/>
  <c r="Q240" i="28" a="1"/>
  <c r="Q240" i="28" s="1"/>
  <c r="M239" i="28" a="1"/>
  <c r="M239" i="28" s="1"/>
  <c r="D238" i="28" a="1"/>
  <c r="D238" i="28" s="1"/>
  <c r="M236" i="28" a="1"/>
  <c r="M236" i="28" s="1"/>
  <c r="D235" i="28" a="1"/>
  <c r="D235" i="28" s="1"/>
  <c r="Q233" i="28" a="1"/>
  <c r="Q233" i="28" s="1"/>
  <c r="H232" i="28" a="1"/>
  <c r="H232" i="28" s="1"/>
  <c r="Q230" i="28" a="1"/>
  <c r="Q230" i="28" s="1"/>
  <c r="N229" i="28" a="1"/>
  <c r="N229" i="28" s="1"/>
  <c r="G228" i="28" a="1"/>
  <c r="G228" i="28" s="1"/>
  <c r="D227" i="28" a="1"/>
  <c r="D227" i="28" s="1"/>
  <c r="O225" i="28" a="1"/>
  <c r="O225" i="28" s="1"/>
  <c r="I224" i="28" a="1"/>
  <c r="I224" i="28" s="1"/>
  <c r="F223" i="28" a="1"/>
  <c r="F223" i="28" s="1"/>
  <c r="Q215" i="28" a="1"/>
  <c r="Q215" i="28" s="1"/>
  <c r="O214" i="28" a="1"/>
  <c r="O214" i="28" s="1"/>
  <c r="I213" i="28" a="1"/>
  <c r="I213" i="28" s="1"/>
  <c r="F212" i="28" a="1"/>
  <c r="F212" i="28" s="1"/>
  <c r="P210" i="28" a="1"/>
  <c r="P210" i="28" s="1"/>
  <c r="M209" i="28" a="1"/>
  <c r="M209" i="28" s="1"/>
  <c r="H208" i="28" a="1"/>
  <c r="H208" i="28" s="1"/>
  <c r="C207" i="28" a="1"/>
  <c r="C207" i="28" s="1"/>
  <c r="Q55" i="28"/>
  <c r="J54" i="28"/>
  <c r="K151" i="28" a="1"/>
  <c r="K151" i="28" s="1"/>
  <c r="N186" i="28" a="1"/>
  <c r="N186" i="28" s="1"/>
  <c r="F256" i="28" a="1"/>
  <c r="F256" i="28" s="1"/>
  <c r="N153" i="28" a="1"/>
  <c r="N153" i="28" s="1"/>
  <c r="C155" i="28" a="1"/>
  <c r="C155" i="28" s="1"/>
  <c r="D156" i="28" a="1"/>
  <c r="D156" i="28" s="1"/>
  <c r="K158" i="28" a="1"/>
  <c r="K158" i="28" s="1"/>
  <c r="P159" i="28" a="1"/>
  <c r="P159" i="28" s="1"/>
  <c r="P160" i="28" a="1"/>
  <c r="P160" i="28" s="1"/>
  <c r="R56" i="28"/>
  <c r="P55" i="28"/>
  <c r="I54" i="28"/>
  <c r="G53" i="28"/>
  <c r="L151" i="28" a="1"/>
  <c r="L151" i="28" s="1"/>
  <c r="P186" i="28" a="1"/>
  <c r="P186" i="28" s="1"/>
  <c r="G256" i="28" a="1"/>
  <c r="G256" i="28" s="1"/>
  <c r="N152" i="28" a="1"/>
  <c r="N152" i="28" s="1"/>
  <c r="O153" i="28" a="1"/>
  <c r="O153" i="28" s="1"/>
  <c r="D155" i="28" a="1"/>
  <c r="D155" i="28" s="1"/>
  <c r="E156" i="28" a="1"/>
  <c r="E156" i="28" s="1"/>
  <c r="J157" i="28" a="1"/>
  <c r="J157" i="28" s="1"/>
  <c r="L158" i="28" a="1"/>
  <c r="L158" i="28" s="1"/>
  <c r="Q159" i="28" a="1"/>
  <c r="Q159" i="28" s="1"/>
  <c r="A161" i="28" a="1"/>
  <c r="A161" i="28" s="1"/>
  <c r="E162" i="28" a="1"/>
  <c r="E162" i="28" s="1"/>
  <c r="I163" i="28" a="1"/>
  <c r="I163" i="28" s="1"/>
  <c r="K164" i="28" a="1"/>
  <c r="K164" i="28" s="1"/>
  <c r="A166" i="28" a="1"/>
  <c r="A166" i="28" s="1"/>
  <c r="J167" i="28" a="1"/>
  <c r="J167" i="28" s="1"/>
  <c r="M168" i="28" a="1"/>
  <c r="M168" i="28" s="1"/>
  <c r="E170" i="28" a="1"/>
  <c r="E170" i="28" s="1"/>
  <c r="A173" i="28" a="1"/>
  <c r="A173" i="28" s="1"/>
  <c r="B174" i="28" a="1"/>
  <c r="B174" i="28" s="1"/>
  <c r="M176" i="28" a="1"/>
  <c r="M176" i="28" s="1"/>
  <c r="B178" i="28" a="1"/>
  <c r="B178" i="28" s="1"/>
  <c r="H180" i="28" a="1"/>
  <c r="H180" i="28" s="1"/>
  <c r="N187" i="28" a="1"/>
  <c r="N187" i="28" s="1"/>
  <c r="F189" i="28" a="1"/>
  <c r="F189" i="28" s="1"/>
  <c r="H190" i="28" a="1"/>
  <c r="H190" i="28" s="1"/>
  <c r="P191" i="28" a="1"/>
  <c r="P191" i="28" s="1"/>
  <c r="G193" i="28" a="1"/>
  <c r="G193" i="28" s="1"/>
  <c r="O194" i="28" a="1"/>
  <c r="O194" i="28" s="1"/>
  <c r="Q195" i="28" a="1"/>
  <c r="Q195" i="28" s="1"/>
  <c r="H197" i="28" a="1"/>
  <c r="H197" i="28" s="1"/>
  <c r="O198" i="28" a="1"/>
  <c r="O198" i="28" s="1"/>
  <c r="G200" i="28" a="1"/>
  <c r="G200" i="28" s="1"/>
  <c r="I201" i="28" a="1"/>
  <c r="I201" i="28" s="1"/>
  <c r="Q202" i="28" a="1"/>
  <c r="Q202" i="28" s="1"/>
  <c r="H204" i="28" a="1"/>
  <c r="H204" i="28" s="1"/>
  <c r="L206" i="28" a="1"/>
  <c r="L206" i="28" s="1"/>
  <c r="B209" i="28" a="1"/>
  <c r="B209" i="28" s="1"/>
  <c r="K211" i="28" a="1"/>
  <c r="K211" i="28" s="1"/>
  <c r="C214" i="28" a="1"/>
  <c r="C214" i="28" s="1"/>
  <c r="K222" i="28" a="1"/>
  <c r="K222" i="28" s="1"/>
  <c r="D225" i="28" a="1"/>
  <c r="D225" i="28" s="1"/>
  <c r="M227" i="28" a="1"/>
  <c r="M227" i="28" s="1"/>
  <c r="E230" i="28" a="1"/>
  <c r="E230" i="28" s="1"/>
  <c r="D233" i="28" a="1"/>
  <c r="D233" i="28" s="1"/>
  <c r="Q235" i="28" a="1"/>
  <c r="Q235" i="28" s="1"/>
  <c r="Q238" i="28" a="1"/>
  <c r="Q238" i="28" s="1"/>
  <c r="M241" i="28" a="1"/>
  <c r="M241" i="28" s="1"/>
  <c r="M244" i="28" a="1"/>
  <c r="M244" i="28" s="1"/>
  <c r="P248" i="28" a="1"/>
  <c r="P248" i="28" s="1"/>
  <c r="H260" i="28" a="1"/>
  <c r="H260" i="28" s="1"/>
  <c r="B266" i="28" a="1"/>
  <c r="B266" i="28" s="1"/>
  <c r="Q271" i="28" a="1"/>
  <c r="Q271" i="28" s="1"/>
  <c r="K277" i="28" a="1"/>
  <c r="K277" i="28" s="1"/>
  <c r="O284" i="28" a="1"/>
  <c r="O284" i="28" s="1"/>
  <c r="BM151" i="28" a="1"/>
  <c r="BM151" i="28" s="1"/>
  <c r="BI164" i="28" a="1"/>
  <c r="BI164" i="28" s="1"/>
  <c r="BJ191" i="28" a="1"/>
  <c r="BJ191" i="28" s="1"/>
  <c r="BA221" i="28" a="1"/>
  <c r="BA221" i="28" s="1"/>
  <c r="AV258" i="28" a="1"/>
  <c r="AV258" i="28" s="1"/>
  <c r="M55" i="28"/>
  <c r="N151" i="28" a="1"/>
  <c r="N151" i="28" s="1"/>
  <c r="P152" i="28" a="1"/>
  <c r="P152" i="28" s="1"/>
  <c r="Q153" i="28" a="1"/>
  <c r="Q153" i="28" s="1"/>
  <c r="F155" i="28" a="1"/>
  <c r="F155" i="28" s="1"/>
  <c r="H156" i="28" a="1"/>
  <c r="H156" i="28" s="1"/>
  <c r="L157" i="28" a="1"/>
  <c r="L157" i="28" s="1"/>
  <c r="B160" i="28" a="1"/>
  <c r="B160" i="28" s="1"/>
  <c r="G162" i="28" a="1"/>
  <c r="G162" i="28" s="1"/>
  <c r="K163" i="28" a="1"/>
  <c r="K163" i="28" s="1"/>
  <c r="M164" i="28" a="1"/>
  <c r="M164" i="28" s="1"/>
  <c r="C166" i="28" a="1"/>
  <c r="C166" i="28" s="1"/>
  <c r="L167" i="28" a="1"/>
  <c r="L167" i="28" s="1"/>
  <c r="D169" i="28" a="1"/>
  <c r="D169" i="28" s="1"/>
  <c r="G170" i="28" a="1"/>
  <c r="G170" i="28" s="1"/>
  <c r="N171" i="28" a="1"/>
  <c r="N171" i="28" s="1"/>
  <c r="C173" i="28" a="1"/>
  <c r="C173" i="28" s="1"/>
  <c r="I174" i="28" a="1"/>
  <c r="I174" i="28" s="1"/>
  <c r="I175" i="28" a="1"/>
  <c r="I175" i="28" s="1"/>
  <c r="O176" i="28" a="1"/>
  <c r="O176" i="28" s="1"/>
  <c r="D178" i="28" a="1"/>
  <c r="D178" i="28" s="1"/>
  <c r="J180" i="28" a="1"/>
  <c r="J180" i="28" s="1"/>
  <c r="P187" i="28" a="1"/>
  <c r="P187" i="28" s="1"/>
  <c r="H189" i="28" a="1"/>
  <c r="H189" i="28" s="1"/>
  <c r="P190" i="28" a="1"/>
  <c r="P190" i="28" s="1"/>
  <c r="A192" i="28" a="1"/>
  <c r="A192" i="28" s="1"/>
  <c r="I193" i="28" a="1"/>
  <c r="I193" i="28" s="1"/>
  <c r="Q194" i="28" a="1"/>
  <c r="Q194" i="28" s="1"/>
  <c r="H196" i="28" a="1"/>
  <c r="H196" i="28" s="1"/>
  <c r="Q198" i="28" a="1"/>
  <c r="Q198" i="28" s="1"/>
  <c r="H200" i="28" a="1"/>
  <c r="H200" i="28" s="1"/>
  <c r="P201" i="28" a="1"/>
  <c r="P201" i="28" s="1"/>
  <c r="B203" i="28" a="1"/>
  <c r="B203" i="28" s="1"/>
  <c r="N206" i="28" a="1"/>
  <c r="N206" i="28" s="1"/>
  <c r="D209" i="28" a="1"/>
  <c r="D209" i="28" s="1"/>
  <c r="M211" i="28" a="1"/>
  <c r="M211" i="28" s="1"/>
  <c r="F214" i="28" a="1"/>
  <c r="F214" i="28" s="1"/>
  <c r="N222" i="28" a="1"/>
  <c r="N222" i="28" s="1"/>
  <c r="F225" i="28" a="1"/>
  <c r="F225" i="28" s="1"/>
  <c r="A228" i="28" a="1"/>
  <c r="A228" i="28" s="1"/>
  <c r="K230" i="28" a="1"/>
  <c r="K230" i="28" s="1"/>
  <c r="F233" i="28" a="1"/>
  <c r="F233" i="28" s="1"/>
  <c r="G236" i="28" a="1"/>
  <c r="G236" i="28" s="1"/>
  <c r="B239" i="28" a="1"/>
  <c r="B239" i="28" s="1"/>
  <c r="C242" i="28" a="1"/>
  <c r="C242" i="28" s="1"/>
  <c r="O244" i="28" a="1"/>
  <c r="O244" i="28" s="1"/>
  <c r="L249" i="28" a="1"/>
  <c r="L249" i="28" s="1"/>
  <c r="J260" i="28" a="1"/>
  <c r="J260" i="28" s="1"/>
  <c r="P266" i="28" a="1"/>
  <c r="P266" i="28" s="1"/>
  <c r="B272" i="28" a="1"/>
  <c r="B272" i="28" s="1"/>
  <c r="H278" i="28" a="1"/>
  <c r="H278" i="28" s="1"/>
  <c r="D285" i="28" a="1"/>
  <c r="D285" i="28" s="1"/>
  <c r="BG152" i="28" a="1"/>
  <c r="BG152" i="28" s="1"/>
  <c r="AY223" i="28" a="1"/>
  <c r="AY223" i="28" s="1"/>
  <c r="AX258" i="28" a="1"/>
  <c r="AX258" i="28" s="1"/>
  <c r="F54" i="28"/>
  <c r="Q152" i="28" a="1"/>
  <c r="Q152" i="28" s="1"/>
  <c r="G155" i="28" a="1"/>
  <c r="G155" i="28" s="1"/>
  <c r="M156" i="28" a="1"/>
  <c r="M156" i="28" s="1"/>
  <c r="G161" i="28" a="1"/>
  <c r="G161" i="28" s="1"/>
  <c r="H162" i="28" a="1"/>
  <c r="H162" i="28" s="1"/>
  <c r="L163" i="28" a="1"/>
  <c r="L163" i="28" s="1"/>
  <c r="A165" i="28" a="1"/>
  <c r="A165" i="28" s="1"/>
  <c r="D166" i="28" a="1"/>
  <c r="D166" i="28" s="1"/>
  <c r="M167" i="28" a="1"/>
  <c r="M167" i="28" s="1"/>
  <c r="E169" i="28" a="1"/>
  <c r="E169" i="28" s="1"/>
  <c r="N170" i="28" a="1"/>
  <c r="N170" i="28" s="1"/>
  <c r="O171" i="28" a="1"/>
  <c r="O171" i="28" s="1"/>
  <c r="D173" i="28" a="1"/>
  <c r="D173" i="28" s="1"/>
  <c r="J174" i="28" a="1"/>
  <c r="J174" i="28" s="1"/>
  <c r="O175" i="28" a="1"/>
  <c r="O175" i="28" s="1"/>
  <c r="P176" i="28" a="1"/>
  <c r="P176" i="28" s="1"/>
  <c r="E178" i="28" a="1"/>
  <c r="E178" i="28" s="1"/>
  <c r="J179" i="28" a="1"/>
  <c r="J179" i="28" s="1"/>
  <c r="O180" i="28" a="1"/>
  <c r="O180" i="28" s="1"/>
  <c r="Q187" i="28" a="1"/>
  <c r="Q187" i="28" s="1"/>
  <c r="I189" i="28" a="1"/>
  <c r="I189" i="28" s="1"/>
  <c r="Q190" i="28" a="1"/>
  <c r="Q190" i="28" s="1"/>
  <c r="H192" i="28" a="1"/>
  <c r="H192" i="28" s="1"/>
  <c r="J193" i="28" a="1"/>
  <c r="J193" i="28" s="1"/>
  <c r="A195" i="28" a="1"/>
  <c r="A195" i="28" s="1"/>
  <c r="I196" i="28" a="1"/>
  <c r="I196" i="28" s="1"/>
  <c r="J197" i="28" a="1"/>
  <c r="J197" i="28" s="1"/>
  <c r="A199" i="28" a="1"/>
  <c r="A199" i="28" s="1"/>
  <c r="I200" i="28" a="1"/>
  <c r="I200" i="28" s="1"/>
  <c r="Q201" i="28" a="1"/>
  <c r="Q201" i="28" s="1"/>
  <c r="C203" i="28" a="1"/>
  <c r="C203" i="28" s="1"/>
  <c r="J204" i="28" a="1"/>
  <c r="J204" i="28" s="1"/>
  <c r="O206" i="28" a="1"/>
  <c r="O206" i="28" s="1"/>
  <c r="E209" i="28" a="1"/>
  <c r="E209" i="28" s="1"/>
  <c r="O211" i="28" a="1"/>
  <c r="O211" i="28" s="1"/>
  <c r="G214" i="28" a="1"/>
  <c r="G214" i="28" s="1"/>
  <c r="O222" i="28" a="1"/>
  <c r="O222" i="28" s="1"/>
  <c r="J225" i="28" a="1"/>
  <c r="J225" i="28" s="1"/>
  <c r="C228" i="28" a="1"/>
  <c r="C228" i="28" s="1"/>
  <c r="L230" i="28" a="1"/>
  <c r="L230" i="28" s="1"/>
  <c r="H233" i="28" a="1"/>
  <c r="H233" i="28" s="1"/>
  <c r="H236" i="28" a="1"/>
  <c r="H236" i="28" s="1"/>
  <c r="D239" i="28" a="1"/>
  <c r="D239" i="28" s="1"/>
  <c r="D242" i="28" a="1"/>
  <c r="D242" i="28" s="1"/>
  <c r="Q244" i="28" a="1"/>
  <c r="Q244" i="28" s="1"/>
  <c r="M249" i="28" a="1"/>
  <c r="M249" i="28" s="1"/>
  <c r="A261" i="28" a="1"/>
  <c r="A261" i="28" s="1"/>
  <c r="Q266" i="28" a="1"/>
  <c r="Q266" i="28" s="1"/>
  <c r="J272" i="28" a="1"/>
  <c r="J272" i="28" s="1"/>
  <c r="I278" i="28" a="1"/>
  <c r="I278" i="28" s="1"/>
  <c r="BH152" i="28" a="1"/>
  <c r="BH152" i="28" s="1"/>
  <c r="BF158" i="28" a="1"/>
  <c r="BF158" i="28" s="1"/>
  <c r="BI192" i="28" a="1"/>
  <c r="BI192" i="28" s="1"/>
  <c r="AZ223" i="28" a="1"/>
  <c r="AZ223" i="28" s="1"/>
  <c r="A186" i="28" a="1"/>
  <c r="A186" i="28" s="1"/>
  <c r="I256" i="28" a="1"/>
  <c r="I256" i="28" s="1"/>
  <c r="H55" i="28"/>
  <c r="O151" i="28" a="1"/>
  <c r="O151" i="28" s="1"/>
  <c r="J256" i="28" a="1"/>
  <c r="J256" i="28" s="1"/>
  <c r="M157" i="28" a="1"/>
  <c r="M157" i="28" s="1"/>
  <c r="N56" i="28"/>
  <c r="G55" i="28"/>
  <c r="E54" i="28"/>
  <c r="A256" i="28" a="1"/>
  <c r="A256" i="28" s="1"/>
  <c r="P151" i="28" a="1"/>
  <c r="P151" i="28" s="1"/>
  <c r="H221" i="28" a="1"/>
  <c r="H221" i="28" s="1"/>
  <c r="L256" i="28" a="1"/>
  <c r="L256" i="28" s="1"/>
  <c r="A153" i="28" a="1"/>
  <c r="A153" i="28" s="1"/>
  <c r="H155" i="28" a="1"/>
  <c r="H155" i="28" s="1"/>
  <c r="N156" i="28" a="1"/>
  <c r="N156" i="28" s="1"/>
  <c r="N157" i="28" a="1"/>
  <c r="N157" i="28" s="1"/>
  <c r="C159" i="28" a="1"/>
  <c r="C159" i="28" s="1"/>
  <c r="C160" i="28" a="1"/>
  <c r="C160" i="28" s="1"/>
  <c r="H161" i="28" a="1"/>
  <c r="H161" i="28" s="1"/>
  <c r="J162" i="28" a="1"/>
  <c r="J162" i="28" s="1"/>
  <c r="M163" i="28" a="1"/>
  <c r="M163" i="28" s="1"/>
  <c r="B165" i="28" a="1"/>
  <c r="B165" i="28" s="1"/>
  <c r="E166" i="28" a="1"/>
  <c r="E166" i="28" s="1"/>
  <c r="N167" i="28" a="1"/>
  <c r="N167" i="28" s="1"/>
  <c r="F169" i="28" a="1"/>
  <c r="F169" i="28" s="1"/>
  <c r="O170" i="28" a="1"/>
  <c r="O170" i="28" s="1"/>
  <c r="P171" i="28" a="1"/>
  <c r="P171" i="28" s="1"/>
  <c r="E173" i="28" a="1"/>
  <c r="E173" i="28" s="1"/>
  <c r="P175" i="28" a="1"/>
  <c r="P175" i="28" s="1"/>
  <c r="Q176" i="28" a="1"/>
  <c r="Q176" i="28" s="1"/>
  <c r="K179" i="28" a="1"/>
  <c r="K179" i="28" s="1"/>
  <c r="P180" i="28" a="1"/>
  <c r="P180" i="28" s="1"/>
  <c r="A188" i="28" a="1"/>
  <c r="A188" i="28" s="1"/>
  <c r="J189" i="28" a="1"/>
  <c r="J189" i="28" s="1"/>
  <c r="A191" i="28" a="1"/>
  <c r="A191" i="28" s="1"/>
  <c r="I192" i="28" a="1"/>
  <c r="I192" i="28" s="1"/>
  <c r="K193" i="28" a="1"/>
  <c r="K193" i="28" s="1"/>
  <c r="B195" i="28" a="1"/>
  <c r="B195" i="28" s="1"/>
  <c r="J196" i="28" a="1"/>
  <c r="J196" i="28" s="1"/>
  <c r="Q197" i="28" a="1"/>
  <c r="Q197" i="28" s="1"/>
  <c r="B199" i="28" a="1"/>
  <c r="B199" i="28" s="1"/>
  <c r="J200" i="28" a="1"/>
  <c r="J200" i="28" s="1"/>
  <c r="A202" i="28" a="1"/>
  <c r="A202" i="28" s="1"/>
  <c r="I203" i="28" a="1"/>
  <c r="I203" i="28" s="1"/>
  <c r="K204" i="28" a="1"/>
  <c r="K204" i="28" s="1"/>
  <c r="P206" i="28" a="1"/>
  <c r="P206" i="28" s="1"/>
  <c r="G209" i="28" a="1"/>
  <c r="G209" i="28" s="1"/>
  <c r="P211" i="28" a="1"/>
  <c r="P211" i="28" s="1"/>
  <c r="H214" i="28" a="1"/>
  <c r="H214" i="28" s="1"/>
  <c r="B223" i="28" a="1"/>
  <c r="B223" i="28" s="1"/>
  <c r="L225" i="28" a="1"/>
  <c r="L225" i="28" s="1"/>
  <c r="D228" i="28" a="1"/>
  <c r="D228" i="28" s="1"/>
  <c r="M230" i="28" a="1"/>
  <c r="M230" i="28" s="1"/>
  <c r="I233" i="28" a="1"/>
  <c r="I233" i="28" s="1"/>
  <c r="I236" i="28" a="1"/>
  <c r="I236" i="28" s="1"/>
  <c r="E239" i="28" a="1"/>
  <c r="E239" i="28" s="1"/>
  <c r="E242" i="28" a="1"/>
  <c r="E242" i="28" s="1"/>
  <c r="A245" i="28" a="1"/>
  <c r="A245" i="28" s="1"/>
  <c r="B250" i="28" a="1"/>
  <c r="B250" i="28" s="1"/>
  <c r="C261" i="28" a="1"/>
  <c r="C261" i="28" s="1"/>
  <c r="A267" i="28" a="1"/>
  <c r="A267" i="28" s="1"/>
  <c r="L272" i="28" a="1"/>
  <c r="L272" i="28" s="1"/>
  <c r="J278" i="28" a="1"/>
  <c r="J278" i="28" s="1"/>
  <c r="BK152" i="28" a="1"/>
  <c r="BK152" i="28" s="1"/>
  <c r="BJ158" i="28" a="1"/>
  <c r="BJ158" i="28" s="1"/>
  <c r="BM192" i="28" a="1"/>
  <c r="BM192" i="28" s="1"/>
  <c r="BC223" i="28" a="1"/>
  <c r="BC223" i="28" s="1"/>
  <c r="BG260" i="28" a="1"/>
  <c r="BG260" i="28" s="1"/>
  <c r="P56" i="28"/>
  <c r="G54" i="28"/>
  <c r="F221" i="28" a="1"/>
  <c r="F221" i="28" s="1"/>
  <c r="A159" i="28" a="1"/>
  <c r="A159" i="28" s="1"/>
  <c r="O56" i="28"/>
  <c r="A221" i="28" a="1"/>
  <c r="A221" i="28" s="1"/>
  <c r="G221" i="28" a="1"/>
  <c r="G221" i="28" s="1"/>
  <c r="B159" i="28" a="1"/>
  <c r="B159" i="28" s="1"/>
  <c r="M56" i="28"/>
  <c r="F55" i="28"/>
  <c r="D54" i="28"/>
  <c r="T150" i="28" a="1"/>
  <c r="T150" i="28" s="1"/>
  <c r="B186" i="28" a="1"/>
  <c r="B186" i="28" s="1"/>
  <c r="I221" i="28" a="1"/>
  <c r="I221" i="28" s="1"/>
  <c r="Q256" i="28" a="1"/>
  <c r="Q256" i="28" s="1"/>
  <c r="B153" i="28" a="1"/>
  <c r="B153" i="28" s="1"/>
  <c r="G154" i="28" a="1"/>
  <c r="G154" i="28" s="1"/>
  <c r="O157" i="28" a="1"/>
  <c r="O157" i="28" s="1"/>
  <c r="D159" i="28" a="1"/>
  <c r="D159" i="28" s="1"/>
  <c r="E160" i="28" a="1"/>
  <c r="E160" i="28" s="1"/>
  <c r="I161" i="28" a="1"/>
  <c r="I161" i="28" s="1"/>
  <c r="N162" i="28" a="1"/>
  <c r="N162" i="28" s="1"/>
  <c r="N163" i="28" a="1"/>
  <c r="N163" i="28" s="1"/>
  <c r="C165" i="28" a="1"/>
  <c r="C165" i="28" s="1"/>
  <c r="L166" i="28" a="1"/>
  <c r="L166" i="28" s="1"/>
  <c r="O167" i="28" a="1"/>
  <c r="O167" i="28" s="1"/>
  <c r="G169" i="28" a="1"/>
  <c r="G169" i="28" s="1"/>
  <c r="P170" i="28" a="1"/>
  <c r="P170" i="28" s="1"/>
  <c r="E172" i="28" a="1"/>
  <c r="E172" i="28" s="1"/>
  <c r="F173" i="28" a="1"/>
  <c r="F173" i="28" s="1"/>
  <c r="K174" i="28" a="1"/>
  <c r="K174" i="28" s="1"/>
  <c r="Q175" i="28" a="1"/>
  <c r="Q175" i="28" s="1"/>
  <c r="F177" i="28" a="1"/>
  <c r="F177" i="28" s="1"/>
  <c r="F178" i="28" a="1"/>
  <c r="F178" i="28" s="1"/>
  <c r="L179" i="28" a="1"/>
  <c r="L179" i="28" s="1"/>
  <c r="Q180" i="28" a="1"/>
  <c r="Q180" i="28" s="1"/>
  <c r="H188" i="28" a="1"/>
  <c r="H188" i="28" s="1"/>
  <c r="K189" i="28" a="1"/>
  <c r="K189" i="28" s="1"/>
  <c r="B191" i="28" a="1"/>
  <c r="B191" i="28" s="1"/>
  <c r="J192" i="28" a="1"/>
  <c r="J192" i="28" s="1"/>
  <c r="A194" i="28" a="1"/>
  <c r="A194" i="28" s="1"/>
  <c r="C195" i="28" a="1"/>
  <c r="C195" i="28" s="1"/>
  <c r="K196" i="28" a="1"/>
  <c r="K196" i="28" s="1"/>
  <c r="A198" i="28" a="1"/>
  <c r="A198" i="28" s="1"/>
  <c r="C199" i="28" a="1"/>
  <c r="C199" i="28" s="1"/>
  <c r="K200" i="28" a="1"/>
  <c r="K200" i="28" s="1"/>
  <c r="B202" i="28" a="1"/>
  <c r="B202" i="28" s="1"/>
  <c r="J203" i="28" a="1"/>
  <c r="J203" i="28" s="1"/>
  <c r="L204" i="28" a="1"/>
  <c r="L204" i="28" s="1"/>
  <c r="A207" i="28" a="1"/>
  <c r="A207" i="28" s="1"/>
  <c r="H209" i="28" a="1"/>
  <c r="H209" i="28" s="1"/>
  <c r="Q211" i="28" a="1"/>
  <c r="Q211" i="28" s="1"/>
  <c r="L214" i="28" a="1"/>
  <c r="L214" i="28" s="1"/>
  <c r="D223" i="28" a="1"/>
  <c r="D223" i="28" s="1"/>
  <c r="M225" i="28" a="1"/>
  <c r="M225" i="28" s="1"/>
  <c r="E228" i="28" a="1"/>
  <c r="E228" i="28" s="1"/>
  <c r="N230" i="28" a="1"/>
  <c r="N230" i="28" s="1"/>
  <c r="J233" i="28" a="1"/>
  <c r="J233" i="28" s="1"/>
  <c r="J236" i="28" a="1"/>
  <c r="J236" i="28" s="1"/>
  <c r="F239" i="28" a="1"/>
  <c r="F239" i="28" s="1"/>
  <c r="F242" i="28" a="1"/>
  <c r="F242" i="28" s="1"/>
  <c r="B245" i="28" a="1"/>
  <c r="B245" i="28" s="1"/>
  <c r="D250" i="28" a="1"/>
  <c r="D250" i="28" s="1"/>
  <c r="D261" i="28" a="1"/>
  <c r="D261" i="28" s="1"/>
  <c r="B267" i="28" a="1"/>
  <c r="B267" i="28" s="1"/>
  <c r="M272" i="28" a="1"/>
  <c r="M272" i="28" s="1"/>
  <c r="K278" i="28" a="1"/>
  <c r="K278" i="28" s="1"/>
  <c r="BN192" i="28" a="1"/>
  <c r="BN192" i="28" s="1"/>
  <c r="AY261" i="28" a="1"/>
  <c r="AY261" i="28" s="1"/>
  <c r="B154" i="28" a="1"/>
  <c r="B154" i="28" s="1"/>
  <c r="I155" i="28" a="1"/>
  <c r="I155" i="28" s="1"/>
  <c r="L56" i="28"/>
  <c r="E55" i="28"/>
  <c r="B54" i="28"/>
  <c r="W150" i="28" a="1"/>
  <c r="W150" i="28" s="1"/>
  <c r="G186" i="28" a="1"/>
  <c r="G186" i="28" s="1"/>
  <c r="J221" i="28" a="1"/>
  <c r="J221" i="28" s="1"/>
  <c r="A152" i="28" a="1"/>
  <c r="A152" i="28" s="1"/>
  <c r="H154" i="28" a="1"/>
  <c r="H154" i="28" s="1"/>
  <c r="J155" i="28" a="1"/>
  <c r="J155" i="28" s="1"/>
  <c r="O156" i="28" a="1"/>
  <c r="O156" i="28" s="1"/>
  <c r="Q157" i="28" a="1"/>
  <c r="Q157" i="28" s="1"/>
  <c r="E159" i="28" a="1"/>
  <c r="E159" i="28" s="1"/>
  <c r="J161" i="28" a="1"/>
  <c r="J161" i="28" s="1"/>
  <c r="O162" i="28" a="1"/>
  <c r="O162" i="28" s="1"/>
  <c r="O163" i="28" a="1"/>
  <c r="O163" i="28" s="1"/>
  <c r="D165" i="28" a="1"/>
  <c r="D165" i="28" s="1"/>
  <c r="M166" i="28" a="1"/>
  <c r="M166" i="28" s="1"/>
  <c r="P167" i="28" a="1"/>
  <c r="P167" i="28" s="1"/>
  <c r="H169" i="28" a="1"/>
  <c r="H169" i="28" s="1"/>
  <c r="Q170" i="28" a="1"/>
  <c r="Q170" i="28" s="1"/>
  <c r="F172" i="28" a="1"/>
  <c r="F172" i="28" s="1"/>
  <c r="L174" i="28" a="1"/>
  <c r="L174" i="28" s="1"/>
  <c r="A176" i="28" a="1"/>
  <c r="A176" i="28" s="1"/>
  <c r="G177" i="28" a="1"/>
  <c r="G177" i="28" s="1"/>
  <c r="G178" i="28" a="1"/>
  <c r="G178" i="28" s="1"/>
  <c r="M179" i="28" a="1"/>
  <c r="M179" i="28" s="1"/>
  <c r="A187" i="28" a="1"/>
  <c r="A187" i="28" s="1"/>
  <c r="I188" i="28" a="1"/>
  <c r="I188" i="28" s="1"/>
  <c r="L189" i="28" a="1"/>
  <c r="L189" i="28" s="1"/>
  <c r="C191" i="28" a="1"/>
  <c r="C191" i="28" s="1"/>
  <c r="K192" i="28" a="1"/>
  <c r="K192" i="28" s="1"/>
  <c r="B194" i="28" a="1"/>
  <c r="B194" i="28" s="1"/>
  <c r="D195" i="28" a="1"/>
  <c r="D195" i="28" s="1"/>
  <c r="L196" i="28" a="1"/>
  <c r="L196" i="28" s="1"/>
  <c r="B198" i="28" a="1"/>
  <c r="B198" i="28" s="1"/>
  <c r="J199" i="28" a="1"/>
  <c r="J199" i="28" s="1"/>
  <c r="L200" i="28" a="1"/>
  <c r="L200" i="28" s="1"/>
  <c r="C202" i="28" a="1"/>
  <c r="C202" i="28" s="1"/>
  <c r="K203" i="28" a="1"/>
  <c r="K203" i="28" s="1"/>
  <c r="F205" i="28" a="1"/>
  <c r="F205" i="28" s="1"/>
  <c r="B207" i="28" a="1"/>
  <c r="B207" i="28" s="1"/>
  <c r="I209" i="28" a="1"/>
  <c r="I209" i="28" s="1"/>
  <c r="D212" i="28" a="1"/>
  <c r="D212" i="28" s="1"/>
  <c r="N214" i="28" a="1"/>
  <c r="N214" i="28" s="1"/>
  <c r="E223" i="28" a="1"/>
  <c r="E223" i="28" s="1"/>
  <c r="N225" i="28" a="1"/>
  <c r="N225" i="28" s="1"/>
  <c r="F228" i="28" a="1"/>
  <c r="F228" i="28" s="1"/>
  <c r="O230" i="28" a="1"/>
  <c r="O230" i="28" s="1"/>
  <c r="P233" i="28" a="1"/>
  <c r="P233" i="28" s="1"/>
  <c r="K236" i="28" a="1"/>
  <c r="K236" i="28" s="1"/>
  <c r="L239" i="28" a="1"/>
  <c r="L239" i="28" s="1"/>
  <c r="G242" i="28" a="1"/>
  <c r="G242" i="28" s="1"/>
  <c r="H245" i="28" a="1"/>
  <c r="H245" i="28" s="1"/>
  <c r="E250" i="28" a="1"/>
  <c r="E250" i="28" s="1"/>
  <c r="Q261" i="28" a="1"/>
  <c r="Q261" i="28" s="1"/>
  <c r="C267" i="28" a="1"/>
  <c r="C267" i="28" s="1"/>
  <c r="I273" i="28" a="1"/>
  <c r="I273" i="28" s="1"/>
  <c r="L278" i="28" a="1"/>
  <c r="L278" i="28" s="1"/>
  <c r="BJ150" i="28" a="1"/>
  <c r="BJ150" i="28" s="1"/>
  <c r="BH159" i="28" a="1"/>
  <c r="BH159" i="28" s="1"/>
  <c r="BK263" i="28" a="1"/>
  <c r="BK263" i="2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Gutierrez, Ramse (MEX)</author>
  </authors>
  <commentList>
    <comment ref="B2" authorId="0" shapeId="0" xr:uid="{0C1DB858-E4D1-40EE-8DF3-720CA401B268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auxiliar utilizada por la macro para actualizar el título de la gráfica.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Gutierrez, Ramse (MEX)</author>
  </authors>
  <commentList>
    <comment ref="B44" authorId="0" shapeId="0" xr:uid="{5653DAE0-AD45-43DE-B23F-4059A6732955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programada conforme al calendario de anuncios de política monetaria de Banco de México para 2026.</t>
        </r>
      </text>
    </comment>
    <comment ref="B45" authorId="0" shapeId="0" xr:uid="{A098003A-2CD8-4B1D-A511-F0EAF5951101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programada conforme al calendario de anuncios de política monetaria de Banco de México para 2026.</t>
        </r>
      </text>
    </comment>
    <comment ref="B46" authorId="0" shapeId="0" xr:uid="{0CFCA02A-EF1F-4572-9458-22EBCE475F7B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programada conforme al calendario de anuncios de política monetaria de Banco de México para 2026.</t>
        </r>
      </text>
    </comment>
    <comment ref="B47" authorId="0" shapeId="0" xr:uid="{77A36B1F-9539-4717-9EE4-1063B9363220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48" authorId="0" shapeId="0" xr:uid="{3FA3A81B-41FD-4B05-9CD7-A387AA3FC98F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49" authorId="0" shapeId="0" xr:uid="{1957C936-0998-40C6-9F8E-2B70C3B8D7AE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0" authorId="0" shapeId="0" xr:uid="{246AC48A-3A5D-413B-B4A0-39A783C7CCF1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1" authorId="0" shapeId="0" xr:uid="{AC87CDEE-F4A3-43E1-B367-7FD7FAEEB29F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2" authorId="0" shapeId="0" xr:uid="{3E797F59-AB33-40E3-A687-7194936F78B4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3" authorId="0" shapeId="0" xr:uid="{467FEC5D-F38A-4021-A4F8-705DD02B6B21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4" authorId="0" shapeId="0" xr:uid="{0DEE11AD-4ECD-445F-9874-05FB324EAF6D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de intervalos 7, 7, 6, 6, 7, 6 y 6 semanas; jueves.</t>
        </r>
      </text>
    </comment>
    <comment ref="B55" authorId="0" shapeId="0" xr:uid="{5143124F-8538-476D-88D7-C54D814DC379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anual de intervalos 7, 7, 6, 6, 7, 6 y 6 semanas; jueves.</t>
        </r>
      </text>
    </comment>
    <comment ref="B56" authorId="0" shapeId="0" xr:uid="{F8A870A3-E674-4C36-B279-C0A15EF739DA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anual de intervalos 7, 7, 6, 6, 7, 6 y 6 semanas; jueves.</t>
        </r>
      </text>
    </comment>
    <comment ref="B57" authorId="0" shapeId="0" xr:uid="{BD40EED9-1E45-478C-8064-FDFF35225D49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anual de intervalos 7, 7, 6, 6, 7, 6 y 6 semanas; jueves.</t>
        </r>
      </text>
    </comment>
    <comment ref="B58" authorId="0" shapeId="0" xr:uid="{FDFAA123-268D-4121-AD07-313116D19769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Fecha estimada usando el patrón anual de intervalos 7, 7, 6, 6, 7, 6 y 6 semanas; jueves.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<sst xmlns="http://schemas.openxmlformats.org/spreadsheetml/2006/main" count="34371" uniqueCount="2664">
  <si>
    <t>Pronósticos de inflación — Comunicados de Banxico</t>
  </si>
  <si>
    <t>Cobertura</t>
  </si>
  <si>
    <t>2021-06-24 a 2026-08-06; 42 decisiones publicadas.</t>
  </si>
  <si>
    <t>Inicio</t>
  </si>
  <si>
    <t>24-jun-2021. Ese comunicado se conserva en Decisiones, pero no trae un cuadro numérico para extraer.</t>
  </si>
  <si>
    <t>Pronósticos anuales</t>
  </si>
  <si>
    <t>Disponibles desde 12-ago-2021 (41 comunicados con cuadro).</t>
  </si>
  <si>
    <t>Categorías desestacionalizadas</t>
  </si>
  <si>
    <t>Disponibles desde 16-dic-2021 (38 comunicados con las cuatro categorías).</t>
  </si>
  <si>
    <t>Estructura</t>
  </si>
  <si>
    <t>Una sola hoja Pronosticos: INPC, Subyacente, INPC desestacionalizado y Subyacente desestacionalizado.</t>
  </si>
  <si>
    <t>IDs</t>
  </si>
  <si>
    <t>PRON-DPM-AAAA-MM-DD-AAAA-Tn-CODIGO; el código evita colisiones entre la serie anual y desestacionalizada.</t>
  </si>
  <si>
    <t>Orden</t>
  </si>
  <si>
    <t>Decisión de más antigua a más reciente; dentro de cada decisión, período y categoría en orden ascendente.</t>
  </si>
  <si>
    <t>Control 'Anterior'</t>
  </si>
  <si>
    <t>900 valores coinciden exactamente con el comunicado de referencia; 60 no son comparables porque remiten a un Informe Trimestral o a una fecha sin decisión en esta base.</t>
  </si>
  <si>
    <t>Incongruencias detectadas</t>
  </si>
  <si>
    <t>Ninguna diferencia numérica en los valores comparables.</t>
  </si>
  <si>
    <t>Graficador de revisiones de pronósticos</t>
  </si>
  <si>
    <t>Trimestre objetivo</t>
  </si>
  <si>
    <t>2026-T3</t>
  </si>
  <si>
    <t>INPC</t>
  </si>
  <si>
    <t>☒</t>
  </si>
  <si>
    <t>Subyacente</t>
  </si>
  <si>
    <t>INPC desestacionalizado</t>
  </si>
  <si>
    <t>Subyacente desestacionalizado</t>
  </si>
  <si>
    <t>Datos que alimentan la gráfica</t>
  </si>
  <si>
    <t>Fecha de decisión</t>
  </si>
  <si>
    <t>decision_id</t>
  </si>
  <si>
    <t>fecha_decision</t>
  </si>
  <si>
    <t>cuadro_anual_disponible</t>
  </si>
  <si>
    <t>series_desestacionalizadas_disponibles</t>
  </si>
  <si>
    <t>cobertura</t>
  </si>
  <si>
    <t>url_fuente</t>
  </si>
  <si>
    <t>DPM-2021-06-24</t>
  </si>
  <si>
    <t>No</t>
  </si>
  <si>
    <t>Sin cuadro numérico</t>
  </si>
  <si>
    <t>https://www.banxico.org.mx/publicaciones-y-prensa/anuncios-de-las-decisiones-de-politica-monetaria/{AD39A465-CA97-ADA1-E27B-8D9782194B55}.pdf</t>
  </si>
  <si>
    <t>DPM-2021-08-12</t>
  </si>
  <si>
    <t>Sí</t>
  </si>
  <si>
    <t>INPC y Subyacente</t>
  </si>
  <si>
    <t>https://www.banxico.org.mx/publicaciones-y-prensa/anuncios-de-las-decisiones-de-politica-monetaria/{9A5EF416-8E39-2862-E718-D4260F10479F}.pdf</t>
  </si>
  <si>
    <t>DPM-2021-09-30</t>
  </si>
  <si>
    <t>https://www.banxico.org.mx/publicaciones-y-prensa/anuncios-de-las-decisiones-de-politica-monetaria/{97E932C6-EBEC-85CD-37CD-5B85ED11F940}.pdf</t>
  </si>
  <si>
    <t>DPM-2021-11-11</t>
  </si>
  <si>
    <t>https://www.banxico.org.mx/publicaciones-y-prensa/anuncios-de-las-decisiones-de-politica-monetaria/{8D85866C-A59D-E24A-BF81-25F0C999DBA5}.pdf</t>
  </si>
  <si>
    <t>DPM-2021-12-16</t>
  </si>
  <si>
    <t>4 categorías</t>
  </si>
  <si>
    <t>https://www.banxico.org.mx/publicaciones-y-prensa/anuncios-de-las-decisiones-de-politica-monetaria/{8AAB504C-49F8-6625-F48C-D0B48F9291E2}.pdf</t>
  </si>
  <si>
    <t>DPM-2022-02-10</t>
  </si>
  <si>
    <t>https://www.banxico.org.mx/publicaciones-y-prensa/anuncios-de-las-decisiones-de-politica-monetaria/{33C58779-7EFB-ACB7-4BC0-9B7F2444DE1D}.pdf</t>
  </si>
  <si>
    <t>DPM-2022-03-24</t>
  </si>
  <si>
    <t>https://www.banxico.org.mx/publicaciones-y-prensa/anuncios-de-las-decisiones-de-politica-monetaria/{B8C1E3A6-4106-7F67-1C3A-904D48D86D0F}.pdf</t>
  </si>
  <si>
    <t>DPM-2022-05-12</t>
  </si>
  <si>
    <t>https://www.banxico.org.mx/publicaciones-y-prensa/anuncios-de-las-decisiones-de-politica-monetaria/{45C4A1AE-E137-13A2-3F3E-5EF91735993F}.pdf</t>
  </si>
  <si>
    <t>DPM-2022-06-23</t>
  </si>
  <si>
    <t>https://www.banxico.org.mx/publicaciones-y-prensa/anuncios-de-las-decisiones-de-politica-monetaria/{CACDD0D6-B5C5-C4F8-65A6-C79D36A1981D}.pdf</t>
  </si>
  <si>
    <t>DPM-2022-08-11</t>
  </si>
  <si>
    <t>https://www.banxico.org.mx/publicaciones-y-prensa/anuncios-de-las-decisiones-de-politica-monetaria/{2B8A2320-5BA7-3B8E-70D2-8AC80C34C074}.pdf</t>
  </si>
  <si>
    <t>DPM-2022-09-29</t>
  </si>
  <si>
    <t>https://www.banxico.org.mx/publicaciones-y-prensa/anuncios-de-las-decisiones-de-politica-monetaria/{E6A0E26E-D9C0-97D7-64B7-7F2BF274178E}.pdf</t>
  </si>
  <si>
    <t>DPM-2022-11-10</t>
  </si>
  <si>
    <t>https://www.banxico.org.mx/publicaciones-y-prensa/anuncios-de-las-decisiones-de-politica-monetaria/{B66AB8E7-4C51-B5BB-4463-335449EC1006}.pdf</t>
  </si>
  <si>
    <t>DPM-2022-12-15</t>
  </si>
  <si>
    <t>https://www.banxico.org.mx/publicaciones-y-prensa/anuncios-de-las-decisiones-de-politica-monetaria/{83B088FF-1923-A73F-2914-0087A31FE25A}.pdf</t>
  </si>
  <si>
    <t>DPM-2023-02-09</t>
  </si>
  <si>
    <t>https://www.banxico.org.mx/publicaciones-y-prensa/anuncios-de-las-decisiones-de-politica-monetaria/{C38BE1D9-20AB-7D0D-C010-ED242852AF04}.pdf</t>
  </si>
  <si>
    <t>DPM-2023-03-30</t>
  </si>
  <si>
    <t>https://www.banxico.org.mx/publicaciones-y-prensa/anuncios-de-las-decisiones-de-politica-monetaria/{B5CDF10E-D32B-9E92-3E8E-13BB22940D60}.pdf</t>
  </si>
  <si>
    <t>DPM-2023-05-18</t>
  </si>
  <si>
    <t>https://www.banxico.org.mx/publicaciones-y-prensa/anuncios-de-las-decisiones-de-politica-monetaria/{325F9D3D-8C6B-8F20-4811-1069701DB7F1}.pdf</t>
  </si>
  <si>
    <t>DPM-2023-06-22</t>
  </si>
  <si>
    <t>https://www.banxico.org.mx/publicaciones-y-prensa/anuncios-de-las-decisiones-de-politica-monetaria/{E24CCCC4-3EBC-F5B1-29FE-4595201C5876}.pdf</t>
  </si>
  <si>
    <t>DPM-2023-08-10</t>
  </si>
  <si>
    <t>https://www.banxico.org.mx/publicaciones-y-prensa/anuncios-de-las-decisiones-de-politica-monetaria/{3E88ECF2-3506-EF3D-FAC3-63E615972207}.pdf</t>
  </si>
  <si>
    <t>DPM-2023-09-28</t>
  </si>
  <si>
    <t>https://www.banxico.org.mx/publicaciones-y-prensa/anuncios-de-las-decisiones-de-politica-monetaria/{068D6FE9-39EE-C58D-9E79-5B3A3919B796}.pdf</t>
  </si>
  <si>
    <t>DPM-2023-11-09</t>
  </si>
  <si>
    <t>https://www.banxico.org.mx/publicaciones-y-prensa/anuncios-de-las-decisiones-de-politica-monetaria/{5958E1D4-163A-6987-C87C-8228F89BDEB2}.pdf</t>
  </si>
  <si>
    <t>DPM-2023-12-14</t>
  </si>
  <si>
    <t>https://www.banxico.org.mx/publicaciones-y-prensa/anuncios-de-las-decisiones-de-politica-monetaria/{C2B3629A-5738-402A-7D09-9893825E63AC}.pdf</t>
  </si>
  <si>
    <t>DPM-2024-02-08</t>
  </si>
  <si>
    <t>https://www.banxico.org.mx/publicaciones-y-prensa/anuncios-de-las-decisiones-de-politica-monetaria/{A060DBDE-00DF-1C4E-7689-CABF9211E20A}.pdf</t>
  </si>
  <si>
    <t>DPM-2024-03-21</t>
  </si>
  <si>
    <t>https://www.banxico.org.mx/publicaciones-y-prensa/anuncios-de-las-decisiones-de-politica-monetaria/{B2A2C412-1309-2476-F333-F223A96EA033}.pdf</t>
  </si>
  <si>
    <t>DPM-2024-05-09</t>
  </si>
  <si>
    <t>https://www.banxico.org.mx/publicaciones-y-prensa/anuncios-de-las-decisiones-de-politica-monetaria/{44CE87DF-ED9F-58D3-406B-BD6F940A6651}.pdf</t>
  </si>
  <si>
    <t>DPM-2024-06-27</t>
  </si>
  <si>
    <t>https://www.banxico.org.mx/publicaciones-y-prensa/anuncios-de-las-decisiones-de-politica-monetaria/{17EF4998-D892-3D29-B613-68BEF3D80B21}.pdf</t>
  </si>
  <si>
    <t>DPM-2024-08-08</t>
  </si>
  <si>
    <t>https://www.banxico.org.mx/publicaciones-y-prensa/anuncios-de-las-decisiones-de-politica-monetaria/{2A30082F-C525-8B90-3E75-E54AF31A21EF}.pdf</t>
  </si>
  <si>
    <t>DPM-2024-09-26</t>
  </si>
  <si>
    <t>https://www.banxico.org.mx/publicaciones-y-prensa/anuncios-de-las-decisiones-de-politica-monetaria/{F6792ED1-A4C0-564D-19F1-F53F50D82B95}.pdf</t>
  </si>
  <si>
    <t>DPM-2024-11-14</t>
  </si>
  <si>
    <t>https://www.banxico.org.mx/publicaciones-y-prensa/anuncios-de-las-decisiones-de-politica-monetaria/{134BAFB3-3FAF-34A6-E510-22D771F7BA70}.pdf</t>
  </si>
  <si>
    <t>DPM-2024-12-19</t>
  </si>
  <si>
    <t>https://www.banxico.org.mx/publicaciones-y-prensa/anuncios-de-las-decisiones-de-politica-monetaria/{939FDDA6-702A-F315-37B0-4E422044D13E}.pdf</t>
  </si>
  <si>
    <t>DPM-2025-02-06</t>
  </si>
  <si>
    <t>https://www.banxico.org.mx/publicaciones-y-prensa/anuncios-de-las-decisiones-de-politica-monetaria/{8F4D3113-637F-2920-42DE-6A5866416A4F}.pdf</t>
  </si>
  <si>
    <t>DPM-2025-03-27</t>
  </si>
  <si>
    <t>https://www.banxico.org.mx/publicaciones-y-prensa/anuncios-de-las-decisiones-de-politica-monetaria/{9842071D-B7B0-B46C-D052-117072FFFC84}.pdf</t>
  </si>
  <si>
    <t>DPM-2025-05-15</t>
  </si>
  <si>
    <t>https://www.banxico.org.mx/publicaciones-y-prensa/anuncios-de-las-decisiones-de-politica-monetaria/{FE43A06F-5ECA-8C1D-3E51-DCD1C8657282}.pdf</t>
  </si>
  <si>
    <t>DPM-2025-06-26</t>
  </si>
  <si>
    <t>https://www.banxico.org.mx/publicaciones-y-prensa/anuncios-de-las-decisiones-de-politica-monetaria/{7774AEE4-AF2E-9A74-A34C-EDB53F483361}.pdf</t>
  </si>
  <si>
    <t>DPM-2025-08-07</t>
  </si>
  <si>
    <t>https://www.banxico.org.mx/publicaciones-y-prensa/anuncios-de-las-decisiones-de-politica-monetaria/{2C71C5A0-BAB3-8C65-D666-AB9B5D82557E}.pdf</t>
  </si>
  <si>
    <t>DPM-2025-09-25</t>
  </si>
  <si>
    <t>https://www.banxico.org.mx/publicaciones-y-prensa/anuncios-de-las-decisiones-de-politica-monetaria/{013E2D79-2677-5E71-FA22-DD8825AA7C45}.pdf</t>
  </si>
  <si>
    <t>DPM-2025-11-06</t>
  </si>
  <si>
    <t>https://www.banxico.org.mx/publicaciones-y-prensa/anuncios-de-las-decisiones-de-politica-monetaria/{EBE40A87-D410-9D84-25A1-935964853DED}.pdf</t>
  </si>
  <si>
    <t>DPM-2025-12-18</t>
  </si>
  <si>
    <t>https://www.banxico.org.mx/publicaciones-y-prensa/anuncios-de-las-decisiones-de-politica-monetaria/{7EC38EB9-5F4D-5857-805D-2471209BFEBA}.pdf</t>
  </si>
  <si>
    <t>DPM-2026-02-05</t>
  </si>
  <si>
    <t>https://www.banxico.org.mx/publicaciones-y-prensa/anuncios-de-las-decisiones-de-politica-monetaria/{318D71D0-F37D-869C-E8B4-8E58FD9D3648}.pdf</t>
  </si>
  <si>
    <t>DPM-2026-03-26</t>
  </si>
  <si>
    <t>https://www.banxico.org.mx/publicaciones-y-prensa/anuncios-de-las-decisiones-de-politica-monetaria/{44EB2DF8-E71A-1553-7322-F60A34382EBA}.pdf</t>
  </si>
  <si>
    <t>DPM-2026-05-07</t>
  </si>
  <si>
    <t>https://www.banxico.org.mx/publicaciones-y-prensa/anuncios-de-las-decisiones-de-politica-monetaria/{8A05C722-0A97-4527-2166-0CE802CE6838}.pdf</t>
  </si>
  <si>
    <t>DPM-2026-06-25</t>
  </si>
  <si>
    <t>https://www.banxico.org.mx/publicaciones-y-prensa/anuncios-de-las-decisiones-de-politica-monetaria/{F6667DDE-E87D-68A3-0EBB-A4DF9048E403}.pdf</t>
  </si>
  <si>
    <t>DPM-2026-08-06</t>
  </si>
  <si>
    <t>https://www.banxico.org.mx/publicaciones-y-prensa/anuncios-de-las-decisiones-de-politica-monetaria/{8DA3F519-341F-480E-1D4E-1AEE71DD08DA}.pdf</t>
  </si>
  <si>
    <t>forecast_id</t>
  </si>
  <si>
    <t>categoria_codigo</t>
  </si>
  <si>
    <t>categoria</t>
  </si>
  <si>
    <t>anio</t>
  </si>
  <si>
    <t>trimestre</t>
  </si>
  <si>
    <t>periodo</t>
  </si>
  <si>
    <t>valor_porcentaje</t>
  </si>
  <si>
    <t>PRON-DPM-2021-08-12-2021-T1-INPC</t>
  </si>
  <si>
    <t>2021-T1</t>
  </si>
  <si>
    <t>PRON-DPM-2021-08-12-2021-T1-SUB</t>
  </si>
  <si>
    <t>SUB</t>
  </si>
  <si>
    <t>PRON-DPM-2021-08-12-2021-T2-INPC</t>
  </si>
  <si>
    <t>2021-T2</t>
  </si>
  <si>
    <t>PRON-DPM-2021-08-12-2021-T2-SUB</t>
  </si>
  <si>
    <t>PRON-DPM-2021-08-12-2021-T3-INPC</t>
  </si>
  <si>
    <t>2021-T3</t>
  </si>
  <si>
    <t>PRON-DPM-2021-08-12-2021-T3-SUB</t>
  </si>
  <si>
    <t>PRON-DPM-2021-08-12-2021-T4-INPC</t>
  </si>
  <si>
    <t>2021-T4</t>
  </si>
  <si>
    <t>PRON-DPM-2021-08-12-2021-T4-SUB</t>
  </si>
  <si>
    <t>PRON-DPM-2021-08-12-2022-T1-INPC</t>
  </si>
  <si>
    <t>2022-T1</t>
  </si>
  <si>
    <t>PRON-DPM-2021-08-12-2022-T1-SUB</t>
  </si>
  <si>
    <t>PRON-DPM-2021-08-12-2022-T2-INPC</t>
  </si>
  <si>
    <t>2022-T2</t>
  </si>
  <si>
    <t>PRON-DPM-2021-08-12-2022-T2-SUB</t>
  </si>
  <si>
    <t>PRON-DPM-2021-08-12-2022-T3-INPC</t>
  </si>
  <si>
    <t>2022-T3</t>
  </si>
  <si>
    <t>PRON-DPM-2021-08-12-2022-T3-SUB</t>
  </si>
  <si>
    <t>PRON-DPM-2021-08-12-2022-T4-INPC</t>
  </si>
  <si>
    <t>2022-T4</t>
  </si>
  <si>
    <t>PRON-DPM-2021-08-12-2022-T4-SUB</t>
  </si>
  <si>
    <t>PRON-DPM-2021-08-12-2023-T1-INPC</t>
  </si>
  <si>
    <t>2023-T1</t>
  </si>
  <si>
    <t>PRON-DPM-2021-08-12-2023-T1-SUB</t>
  </si>
  <si>
    <t>PRON-DPM-2021-08-12-2023-T2-INPC</t>
  </si>
  <si>
    <t>2023-T2</t>
  </si>
  <si>
    <t>PRON-DPM-2021-08-12-2023-T2-SUB</t>
  </si>
  <si>
    <t>PRON-DPM-2021-09-30-2021-T1-INPC</t>
  </si>
  <si>
    <t>PRON-DPM-2021-09-30-2021-T1-SUB</t>
  </si>
  <si>
    <t>PRON-DPM-2021-09-30-2021-T2-INPC</t>
  </si>
  <si>
    <t>PRON-DPM-2021-09-30-2021-T2-SUB</t>
  </si>
  <si>
    <t>PRON-DPM-2021-09-30-2021-T3-INPC</t>
  </si>
  <si>
    <t>PRON-DPM-2021-09-30-2021-T3-SUB</t>
  </si>
  <si>
    <t>PRON-DPM-2021-09-30-2021-T4-INPC</t>
  </si>
  <si>
    <t>PRON-DPM-2021-09-30-2021-T4-SUB</t>
  </si>
  <si>
    <t>PRON-DPM-2021-09-30-2022-T1-INPC</t>
  </si>
  <si>
    <t>PRON-DPM-2021-09-30-2022-T1-SUB</t>
  </si>
  <si>
    <t>PRON-DPM-2021-09-30-2022-T2-INPC</t>
  </si>
  <si>
    <t>PRON-DPM-2021-09-30-2022-T2-SUB</t>
  </si>
  <si>
    <t>PRON-DPM-2021-09-30-2022-T3-INPC</t>
  </si>
  <si>
    <t>PRON-DPM-2021-09-30-2022-T3-SUB</t>
  </si>
  <si>
    <t>PRON-DPM-2021-09-30-2022-T4-INPC</t>
  </si>
  <si>
    <t>PRON-DPM-2021-09-30-2022-T4-SUB</t>
  </si>
  <si>
    <t>PRON-DPM-2021-09-30-2023-T1-INPC</t>
  </si>
  <si>
    <t>PRON-DPM-2021-09-30-2023-T1-SUB</t>
  </si>
  <si>
    <t>PRON-DPM-2021-09-30-2023-T2-INPC</t>
  </si>
  <si>
    <t>PRON-DPM-2021-09-30-2023-T2-SUB</t>
  </si>
  <si>
    <t>PRON-DPM-2021-09-30-2023-T3-INPC</t>
  </si>
  <si>
    <t>2023-T3</t>
  </si>
  <si>
    <t>PRON-DPM-2021-09-30-2023-T3-SUB</t>
  </si>
  <si>
    <t>PRON-DPM-2021-11-11-2021-T1-INPC</t>
  </si>
  <si>
    <t>PRON-DPM-2021-11-11-2021-T1-SUB</t>
  </si>
  <si>
    <t>PRON-DPM-2021-11-11-2021-T2-INPC</t>
  </si>
  <si>
    <t>PRON-DPM-2021-11-11-2021-T2-SUB</t>
  </si>
  <si>
    <t>PRON-DPM-2021-11-11-2021-T3-INPC</t>
  </si>
  <si>
    <t>PRON-DPM-2021-11-11-2021-T3-SUB</t>
  </si>
  <si>
    <t>PRON-DPM-2021-11-11-2021-T4-INPC</t>
  </si>
  <si>
    <t>PRON-DPM-2021-11-11-2021-T4-SUB</t>
  </si>
  <si>
    <t>PRON-DPM-2021-11-11-2022-T1-INPC</t>
  </si>
  <si>
    <t>PRON-DPM-2021-11-11-2022-T1-SUB</t>
  </si>
  <si>
    <t>PRON-DPM-2021-11-11-2022-T2-INPC</t>
  </si>
  <si>
    <t>PRON-DPM-2021-11-11-2022-T2-SUB</t>
  </si>
  <si>
    <t>PRON-DPM-2021-11-11-2022-T3-INPC</t>
  </si>
  <si>
    <t>PRON-DPM-2021-11-11-2022-T3-SUB</t>
  </si>
  <si>
    <t>PRON-DPM-2021-11-11-2022-T4-INPC</t>
  </si>
  <si>
    <t>PRON-DPM-2021-11-11-2022-T4-SUB</t>
  </si>
  <si>
    <t>PRON-DPM-2021-11-11-2023-T1-INPC</t>
  </si>
  <si>
    <t>PRON-DPM-2021-11-11-2023-T1-SUB</t>
  </si>
  <si>
    <t>PRON-DPM-2021-11-11-2023-T2-INPC</t>
  </si>
  <si>
    <t>PRON-DPM-2021-11-11-2023-T2-SUB</t>
  </si>
  <si>
    <t>PRON-DPM-2021-11-11-2023-T3-INPC</t>
  </si>
  <si>
    <t>PRON-DPM-2021-11-11-2023-T3-SUB</t>
  </si>
  <si>
    <t>PRON-DPM-2021-12-16-2021-T1-INPC</t>
  </si>
  <si>
    <t>PRON-DPM-2021-12-16-2021-T1-SUB</t>
  </si>
  <si>
    <t>PRON-DPM-2021-12-16-2021-T1-INPC_DES</t>
  </si>
  <si>
    <t>INPC_DES</t>
  </si>
  <si>
    <t>PRON-DPM-2021-12-16-2021-T1-SUB_DES</t>
  </si>
  <si>
    <t>SUB_DES</t>
  </si>
  <si>
    <t>PRON-DPM-2021-12-16-2021-T2-INPC</t>
  </si>
  <si>
    <t>PRON-DPM-2021-12-16-2021-T2-SUB</t>
  </si>
  <si>
    <t>PRON-DPM-2021-12-16-2021-T2-INPC_DES</t>
  </si>
  <si>
    <t>PRON-DPM-2021-12-16-2021-T2-SUB_DES</t>
  </si>
  <si>
    <t>PRON-DPM-2021-12-16-2021-T3-INPC</t>
  </si>
  <si>
    <t>PRON-DPM-2021-12-16-2021-T3-SUB</t>
  </si>
  <si>
    <t>PRON-DPM-2021-12-16-2021-T3-INPC_DES</t>
  </si>
  <si>
    <t>PRON-DPM-2021-12-16-2021-T3-SUB_DES</t>
  </si>
  <si>
    <t>PRON-DPM-2021-12-16-2021-T4-INPC</t>
  </si>
  <si>
    <t>PRON-DPM-2021-12-16-2021-T4-SUB</t>
  </si>
  <si>
    <t>PRON-DPM-2021-12-16-2021-T4-INPC_DES</t>
  </si>
  <si>
    <t>PRON-DPM-2021-12-16-2021-T4-SUB_DES</t>
  </si>
  <si>
    <t>PRON-DPM-2021-12-16-2022-T1-INPC</t>
  </si>
  <si>
    <t>PRON-DPM-2021-12-16-2022-T1-SUB</t>
  </si>
  <si>
    <t>PRON-DPM-2021-12-16-2022-T1-INPC_DES</t>
  </si>
  <si>
    <t>PRON-DPM-2021-12-16-2022-T1-SUB_DES</t>
  </si>
  <si>
    <t>PRON-DPM-2021-12-16-2022-T2-INPC</t>
  </si>
  <si>
    <t>PRON-DPM-2021-12-16-2022-T2-SUB</t>
  </si>
  <si>
    <t>PRON-DPM-2021-12-16-2022-T2-INPC_DES</t>
  </si>
  <si>
    <t>PRON-DPM-2021-12-16-2022-T2-SUB_DES</t>
  </si>
  <si>
    <t>PRON-DPM-2021-12-16-2022-T3-INPC</t>
  </si>
  <si>
    <t>PRON-DPM-2021-12-16-2022-T3-SUB</t>
  </si>
  <si>
    <t>PRON-DPM-2021-12-16-2022-T3-INPC_DES</t>
  </si>
  <si>
    <t>PRON-DPM-2021-12-16-2022-T3-SUB_DES</t>
  </si>
  <si>
    <t>PRON-DPM-2021-12-16-2022-T4-INPC</t>
  </si>
  <si>
    <t>PRON-DPM-2021-12-16-2022-T4-SUB</t>
  </si>
  <si>
    <t>PRON-DPM-2021-12-16-2022-T4-INPC_DES</t>
  </si>
  <si>
    <t>PRON-DPM-2021-12-16-2022-T4-SUB_DES</t>
  </si>
  <si>
    <t>PRON-DPM-2021-12-16-2023-T1-INPC</t>
  </si>
  <si>
    <t>PRON-DPM-2021-12-16-2023-T1-SUB</t>
  </si>
  <si>
    <t>PRON-DPM-2021-12-16-2023-T1-INPC_DES</t>
  </si>
  <si>
    <t>PRON-DPM-2021-12-16-2023-T1-SUB_DES</t>
  </si>
  <si>
    <t>PRON-DPM-2021-12-16-2023-T2-INPC</t>
  </si>
  <si>
    <t>PRON-DPM-2021-12-16-2023-T2-SUB</t>
  </si>
  <si>
    <t>PRON-DPM-2021-12-16-2023-T2-INPC_DES</t>
  </si>
  <si>
    <t>PRON-DPM-2021-12-16-2023-T2-SUB_DES</t>
  </si>
  <si>
    <t>PRON-DPM-2021-12-16-2023-T3-INPC</t>
  </si>
  <si>
    <t>PRON-DPM-2021-12-16-2023-T3-SUB</t>
  </si>
  <si>
    <t>PRON-DPM-2021-12-16-2023-T3-INPC_DES</t>
  </si>
  <si>
    <t>PRON-DPM-2021-12-16-2023-T3-SUB_DES</t>
  </si>
  <si>
    <t>PRON-DPM-2021-12-16-2023-T4-INPC</t>
  </si>
  <si>
    <t>2023-T4</t>
  </si>
  <si>
    <t>PRON-DPM-2021-12-16-2023-T4-SUB</t>
  </si>
  <si>
    <t>PRON-DPM-2021-12-16-2023-T4-INPC_DES</t>
  </si>
  <si>
    <t>PRON-DPM-2021-12-16-2023-T4-SUB_DES</t>
  </si>
  <si>
    <t>PRON-DPM-2022-02-10-2021-T1-INPC</t>
  </si>
  <si>
    <t>PRON-DPM-2022-02-10-2021-T1-SUB</t>
  </si>
  <si>
    <t>PRON-DPM-2022-02-10-2021-T1-INPC_DES</t>
  </si>
  <si>
    <t>PRON-DPM-2022-02-10-2021-T1-SUB_DES</t>
  </si>
  <si>
    <t>PRON-DPM-2022-02-10-2021-T2-INPC</t>
  </si>
  <si>
    <t>PRON-DPM-2022-02-10-2021-T2-SUB</t>
  </si>
  <si>
    <t>PRON-DPM-2022-02-10-2021-T2-INPC_DES</t>
  </si>
  <si>
    <t>PRON-DPM-2022-02-10-2021-T2-SUB_DES</t>
  </si>
  <si>
    <t>PRON-DPM-2022-02-10-2021-T3-INPC</t>
  </si>
  <si>
    <t>PRON-DPM-2022-02-10-2021-T3-SUB</t>
  </si>
  <si>
    <t>PRON-DPM-2022-02-10-2021-T3-INPC_DES</t>
  </si>
  <si>
    <t>PRON-DPM-2022-02-10-2021-T3-SUB_DES</t>
  </si>
  <si>
    <t>PRON-DPM-2022-02-10-2021-T4-INPC</t>
  </si>
  <si>
    <t>PRON-DPM-2022-02-10-2021-T4-SUB</t>
  </si>
  <si>
    <t>PRON-DPM-2022-02-10-2021-T4-INPC_DES</t>
  </si>
  <si>
    <t>PRON-DPM-2022-02-10-2021-T4-SUB_DES</t>
  </si>
  <si>
    <t>PRON-DPM-2022-02-10-2022-T1-INPC</t>
  </si>
  <si>
    <t>PRON-DPM-2022-02-10-2022-T1-SUB</t>
  </si>
  <si>
    <t>PRON-DPM-2022-02-10-2022-T1-INPC_DES</t>
  </si>
  <si>
    <t>PRON-DPM-2022-02-10-2022-T1-SUB_DES</t>
  </si>
  <si>
    <t>PRON-DPM-2022-02-10-2022-T2-INPC</t>
  </si>
  <si>
    <t>PRON-DPM-2022-02-10-2022-T2-SUB</t>
  </si>
  <si>
    <t>PRON-DPM-2022-02-10-2022-T2-INPC_DES</t>
  </si>
  <si>
    <t>PRON-DPM-2022-02-10-2022-T2-SUB_DES</t>
  </si>
  <si>
    <t>PRON-DPM-2022-02-10-2022-T3-INPC</t>
  </si>
  <si>
    <t>PRON-DPM-2022-02-10-2022-T3-SUB</t>
  </si>
  <si>
    <t>PRON-DPM-2022-02-10-2022-T3-INPC_DES</t>
  </si>
  <si>
    <t>PRON-DPM-2022-02-10-2022-T3-SUB_DES</t>
  </si>
  <si>
    <t>PRON-DPM-2022-02-10-2022-T4-INPC</t>
  </si>
  <si>
    <t>PRON-DPM-2022-02-10-2022-T4-SUB</t>
  </si>
  <si>
    <t>PRON-DPM-2022-02-10-2022-T4-INPC_DES</t>
  </si>
  <si>
    <t>PRON-DPM-2022-02-10-2022-T4-SUB_DES</t>
  </si>
  <si>
    <t>PRON-DPM-2022-02-10-2023-T1-INPC</t>
  </si>
  <si>
    <t>PRON-DPM-2022-02-10-2023-T1-SUB</t>
  </si>
  <si>
    <t>PRON-DPM-2022-02-10-2023-T1-INPC_DES</t>
  </si>
  <si>
    <t>PRON-DPM-2022-02-10-2023-T1-SUB_DES</t>
  </si>
  <si>
    <t>PRON-DPM-2022-02-10-2023-T2-INPC</t>
  </si>
  <si>
    <t>PRON-DPM-2022-02-10-2023-T2-SUB</t>
  </si>
  <si>
    <t>PRON-DPM-2022-02-10-2023-T2-INPC_DES</t>
  </si>
  <si>
    <t>PRON-DPM-2022-02-10-2023-T2-SUB_DES</t>
  </si>
  <si>
    <t>PRON-DPM-2022-02-10-2023-T3-INPC</t>
  </si>
  <si>
    <t>PRON-DPM-2022-02-10-2023-T3-SUB</t>
  </si>
  <si>
    <t>PRON-DPM-2022-02-10-2023-T3-INPC_DES</t>
  </si>
  <si>
    <t>PRON-DPM-2022-02-10-2023-T3-SUB_DES</t>
  </si>
  <si>
    <t>PRON-DPM-2022-02-10-2023-T4-INPC</t>
  </si>
  <si>
    <t>PRON-DPM-2022-02-10-2023-T4-SUB</t>
  </si>
  <si>
    <t>PRON-DPM-2022-02-10-2023-T4-INPC_DES</t>
  </si>
  <si>
    <t>PRON-DPM-2022-02-10-2023-T4-SUB_DES</t>
  </si>
  <si>
    <t>PRON-DPM-2022-03-24-2021-T1-INPC</t>
  </si>
  <si>
    <t>PRON-DPM-2022-03-24-2021-T1-SUB</t>
  </si>
  <si>
    <t>PRON-DPM-2022-03-24-2021-T1-INPC_DES</t>
  </si>
  <si>
    <t>PRON-DPM-2022-03-24-2021-T1-SUB_DES</t>
  </si>
  <si>
    <t>PRON-DPM-2022-03-24-2021-T2-INPC</t>
  </si>
  <si>
    <t>PRON-DPM-2022-03-24-2021-T2-SUB</t>
  </si>
  <si>
    <t>PRON-DPM-2022-03-24-2021-T2-INPC_DES</t>
  </si>
  <si>
    <t>PRON-DPM-2022-03-24-2021-T2-SUB_DES</t>
  </si>
  <si>
    <t>PRON-DPM-2022-03-24-2021-T3-INPC</t>
  </si>
  <si>
    <t>PRON-DPM-2022-03-24-2021-T3-SUB</t>
  </si>
  <si>
    <t>PRON-DPM-2022-03-24-2021-T3-INPC_DES</t>
  </si>
  <si>
    <t>PRON-DPM-2022-03-24-2021-T3-SUB_DES</t>
  </si>
  <si>
    <t>PRON-DPM-2022-03-24-2021-T4-INPC</t>
  </si>
  <si>
    <t>PRON-DPM-2022-03-24-2021-T4-SUB</t>
  </si>
  <si>
    <t>PRON-DPM-2022-03-24-2021-T4-INPC_DES</t>
  </si>
  <si>
    <t>PRON-DPM-2022-03-24-2021-T4-SUB_DES</t>
  </si>
  <si>
    <t>PRON-DPM-2022-03-24-2022-T1-INPC</t>
  </si>
  <si>
    <t>PRON-DPM-2022-03-24-2022-T1-SUB</t>
  </si>
  <si>
    <t>PRON-DPM-2022-03-24-2022-T1-INPC_DES</t>
  </si>
  <si>
    <t>PRON-DPM-2022-03-24-2022-T1-SUB_DES</t>
  </si>
  <si>
    <t>PRON-DPM-2022-03-24-2022-T2-INPC</t>
  </si>
  <si>
    <t>PRON-DPM-2022-03-24-2022-T2-SUB</t>
  </si>
  <si>
    <t>PRON-DPM-2022-03-24-2022-T2-INPC_DES</t>
  </si>
  <si>
    <t>PRON-DPM-2022-03-24-2022-T2-SUB_DES</t>
  </si>
  <si>
    <t>PRON-DPM-2022-03-24-2022-T3-INPC</t>
  </si>
  <si>
    <t>PRON-DPM-2022-03-24-2022-T3-SUB</t>
  </si>
  <si>
    <t>PRON-DPM-2022-03-24-2022-T3-INPC_DES</t>
  </si>
  <si>
    <t>PRON-DPM-2022-03-24-2022-T3-SUB_DES</t>
  </si>
  <si>
    <t>PRON-DPM-2022-03-24-2022-T4-INPC</t>
  </si>
  <si>
    <t>PRON-DPM-2022-03-24-2022-T4-SUB</t>
  </si>
  <si>
    <t>PRON-DPM-2022-03-24-2022-T4-INPC_DES</t>
  </si>
  <si>
    <t>PRON-DPM-2022-03-24-2022-T4-SUB_DES</t>
  </si>
  <si>
    <t>PRON-DPM-2022-03-24-2023-T1-INPC</t>
  </si>
  <si>
    <t>PRON-DPM-2022-03-24-2023-T1-SUB</t>
  </si>
  <si>
    <t>PRON-DPM-2022-03-24-2023-T1-INPC_DES</t>
  </si>
  <si>
    <t>PRON-DPM-2022-03-24-2023-T1-SUB_DES</t>
  </si>
  <si>
    <t>PRON-DPM-2022-03-24-2023-T2-INPC</t>
  </si>
  <si>
    <t>PRON-DPM-2022-03-24-2023-T2-SUB</t>
  </si>
  <si>
    <t>PRON-DPM-2022-03-24-2023-T2-INPC_DES</t>
  </si>
  <si>
    <t>PRON-DPM-2022-03-24-2023-T2-SUB_DES</t>
  </si>
  <si>
    <t>PRON-DPM-2022-03-24-2023-T3-INPC</t>
  </si>
  <si>
    <t>PRON-DPM-2022-03-24-2023-T3-SUB</t>
  </si>
  <si>
    <t>PRON-DPM-2022-03-24-2023-T3-INPC_DES</t>
  </si>
  <si>
    <t>PRON-DPM-2022-03-24-2023-T3-SUB_DES</t>
  </si>
  <si>
    <t>PRON-DPM-2022-03-24-2023-T4-INPC</t>
  </si>
  <si>
    <t>PRON-DPM-2022-03-24-2023-T4-SUB</t>
  </si>
  <si>
    <t>PRON-DPM-2022-03-24-2023-T4-INPC_DES</t>
  </si>
  <si>
    <t>PRON-DPM-2022-03-24-2023-T4-SUB_DES</t>
  </si>
  <si>
    <t>PRON-DPM-2022-03-24-2024-T1-INPC</t>
  </si>
  <si>
    <t>2024-T1</t>
  </si>
  <si>
    <t>PRON-DPM-2022-03-24-2024-T1-SUB</t>
  </si>
  <si>
    <t>PRON-DPM-2022-03-24-2024-T1-INPC_DES</t>
  </si>
  <si>
    <t>PRON-DPM-2022-03-24-2024-T1-SUB_DES</t>
  </si>
  <si>
    <t>PRON-DPM-2022-05-12-2021-T1-INPC</t>
  </si>
  <si>
    <t>PRON-DPM-2022-05-12-2021-T1-SUB</t>
  </si>
  <si>
    <t>PRON-DPM-2022-05-12-2021-T1-INPC_DES</t>
  </si>
  <si>
    <t>PRON-DPM-2022-05-12-2021-T1-SUB_DES</t>
  </si>
  <si>
    <t>PRON-DPM-2022-05-12-2021-T2-INPC</t>
  </si>
  <si>
    <t>PRON-DPM-2022-05-12-2021-T2-SUB</t>
  </si>
  <si>
    <t>PRON-DPM-2022-05-12-2021-T2-INPC_DES</t>
  </si>
  <si>
    <t>PRON-DPM-2022-05-12-2021-T2-SUB_DES</t>
  </si>
  <si>
    <t>PRON-DPM-2022-05-12-2021-T3-INPC</t>
  </si>
  <si>
    <t>PRON-DPM-2022-05-12-2021-T3-SUB</t>
  </si>
  <si>
    <t>PRON-DPM-2022-05-12-2021-T3-INPC_DES</t>
  </si>
  <si>
    <t>PRON-DPM-2022-05-12-2021-T3-SUB_DES</t>
  </si>
  <si>
    <t>PRON-DPM-2022-05-12-2021-T4-INPC</t>
  </si>
  <si>
    <t>PRON-DPM-2022-05-12-2021-T4-SUB</t>
  </si>
  <si>
    <t>PRON-DPM-2022-05-12-2021-T4-INPC_DES</t>
  </si>
  <si>
    <t>PRON-DPM-2022-05-12-2021-T4-SUB_DES</t>
  </si>
  <si>
    <t>PRON-DPM-2022-05-12-2022-T1-INPC</t>
  </si>
  <si>
    <t>PRON-DPM-2022-05-12-2022-T1-SUB</t>
  </si>
  <si>
    <t>PRON-DPM-2022-05-12-2022-T1-INPC_DES</t>
  </si>
  <si>
    <t>PRON-DPM-2022-05-12-2022-T1-SUB_DES</t>
  </si>
  <si>
    <t>PRON-DPM-2022-05-12-2022-T2-INPC</t>
  </si>
  <si>
    <t>PRON-DPM-2022-05-12-2022-T2-SUB</t>
  </si>
  <si>
    <t>PRON-DPM-2022-05-12-2022-T2-INPC_DES</t>
  </si>
  <si>
    <t>PRON-DPM-2022-05-12-2022-T2-SUB_DES</t>
  </si>
  <si>
    <t>PRON-DPM-2022-05-12-2022-T3-INPC</t>
  </si>
  <si>
    <t>PRON-DPM-2022-05-12-2022-T3-SUB</t>
  </si>
  <si>
    <t>PRON-DPM-2022-05-12-2022-T3-INPC_DES</t>
  </si>
  <si>
    <t>PRON-DPM-2022-05-12-2022-T3-SUB_DES</t>
  </si>
  <si>
    <t>PRON-DPM-2022-05-12-2022-T4-INPC</t>
  </si>
  <si>
    <t>PRON-DPM-2022-05-12-2022-T4-SUB</t>
  </si>
  <si>
    <t>PRON-DPM-2022-05-12-2022-T4-INPC_DES</t>
  </si>
  <si>
    <t>PRON-DPM-2022-05-12-2022-T4-SUB_DES</t>
  </si>
  <si>
    <t>PRON-DPM-2022-05-12-2023-T1-INPC</t>
  </si>
  <si>
    <t>PRON-DPM-2022-05-12-2023-T1-SUB</t>
  </si>
  <si>
    <t>PRON-DPM-2022-05-12-2023-T1-INPC_DES</t>
  </si>
  <si>
    <t>PRON-DPM-2022-05-12-2023-T1-SUB_DES</t>
  </si>
  <si>
    <t>PRON-DPM-2022-05-12-2023-T2-INPC</t>
  </si>
  <si>
    <t>PRON-DPM-2022-05-12-2023-T2-SUB</t>
  </si>
  <si>
    <t>PRON-DPM-2022-05-12-2023-T2-INPC_DES</t>
  </si>
  <si>
    <t>PRON-DPM-2022-05-12-2023-T2-SUB_DES</t>
  </si>
  <si>
    <t>PRON-DPM-2022-05-12-2023-T3-INPC</t>
  </si>
  <si>
    <t>PRON-DPM-2022-05-12-2023-T3-SUB</t>
  </si>
  <si>
    <t>PRON-DPM-2022-05-12-2023-T3-INPC_DES</t>
  </si>
  <si>
    <t>PRON-DPM-2022-05-12-2023-T3-SUB_DES</t>
  </si>
  <si>
    <t>PRON-DPM-2022-05-12-2023-T4-INPC</t>
  </si>
  <si>
    <t>PRON-DPM-2022-05-12-2023-T4-SUB</t>
  </si>
  <si>
    <t>PRON-DPM-2022-05-12-2023-T4-INPC_DES</t>
  </si>
  <si>
    <t>PRON-DPM-2022-05-12-2023-T4-SUB_DES</t>
  </si>
  <si>
    <t>PRON-DPM-2022-05-12-2024-T1-INPC</t>
  </si>
  <si>
    <t>PRON-DPM-2022-05-12-2024-T1-SUB</t>
  </si>
  <si>
    <t>PRON-DPM-2022-05-12-2024-T1-INPC_DES</t>
  </si>
  <si>
    <t>PRON-DPM-2022-05-12-2024-T1-SUB_DES</t>
  </si>
  <si>
    <t>PRON-DPM-2022-06-23-2021-T2-INPC</t>
  </si>
  <si>
    <t>PRON-DPM-2022-06-23-2021-T2-SUB</t>
  </si>
  <si>
    <t>PRON-DPM-2022-06-23-2021-T2-INPC_DES</t>
  </si>
  <si>
    <t>PRON-DPM-2022-06-23-2021-T2-SUB_DES</t>
  </si>
  <si>
    <t>PRON-DPM-2022-06-23-2021-T3-INPC</t>
  </si>
  <si>
    <t>PRON-DPM-2022-06-23-2021-T3-SUB</t>
  </si>
  <si>
    <t>PRON-DPM-2022-06-23-2021-T3-INPC_DES</t>
  </si>
  <si>
    <t>PRON-DPM-2022-06-23-2021-T3-SUB_DES</t>
  </si>
  <si>
    <t>PRON-DPM-2022-06-23-2021-T4-INPC</t>
  </si>
  <si>
    <t>PRON-DPM-2022-06-23-2021-T4-SUB</t>
  </si>
  <si>
    <t>PRON-DPM-2022-06-23-2021-T4-INPC_DES</t>
  </si>
  <si>
    <t>PRON-DPM-2022-06-23-2021-T4-SUB_DES</t>
  </si>
  <si>
    <t>PRON-DPM-2022-06-23-2022-T1-INPC</t>
  </si>
  <si>
    <t>PRON-DPM-2022-06-23-2022-T1-SUB</t>
  </si>
  <si>
    <t>PRON-DPM-2022-06-23-2022-T1-INPC_DES</t>
  </si>
  <si>
    <t>PRON-DPM-2022-06-23-2022-T1-SUB_DES</t>
  </si>
  <si>
    <t>PRON-DPM-2022-06-23-2022-T2-INPC</t>
  </si>
  <si>
    <t>PRON-DPM-2022-06-23-2022-T2-SUB</t>
  </si>
  <si>
    <t>PRON-DPM-2022-06-23-2022-T2-INPC_DES</t>
  </si>
  <si>
    <t>PRON-DPM-2022-06-23-2022-T2-SUB_DES</t>
  </si>
  <si>
    <t>PRON-DPM-2022-06-23-2022-T3-INPC</t>
  </si>
  <si>
    <t>PRON-DPM-2022-06-23-2022-T3-SUB</t>
  </si>
  <si>
    <t>PRON-DPM-2022-06-23-2022-T3-INPC_DES</t>
  </si>
  <si>
    <t>PRON-DPM-2022-06-23-2022-T3-SUB_DES</t>
  </si>
  <si>
    <t>PRON-DPM-2022-06-23-2022-T4-INPC</t>
  </si>
  <si>
    <t>PRON-DPM-2022-06-23-2022-T4-SUB</t>
  </si>
  <si>
    <t>PRON-DPM-2022-06-23-2022-T4-INPC_DES</t>
  </si>
  <si>
    <t>PRON-DPM-2022-06-23-2022-T4-SUB_DES</t>
  </si>
  <si>
    <t>PRON-DPM-2022-06-23-2023-T1-INPC</t>
  </si>
  <si>
    <t>PRON-DPM-2022-06-23-2023-T1-SUB</t>
  </si>
  <si>
    <t>PRON-DPM-2022-06-23-2023-T1-INPC_DES</t>
  </si>
  <si>
    <t>PRON-DPM-2022-06-23-2023-T1-SUB_DES</t>
  </si>
  <si>
    <t>PRON-DPM-2022-06-23-2023-T2-INPC</t>
  </si>
  <si>
    <t>PRON-DPM-2022-06-23-2023-T2-SUB</t>
  </si>
  <si>
    <t>PRON-DPM-2022-06-23-2023-T2-INPC_DES</t>
  </si>
  <si>
    <t>PRON-DPM-2022-06-23-2023-T2-SUB_DES</t>
  </si>
  <si>
    <t>PRON-DPM-2022-06-23-2023-T3-INPC</t>
  </si>
  <si>
    <t>PRON-DPM-2022-06-23-2023-T3-SUB</t>
  </si>
  <si>
    <t>PRON-DPM-2022-06-23-2023-T3-INPC_DES</t>
  </si>
  <si>
    <t>PRON-DPM-2022-06-23-2023-T3-SUB_DES</t>
  </si>
  <si>
    <t>PRON-DPM-2022-06-23-2023-T4-INPC</t>
  </si>
  <si>
    <t>PRON-DPM-2022-06-23-2023-T4-SUB</t>
  </si>
  <si>
    <t>PRON-DPM-2022-06-23-2023-T4-INPC_DES</t>
  </si>
  <si>
    <t>PRON-DPM-2022-06-23-2023-T4-SUB_DES</t>
  </si>
  <si>
    <t>PRON-DPM-2022-06-23-2024-T1-INPC</t>
  </si>
  <si>
    <t>PRON-DPM-2022-06-23-2024-T1-SUB</t>
  </si>
  <si>
    <t>PRON-DPM-2022-06-23-2024-T1-INPC_DES</t>
  </si>
  <si>
    <t>PRON-DPM-2022-06-23-2024-T1-SUB_DES</t>
  </si>
  <si>
    <t>PRON-DPM-2022-06-23-2024-T2-INPC</t>
  </si>
  <si>
    <t>2024-T2</t>
  </si>
  <si>
    <t>PRON-DPM-2022-06-23-2024-T2-SUB</t>
  </si>
  <si>
    <t>PRON-DPM-2022-06-23-2024-T2-INPC_DES</t>
  </si>
  <si>
    <t>PRON-DPM-2022-06-23-2024-T2-SUB_DES</t>
  </si>
  <si>
    <t>PRON-DPM-2022-08-11-2021-T2-INPC</t>
  </si>
  <si>
    <t>PRON-DPM-2022-08-11-2021-T2-SUB</t>
  </si>
  <si>
    <t>PRON-DPM-2022-08-11-2021-T2-INPC_DES</t>
  </si>
  <si>
    <t>PRON-DPM-2022-08-11-2021-T2-SUB_DES</t>
  </si>
  <si>
    <t>PRON-DPM-2022-08-11-2021-T3-INPC</t>
  </si>
  <si>
    <t>PRON-DPM-2022-08-11-2021-T3-SUB</t>
  </si>
  <si>
    <t>PRON-DPM-2022-08-11-2021-T3-INPC_DES</t>
  </si>
  <si>
    <t>PRON-DPM-2022-08-11-2021-T3-SUB_DES</t>
  </si>
  <si>
    <t>PRON-DPM-2022-08-11-2021-T4-INPC</t>
  </si>
  <si>
    <t>PRON-DPM-2022-08-11-2021-T4-SUB</t>
  </si>
  <si>
    <t>PRON-DPM-2022-08-11-2021-T4-INPC_DES</t>
  </si>
  <si>
    <t>PRON-DPM-2022-08-11-2021-T4-SUB_DES</t>
  </si>
  <si>
    <t>PRON-DPM-2022-08-11-2022-T1-INPC</t>
  </si>
  <si>
    <t>PRON-DPM-2022-08-11-2022-T1-SUB</t>
  </si>
  <si>
    <t>PRON-DPM-2022-08-11-2022-T1-INPC_DES</t>
  </si>
  <si>
    <t>PRON-DPM-2022-08-11-2022-T1-SUB_DES</t>
  </si>
  <si>
    <t>PRON-DPM-2022-08-11-2022-T2-INPC</t>
  </si>
  <si>
    <t>PRON-DPM-2022-08-11-2022-T2-SUB</t>
  </si>
  <si>
    <t>PRON-DPM-2022-08-11-2022-T2-INPC_DES</t>
  </si>
  <si>
    <t>PRON-DPM-2022-08-11-2022-T2-SUB_DES</t>
  </si>
  <si>
    <t>PRON-DPM-2022-08-11-2022-T3-INPC</t>
  </si>
  <si>
    <t>PRON-DPM-2022-08-11-2022-T3-SUB</t>
  </si>
  <si>
    <t>PRON-DPM-2022-08-11-2022-T3-INPC_DES</t>
  </si>
  <si>
    <t>PRON-DPM-2022-08-11-2022-T3-SUB_DES</t>
  </si>
  <si>
    <t>PRON-DPM-2022-08-11-2022-T4-INPC</t>
  </si>
  <si>
    <t>PRON-DPM-2022-08-11-2022-T4-SUB</t>
  </si>
  <si>
    <t>PRON-DPM-2022-08-11-2022-T4-INPC_DES</t>
  </si>
  <si>
    <t>PRON-DPM-2022-08-11-2022-T4-SUB_DES</t>
  </si>
  <si>
    <t>PRON-DPM-2022-08-11-2023-T1-INPC</t>
  </si>
  <si>
    <t>PRON-DPM-2022-08-11-2023-T1-SUB</t>
  </si>
  <si>
    <t>PRON-DPM-2022-08-11-2023-T1-INPC_DES</t>
  </si>
  <si>
    <t>PRON-DPM-2022-08-11-2023-T1-SUB_DES</t>
  </si>
  <si>
    <t>PRON-DPM-2022-08-11-2023-T2-INPC</t>
  </si>
  <si>
    <t>PRON-DPM-2022-08-11-2023-T2-SUB</t>
  </si>
  <si>
    <t>PRON-DPM-2022-08-11-2023-T2-INPC_DES</t>
  </si>
  <si>
    <t>PRON-DPM-2022-08-11-2023-T2-SUB_DES</t>
  </si>
  <si>
    <t>PRON-DPM-2022-08-11-2023-T3-INPC</t>
  </si>
  <si>
    <t>PRON-DPM-2022-08-11-2023-T3-SUB</t>
  </si>
  <si>
    <t>PRON-DPM-2022-08-11-2023-T3-INPC_DES</t>
  </si>
  <si>
    <t>PRON-DPM-2022-08-11-2023-T3-SUB_DES</t>
  </si>
  <si>
    <t>PRON-DPM-2022-08-11-2023-T4-INPC</t>
  </si>
  <si>
    <t>PRON-DPM-2022-08-11-2023-T4-SUB</t>
  </si>
  <si>
    <t>PRON-DPM-2022-08-11-2023-T4-INPC_DES</t>
  </si>
  <si>
    <t>PRON-DPM-2022-08-11-2023-T4-SUB_DES</t>
  </si>
  <si>
    <t>PRON-DPM-2022-08-11-2024-T1-INPC</t>
  </si>
  <si>
    <t>PRON-DPM-2022-08-11-2024-T1-SUB</t>
  </si>
  <si>
    <t>PRON-DPM-2022-08-11-2024-T1-INPC_DES</t>
  </si>
  <si>
    <t>PRON-DPM-2022-08-11-2024-T1-SUB_DES</t>
  </si>
  <si>
    <t>PRON-DPM-2022-08-11-2024-T2-INPC</t>
  </si>
  <si>
    <t>PRON-DPM-2022-08-11-2024-T2-SUB</t>
  </si>
  <si>
    <t>PRON-DPM-2022-08-11-2024-T2-INPC_DES</t>
  </si>
  <si>
    <t>PRON-DPM-2022-08-11-2024-T2-SUB_DES</t>
  </si>
  <si>
    <t>PRON-DPM-2022-09-29-2021-T3-INPC</t>
  </si>
  <si>
    <t>PRON-DPM-2022-09-29-2021-T3-SUB</t>
  </si>
  <si>
    <t>PRON-DPM-2022-09-29-2021-T3-INPC_DES</t>
  </si>
  <si>
    <t>PRON-DPM-2022-09-29-2021-T3-SUB_DES</t>
  </si>
  <si>
    <t>PRON-DPM-2022-09-29-2021-T4-INPC</t>
  </si>
  <si>
    <t>PRON-DPM-2022-09-29-2021-T4-SUB</t>
  </si>
  <si>
    <t>PRON-DPM-2022-09-29-2021-T4-INPC_DES</t>
  </si>
  <si>
    <t>PRON-DPM-2022-09-29-2021-T4-SUB_DES</t>
  </si>
  <si>
    <t>PRON-DPM-2022-09-29-2022-T1-INPC</t>
  </si>
  <si>
    <t>PRON-DPM-2022-09-29-2022-T1-SUB</t>
  </si>
  <si>
    <t>PRON-DPM-2022-09-29-2022-T1-INPC_DES</t>
  </si>
  <si>
    <t>PRON-DPM-2022-09-29-2022-T1-SUB_DES</t>
  </si>
  <si>
    <t>PRON-DPM-2022-09-29-2022-T2-INPC</t>
  </si>
  <si>
    <t>PRON-DPM-2022-09-29-2022-T2-SUB</t>
  </si>
  <si>
    <t>PRON-DPM-2022-09-29-2022-T2-INPC_DES</t>
  </si>
  <si>
    <t>PRON-DPM-2022-09-29-2022-T2-SUB_DES</t>
  </si>
  <si>
    <t>PRON-DPM-2022-09-29-2022-T3-INPC</t>
  </si>
  <si>
    <t>PRON-DPM-2022-09-29-2022-T3-SUB</t>
  </si>
  <si>
    <t>PRON-DPM-2022-09-29-2022-T3-INPC_DES</t>
  </si>
  <si>
    <t>PRON-DPM-2022-09-29-2022-T3-SUB_DES</t>
  </si>
  <si>
    <t>PRON-DPM-2022-09-29-2022-T4-INPC</t>
  </si>
  <si>
    <t>PRON-DPM-2022-09-29-2022-T4-SUB</t>
  </si>
  <si>
    <t>PRON-DPM-2022-09-29-2022-T4-INPC_DES</t>
  </si>
  <si>
    <t>PRON-DPM-2022-09-29-2022-T4-SUB_DES</t>
  </si>
  <si>
    <t>PRON-DPM-2022-09-29-2023-T1-INPC</t>
  </si>
  <si>
    <t>PRON-DPM-2022-09-29-2023-T1-SUB</t>
  </si>
  <si>
    <t>PRON-DPM-2022-09-29-2023-T1-INPC_DES</t>
  </si>
  <si>
    <t>PRON-DPM-2022-09-29-2023-T1-SUB_DES</t>
  </si>
  <si>
    <t>PRON-DPM-2022-09-29-2023-T2-INPC</t>
  </si>
  <si>
    <t>PRON-DPM-2022-09-29-2023-T2-SUB</t>
  </si>
  <si>
    <t>PRON-DPM-2022-09-29-2023-T2-INPC_DES</t>
  </si>
  <si>
    <t>PRON-DPM-2022-09-29-2023-T2-SUB_DES</t>
  </si>
  <si>
    <t>PRON-DPM-2022-09-29-2023-T3-INPC</t>
  </si>
  <si>
    <t>PRON-DPM-2022-09-29-2023-T3-SUB</t>
  </si>
  <si>
    <t>PRON-DPM-2022-09-29-2023-T3-INPC_DES</t>
  </si>
  <si>
    <t>PRON-DPM-2022-09-29-2023-T3-SUB_DES</t>
  </si>
  <si>
    <t>PRON-DPM-2022-09-29-2023-T4-INPC</t>
  </si>
  <si>
    <t>PRON-DPM-2022-09-29-2023-T4-SUB</t>
  </si>
  <si>
    <t>PRON-DPM-2022-09-29-2023-T4-INPC_DES</t>
  </si>
  <si>
    <t>PRON-DPM-2022-09-29-2023-T4-SUB_DES</t>
  </si>
  <si>
    <t>PRON-DPM-2022-09-29-2024-T1-INPC</t>
  </si>
  <si>
    <t>PRON-DPM-2022-09-29-2024-T1-SUB</t>
  </si>
  <si>
    <t>PRON-DPM-2022-09-29-2024-T1-INPC_DES</t>
  </si>
  <si>
    <t>PRON-DPM-2022-09-29-2024-T1-SUB_DES</t>
  </si>
  <si>
    <t>PRON-DPM-2022-09-29-2024-T2-INPC</t>
  </si>
  <si>
    <t>PRON-DPM-2022-09-29-2024-T2-SUB</t>
  </si>
  <si>
    <t>PRON-DPM-2022-09-29-2024-T2-INPC_DES</t>
  </si>
  <si>
    <t>PRON-DPM-2022-09-29-2024-T2-SUB_DES</t>
  </si>
  <si>
    <t>PRON-DPM-2022-09-29-2024-T3-INPC</t>
  </si>
  <si>
    <t>2024-T3</t>
  </si>
  <si>
    <t>PRON-DPM-2022-09-29-2024-T3-SUB</t>
  </si>
  <si>
    <t>PRON-DPM-2022-09-29-2024-T3-INPC_DES</t>
  </si>
  <si>
    <t>PRON-DPM-2022-09-29-2024-T3-SUB_DES</t>
  </si>
  <si>
    <t>PRON-DPM-2022-11-10-2021-T3-INPC</t>
  </si>
  <si>
    <t>PRON-DPM-2022-11-10-2021-T3-SUB</t>
  </si>
  <si>
    <t>PRON-DPM-2022-11-10-2021-T3-INPC_DES</t>
  </si>
  <si>
    <t>PRON-DPM-2022-11-10-2021-T3-SUB_DES</t>
  </si>
  <si>
    <t>PRON-DPM-2022-11-10-2021-T4-INPC</t>
  </si>
  <si>
    <t>PRON-DPM-2022-11-10-2021-T4-SUB</t>
  </si>
  <si>
    <t>PRON-DPM-2022-11-10-2021-T4-INPC_DES</t>
  </si>
  <si>
    <t>PRON-DPM-2022-11-10-2021-T4-SUB_DES</t>
  </si>
  <si>
    <t>PRON-DPM-2022-11-10-2022-T1-INPC</t>
  </si>
  <si>
    <t>PRON-DPM-2022-11-10-2022-T1-SUB</t>
  </si>
  <si>
    <t>PRON-DPM-2022-11-10-2022-T1-INPC_DES</t>
  </si>
  <si>
    <t>PRON-DPM-2022-11-10-2022-T1-SUB_DES</t>
  </si>
  <si>
    <t>PRON-DPM-2022-11-10-2022-T2-INPC</t>
  </si>
  <si>
    <t>PRON-DPM-2022-11-10-2022-T2-SUB</t>
  </si>
  <si>
    <t>PRON-DPM-2022-11-10-2022-T2-INPC_DES</t>
  </si>
  <si>
    <t>PRON-DPM-2022-11-10-2022-T2-SUB_DES</t>
  </si>
  <si>
    <t>PRON-DPM-2022-11-10-2022-T3-INPC</t>
  </si>
  <si>
    <t>PRON-DPM-2022-11-10-2022-T3-SUB</t>
  </si>
  <si>
    <t>PRON-DPM-2022-11-10-2022-T3-INPC_DES</t>
  </si>
  <si>
    <t>PRON-DPM-2022-11-10-2022-T3-SUB_DES</t>
  </si>
  <si>
    <t>PRON-DPM-2022-11-10-2022-T4-INPC</t>
  </si>
  <si>
    <t>PRON-DPM-2022-11-10-2022-T4-SUB</t>
  </si>
  <si>
    <t>PRON-DPM-2022-11-10-2022-T4-INPC_DES</t>
  </si>
  <si>
    <t>PRON-DPM-2022-11-10-2022-T4-SUB_DES</t>
  </si>
  <si>
    <t>PRON-DPM-2022-11-10-2023-T1-INPC</t>
  </si>
  <si>
    <t>PRON-DPM-2022-11-10-2023-T1-SUB</t>
  </si>
  <si>
    <t>PRON-DPM-2022-11-10-2023-T1-INPC_DES</t>
  </si>
  <si>
    <t>PRON-DPM-2022-11-10-2023-T1-SUB_DES</t>
  </si>
  <si>
    <t>PRON-DPM-2022-11-10-2023-T2-INPC</t>
  </si>
  <si>
    <t>PRON-DPM-2022-11-10-2023-T2-SUB</t>
  </si>
  <si>
    <t>PRON-DPM-2022-11-10-2023-T2-INPC_DES</t>
  </si>
  <si>
    <t>PRON-DPM-2022-11-10-2023-T2-SUB_DES</t>
  </si>
  <si>
    <t>PRON-DPM-2022-11-10-2023-T3-INPC</t>
  </si>
  <si>
    <t>PRON-DPM-2022-11-10-2023-T3-SUB</t>
  </si>
  <si>
    <t>PRON-DPM-2022-11-10-2023-T3-INPC_DES</t>
  </si>
  <si>
    <t>PRON-DPM-2022-11-10-2023-T3-SUB_DES</t>
  </si>
  <si>
    <t>PRON-DPM-2022-11-10-2023-T4-INPC</t>
  </si>
  <si>
    <t>PRON-DPM-2022-11-10-2023-T4-SUB</t>
  </si>
  <si>
    <t>PRON-DPM-2022-11-10-2023-T4-INPC_DES</t>
  </si>
  <si>
    <t>PRON-DPM-2022-11-10-2023-T4-SUB_DES</t>
  </si>
  <si>
    <t>PRON-DPM-2022-11-10-2024-T1-INPC</t>
  </si>
  <si>
    <t>PRON-DPM-2022-11-10-2024-T1-SUB</t>
  </si>
  <si>
    <t>PRON-DPM-2022-11-10-2024-T1-INPC_DES</t>
  </si>
  <si>
    <t>PRON-DPM-2022-11-10-2024-T1-SUB_DES</t>
  </si>
  <si>
    <t>PRON-DPM-2022-11-10-2024-T2-INPC</t>
  </si>
  <si>
    <t>PRON-DPM-2022-11-10-2024-T2-SUB</t>
  </si>
  <si>
    <t>PRON-DPM-2022-11-10-2024-T2-INPC_DES</t>
  </si>
  <si>
    <t>PRON-DPM-2022-11-10-2024-T2-SUB_DES</t>
  </si>
  <si>
    <t>PRON-DPM-2022-11-10-2024-T3-INPC</t>
  </si>
  <si>
    <t>PRON-DPM-2022-11-10-2024-T3-SUB</t>
  </si>
  <si>
    <t>PRON-DPM-2022-11-10-2024-T3-INPC_DES</t>
  </si>
  <si>
    <t>PRON-DPM-2022-11-10-2024-T3-SUB_DES</t>
  </si>
  <si>
    <t>PRON-DPM-2022-12-15-2021-T4-INPC</t>
  </si>
  <si>
    <t>PRON-DPM-2022-12-15-2021-T4-SUB</t>
  </si>
  <si>
    <t>PRON-DPM-2022-12-15-2021-T4-INPC_DES</t>
  </si>
  <si>
    <t>PRON-DPM-2022-12-15-2021-T4-SUB_DES</t>
  </si>
  <si>
    <t>PRON-DPM-2022-12-15-2022-T1-INPC</t>
  </si>
  <si>
    <t>PRON-DPM-2022-12-15-2022-T1-SUB</t>
  </si>
  <si>
    <t>PRON-DPM-2022-12-15-2022-T1-INPC_DES</t>
  </si>
  <si>
    <t>PRON-DPM-2022-12-15-2022-T1-SUB_DES</t>
  </si>
  <si>
    <t>PRON-DPM-2022-12-15-2022-T2-INPC</t>
  </si>
  <si>
    <t>PRON-DPM-2022-12-15-2022-T2-SUB</t>
  </si>
  <si>
    <t>PRON-DPM-2022-12-15-2022-T2-INPC_DES</t>
  </si>
  <si>
    <t>PRON-DPM-2022-12-15-2022-T2-SUB_DES</t>
  </si>
  <si>
    <t>PRON-DPM-2022-12-15-2022-T3-INPC</t>
  </si>
  <si>
    <t>PRON-DPM-2022-12-15-2022-T3-SUB</t>
  </si>
  <si>
    <t>PRON-DPM-2022-12-15-2022-T3-INPC_DES</t>
  </si>
  <si>
    <t>PRON-DPM-2022-12-15-2022-T3-SUB_DES</t>
  </si>
  <si>
    <t>PRON-DPM-2022-12-15-2022-T4-INPC</t>
  </si>
  <si>
    <t>PRON-DPM-2022-12-15-2022-T4-SUB</t>
  </si>
  <si>
    <t>PRON-DPM-2022-12-15-2022-T4-INPC_DES</t>
  </si>
  <si>
    <t>PRON-DPM-2022-12-15-2022-T4-SUB_DES</t>
  </si>
  <si>
    <t>PRON-DPM-2022-12-15-2023-T1-INPC</t>
  </si>
  <si>
    <t>PRON-DPM-2022-12-15-2023-T1-SUB</t>
  </si>
  <si>
    <t>PRON-DPM-2022-12-15-2023-T1-INPC_DES</t>
  </si>
  <si>
    <t>PRON-DPM-2022-12-15-2023-T1-SUB_DES</t>
  </si>
  <si>
    <t>PRON-DPM-2022-12-15-2023-T2-INPC</t>
  </si>
  <si>
    <t>PRON-DPM-2022-12-15-2023-T2-SUB</t>
  </si>
  <si>
    <t>PRON-DPM-2022-12-15-2023-T2-INPC_DES</t>
  </si>
  <si>
    <t>PRON-DPM-2022-12-15-2023-T2-SUB_DES</t>
  </si>
  <si>
    <t>PRON-DPM-2022-12-15-2023-T3-INPC</t>
  </si>
  <si>
    <t>PRON-DPM-2022-12-15-2023-T3-SUB</t>
  </si>
  <si>
    <t>PRON-DPM-2022-12-15-2023-T3-INPC_DES</t>
  </si>
  <si>
    <t>PRON-DPM-2022-12-15-2023-T3-SUB_DES</t>
  </si>
  <si>
    <t>PRON-DPM-2022-12-15-2023-T4-INPC</t>
  </si>
  <si>
    <t>PRON-DPM-2022-12-15-2023-T4-SUB</t>
  </si>
  <si>
    <t>PRON-DPM-2022-12-15-2023-T4-INPC_DES</t>
  </si>
  <si>
    <t>PRON-DPM-2022-12-15-2023-T4-SUB_DES</t>
  </si>
  <si>
    <t>PRON-DPM-2022-12-15-2024-T1-INPC</t>
  </si>
  <si>
    <t>PRON-DPM-2022-12-15-2024-T1-SUB</t>
  </si>
  <si>
    <t>PRON-DPM-2022-12-15-2024-T1-INPC_DES</t>
  </si>
  <si>
    <t>PRON-DPM-2022-12-15-2024-T1-SUB_DES</t>
  </si>
  <si>
    <t>PRON-DPM-2022-12-15-2024-T2-INPC</t>
  </si>
  <si>
    <t>PRON-DPM-2022-12-15-2024-T2-SUB</t>
  </si>
  <si>
    <t>PRON-DPM-2022-12-15-2024-T2-INPC_DES</t>
  </si>
  <si>
    <t>PRON-DPM-2022-12-15-2024-T2-SUB_DES</t>
  </si>
  <si>
    <t>PRON-DPM-2022-12-15-2024-T3-INPC</t>
  </si>
  <si>
    <t>PRON-DPM-2022-12-15-2024-T3-SUB</t>
  </si>
  <si>
    <t>PRON-DPM-2022-12-15-2024-T3-INPC_DES</t>
  </si>
  <si>
    <t>PRON-DPM-2022-12-15-2024-T3-SUB_DES</t>
  </si>
  <si>
    <t>PRON-DPM-2022-12-15-2024-T4-INPC</t>
  </si>
  <si>
    <t>2024-T4</t>
  </si>
  <si>
    <t>PRON-DPM-2022-12-15-2024-T4-SUB</t>
  </si>
  <si>
    <t>PRON-DPM-2022-12-15-2024-T4-INPC_DES</t>
  </si>
  <si>
    <t>PRON-DPM-2022-12-15-2024-T4-SUB_DES</t>
  </si>
  <si>
    <t>PRON-DPM-2023-02-09-2022-T1-INPC</t>
  </si>
  <si>
    <t>PRON-DPM-2023-02-09-2022-T1-SUB</t>
  </si>
  <si>
    <t>PRON-DPM-2023-02-09-2022-T1-INPC_DES</t>
  </si>
  <si>
    <t>PRON-DPM-2023-02-09-2022-T1-SUB_DES</t>
  </si>
  <si>
    <t>PRON-DPM-2023-02-09-2022-T2-INPC</t>
  </si>
  <si>
    <t>PRON-DPM-2023-02-09-2022-T2-SUB</t>
  </si>
  <si>
    <t>PRON-DPM-2023-02-09-2022-T2-INPC_DES</t>
  </si>
  <si>
    <t>PRON-DPM-2023-02-09-2022-T2-SUB_DES</t>
  </si>
  <si>
    <t>PRON-DPM-2023-02-09-2022-T3-INPC</t>
  </si>
  <si>
    <t>PRON-DPM-2023-02-09-2022-T3-SUB</t>
  </si>
  <si>
    <t>PRON-DPM-2023-02-09-2022-T3-INPC_DES</t>
  </si>
  <si>
    <t>PRON-DPM-2023-02-09-2022-T3-SUB_DES</t>
  </si>
  <si>
    <t>PRON-DPM-2023-02-09-2022-T4-INPC</t>
  </si>
  <si>
    <t>PRON-DPM-2023-02-09-2022-T4-SUB</t>
  </si>
  <si>
    <t>PRON-DPM-2023-02-09-2022-T4-INPC_DES</t>
  </si>
  <si>
    <t>PRON-DPM-2023-02-09-2022-T4-SUB_DES</t>
  </si>
  <si>
    <t>PRON-DPM-2023-02-09-2023-T1-INPC</t>
  </si>
  <si>
    <t>PRON-DPM-2023-02-09-2023-T1-SUB</t>
  </si>
  <si>
    <t>PRON-DPM-2023-02-09-2023-T1-INPC_DES</t>
  </si>
  <si>
    <t>PRON-DPM-2023-02-09-2023-T1-SUB_DES</t>
  </si>
  <si>
    <t>PRON-DPM-2023-02-09-2023-T2-INPC</t>
  </si>
  <si>
    <t>PRON-DPM-2023-02-09-2023-T2-SUB</t>
  </si>
  <si>
    <t>PRON-DPM-2023-02-09-2023-T2-INPC_DES</t>
  </si>
  <si>
    <t>PRON-DPM-2023-02-09-2023-T2-SUB_DES</t>
  </si>
  <si>
    <t>PRON-DPM-2023-02-09-2023-T3-INPC</t>
  </si>
  <si>
    <t>PRON-DPM-2023-02-09-2023-T3-SUB</t>
  </si>
  <si>
    <t>PRON-DPM-2023-02-09-2023-T3-INPC_DES</t>
  </si>
  <si>
    <t>PRON-DPM-2023-02-09-2023-T3-SUB_DES</t>
  </si>
  <si>
    <t>PRON-DPM-2023-02-09-2023-T4-INPC</t>
  </si>
  <si>
    <t>PRON-DPM-2023-02-09-2023-T4-SUB</t>
  </si>
  <si>
    <t>PRON-DPM-2023-02-09-2023-T4-INPC_DES</t>
  </si>
  <si>
    <t>PRON-DPM-2023-02-09-2023-T4-SUB_DES</t>
  </si>
  <si>
    <t>PRON-DPM-2023-02-09-2024-T1-INPC</t>
  </si>
  <si>
    <t>PRON-DPM-2023-02-09-2024-T1-SUB</t>
  </si>
  <si>
    <t>PRON-DPM-2023-02-09-2024-T1-INPC_DES</t>
  </si>
  <si>
    <t>PRON-DPM-2023-02-09-2024-T1-SUB_DES</t>
  </si>
  <si>
    <t>PRON-DPM-2023-02-09-2024-T2-INPC</t>
  </si>
  <si>
    <t>PRON-DPM-2023-02-09-2024-T2-SUB</t>
  </si>
  <si>
    <t>PRON-DPM-2023-02-09-2024-T2-INPC_DES</t>
  </si>
  <si>
    <t>PRON-DPM-2023-02-09-2024-T2-SUB_DES</t>
  </si>
  <si>
    <t>PRON-DPM-2023-02-09-2024-T3-INPC</t>
  </si>
  <si>
    <t>PRON-DPM-2023-02-09-2024-T3-SUB</t>
  </si>
  <si>
    <t>PRON-DPM-2023-02-09-2024-T3-INPC_DES</t>
  </si>
  <si>
    <t>PRON-DPM-2023-02-09-2024-T3-SUB_DES</t>
  </si>
  <si>
    <t>PRON-DPM-2023-02-09-2024-T4-INPC</t>
  </si>
  <si>
    <t>PRON-DPM-2023-02-09-2024-T4-SUB</t>
  </si>
  <si>
    <t>PRON-DPM-2023-02-09-2024-T4-INPC_DES</t>
  </si>
  <si>
    <t>PRON-DPM-2023-02-09-2024-T4-SUB_DES</t>
  </si>
  <si>
    <t>PRON-DPM-2023-03-30-2022-T1-INPC</t>
  </si>
  <si>
    <t>PRON-DPM-2023-03-30-2022-T1-SUB</t>
  </si>
  <si>
    <t>PRON-DPM-2023-03-30-2022-T1-INPC_DES</t>
  </si>
  <si>
    <t>PRON-DPM-2023-03-30-2022-T1-SUB_DES</t>
  </si>
  <si>
    <t>PRON-DPM-2023-03-30-2022-T2-INPC</t>
  </si>
  <si>
    <t>PRON-DPM-2023-03-30-2022-T2-SUB</t>
  </si>
  <si>
    <t>PRON-DPM-2023-03-30-2022-T2-INPC_DES</t>
  </si>
  <si>
    <t>PRON-DPM-2023-03-30-2022-T2-SUB_DES</t>
  </si>
  <si>
    <t>PRON-DPM-2023-03-30-2022-T3-INPC</t>
  </si>
  <si>
    <t>PRON-DPM-2023-03-30-2022-T3-SUB</t>
  </si>
  <si>
    <t>PRON-DPM-2023-03-30-2022-T3-INPC_DES</t>
  </si>
  <si>
    <t>PRON-DPM-2023-03-30-2022-T3-SUB_DES</t>
  </si>
  <si>
    <t>PRON-DPM-2023-03-30-2022-T4-INPC</t>
  </si>
  <si>
    <t>PRON-DPM-2023-03-30-2022-T4-SUB</t>
  </si>
  <si>
    <t>PRON-DPM-2023-03-30-2022-T4-INPC_DES</t>
  </si>
  <si>
    <t>PRON-DPM-2023-03-30-2022-T4-SUB_DES</t>
  </si>
  <si>
    <t>PRON-DPM-2023-03-30-2023-T1-INPC</t>
  </si>
  <si>
    <t>PRON-DPM-2023-03-30-2023-T1-SUB</t>
  </si>
  <si>
    <t>PRON-DPM-2023-03-30-2023-T1-INPC_DES</t>
  </si>
  <si>
    <t>PRON-DPM-2023-03-30-2023-T1-SUB_DES</t>
  </si>
  <si>
    <t>PRON-DPM-2023-03-30-2023-T2-INPC</t>
  </si>
  <si>
    <t>PRON-DPM-2023-03-30-2023-T2-SUB</t>
  </si>
  <si>
    <t>PRON-DPM-2023-03-30-2023-T2-INPC_DES</t>
  </si>
  <si>
    <t>PRON-DPM-2023-03-30-2023-T2-SUB_DES</t>
  </si>
  <si>
    <t>PRON-DPM-2023-03-30-2023-T3-INPC</t>
  </si>
  <si>
    <t>PRON-DPM-2023-03-30-2023-T3-SUB</t>
  </si>
  <si>
    <t>PRON-DPM-2023-03-30-2023-T3-INPC_DES</t>
  </si>
  <si>
    <t>PRON-DPM-2023-03-30-2023-T3-SUB_DES</t>
  </si>
  <si>
    <t>PRON-DPM-2023-03-30-2023-T4-INPC</t>
  </si>
  <si>
    <t>PRON-DPM-2023-03-30-2023-T4-SUB</t>
  </si>
  <si>
    <t>PRON-DPM-2023-03-30-2023-T4-INPC_DES</t>
  </si>
  <si>
    <t>PRON-DPM-2023-03-30-2023-T4-SUB_DES</t>
  </si>
  <si>
    <t>PRON-DPM-2023-03-30-2024-T1-INPC</t>
  </si>
  <si>
    <t>PRON-DPM-2023-03-30-2024-T1-SUB</t>
  </si>
  <si>
    <t>PRON-DPM-2023-03-30-2024-T1-INPC_DES</t>
  </si>
  <si>
    <t>PRON-DPM-2023-03-30-2024-T1-SUB_DES</t>
  </si>
  <si>
    <t>PRON-DPM-2023-03-30-2024-T2-INPC</t>
  </si>
  <si>
    <t>PRON-DPM-2023-03-30-2024-T2-SUB</t>
  </si>
  <si>
    <t>PRON-DPM-2023-03-30-2024-T2-INPC_DES</t>
  </si>
  <si>
    <t>PRON-DPM-2023-03-30-2024-T2-SUB_DES</t>
  </si>
  <si>
    <t>PRON-DPM-2023-03-30-2024-T3-INPC</t>
  </si>
  <si>
    <t>PRON-DPM-2023-03-30-2024-T3-SUB</t>
  </si>
  <si>
    <t>PRON-DPM-2023-03-30-2024-T3-INPC_DES</t>
  </si>
  <si>
    <t>PRON-DPM-2023-03-30-2024-T3-SUB_DES</t>
  </si>
  <si>
    <t>PRON-DPM-2023-03-30-2024-T4-INPC</t>
  </si>
  <si>
    <t>PRON-DPM-2023-03-30-2024-T4-SUB</t>
  </si>
  <si>
    <t>PRON-DPM-2023-03-30-2024-T4-INPC_DES</t>
  </si>
  <si>
    <t>PRON-DPM-2023-03-30-2024-T4-SUB_DES</t>
  </si>
  <si>
    <t>PRON-DPM-2023-03-30-2025-T1-INPC</t>
  </si>
  <si>
    <t>2025-T1</t>
  </si>
  <si>
    <t>PRON-DPM-2023-03-30-2025-T1-SUB</t>
  </si>
  <si>
    <t>PRON-DPM-2023-03-30-2025-T1-INPC_DES</t>
  </si>
  <si>
    <t>PRON-DPM-2023-03-30-2025-T1-SUB_DES</t>
  </si>
  <si>
    <t>PRON-DPM-2023-05-18-2022-T1-INPC</t>
  </si>
  <si>
    <t>PRON-DPM-2023-05-18-2022-T1-SUB</t>
  </si>
  <si>
    <t>PRON-DPM-2023-05-18-2022-T1-INPC_DES</t>
  </si>
  <si>
    <t>PRON-DPM-2023-05-18-2022-T1-SUB_DES</t>
  </si>
  <si>
    <t>PRON-DPM-2023-05-18-2022-T2-INPC</t>
  </si>
  <si>
    <t>PRON-DPM-2023-05-18-2022-T2-SUB</t>
  </si>
  <si>
    <t>PRON-DPM-2023-05-18-2022-T2-INPC_DES</t>
  </si>
  <si>
    <t>PRON-DPM-2023-05-18-2022-T2-SUB_DES</t>
  </si>
  <si>
    <t>PRON-DPM-2023-05-18-2022-T3-INPC</t>
  </si>
  <si>
    <t>PRON-DPM-2023-05-18-2022-T3-SUB</t>
  </si>
  <si>
    <t>PRON-DPM-2023-05-18-2022-T3-INPC_DES</t>
  </si>
  <si>
    <t>PRON-DPM-2023-05-18-2022-T3-SUB_DES</t>
  </si>
  <si>
    <t>PRON-DPM-2023-05-18-2022-T4-INPC</t>
  </si>
  <si>
    <t>PRON-DPM-2023-05-18-2022-T4-SUB</t>
  </si>
  <si>
    <t>PRON-DPM-2023-05-18-2022-T4-INPC_DES</t>
  </si>
  <si>
    <t>PRON-DPM-2023-05-18-2022-T4-SUB_DES</t>
  </si>
  <si>
    <t>PRON-DPM-2023-05-18-2023-T1-INPC</t>
  </si>
  <si>
    <t>PRON-DPM-2023-05-18-2023-T1-SUB</t>
  </si>
  <si>
    <t>PRON-DPM-2023-05-18-2023-T1-INPC_DES</t>
  </si>
  <si>
    <t>PRON-DPM-2023-05-18-2023-T1-SUB_DES</t>
  </si>
  <si>
    <t>PRON-DPM-2023-05-18-2023-T2-INPC</t>
  </si>
  <si>
    <t>PRON-DPM-2023-05-18-2023-T2-SUB</t>
  </si>
  <si>
    <t>PRON-DPM-2023-05-18-2023-T2-INPC_DES</t>
  </si>
  <si>
    <t>PRON-DPM-2023-05-18-2023-T2-SUB_DES</t>
  </si>
  <si>
    <t>PRON-DPM-2023-05-18-2023-T3-INPC</t>
  </si>
  <si>
    <t>PRON-DPM-2023-05-18-2023-T3-SUB</t>
  </si>
  <si>
    <t>PRON-DPM-2023-05-18-2023-T3-INPC_DES</t>
  </si>
  <si>
    <t>PRON-DPM-2023-05-18-2023-T3-SUB_DES</t>
  </si>
  <si>
    <t>PRON-DPM-2023-05-18-2023-T4-INPC</t>
  </si>
  <si>
    <t>PRON-DPM-2023-05-18-2023-T4-SUB</t>
  </si>
  <si>
    <t>PRON-DPM-2023-05-18-2023-T4-INPC_DES</t>
  </si>
  <si>
    <t>PRON-DPM-2023-05-18-2023-T4-SUB_DES</t>
  </si>
  <si>
    <t>PRON-DPM-2023-05-18-2024-T1-INPC</t>
  </si>
  <si>
    <t>PRON-DPM-2023-05-18-2024-T1-SUB</t>
  </si>
  <si>
    <t>PRON-DPM-2023-05-18-2024-T1-INPC_DES</t>
  </si>
  <si>
    <t>PRON-DPM-2023-05-18-2024-T1-SUB_DES</t>
  </si>
  <si>
    <t>PRON-DPM-2023-05-18-2024-T2-INPC</t>
  </si>
  <si>
    <t>PRON-DPM-2023-05-18-2024-T2-SUB</t>
  </si>
  <si>
    <t>PRON-DPM-2023-05-18-2024-T2-INPC_DES</t>
  </si>
  <si>
    <t>PRON-DPM-2023-05-18-2024-T2-SUB_DES</t>
  </si>
  <si>
    <t>PRON-DPM-2023-05-18-2024-T3-INPC</t>
  </si>
  <si>
    <t>PRON-DPM-2023-05-18-2024-T3-SUB</t>
  </si>
  <si>
    <t>PRON-DPM-2023-05-18-2024-T3-INPC_DES</t>
  </si>
  <si>
    <t>PRON-DPM-2023-05-18-2024-T3-SUB_DES</t>
  </si>
  <si>
    <t>PRON-DPM-2023-05-18-2024-T4-INPC</t>
  </si>
  <si>
    <t>PRON-DPM-2023-05-18-2024-T4-SUB</t>
  </si>
  <si>
    <t>PRON-DPM-2023-05-18-2024-T4-INPC_DES</t>
  </si>
  <si>
    <t>PRON-DPM-2023-05-18-2024-T4-SUB_DES</t>
  </si>
  <si>
    <t>PRON-DPM-2023-05-18-2025-T1-INPC</t>
  </si>
  <si>
    <t>PRON-DPM-2023-05-18-2025-T1-SUB</t>
  </si>
  <si>
    <t>PRON-DPM-2023-05-18-2025-T1-INPC_DES</t>
  </si>
  <si>
    <t>PRON-DPM-2023-05-18-2025-T1-SUB_DES</t>
  </si>
  <si>
    <t>PRON-DPM-2023-06-22-2022-T2-INPC</t>
  </si>
  <si>
    <t>PRON-DPM-2023-06-22-2022-T2-SUB</t>
  </si>
  <si>
    <t>PRON-DPM-2023-06-22-2022-T2-INPC_DES</t>
  </si>
  <si>
    <t>PRON-DPM-2023-06-22-2022-T2-SUB_DES</t>
  </si>
  <si>
    <t>PRON-DPM-2023-06-22-2022-T3-INPC</t>
  </si>
  <si>
    <t>PRON-DPM-2023-06-22-2022-T3-SUB</t>
  </si>
  <si>
    <t>PRON-DPM-2023-06-22-2022-T3-INPC_DES</t>
  </si>
  <si>
    <t>PRON-DPM-2023-06-22-2022-T3-SUB_DES</t>
  </si>
  <si>
    <t>PRON-DPM-2023-06-22-2022-T4-INPC</t>
  </si>
  <si>
    <t>PRON-DPM-2023-06-22-2022-T4-SUB</t>
  </si>
  <si>
    <t>PRON-DPM-2023-06-22-2022-T4-INPC_DES</t>
  </si>
  <si>
    <t>PRON-DPM-2023-06-22-2022-T4-SUB_DES</t>
  </si>
  <si>
    <t>PRON-DPM-2023-06-22-2023-T1-INPC</t>
  </si>
  <si>
    <t>PRON-DPM-2023-06-22-2023-T1-SUB</t>
  </si>
  <si>
    <t>PRON-DPM-2023-06-22-2023-T1-INPC_DES</t>
  </si>
  <si>
    <t>PRON-DPM-2023-06-22-2023-T1-SUB_DES</t>
  </si>
  <si>
    <t>PRON-DPM-2023-06-22-2023-T2-INPC</t>
  </si>
  <si>
    <t>PRON-DPM-2023-06-22-2023-T2-SUB</t>
  </si>
  <si>
    <t>PRON-DPM-2023-06-22-2023-T2-INPC_DES</t>
  </si>
  <si>
    <t>PRON-DPM-2023-06-22-2023-T2-SUB_DES</t>
  </si>
  <si>
    <t>PRON-DPM-2023-06-22-2023-T3-INPC</t>
  </si>
  <si>
    <t>PRON-DPM-2023-06-22-2023-T3-SUB</t>
  </si>
  <si>
    <t>PRON-DPM-2023-06-22-2023-T3-INPC_DES</t>
  </si>
  <si>
    <t>PRON-DPM-2023-06-22-2023-T3-SUB_DES</t>
  </si>
  <si>
    <t>PRON-DPM-2023-06-22-2023-T4-INPC</t>
  </si>
  <si>
    <t>PRON-DPM-2023-06-22-2023-T4-SUB</t>
  </si>
  <si>
    <t>PRON-DPM-2023-06-22-2023-T4-INPC_DES</t>
  </si>
  <si>
    <t>PRON-DPM-2023-06-22-2023-T4-SUB_DES</t>
  </si>
  <si>
    <t>PRON-DPM-2023-06-22-2024-T1-INPC</t>
  </si>
  <si>
    <t>PRON-DPM-2023-06-22-2024-T1-SUB</t>
  </si>
  <si>
    <t>PRON-DPM-2023-06-22-2024-T1-INPC_DES</t>
  </si>
  <si>
    <t>PRON-DPM-2023-06-22-2024-T1-SUB_DES</t>
  </si>
  <si>
    <t>PRON-DPM-2023-06-22-2024-T2-INPC</t>
  </si>
  <si>
    <t>PRON-DPM-2023-06-22-2024-T2-SUB</t>
  </si>
  <si>
    <t>PRON-DPM-2023-06-22-2024-T2-INPC_DES</t>
  </si>
  <si>
    <t>PRON-DPM-2023-06-22-2024-T2-SUB_DES</t>
  </si>
  <si>
    <t>PRON-DPM-2023-06-22-2024-T3-INPC</t>
  </si>
  <si>
    <t>PRON-DPM-2023-06-22-2024-T3-SUB</t>
  </si>
  <si>
    <t>PRON-DPM-2023-06-22-2024-T3-INPC_DES</t>
  </si>
  <si>
    <t>PRON-DPM-2023-06-22-2024-T3-SUB_DES</t>
  </si>
  <si>
    <t>PRON-DPM-2023-06-22-2024-T4-INPC</t>
  </si>
  <si>
    <t>PRON-DPM-2023-06-22-2024-T4-SUB</t>
  </si>
  <si>
    <t>PRON-DPM-2023-06-22-2024-T4-INPC_DES</t>
  </si>
  <si>
    <t>PRON-DPM-2023-06-22-2024-T4-SUB_DES</t>
  </si>
  <si>
    <t>PRON-DPM-2023-06-22-2025-T1-INPC</t>
  </si>
  <si>
    <t>PRON-DPM-2023-06-22-2025-T1-SUB</t>
  </si>
  <si>
    <t>PRON-DPM-2023-06-22-2025-T1-INPC_DES</t>
  </si>
  <si>
    <t>PRON-DPM-2023-06-22-2025-T1-SUB_DES</t>
  </si>
  <si>
    <t>PRON-DPM-2023-06-22-2025-T2-INPC</t>
  </si>
  <si>
    <t>2025-T2</t>
  </si>
  <si>
    <t>PRON-DPM-2023-06-22-2025-T2-SUB</t>
  </si>
  <si>
    <t>PRON-DPM-2023-06-22-2025-T2-INPC_DES</t>
  </si>
  <si>
    <t>PRON-DPM-2023-06-22-2025-T2-SUB_DES</t>
  </si>
  <si>
    <t>PRON-DPM-2023-08-10-2022-T2-INPC</t>
  </si>
  <si>
    <t>PRON-DPM-2023-08-10-2022-T2-SUB</t>
  </si>
  <si>
    <t>PRON-DPM-2023-08-10-2022-T2-INPC_DES</t>
  </si>
  <si>
    <t>PRON-DPM-2023-08-10-2022-T2-SUB_DES</t>
  </si>
  <si>
    <t>PRON-DPM-2023-08-10-2022-T3-INPC</t>
  </si>
  <si>
    <t>PRON-DPM-2023-08-10-2022-T3-SUB</t>
  </si>
  <si>
    <t>PRON-DPM-2023-08-10-2022-T3-INPC_DES</t>
  </si>
  <si>
    <t>PRON-DPM-2023-08-10-2022-T3-SUB_DES</t>
  </si>
  <si>
    <t>PRON-DPM-2023-08-10-2022-T4-INPC</t>
  </si>
  <si>
    <t>PRON-DPM-2023-08-10-2022-T4-SUB</t>
  </si>
  <si>
    <t>PRON-DPM-2023-08-10-2022-T4-INPC_DES</t>
  </si>
  <si>
    <t>PRON-DPM-2023-08-10-2022-T4-SUB_DES</t>
  </si>
  <si>
    <t>PRON-DPM-2023-08-10-2023-T1-INPC</t>
  </si>
  <si>
    <t>PRON-DPM-2023-08-10-2023-T1-SUB</t>
  </si>
  <si>
    <t>PRON-DPM-2023-08-10-2023-T1-INPC_DES</t>
  </si>
  <si>
    <t>PRON-DPM-2023-08-10-2023-T1-SUB_DES</t>
  </si>
  <si>
    <t>PRON-DPM-2023-08-10-2023-T2-INPC</t>
  </si>
  <si>
    <t>PRON-DPM-2023-08-10-2023-T2-SUB</t>
  </si>
  <si>
    <t>PRON-DPM-2023-08-10-2023-T2-INPC_DES</t>
  </si>
  <si>
    <t>PRON-DPM-2023-08-10-2023-T2-SUB_DES</t>
  </si>
  <si>
    <t>PRON-DPM-2023-08-10-2023-T3-INPC</t>
  </si>
  <si>
    <t>PRON-DPM-2023-08-10-2023-T3-SUB</t>
  </si>
  <si>
    <t>PRON-DPM-2023-08-10-2023-T3-INPC_DES</t>
  </si>
  <si>
    <t>PRON-DPM-2023-08-10-2023-T3-SUB_DES</t>
  </si>
  <si>
    <t>PRON-DPM-2023-08-10-2023-T4-INPC</t>
  </si>
  <si>
    <t>PRON-DPM-2023-08-10-2023-T4-SUB</t>
  </si>
  <si>
    <t>PRON-DPM-2023-08-10-2023-T4-INPC_DES</t>
  </si>
  <si>
    <t>PRON-DPM-2023-08-10-2023-T4-SUB_DES</t>
  </si>
  <si>
    <t>PRON-DPM-2023-08-10-2024-T1-INPC</t>
  </si>
  <si>
    <t>PRON-DPM-2023-08-10-2024-T1-SUB</t>
  </si>
  <si>
    <t>PRON-DPM-2023-08-10-2024-T1-INPC_DES</t>
  </si>
  <si>
    <t>PRON-DPM-2023-08-10-2024-T1-SUB_DES</t>
  </si>
  <si>
    <t>PRON-DPM-2023-08-10-2024-T2-INPC</t>
  </si>
  <si>
    <t>PRON-DPM-2023-08-10-2024-T2-SUB</t>
  </si>
  <si>
    <t>PRON-DPM-2023-08-10-2024-T2-INPC_DES</t>
  </si>
  <si>
    <t>PRON-DPM-2023-08-10-2024-T2-SUB_DES</t>
  </si>
  <si>
    <t>PRON-DPM-2023-08-10-2024-T3-INPC</t>
  </si>
  <si>
    <t>PRON-DPM-2023-08-10-2024-T3-SUB</t>
  </si>
  <si>
    <t>PRON-DPM-2023-08-10-2024-T3-INPC_DES</t>
  </si>
  <si>
    <t>PRON-DPM-2023-08-10-2024-T3-SUB_DES</t>
  </si>
  <si>
    <t>PRON-DPM-2023-08-10-2024-T4-INPC</t>
  </si>
  <si>
    <t>PRON-DPM-2023-08-10-2024-T4-SUB</t>
  </si>
  <si>
    <t>PRON-DPM-2023-08-10-2024-T4-INPC_DES</t>
  </si>
  <si>
    <t>PRON-DPM-2023-08-10-2024-T4-SUB_DES</t>
  </si>
  <si>
    <t>PRON-DPM-2023-08-10-2025-T1-INPC</t>
  </si>
  <si>
    <t>PRON-DPM-2023-08-10-2025-T1-SUB</t>
  </si>
  <si>
    <t>PRON-DPM-2023-08-10-2025-T1-INPC_DES</t>
  </si>
  <si>
    <t>PRON-DPM-2023-08-10-2025-T1-SUB_DES</t>
  </si>
  <si>
    <t>PRON-DPM-2023-08-10-2025-T2-INPC</t>
  </si>
  <si>
    <t>PRON-DPM-2023-08-10-2025-T2-SUB</t>
  </si>
  <si>
    <t>PRON-DPM-2023-08-10-2025-T2-INPC_DES</t>
  </si>
  <si>
    <t>PRON-DPM-2023-08-10-2025-T2-SUB_DES</t>
  </si>
  <si>
    <t>PRON-DPM-2023-09-28-2022-T3-INPC</t>
  </si>
  <si>
    <t>PRON-DPM-2023-09-28-2022-T3-SUB</t>
  </si>
  <si>
    <t>PRON-DPM-2023-09-28-2022-T3-INPC_DES</t>
  </si>
  <si>
    <t>PRON-DPM-2023-09-28-2022-T3-SUB_DES</t>
  </si>
  <si>
    <t>PRON-DPM-2023-09-28-2022-T4-INPC</t>
  </si>
  <si>
    <t>PRON-DPM-2023-09-28-2022-T4-SUB</t>
  </si>
  <si>
    <t>PRON-DPM-2023-09-28-2022-T4-INPC_DES</t>
  </si>
  <si>
    <t>PRON-DPM-2023-09-28-2022-T4-SUB_DES</t>
  </si>
  <si>
    <t>PRON-DPM-2023-09-28-2023-T1-INPC</t>
  </si>
  <si>
    <t>PRON-DPM-2023-09-28-2023-T1-SUB</t>
  </si>
  <si>
    <t>PRON-DPM-2023-09-28-2023-T1-INPC_DES</t>
  </si>
  <si>
    <t>PRON-DPM-2023-09-28-2023-T1-SUB_DES</t>
  </si>
  <si>
    <t>PRON-DPM-2023-09-28-2023-T2-INPC</t>
  </si>
  <si>
    <t>PRON-DPM-2023-09-28-2023-T2-SUB</t>
  </si>
  <si>
    <t>PRON-DPM-2023-09-28-2023-T2-INPC_DES</t>
  </si>
  <si>
    <t>PRON-DPM-2023-09-28-2023-T2-SUB_DES</t>
  </si>
  <si>
    <t>PRON-DPM-2023-09-28-2023-T3-INPC</t>
  </si>
  <si>
    <t>PRON-DPM-2023-09-28-2023-T3-SUB</t>
  </si>
  <si>
    <t>PRON-DPM-2023-09-28-2023-T3-INPC_DES</t>
  </si>
  <si>
    <t>PRON-DPM-2023-09-28-2023-T3-SUB_DES</t>
  </si>
  <si>
    <t>PRON-DPM-2023-09-28-2023-T4-INPC</t>
  </si>
  <si>
    <t>PRON-DPM-2023-09-28-2023-T4-SUB</t>
  </si>
  <si>
    <t>PRON-DPM-2023-09-28-2023-T4-INPC_DES</t>
  </si>
  <si>
    <t>PRON-DPM-2023-09-28-2023-T4-SUB_DES</t>
  </si>
  <si>
    <t>PRON-DPM-2023-09-28-2024-T1-INPC</t>
  </si>
  <si>
    <t>PRON-DPM-2023-09-28-2024-T1-SUB</t>
  </si>
  <si>
    <t>PRON-DPM-2023-09-28-2024-T1-INPC_DES</t>
  </si>
  <si>
    <t>PRON-DPM-2023-09-28-2024-T1-SUB_DES</t>
  </si>
  <si>
    <t>PRON-DPM-2023-09-28-2024-T2-INPC</t>
  </si>
  <si>
    <t>PRON-DPM-2023-09-28-2024-T2-SUB</t>
  </si>
  <si>
    <t>PRON-DPM-2023-09-28-2024-T2-INPC_DES</t>
  </si>
  <si>
    <t>PRON-DPM-2023-09-28-2024-T2-SUB_DES</t>
  </si>
  <si>
    <t>PRON-DPM-2023-09-28-2024-T3-INPC</t>
  </si>
  <si>
    <t>PRON-DPM-2023-09-28-2024-T3-SUB</t>
  </si>
  <si>
    <t>PRON-DPM-2023-09-28-2024-T3-INPC_DES</t>
  </si>
  <si>
    <t>PRON-DPM-2023-09-28-2024-T3-SUB_DES</t>
  </si>
  <si>
    <t>PRON-DPM-2023-09-28-2024-T4-INPC</t>
  </si>
  <si>
    <t>PRON-DPM-2023-09-28-2024-T4-SUB</t>
  </si>
  <si>
    <t>PRON-DPM-2023-09-28-2024-T4-INPC_DES</t>
  </si>
  <si>
    <t>PRON-DPM-2023-09-28-2024-T4-SUB_DES</t>
  </si>
  <si>
    <t>PRON-DPM-2023-09-28-2025-T1-INPC</t>
  </si>
  <si>
    <t>PRON-DPM-2023-09-28-2025-T1-SUB</t>
  </si>
  <si>
    <t>PRON-DPM-2023-09-28-2025-T1-INPC_DES</t>
  </si>
  <si>
    <t>PRON-DPM-2023-09-28-2025-T1-SUB_DES</t>
  </si>
  <si>
    <t>PRON-DPM-2023-09-28-2025-T2-INPC</t>
  </si>
  <si>
    <t>PRON-DPM-2023-09-28-2025-T2-SUB</t>
  </si>
  <si>
    <t>PRON-DPM-2023-09-28-2025-T2-INPC_DES</t>
  </si>
  <si>
    <t>PRON-DPM-2023-09-28-2025-T2-SUB_DES</t>
  </si>
  <si>
    <t>PRON-DPM-2023-09-28-2025-T3-INPC</t>
  </si>
  <si>
    <t>2025-T3</t>
  </si>
  <si>
    <t>PRON-DPM-2023-09-28-2025-T3-SUB</t>
  </si>
  <si>
    <t>PRON-DPM-2023-09-28-2025-T3-INPC_DES</t>
  </si>
  <si>
    <t>PRON-DPM-2023-09-28-2025-T3-SUB_DES</t>
  </si>
  <si>
    <t>PRON-DPM-2023-11-09-2022-T3-INPC</t>
  </si>
  <si>
    <t>PRON-DPM-2023-11-09-2022-T3-SUB</t>
  </si>
  <si>
    <t>PRON-DPM-2023-11-09-2022-T3-INPC_DES</t>
  </si>
  <si>
    <t>PRON-DPM-2023-11-09-2022-T3-SUB_DES</t>
  </si>
  <si>
    <t>PRON-DPM-2023-11-09-2022-T4-INPC</t>
  </si>
  <si>
    <t>PRON-DPM-2023-11-09-2022-T4-SUB</t>
  </si>
  <si>
    <t>PRON-DPM-2023-11-09-2022-T4-INPC_DES</t>
  </si>
  <si>
    <t>PRON-DPM-2023-11-09-2022-T4-SUB_DES</t>
  </si>
  <si>
    <t>PRON-DPM-2023-11-09-2023-T1-INPC</t>
  </si>
  <si>
    <t>PRON-DPM-2023-11-09-2023-T1-SUB</t>
  </si>
  <si>
    <t>PRON-DPM-2023-11-09-2023-T1-INPC_DES</t>
  </si>
  <si>
    <t>PRON-DPM-2023-11-09-2023-T1-SUB_DES</t>
  </si>
  <si>
    <t>PRON-DPM-2023-11-09-2023-T2-INPC</t>
  </si>
  <si>
    <t>PRON-DPM-2023-11-09-2023-T2-SUB</t>
  </si>
  <si>
    <t>PRON-DPM-2023-11-09-2023-T2-INPC_DES</t>
  </si>
  <si>
    <t>PRON-DPM-2023-11-09-2023-T2-SUB_DES</t>
  </si>
  <si>
    <t>PRON-DPM-2023-11-09-2023-T3-INPC</t>
  </si>
  <si>
    <t>PRON-DPM-2023-11-09-2023-T3-SUB</t>
  </si>
  <si>
    <t>PRON-DPM-2023-11-09-2023-T3-INPC_DES</t>
  </si>
  <si>
    <t>PRON-DPM-2023-11-09-2023-T3-SUB_DES</t>
  </si>
  <si>
    <t>PRON-DPM-2023-11-09-2023-T4-INPC</t>
  </si>
  <si>
    <t>PRON-DPM-2023-11-09-2023-T4-SUB</t>
  </si>
  <si>
    <t>PRON-DPM-2023-11-09-2023-T4-INPC_DES</t>
  </si>
  <si>
    <t>PRON-DPM-2023-11-09-2023-T4-SUB_DES</t>
  </si>
  <si>
    <t>PRON-DPM-2023-11-09-2024-T1-INPC</t>
  </si>
  <si>
    <t>PRON-DPM-2023-11-09-2024-T1-SUB</t>
  </si>
  <si>
    <t>PRON-DPM-2023-11-09-2024-T1-INPC_DES</t>
  </si>
  <si>
    <t>PRON-DPM-2023-11-09-2024-T1-SUB_DES</t>
  </si>
  <si>
    <t>PRON-DPM-2023-11-09-2024-T2-INPC</t>
  </si>
  <si>
    <t>PRON-DPM-2023-11-09-2024-T2-SUB</t>
  </si>
  <si>
    <t>PRON-DPM-2023-11-09-2024-T2-INPC_DES</t>
  </si>
  <si>
    <t>PRON-DPM-2023-11-09-2024-T2-SUB_DES</t>
  </si>
  <si>
    <t>PRON-DPM-2023-11-09-2024-T3-INPC</t>
  </si>
  <si>
    <t>PRON-DPM-2023-11-09-2024-T3-SUB</t>
  </si>
  <si>
    <t>PRON-DPM-2023-11-09-2024-T3-INPC_DES</t>
  </si>
  <si>
    <t>PRON-DPM-2023-11-09-2024-T3-SUB_DES</t>
  </si>
  <si>
    <t>PRON-DPM-2023-11-09-2024-T4-INPC</t>
  </si>
  <si>
    <t>PRON-DPM-2023-11-09-2024-T4-SUB</t>
  </si>
  <si>
    <t>PRON-DPM-2023-11-09-2024-T4-INPC_DES</t>
  </si>
  <si>
    <t>PRON-DPM-2023-11-09-2024-T4-SUB_DES</t>
  </si>
  <si>
    <t>PRON-DPM-2023-11-09-2025-T1-INPC</t>
  </si>
  <si>
    <t>PRON-DPM-2023-11-09-2025-T1-SUB</t>
  </si>
  <si>
    <t>PRON-DPM-2023-11-09-2025-T1-INPC_DES</t>
  </si>
  <si>
    <t>PRON-DPM-2023-11-09-2025-T1-SUB_DES</t>
  </si>
  <si>
    <t>PRON-DPM-2023-11-09-2025-T2-INPC</t>
  </si>
  <si>
    <t>PRON-DPM-2023-11-09-2025-T2-SUB</t>
  </si>
  <si>
    <t>PRON-DPM-2023-11-09-2025-T2-INPC_DES</t>
  </si>
  <si>
    <t>PRON-DPM-2023-11-09-2025-T2-SUB_DES</t>
  </si>
  <si>
    <t>PRON-DPM-2023-11-09-2025-T3-INPC</t>
  </si>
  <si>
    <t>PRON-DPM-2023-11-09-2025-T3-SUB</t>
  </si>
  <si>
    <t>PRON-DPM-2023-11-09-2025-T3-INPC_DES</t>
  </si>
  <si>
    <t>PRON-DPM-2023-11-09-2025-T3-SUB_DES</t>
  </si>
  <si>
    <t>PRON-DPM-2023-12-14-2022-T4-INPC</t>
  </si>
  <si>
    <t>PRON-DPM-2023-12-14-2022-T4-SUB</t>
  </si>
  <si>
    <t>PRON-DPM-2023-12-14-2022-T4-INPC_DES</t>
  </si>
  <si>
    <t>PRON-DPM-2023-12-14-2022-T4-SUB_DES</t>
  </si>
  <si>
    <t>PRON-DPM-2023-12-14-2023-T1-INPC</t>
  </si>
  <si>
    <t>PRON-DPM-2023-12-14-2023-T1-SUB</t>
  </si>
  <si>
    <t>PRON-DPM-2023-12-14-2023-T1-INPC_DES</t>
  </si>
  <si>
    <t>PRON-DPM-2023-12-14-2023-T1-SUB_DES</t>
  </si>
  <si>
    <t>PRON-DPM-2023-12-14-2023-T2-INPC</t>
  </si>
  <si>
    <t>PRON-DPM-2023-12-14-2023-T2-SUB</t>
  </si>
  <si>
    <t>PRON-DPM-2023-12-14-2023-T2-INPC_DES</t>
  </si>
  <si>
    <t>PRON-DPM-2023-12-14-2023-T2-SUB_DES</t>
  </si>
  <si>
    <t>PRON-DPM-2023-12-14-2023-T3-INPC</t>
  </si>
  <si>
    <t>PRON-DPM-2023-12-14-2023-T3-SUB</t>
  </si>
  <si>
    <t>PRON-DPM-2023-12-14-2023-T3-INPC_DES</t>
  </si>
  <si>
    <t>PRON-DPM-2023-12-14-2023-T3-SUB_DES</t>
  </si>
  <si>
    <t>PRON-DPM-2023-12-14-2023-T4-INPC</t>
  </si>
  <si>
    <t>PRON-DPM-2023-12-14-2023-T4-SUB</t>
  </si>
  <si>
    <t>PRON-DPM-2023-12-14-2023-T4-INPC_DES</t>
  </si>
  <si>
    <t>PRON-DPM-2023-12-14-2023-T4-SUB_DES</t>
  </si>
  <si>
    <t>PRON-DPM-2023-12-14-2024-T1-INPC</t>
  </si>
  <si>
    <t>PRON-DPM-2023-12-14-2024-T1-SUB</t>
  </si>
  <si>
    <t>PRON-DPM-2023-12-14-2024-T1-INPC_DES</t>
  </si>
  <si>
    <t>PRON-DPM-2023-12-14-2024-T1-SUB_DES</t>
  </si>
  <si>
    <t>PRON-DPM-2023-12-14-2024-T2-INPC</t>
  </si>
  <si>
    <t>PRON-DPM-2023-12-14-2024-T2-SUB</t>
  </si>
  <si>
    <t>PRON-DPM-2023-12-14-2024-T2-INPC_DES</t>
  </si>
  <si>
    <t>PRON-DPM-2023-12-14-2024-T2-SUB_DES</t>
  </si>
  <si>
    <t>PRON-DPM-2023-12-14-2024-T3-INPC</t>
  </si>
  <si>
    <t>PRON-DPM-2023-12-14-2024-T3-SUB</t>
  </si>
  <si>
    <t>PRON-DPM-2023-12-14-2024-T3-INPC_DES</t>
  </si>
  <si>
    <t>PRON-DPM-2023-12-14-2024-T3-SUB_DES</t>
  </si>
  <si>
    <t>PRON-DPM-2023-12-14-2024-T4-INPC</t>
  </si>
  <si>
    <t>PRON-DPM-2023-12-14-2024-T4-SUB</t>
  </si>
  <si>
    <t>PRON-DPM-2023-12-14-2024-T4-INPC_DES</t>
  </si>
  <si>
    <t>PRON-DPM-2023-12-14-2024-T4-SUB_DES</t>
  </si>
  <si>
    <t>PRON-DPM-2023-12-14-2025-T1-INPC</t>
  </si>
  <si>
    <t>PRON-DPM-2023-12-14-2025-T1-SUB</t>
  </si>
  <si>
    <t>PRON-DPM-2023-12-14-2025-T1-INPC_DES</t>
  </si>
  <si>
    <t>PRON-DPM-2023-12-14-2025-T1-SUB_DES</t>
  </si>
  <si>
    <t>PRON-DPM-2023-12-14-2025-T2-INPC</t>
  </si>
  <si>
    <t>PRON-DPM-2023-12-14-2025-T2-SUB</t>
  </si>
  <si>
    <t>PRON-DPM-2023-12-14-2025-T2-INPC_DES</t>
  </si>
  <si>
    <t>PRON-DPM-2023-12-14-2025-T2-SUB_DES</t>
  </si>
  <si>
    <t>PRON-DPM-2023-12-14-2025-T3-INPC</t>
  </si>
  <si>
    <t>PRON-DPM-2023-12-14-2025-T3-SUB</t>
  </si>
  <si>
    <t>PRON-DPM-2023-12-14-2025-T3-INPC_DES</t>
  </si>
  <si>
    <t>PRON-DPM-2023-12-14-2025-T3-SUB_DES</t>
  </si>
  <si>
    <t>PRON-DPM-2023-12-14-2025-T4-INPC</t>
  </si>
  <si>
    <t>2025-T4</t>
  </si>
  <si>
    <t>PRON-DPM-2023-12-14-2025-T4-SUB</t>
  </si>
  <si>
    <t>PRON-DPM-2023-12-14-2025-T4-INPC_DES</t>
  </si>
  <si>
    <t>PRON-DPM-2023-12-14-2025-T4-SUB_DES</t>
  </si>
  <si>
    <t>PRON-DPM-2024-02-08-2023-T1-INPC</t>
  </si>
  <si>
    <t>PRON-DPM-2024-02-08-2023-T1-SUB</t>
  </si>
  <si>
    <t>PRON-DPM-2024-02-08-2023-T1-INPC_DES</t>
  </si>
  <si>
    <t>PRON-DPM-2024-02-08-2023-T1-SUB_DES</t>
  </si>
  <si>
    <t>PRON-DPM-2024-02-08-2023-T2-INPC</t>
  </si>
  <si>
    <t>PRON-DPM-2024-02-08-2023-T2-SUB</t>
  </si>
  <si>
    <t>PRON-DPM-2024-02-08-2023-T2-INPC_DES</t>
  </si>
  <si>
    <t>PRON-DPM-2024-02-08-2023-T2-SUB_DES</t>
  </si>
  <si>
    <t>PRON-DPM-2024-02-08-2023-T3-INPC</t>
  </si>
  <si>
    <t>PRON-DPM-2024-02-08-2023-T3-SUB</t>
  </si>
  <si>
    <t>PRON-DPM-2024-02-08-2023-T3-INPC_DES</t>
  </si>
  <si>
    <t>PRON-DPM-2024-02-08-2023-T3-SUB_DES</t>
  </si>
  <si>
    <t>PRON-DPM-2024-02-08-2023-T4-INPC</t>
  </si>
  <si>
    <t>PRON-DPM-2024-02-08-2023-T4-SUB</t>
  </si>
  <si>
    <t>PRON-DPM-2024-02-08-2023-T4-INPC_DES</t>
  </si>
  <si>
    <t>PRON-DPM-2024-02-08-2023-T4-SUB_DES</t>
  </si>
  <si>
    <t>PRON-DPM-2024-02-08-2024-T1-INPC</t>
  </si>
  <si>
    <t>PRON-DPM-2024-02-08-2024-T1-SUB</t>
  </si>
  <si>
    <t>PRON-DPM-2024-02-08-2024-T1-INPC_DES</t>
  </si>
  <si>
    <t>PRON-DPM-2024-02-08-2024-T1-SUB_DES</t>
  </si>
  <si>
    <t>PRON-DPM-2024-02-08-2024-T2-INPC</t>
  </si>
  <si>
    <t>PRON-DPM-2024-02-08-2024-T2-SUB</t>
  </si>
  <si>
    <t>PRON-DPM-2024-02-08-2024-T2-INPC_DES</t>
  </si>
  <si>
    <t>PRON-DPM-2024-02-08-2024-T2-SUB_DES</t>
  </si>
  <si>
    <t>PRON-DPM-2024-02-08-2024-T3-INPC</t>
  </si>
  <si>
    <t>PRON-DPM-2024-02-08-2024-T3-SUB</t>
  </si>
  <si>
    <t>PRON-DPM-2024-02-08-2024-T3-INPC_DES</t>
  </si>
  <si>
    <t>PRON-DPM-2024-02-08-2024-T3-SUB_DES</t>
  </si>
  <si>
    <t>PRON-DPM-2024-02-08-2024-T4-INPC</t>
  </si>
  <si>
    <t>PRON-DPM-2024-02-08-2024-T4-SUB</t>
  </si>
  <si>
    <t>PRON-DPM-2024-02-08-2024-T4-INPC_DES</t>
  </si>
  <si>
    <t>PRON-DPM-2024-02-08-2024-T4-SUB_DES</t>
  </si>
  <si>
    <t>PRON-DPM-2024-02-08-2025-T1-INPC</t>
  </si>
  <si>
    <t>PRON-DPM-2024-02-08-2025-T1-SUB</t>
  </si>
  <si>
    <t>PRON-DPM-2024-02-08-2025-T1-INPC_DES</t>
  </si>
  <si>
    <t>PRON-DPM-2024-02-08-2025-T1-SUB_DES</t>
  </si>
  <si>
    <t>PRON-DPM-2024-02-08-2025-T2-INPC</t>
  </si>
  <si>
    <t>PRON-DPM-2024-02-08-2025-T2-SUB</t>
  </si>
  <si>
    <t>PRON-DPM-2024-02-08-2025-T2-INPC_DES</t>
  </si>
  <si>
    <t>PRON-DPM-2024-02-08-2025-T2-SUB_DES</t>
  </si>
  <si>
    <t>PRON-DPM-2024-02-08-2025-T3-INPC</t>
  </si>
  <si>
    <t>PRON-DPM-2024-02-08-2025-T3-SUB</t>
  </si>
  <si>
    <t>PRON-DPM-2024-02-08-2025-T3-INPC_DES</t>
  </si>
  <si>
    <t>PRON-DPM-2024-02-08-2025-T3-SUB_DES</t>
  </si>
  <si>
    <t>PRON-DPM-2024-02-08-2025-T4-INPC</t>
  </si>
  <si>
    <t>PRON-DPM-2024-02-08-2025-T4-SUB</t>
  </si>
  <si>
    <t>PRON-DPM-2024-02-08-2025-T4-INPC_DES</t>
  </si>
  <si>
    <t>PRON-DPM-2024-02-08-2025-T4-SUB_DES</t>
  </si>
  <si>
    <t>PRON-DPM-2024-03-21-2023-T2-INPC</t>
  </si>
  <si>
    <t>PRON-DPM-2024-03-21-2023-T2-SUB</t>
  </si>
  <si>
    <t>PRON-DPM-2024-03-21-2023-T2-INPC_DES</t>
  </si>
  <si>
    <t>PRON-DPM-2024-03-21-2023-T2-SUB_DES</t>
  </si>
  <si>
    <t>PRON-DPM-2024-03-21-2023-T3-INPC</t>
  </si>
  <si>
    <t>PRON-DPM-2024-03-21-2023-T3-SUB</t>
  </si>
  <si>
    <t>PRON-DPM-2024-03-21-2023-T3-INPC_DES</t>
  </si>
  <si>
    <t>PRON-DPM-2024-03-21-2023-T3-SUB_DES</t>
  </si>
  <si>
    <t>PRON-DPM-2024-03-21-2023-T4-INPC</t>
  </si>
  <si>
    <t>PRON-DPM-2024-03-21-2023-T4-SUB</t>
  </si>
  <si>
    <t>PRON-DPM-2024-03-21-2023-T4-INPC_DES</t>
  </si>
  <si>
    <t>PRON-DPM-2024-03-21-2023-T4-SUB_DES</t>
  </si>
  <si>
    <t>PRON-DPM-2024-03-21-2024-T1-INPC</t>
  </si>
  <si>
    <t>PRON-DPM-2024-03-21-2024-T1-SUB</t>
  </si>
  <si>
    <t>PRON-DPM-2024-03-21-2024-T1-INPC_DES</t>
  </si>
  <si>
    <t>PRON-DPM-2024-03-21-2024-T1-SUB_DES</t>
  </si>
  <si>
    <t>PRON-DPM-2024-03-21-2024-T2-INPC</t>
  </si>
  <si>
    <t>PRON-DPM-2024-03-21-2024-T2-SUB</t>
  </si>
  <si>
    <t>PRON-DPM-2024-03-21-2024-T2-INPC_DES</t>
  </si>
  <si>
    <t>PRON-DPM-2024-03-21-2024-T2-SUB_DES</t>
  </si>
  <si>
    <t>PRON-DPM-2024-03-21-2024-T3-INPC</t>
  </si>
  <si>
    <t>PRON-DPM-2024-03-21-2024-T3-SUB</t>
  </si>
  <si>
    <t>PRON-DPM-2024-03-21-2024-T3-INPC_DES</t>
  </si>
  <si>
    <t>PRON-DPM-2024-03-21-2024-T3-SUB_DES</t>
  </si>
  <si>
    <t>PRON-DPM-2024-03-21-2024-T4-INPC</t>
  </si>
  <si>
    <t>PRON-DPM-2024-03-21-2024-T4-SUB</t>
  </si>
  <si>
    <t>PRON-DPM-2024-03-21-2024-T4-INPC_DES</t>
  </si>
  <si>
    <t>PRON-DPM-2024-03-21-2024-T4-SUB_DES</t>
  </si>
  <si>
    <t>PRON-DPM-2024-03-21-2025-T1-INPC</t>
  </si>
  <si>
    <t>PRON-DPM-2024-03-21-2025-T1-SUB</t>
  </si>
  <si>
    <t>PRON-DPM-2024-03-21-2025-T1-INPC_DES</t>
  </si>
  <si>
    <t>PRON-DPM-2024-03-21-2025-T1-SUB_DES</t>
  </si>
  <si>
    <t>PRON-DPM-2024-03-21-2025-T2-INPC</t>
  </si>
  <si>
    <t>PRON-DPM-2024-03-21-2025-T2-SUB</t>
  </si>
  <si>
    <t>PRON-DPM-2024-03-21-2025-T2-INPC_DES</t>
  </si>
  <si>
    <t>PRON-DPM-2024-03-21-2025-T2-SUB_DES</t>
  </si>
  <si>
    <t>PRON-DPM-2024-03-21-2025-T3-INPC</t>
  </si>
  <si>
    <t>PRON-DPM-2024-03-21-2025-T3-SUB</t>
  </si>
  <si>
    <t>PRON-DPM-2024-03-21-2025-T3-INPC_DES</t>
  </si>
  <si>
    <t>PRON-DPM-2024-03-21-2025-T3-SUB_DES</t>
  </si>
  <si>
    <t>PRON-DPM-2024-03-21-2025-T4-INPC</t>
  </si>
  <si>
    <t>PRON-DPM-2024-03-21-2025-T4-SUB</t>
  </si>
  <si>
    <t>PRON-DPM-2024-03-21-2025-T4-INPC_DES</t>
  </si>
  <si>
    <t>PRON-DPM-2024-03-21-2025-T4-SUB_DES</t>
  </si>
  <si>
    <t>PRON-DPM-2024-03-21-2026-T1-INPC</t>
  </si>
  <si>
    <t>2026-T1</t>
  </si>
  <si>
    <t>PRON-DPM-2024-03-21-2026-T1-SUB</t>
  </si>
  <si>
    <t>PRON-DPM-2024-03-21-2026-T1-INPC_DES</t>
  </si>
  <si>
    <t>PRON-DPM-2024-03-21-2026-T1-SUB_DES</t>
  </si>
  <si>
    <t>PRON-DPM-2024-05-09-2023-T3-INPC</t>
  </si>
  <si>
    <t>PRON-DPM-2024-05-09-2023-T3-SUB</t>
  </si>
  <si>
    <t>PRON-DPM-2024-05-09-2023-T3-INPC_DES</t>
  </si>
  <si>
    <t>PRON-DPM-2024-05-09-2023-T3-SUB_DES</t>
  </si>
  <si>
    <t>PRON-DPM-2024-05-09-2023-T4-INPC</t>
  </si>
  <si>
    <t>PRON-DPM-2024-05-09-2023-T4-SUB</t>
  </si>
  <si>
    <t>PRON-DPM-2024-05-09-2023-T4-INPC_DES</t>
  </si>
  <si>
    <t>PRON-DPM-2024-05-09-2023-T4-SUB_DES</t>
  </si>
  <si>
    <t>PRON-DPM-2024-05-09-2024-T1-INPC</t>
  </si>
  <si>
    <t>PRON-DPM-2024-05-09-2024-T1-SUB</t>
  </si>
  <si>
    <t>PRON-DPM-2024-05-09-2024-T1-INPC_DES</t>
  </si>
  <si>
    <t>PRON-DPM-2024-05-09-2024-T1-SUB_DES</t>
  </si>
  <si>
    <t>PRON-DPM-2024-05-09-2024-T2-INPC</t>
  </si>
  <si>
    <t>PRON-DPM-2024-05-09-2024-T2-SUB</t>
  </si>
  <si>
    <t>PRON-DPM-2024-05-09-2024-T2-INPC_DES</t>
  </si>
  <si>
    <t>PRON-DPM-2024-05-09-2024-T2-SUB_DES</t>
  </si>
  <si>
    <t>PRON-DPM-2024-05-09-2024-T3-INPC</t>
  </si>
  <si>
    <t>PRON-DPM-2024-05-09-2024-T3-SUB</t>
  </si>
  <si>
    <t>PRON-DPM-2024-05-09-2024-T3-INPC_DES</t>
  </si>
  <si>
    <t>PRON-DPM-2024-05-09-2024-T3-SUB_DES</t>
  </si>
  <si>
    <t>PRON-DPM-2024-05-09-2024-T4-INPC</t>
  </si>
  <si>
    <t>PRON-DPM-2024-05-09-2024-T4-SUB</t>
  </si>
  <si>
    <t>PRON-DPM-2024-05-09-2024-T4-INPC_DES</t>
  </si>
  <si>
    <t>PRON-DPM-2024-05-09-2024-T4-SUB_DES</t>
  </si>
  <si>
    <t>PRON-DPM-2024-05-09-2025-T1-INPC</t>
  </si>
  <si>
    <t>PRON-DPM-2024-05-09-2025-T1-SUB</t>
  </si>
  <si>
    <t>PRON-DPM-2024-05-09-2025-T1-INPC_DES</t>
  </si>
  <si>
    <t>PRON-DPM-2024-05-09-2025-T1-SUB_DES</t>
  </si>
  <si>
    <t>PRON-DPM-2024-05-09-2025-T2-INPC</t>
  </si>
  <si>
    <t>PRON-DPM-2024-05-09-2025-T2-SUB</t>
  </si>
  <si>
    <t>PRON-DPM-2024-05-09-2025-T2-INPC_DES</t>
  </si>
  <si>
    <t>PRON-DPM-2024-05-09-2025-T2-SUB_DES</t>
  </si>
  <si>
    <t>PRON-DPM-2024-05-09-2025-T3-INPC</t>
  </si>
  <si>
    <t>PRON-DPM-2024-05-09-2025-T3-SUB</t>
  </si>
  <si>
    <t>PRON-DPM-2024-05-09-2025-T3-INPC_DES</t>
  </si>
  <si>
    <t>PRON-DPM-2024-05-09-2025-T3-SUB_DES</t>
  </si>
  <si>
    <t>PRON-DPM-2024-05-09-2025-T4-INPC</t>
  </si>
  <si>
    <t>PRON-DPM-2024-05-09-2025-T4-SUB</t>
  </si>
  <si>
    <t>PRON-DPM-2024-05-09-2025-T4-INPC_DES</t>
  </si>
  <si>
    <t>PRON-DPM-2024-05-09-2025-T4-SUB_DES</t>
  </si>
  <si>
    <t>PRON-DPM-2024-05-09-2026-T1-INPC</t>
  </si>
  <si>
    <t>PRON-DPM-2024-05-09-2026-T1-SUB</t>
  </si>
  <si>
    <t>PRON-DPM-2024-05-09-2026-T1-INPC_DES</t>
  </si>
  <si>
    <t>PRON-DPM-2024-05-09-2026-T1-SUB_DES</t>
  </si>
  <si>
    <t>PRON-DPM-2024-06-27-2023-T3-INPC</t>
  </si>
  <si>
    <t>PRON-DPM-2024-06-27-2023-T3-SUB</t>
  </si>
  <si>
    <t>PRON-DPM-2024-06-27-2023-T3-INPC_DES</t>
  </si>
  <si>
    <t>PRON-DPM-2024-06-27-2023-T3-SUB_DES</t>
  </si>
  <si>
    <t>PRON-DPM-2024-06-27-2023-T4-INPC</t>
  </si>
  <si>
    <t>PRON-DPM-2024-06-27-2023-T4-SUB</t>
  </si>
  <si>
    <t>PRON-DPM-2024-06-27-2023-T4-INPC_DES</t>
  </si>
  <si>
    <t>PRON-DPM-2024-06-27-2023-T4-SUB_DES</t>
  </si>
  <si>
    <t>PRON-DPM-2024-06-27-2024-T1-INPC</t>
  </si>
  <si>
    <t>PRON-DPM-2024-06-27-2024-T1-SUB</t>
  </si>
  <si>
    <t>PRON-DPM-2024-06-27-2024-T1-INPC_DES</t>
  </si>
  <si>
    <t>PRON-DPM-2024-06-27-2024-T1-SUB_DES</t>
  </si>
  <si>
    <t>PRON-DPM-2024-06-27-2024-T2-INPC</t>
  </si>
  <si>
    <t>PRON-DPM-2024-06-27-2024-T2-SUB</t>
  </si>
  <si>
    <t>PRON-DPM-2024-06-27-2024-T2-INPC_DES</t>
  </si>
  <si>
    <t>PRON-DPM-2024-06-27-2024-T2-SUB_DES</t>
  </si>
  <si>
    <t>PRON-DPM-2024-06-27-2024-T3-INPC</t>
  </si>
  <si>
    <t>PRON-DPM-2024-06-27-2024-T3-SUB</t>
  </si>
  <si>
    <t>PRON-DPM-2024-06-27-2024-T3-INPC_DES</t>
  </si>
  <si>
    <t>PRON-DPM-2024-06-27-2024-T3-SUB_DES</t>
  </si>
  <si>
    <t>PRON-DPM-2024-06-27-2024-T4-INPC</t>
  </si>
  <si>
    <t>PRON-DPM-2024-06-27-2024-T4-SUB</t>
  </si>
  <si>
    <t>PRON-DPM-2024-06-27-2024-T4-INPC_DES</t>
  </si>
  <si>
    <t>PRON-DPM-2024-06-27-2024-T4-SUB_DES</t>
  </si>
  <si>
    <t>PRON-DPM-2024-06-27-2025-T1-INPC</t>
  </si>
  <si>
    <t>PRON-DPM-2024-06-27-2025-T1-SUB</t>
  </si>
  <si>
    <t>PRON-DPM-2024-06-27-2025-T1-INPC_DES</t>
  </si>
  <si>
    <t>PRON-DPM-2024-06-27-2025-T1-SUB_DES</t>
  </si>
  <si>
    <t>PRON-DPM-2024-06-27-2025-T2-INPC</t>
  </si>
  <si>
    <t>PRON-DPM-2024-06-27-2025-T2-SUB</t>
  </si>
  <si>
    <t>PRON-DPM-2024-06-27-2025-T2-INPC_DES</t>
  </si>
  <si>
    <t>PRON-DPM-2024-06-27-2025-T2-SUB_DES</t>
  </si>
  <si>
    <t>PRON-DPM-2024-06-27-2025-T3-INPC</t>
  </si>
  <si>
    <t>PRON-DPM-2024-06-27-2025-T3-SUB</t>
  </si>
  <si>
    <t>PRON-DPM-2024-06-27-2025-T3-INPC_DES</t>
  </si>
  <si>
    <t>PRON-DPM-2024-06-27-2025-T3-SUB_DES</t>
  </si>
  <si>
    <t>PRON-DPM-2024-06-27-2025-T4-INPC</t>
  </si>
  <si>
    <t>PRON-DPM-2024-06-27-2025-T4-SUB</t>
  </si>
  <si>
    <t>PRON-DPM-2024-06-27-2025-T4-INPC_DES</t>
  </si>
  <si>
    <t>PRON-DPM-2024-06-27-2025-T4-SUB_DES</t>
  </si>
  <si>
    <t>PRON-DPM-2024-06-27-2026-T1-INPC</t>
  </si>
  <si>
    <t>PRON-DPM-2024-06-27-2026-T1-SUB</t>
  </si>
  <si>
    <t>PRON-DPM-2024-06-27-2026-T1-INPC_DES</t>
  </si>
  <si>
    <t>PRON-DPM-2024-06-27-2026-T1-SUB_DES</t>
  </si>
  <si>
    <t>PRON-DPM-2024-06-27-2026-T2-INPC</t>
  </si>
  <si>
    <t>2026-T2</t>
  </si>
  <si>
    <t>PRON-DPM-2024-06-27-2026-T2-SUB</t>
  </si>
  <si>
    <t>PRON-DPM-2024-06-27-2026-T2-INPC_DES</t>
  </si>
  <si>
    <t>PRON-DPM-2024-06-27-2026-T2-SUB_DES</t>
  </si>
  <si>
    <t>PRON-DPM-2024-08-08-2023-T3-INPC</t>
  </si>
  <si>
    <t>PRON-DPM-2024-08-08-2023-T3-SUB</t>
  </si>
  <si>
    <t>PRON-DPM-2024-08-08-2023-T3-INPC_DES</t>
  </si>
  <si>
    <t>PRON-DPM-2024-08-08-2023-T3-SUB_DES</t>
  </si>
  <si>
    <t>PRON-DPM-2024-08-08-2023-T4-INPC</t>
  </si>
  <si>
    <t>PRON-DPM-2024-08-08-2023-T4-SUB</t>
  </si>
  <si>
    <t>PRON-DPM-2024-08-08-2023-T4-INPC_DES</t>
  </si>
  <si>
    <t>PRON-DPM-2024-08-08-2023-T4-SUB_DES</t>
  </si>
  <si>
    <t>PRON-DPM-2024-08-08-2024-T1-INPC</t>
  </si>
  <si>
    <t>PRON-DPM-2024-08-08-2024-T1-SUB</t>
  </si>
  <si>
    <t>PRON-DPM-2024-08-08-2024-T1-INPC_DES</t>
  </si>
  <si>
    <t>PRON-DPM-2024-08-08-2024-T1-SUB_DES</t>
  </si>
  <si>
    <t>PRON-DPM-2024-08-08-2024-T2-INPC</t>
  </si>
  <si>
    <t>PRON-DPM-2024-08-08-2024-T2-SUB</t>
  </si>
  <si>
    <t>PRON-DPM-2024-08-08-2024-T2-INPC_DES</t>
  </si>
  <si>
    <t>PRON-DPM-2024-08-08-2024-T2-SUB_DES</t>
  </si>
  <si>
    <t>PRON-DPM-2024-08-08-2024-T3-INPC</t>
  </si>
  <si>
    <t>PRON-DPM-2024-08-08-2024-T3-SUB</t>
  </si>
  <si>
    <t>PRON-DPM-2024-08-08-2024-T3-INPC_DES</t>
  </si>
  <si>
    <t>PRON-DPM-2024-08-08-2024-T3-SUB_DES</t>
  </si>
  <si>
    <t>PRON-DPM-2024-08-08-2024-T4-INPC</t>
  </si>
  <si>
    <t>PRON-DPM-2024-08-08-2024-T4-SUB</t>
  </si>
  <si>
    <t>PRON-DPM-2024-08-08-2024-T4-INPC_DES</t>
  </si>
  <si>
    <t>PRON-DPM-2024-08-08-2024-T4-SUB_DES</t>
  </si>
  <si>
    <t>PRON-DPM-2024-08-08-2025-T1-INPC</t>
  </si>
  <si>
    <t>PRON-DPM-2024-08-08-2025-T1-SUB</t>
  </si>
  <si>
    <t>PRON-DPM-2024-08-08-2025-T1-INPC_DES</t>
  </si>
  <si>
    <t>PRON-DPM-2024-08-08-2025-T1-SUB_DES</t>
  </si>
  <si>
    <t>PRON-DPM-2024-08-08-2025-T2-INPC</t>
  </si>
  <si>
    <t>PRON-DPM-2024-08-08-2025-T2-SUB</t>
  </si>
  <si>
    <t>PRON-DPM-2024-08-08-2025-T2-INPC_DES</t>
  </si>
  <si>
    <t>PRON-DPM-2024-08-08-2025-T2-SUB_DES</t>
  </si>
  <si>
    <t>PRON-DPM-2024-08-08-2025-T3-INPC</t>
  </si>
  <si>
    <t>PRON-DPM-2024-08-08-2025-T3-SUB</t>
  </si>
  <si>
    <t>PRON-DPM-2024-08-08-2025-T3-INPC_DES</t>
  </si>
  <si>
    <t>PRON-DPM-2024-08-08-2025-T3-SUB_DES</t>
  </si>
  <si>
    <t>PRON-DPM-2024-08-08-2025-T4-INPC</t>
  </si>
  <si>
    <t>PRON-DPM-2024-08-08-2025-T4-SUB</t>
  </si>
  <si>
    <t>PRON-DPM-2024-08-08-2025-T4-INPC_DES</t>
  </si>
  <si>
    <t>PRON-DPM-2024-08-08-2025-T4-SUB_DES</t>
  </si>
  <si>
    <t>PRON-DPM-2024-08-08-2026-T1-INPC</t>
  </si>
  <si>
    <t>PRON-DPM-2024-08-08-2026-T1-SUB</t>
  </si>
  <si>
    <t>PRON-DPM-2024-08-08-2026-T1-INPC_DES</t>
  </si>
  <si>
    <t>PRON-DPM-2024-08-08-2026-T1-SUB_DES</t>
  </si>
  <si>
    <t>PRON-DPM-2024-08-08-2026-T2-INPC</t>
  </si>
  <si>
    <t>PRON-DPM-2024-08-08-2026-T2-SUB</t>
  </si>
  <si>
    <t>PRON-DPM-2024-08-08-2026-T2-INPC_DES</t>
  </si>
  <si>
    <t>PRON-DPM-2024-08-08-2026-T2-SUB_DES</t>
  </si>
  <si>
    <t>PRON-DPM-2024-09-26-2023-T4-INPC</t>
  </si>
  <si>
    <t>PRON-DPM-2024-09-26-2023-T4-SUB</t>
  </si>
  <si>
    <t>PRON-DPM-2024-09-26-2023-T4-INPC_DES</t>
  </si>
  <si>
    <t>PRON-DPM-2024-09-26-2023-T4-SUB_DES</t>
  </si>
  <si>
    <t>PRON-DPM-2024-09-26-2024-T1-INPC</t>
  </si>
  <si>
    <t>PRON-DPM-2024-09-26-2024-T1-SUB</t>
  </si>
  <si>
    <t>PRON-DPM-2024-09-26-2024-T1-INPC_DES</t>
  </si>
  <si>
    <t>PRON-DPM-2024-09-26-2024-T1-SUB_DES</t>
  </si>
  <si>
    <t>PRON-DPM-2024-09-26-2024-T2-INPC</t>
  </si>
  <si>
    <t>PRON-DPM-2024-09-26-2024-T2-SUB</t>
  </si>
  <si>
    <t>PRON-DPM-2024-09-26-2024-T2-INPC_DES</t>
  </si>
  <si>
    <t>PRON-DPM-2024-09-26-2024-T2-SUB_DES</t>
  </si>
  <si>
    <t>PRON-DPM-2024-09-26-2024-T3-INPC</t>
  </si>
  <si>
    <t>PRON-DPM-2024-09-26-2024-T3-SUB</t>
  </si>
  <si>
    <t>PRON-DPM-2024-09-26-2024-T3-INPC_DES</t>
  </si>
  <si>
    <t>PRON-DPM-2024-09-26-2024-T3-SUB_DES</t>
  </si>
  <si>
    <t>PRON-DPM-2024-09-26-2024-T4-INPC</t>
  </si>
  <si>
    <t>PRON-DPM-2024-09-26-2024-T4-SUB</t>
  </si>
  <si>
    <t>PRON-DPM-2024-09-26-2024-T4-INPC_DES</t>
  </si>
  <si>
    <t>PRON-DPM-2024-09-26-2024-T4-SUB_DES</t>
  </si>
  <si>
    <t>PRON-DPM-2024-09-26-2025-T1-INPC</t>
  </si>
  <si>
    <t>PRON-DPM-2024-09-26-2025-T1-SUB</t>
  </si>
  <si>
    <t>PRON-DPM-2024-09-26-2025-T1-INPC_DES</t>
  </si>
  <si>
    <t>PRON-DPM-2024-09-26-2025-T1-SUB_DES</t>
  </si>
  <si>
    <t>PRON-DPM-2024-09-26-2025-T2-INPC</t>
  </si>
  <si>
    <t>PRON-DPM-2024-09-26-2025-T2-SUB</t>
  </si>
  <si>
    <t>PRON-DPM-2024-09-26-2025-T2-INPC_DES</t>
  </si>
  <si>
    <t>PRON-DPM-2024-09-26-2025-T2-SUB_DES</t>
  </si>
  <si>
    <t>PRON-DPM-2024-09-26-2025-T3-INPC</t>
  </si>
  <si>
    <t>PRON-DPM-2024-09-26-2025-T3-SUB</t>
  </si>
  <si>
    <t>PRON-DPM-2024-09-26-2025-T3-INPC_DES</t>
  </si>
  <si>
    <t>PRON-DPM-2024-09-26-2025-T3-SUB_DES</t>
  </si>
  <si>
    <t>PRON-DPM-2024-09-26-2025-T4-INPC</t>
  </si>
  <si>
    <t>PRON-DPM-2024-09-26-2025-T4-SUB</t>
  </si>
  <si>
    <t>PRON-DPM-2024-09-26-2025-T4-INPC_DES</t>
  </si>
  <si>
    <t>PRON-DPM-2024-09-26-2025-T4-SUB_DES</t>
  </si>
  <si>
    <t>PRON-DPM-2024-09-26-2026-T1-INPC</t>
  </si>
  <si>
    <t>PRON-DPM-2024-09-26-2026-T1-SUB</t>
  </si>
  <si>
    <t>PRON-DPM-2024-09-26-2026-T1-INPC_DES</t>
  </si>
  <si>
    <t>PRON-DPM-2024-09-26-2026-T1-SUB_DES</t>
  </si>
  <si>
    <t>PRON-DPM-2024-09-26-2026-T2-INPC</t>
  </si>
  <si>
    <t>PRON-DPM-2024-09-26-2026-T2-SUB</t>
  </si>
  <si>
    <t>PRON-DPM-2024-09-26-2026-T2-INPC_DES</t>
  </si>
  <si>
    <t>PRON-DPM-2024-09-26-2026-T2-SUB_DES</t>
  </si>
  <si>
    <t>PRON-DPM-2024-09-26-2026-T3-INPC</t>
  </si>
  <si>
    <t>PRON-DPM-2024-09-26-2026-T3-SUB</t>
  </si>
  <si>
    <t>PRON-DPM-2024-09-26-2026-T3-INPC_DES</t>
  </si>
  <si>
    <t>PRON-DPM-2024-09-26-2026-T3-SUB_DES</t>
  </si>
  <si>
    <t>PRON-DPM-2024-11-14-2023-T4-INPC</t>
  </si>
  <si>
    <t>PRON-DPM-2024-11-14-2023-T4-SUB</t>
  </si>
  <si>
    <t>PRON-DPM-2024-11-14-2023-T4-INPC_DES</t>
  </si>
  <si>
    <t>PRON-DPM-2024-11-14-2023-T4-SUB_DES</t>
  </si>
  <si>
    <t>PRON-DPM-2024-11-14-2024-T1-INPC</t>
  </si>
  <si>
    <t>PRON-DPM-2024-11-14-2024-T1-SUB</t>
  </si>
  <si>
    <t>PRON-DPM-2024-11-14-2024-T1-INPC_DES</t>
  </si>
  <si>
    <t>PRON-DPM-2024-11-14-2024-T1-SUB_DES</t>
  </si>
  <si>
    <t>PRON-DPM-2024-11-14-2024-T2-INPC</t>
  </si>
  <si>
    <t>PRON-DPM-2024-11-14-2024-T2-SUB</t>
  </si>
  <si>
    <t>PRON-DPM-2024-11-14-2024-T2-INPC_DES</t>
  </si>
  <si>
    <t>PRON-DPM-2024-11-14-2024-T2-SUB_DES</t>
  </si>
  <si>
    <t>PRON-DPM-2024-11-14-2024-T3-INPC</t>
  </si>
  <si>
    <t>PRON-DPM-2024-11-14-2024-T3-SUB</t>
  </si>
  <si>
    <t>PRON-DPM-2024-11-14-2024-T3-INPC_DES</t>
  </si>
  <si>
    <t>PRON-DPM-2024-11-14-2024-T3-SUB_DES</t>
  </si>
  <si>
    <t>PRON-DPM-2024-11-14-2024-T4-INPC</t>
  </si>
  <si>
    <t>PRON-DPM-2024-11-14-2024-T4-SUB</t>
  </si>
  <si>
    <t>PRON-DPM-2024-11-14-2024-T4-INPC_DES</t>
  </si>
  <si>
    <t>PRON-DPM-2024-11-14-2024-T4-SUB_DES</t>
  </si>
  <si>
    <t>PRON-DPM-2024-11-14-2025-T1-INPC</t>
  </si>
  <si>
    <t>PRON-DPM-2024-11-14-2025-T1-SUB</t>
  </si>
  <si>
    <t>PRON-DPM-2024-11-14-2025-T1-INPC_DES</t>
  </si>
  <si>
    <t>PRON-DPM-2024-11-14-2025-T1-SUB_DES</t>
  </si>
  <si>
    <t>PRON-DPM-2024-11-14-2025-T2-INPC</t>
  </si>
  <si>
    <t>PRON-DPM-2024-11-14-2025-T2-SUB</t>
  </si>
  <si>
    <t>PRON-DPM-2024-11-14-2025-T2-INPC_DES</t>
  </si>
  <si>
    <t>PRON-DPM-2024-11-14-2025-T2-SUB_DES</t>
  </si>
  <si>
    <t>PRON-DPM-2024-11-14-2025-T3-INPC</t>
  </si>
  <si>
    <t>PRON-DPM-2024-11-14-2025-T3-SUB</t>
  </si>
  <si>
    <t>PRON-DPM-2024-11-14-2025-T3-INPC_DES</t>
  </si>
  <si>
    <t>PRON-DPM-2024-11-14-2025-T3-SUB_DES</t>
  </si>
  <si>
    <t>PRON-DPM-2024-11-14-2025-T4-INPC</t>
  </si>
  <si>
    <t>PRON-DPM-2024-11-14-2025-T4-SUB</t>
  </si>
  <si>
    <t>PRON-DPM-2024-11-14-2025-T4-INPC_DES</t>
  </si>
  <si>
    <t>PRON-DPM-2024-11-14-2025-T4-SUB_DES</t>
  </si>
  <si>
    <t>PRON-DPM-2024-11-14-2026-T1-INPC</t>
  </si>
  <si>
    <t>PRON-DPM-2024-11-14-2026-T1-SUB</t>
  </si>
  <si>
    <t>PRON-DPM-2024-11-14-2026-T1-INPC_DES</t>
  </si>
  <si>
    <t>PRON-DPM-2024-11-14-2026-T1-SUB_DES</t>
  </si>
  <si>
    <t>PRON-DPM-2024-11-14-2026-T2-INPC</t>
  </si>
  <si>
    <t>PRON-DPM-2024-11-14-2026-T2-SUB</t>
  </si>
  <si>
    <t>PRON-DPM-2024-11-14-2026-T2-INPC_DES</t>
  </si>
  <si>
    <t>PRON-DPM-2024-11-14-2026-T2-SUB_DES</t>
  </si>
  <si>
    <t>PRON-DPM-2024-11-14-2026-T3-INPC</t>
  </si>
  <si>
    <t>PRON-DPM-2024-11-14-2026-T3-SUB</t>
  </si>
  <si>
    <t>PRON-DPM-2024-11-14-2026-T3-INPC_DES</t>
  </si>
  <si>
    <t>PRON-DPM-2024-11-14-2026-T3-SUB_DES</t>
  </si>
  <si>
    <t>PRON-DPM-2024-12-19-2024-T1-INPC</t>
  </si>
  <si>
    <t>PRON-DPM-2024-12-19-2024-T1-SUB</t>
  </si>
  <si>
    <t>PRON-DPM-2024-12-19-2024-T1-INPC_DES</t>
  </si>
  <si>
    <t>PRON-DPM-2024-12-19-2024-T1-SUB_DES</t>
  </si>
  <si>
    <t>PRON-DPM-2024-12-19-2024-T2-INPC</t>
  </si>
  <si>
    <t>PRON-DPM-2024-12-19-2024-T2-SUB</t>
  </si>
  <si>
    <t>PRON-DPM-2024-12-19-2024-T2-INPC_DES</t>
  </si>
  <si>
    <t>PRON-DPM-2024-12-19-2024-T2-SUB_DES</t>
  </si>
  <si>
    <t>PRON-DPM-2024-12-19-2024-T3-INPC</t>
  </si>
  <si>
    <t>PRON-DPM-2024-12-19-2024-T3-SUB</t>
  </si>
  <si>
    <t>PRON-DPM-2024-12-19-2024-T3-INPC_DES</t>
  </si>
  <si>
    <t>PRON-DPM-2024-12-19-2024-T3-SUB_DES</t>
  </si>
  <si>
    <t>PRON-DPM-2024-12-19-2024-T4-INPC</t>
  </si>
  <si>
    <t>PRON-DPM-2024-12-19-2024-T4-SUB</t>
  </si>
  <si>
    <t>PRON-DPM-2024-12-19-2024-T4-INPC_DES</t>
  </si>
  <si>
    <t>PRON-DPM-2024-12-19-2024-T4-SUB_DES</t>
  </si>
  <si>
    <t>PRON-DPM-2024-12-19-2025-T1-INPC</t>
  </si>
  <si>
    <t>PRON-DPM-2024-12-19-2025-T1-SUB</t>
  </si>
  <si>
    <t>PRON-DPM-2024-12-19-2025-T1-INPC_DES</t>
  </si>
  <si>
    <t>PRON-DPM-2024-12-19-2025-T1-SUB_DES</t>
  </si>
  <si>
    <t>PRON-DPM-2024-12-19-2025-T2-INPC</t>
  </si>
  <si>
    <t>PRON-DPM-2024-12-19-2025-T2-SUB</t>
  </si>
  <si>
    <t>PRON-DPM-2024-12-19-2025-T2-INPC_DES</t>
  </si>
  <si>
    <t>PRON-DPM-2024-12-19-2025-T2-SUB_DES</t>
  </si>
  <si>
    <t>PRON-DPM-2024-12-19-2025-T3-INPC</t>
  </si>
  <si>
    <t>PRON-DPM-2024-12-19-2025-T3-SUB</t>
  </si>
  <si>
    <t>PRON-DPM-2024-12-19-2025-T3-INPC_DES</t>
  </si>
  <si>
    <t>PRON-DPM-2024-12-19-2025-T3-SUB_DES</t>
  </si>
  <si>
    <t>PRON-DPM-2024-12-19-2025-T4-INPC</t>
  </si>
  <si>
    <t>PRON-DPM-2024-12-19-2025-T4-SUB</t>
  </si>
  <si>
    <t>PRON-DPM-2024-12-19-2025-T4-INPC_DES</t>
  </si>
  <si>
    <t>PRON-DPM-2024-12-19-2025-T4-SUB_DES</t>
  </si>
  <si>
    <t>PRON-DPM-2024-12-19-2026-T1-INPC</t>
  </si>
  <si>
    <t>PRON-DPM-2024-12-19-2026-T1-SUB</t>
  </si>
  <si>
    <t>PRON-DPM-2024-12-19-2026-T1-INPC_DES</t>
  </si>
  <si>
    <t>PRON-DPM-2024-12-19-2026-T1-SUB_DES</t>
  </si>
  <si>
    <t>PRON-DPM-2024-12-19-2026-T2-INPC</t>
  </si>
  <si>
    <t>PRON-DPM-2024-12-19-2026-T2-SUB</t>
  </si>
  <si>
    <t>PRON-DPM-2024-12-19-2026-T2-INPC_DES</t>
  </si>
  <si>
    <t>PRON-DPM-2024-12-19-2026-T2-SUB_DES</t>
  </si>
  <si>
    <t>PRON-DPM-2024-12-19-2026-T3-INPC</t>
  </si>
  <si>
    <t>PRON-DPM-2024-12-19-2026-T3-SUB</t>
  </si>
  <si>
    <t>PRON-DPM-2024-12-19-2026-T3-INPC_DES</t>
  </si>
  <si>
    <t>PRON-DPM-2024-12-19-2026-T3-SUB_DES</t>
  </si>
  <si>
    <t>PRON-DPM-2024-12-19-2026-T4-INPC</t>
  </si>
  <si>
    <t>2026-T4</t>
  </si>
  <si>
    <t>PRON-DPM-2024-12-19-2026-T4-SUB</t>
  </si>
  <si>
    <t>PRON-DPM-2024-12-19-2026-T4-INPC_DES</t>
  </si>
  <si>
    <t>PRON-DPM-2024-12-19-2026-T4-SUB_DES</t>
  </si>
  <si>
    <t>PRON-DPM-2025-02-06-2024-T1-INPC</t>
  </si>
  <si>
    <t>PRON-DPM-2025-02-06-2024-T1-SUB</t>
  </si>
  <si>
    <t>PRON-DPM-2025-02-06-2024-T1-INPC_DES</t>
  </si>
  <si>
    <t>PRON-DPM-2025-02-06-2024-T1-SUB_DES</t>
  </si>
  <si>
    <t>PRON-DPM-2025-02-06-2024-T2-INPC</t>
  </si>
  <si>
    <t>PRON-DPM-2025-02-06-2024-T2-SUB</t>
  </si>
  <si>
    <t>PRON-DPM-2025-02-06-2024-T2-INPC_DES</t>
  </si>
  <si>
    <t>PRON-DPM-2025-02-06-2024-T2-SUB_DES</t>
  </si>
  <si>
    <t>PRON-DPM-2025-02-06-2024-T3-INPC</t>
  </si>
  <si>
    <t>PRON-DPM-2025-02-06-2024-T3-SUB</t>
  </si>
  <si>
    <t>PRON-DPM-2025-02-06-2024-T3-INPC_DES</t>
  </si>
  <si>
    <t>PRON-DPM-2025-02-06-2024-T3-SUB_DES</t>
  </si>
  <si>
    <t>PRON-DPM-2025-02-06-2024-T4-INPC</t>
  </si>
  <si>
    <t>PRON-DPM-2025-02-06-2024-T4-SUB</t>
  </si>
  <si>
    <t>PRON-DPM-2025-02-06-2024-T4-INPC_DES</t>
  </si>
  <si>
    <t>PRON-DPM-2025-02-06-2024-T4-SUB_DES</t>
  </si>
  <si>
    <t>PRON-DPM-2025-02-06-2025-T1-INPC</t>
  </si>
  <si>
    <t>PRON-DPM-2025-02-06-2025-T1-SUB</t>
  </si>
  <si>
    <t>PRON-DPM-2025-02-06-2025-T1-INPC_DES</t>
  </si>
  <si>
    <t>PRON-DPM-2025-02-06-2025-T1-SUB_DES</t>
  </si>
  <si>
    <t>PRON-DPM-2025-02-06-2025-T2-INPC</t>
  </si>
  <si>
    <t>PRON-DPM-2025-02-06-2025-T2-SUB</t>
  </si>
  <si>
    <t>PRON-DPM-2025-02-06-2025-T2-INPC_DES</t>
  </si>
  <si>
    <t>PRON-DPM-2025-02-06-2025-T2-SUB_DES</t>
  </si>
  <si>
    <t>PRON-DPM-2025-02-06-2025-T3-INPC</t>
  </si>
  <si>
    <t>PRON-DPM-2025-02-06-2025-T3-SUB</t>
  </si>
  <si>
    <t>PRON-DPM-2025-02-06-2025-T3-INPC_DES</t>
  </si>
  <si>
    <t>PRON-DPM-2025-02-06-2025-T3-SUB_DES</t>
  </si>
  <si>
    <t>PRON-DPM-2025-02-06-2025-T4-INPC</t>
  </si>
  <si>
    <t>PRON-DPM-2025-02-06-2025-T4-SUB</t>
  </si>
  <si>
    <t>PRON-DPM-2025-02-06-2025-T4-INPC_DES</t>
  </si>
  <si>
    <t>PRON-DPM-2025-02-06-2025-T4-SUB_DES</t>
  </si>
  <si>
    <t>PRON-DPM-2025-02-06-2026-T1-INPC</t>
  </si>
  <si>
    <t>PRON-DPM-2025-02-06-2026-T1-SUB</t>
  </si>
  <si>
    <t>PRON-DPM-2025-02-06-2026-T1-INPC_DES</t>
  </si>
  <si>
    <t>PRON-DPM-2025-02-06-2026-T1-SUB_DES</t>
  </si>
  <si>
    <t>PRON-DPM-2025-02-06-2026-T2-INPC</t>
  </si>
  <si>
    <t>PRON-DPM-2025-02-06-2026-T2-SUB</t>
  </si>
  <si>
    <t>PRON-DPM-2025-02-06-2026-T2-INPC_DES</t>
  </si>
  <si>
    <t>PRON-DPM-2025-02-06-2026-T2-SUB_DES</t>
  </si>
  <si>
    <t>PRON-DPM-2025-02-06-2026-T3-INPC</t>
  </si>
  <si>
    <t>PRON-DPM-2025-02-06-2026-T3-SUB</t>
  </si>
  <si>
    <t>PRON-DPM-2025-02-06-2026-T3-INPC_DES</t>
  </si>
  <si>
    <t>PRON-DPM-2025-02-06-2026-T3-SUB_DES</t>
  </si>
  <si>
    <t>PRON-DPM-2025-02-06-2026-T4-INPC</t>
  </si>
  <si>
    <t>PRON-DPM-2025-02-06-2026-T4-SUB</t>
  </si>
  <si>
    <t>PRON-DPM-2025-02-06-2026-T4-INPC_DES</t>
  </si>
  <si>
    <t>PRON-DPM-2025-02-06-2026-T4-SUB_DES</t>
  </si>
  <si>
    <t>PRON-DPM-2025-03-27-2024-T2-INPC</t>
  </si>
  <si>
    <t>PRON-DPM-2025-03-27-2024-T2-SUB</t>
  </si>
  <si>
    <t>PRON-DPM-2025-03-27-2024-T2-INPC_DES</t>
  </si>
  <si>
    <t>PRON-DPM-2025-03-27-2024-T2-SUB_DES</t>
  </si>
  <si>
    <t>PRON-DPM-2025-03-27-2024-T3-INPC</t>
  </si>
  <si>
    <t>PRON-DPM-2025-03-27-2024-T3-SUB</t>
  </si>
  <si>
    <t>PRON-DPM-2025-03-27-2024-T3-INPC_DES</t>
  </si>
  <si>
    <t>PRON-DPM-2025-03-27-2024-T3-SUB_DES</t>
  </si>
  <si>
    <t>PRON-DPM-2025-03-27-2024-T4-INPC</t>
  </si>
  <si>
    <t>PRON-DPM-2025-03-27-2024-T4-SUB</t>
  </si>
  <si>
    <t>PRON-DPM-2025-03-27-2024-T4-INPC_DES</t>
  </si>
  <si>
    <t>PRON-DPM-2025-03-27-2024-T4-SUB_DES</t>
  </si>
  <si>
    <t>PRON-DPM-2025-03-27-2025-T1-INPC</t>
  </si>
  <si>
    <t>PRON-DPM-2025-03-27-2025-T1-SUB</t>
  </si>
  <si>
    <t>PRON-DPM-2025-03-27-2025-T1-INPC_DES</t>
  </si>
  <si>
    <t>PRON-DPM-2025-03-27-2025-T1-SUB_DES</t>
  </si>
  <si>
    <t>PRON-DPM-2025-03-27-2025-T2-INPC</t>
  </si>
  <si>
    <t>PRON-DPM-2025-03-27-2025-T2-SUB</t>
  </si>
  <si>
    <t>PRON-DPM-2025-03-27-2025-T2-INPC_DES</t>
  </si>
  <si>
    <t>PRON-DPM-2025-03-27-2025-T2-SUB_DES</t>
  </si>
  <si>
    <t>PRON-DPM-2025-03-27-2025-T3-INPC</t>
  </si>
  <si>
    <t>PRON-DPM-2025-03-27-2025-T3-SUB</t>
  </si>
  <si>
    <t>PRON-DPM-2025-03-27-2025-T3-INPC_DES</t>
  </si>
  <si>
    <t>PRON-DPM-2025-03-27-2025-T3-SUB_DES</t>
  </si>
  <si>
    <t>PRON-DPM-2025-03-27-2025-T4-INPC</t>
  </si>
  <si>
    <t>PRON-DPM-2025-03-27-2025-T4-SUB</t>
  </si>
  <si>
    <t>PRON-DPM-2025-03-27-2025-T4-INPC_DES</t>
  </si>
  <si>
    <t>PRON-DPM-2025-03-27-2025-T4-SUB_DES</t>
  </si>
  <si>
    <t>PRON-DPM-2025-03-27-2026-T1-INPC</t>
  </si>
  <si>
    <t>PRON-DPM-2025-03-27-2026-T1-SUB</t>
  </si>
  <si>
    <t>PRON-DPM-2025-03-27-2026-T1-INPC_DES</t>
  </si>
  <si>
    <t>PRON-DPM-2025-03-27-2026-T1-SUB_DES</t>
  </si>
  <si>
    <t>PRON-DPM-2025-03-27-2026-T2-INPC</t>
  </si>
  <si>
    <t>PRON-DPM-2025-03-27-2026-T2-SUB</t>
  </si>
  <si>
    <t>PRON-DPM-2025-03-27-2026-T2-INPC_DES</t>
  </si>
  <si>
    <t>PRON-DPM-2025-03-27-2026-T2-SUB_DES</t>
  </si>
  <si>
    <t>PRON-DPM-2025-03-27-2026-T3-INPC</t>
  </si>
  <si>
    <t>PRON-DPM-2025-03-27-2026-T3-SUB</t>
  </si>
  <si>
    <t>PRON-DPM-2025-03-27-2026-T3-INPC_DES</t>
  </si>
  <si>
    <t>PRON-DPM-2025-03-27-2026-T3-SUB_DES</t>
  </si>
  <si>
    <t>PRON-DPM-2025-03-27-2026-T4-INPC</t>
  </si>
  <si>
    <t>PRON-DPM-2025-03-27-2026-T4-SUB</t>
  </si>
  <si>
    <t>PRON-DPM-2025-03-27-2026-T4-INPC_DES</t>
  </si>
  <si>
    <t>PRON-DPM-2025-03-27-2026-T4-SUB_DES</t>
  </si>
  <si>
    <t>PRON-DPM-2025-03-27-2027-T1-INPC</t>
  </si>
  <si>
    <t>2027-T1</t>
  </si>
  <si>
    <t>PRON-DPM-2025-03-27-2027-T1-SUB</t>
  </si>
  <si>
    <t>PRON-DPM-2025-03-27-2027-T1-INPC_DES</t>
  </si>
  <si>
    <t>PRON-DPM-2025-03-27-2027-T1-SUB_DES</t>
  </si>
  <si>
    <t>PRON-DPM-2025-05-15-2024-T2-INPC</t>
  </si>
  <si>
    <t>PRON-DPM-2025-05-15-2024-T2-SUB</t>
  </si>
  <si>
    <t>PRON-DPM-2025-05-15-2024-T2-INPC_DES</t>
  </si>
  <si>
    <t>PRON-DPM-2025-05-15-2024-T2-SUB_DES</t>
  </si>
  <si>
    <t>PRON-DPM-2025-05-15-2024-T3-INPC</t>
  </si>
  <si>
    <t>PRON-DPM-2025-05-15-2024-T3-SUB</t>
  </si>
  <si>
    <t>PRON-DPM-2025-05-15-2024-T3-INPC_DES</t>
  </si>
  <si>
    <t>PRON-DPM-2025-05-15-2024-T3-SUB_DES</t>
  </si>
  <si>
    <t>PRON-DPM-2025-05-15-2024-T4-INPC</t>
  </si>
  <si>
    <t>PRON-DPM-2025-05-15-2024-T4-SUB</t>
  </si>
  <si>
    <t>PRON-DPM-2025-05-15-2024-T4-INPC_DES</t>
  </si>
  <si>
    <t>PRON-DPM-2025-05-15-2024-T4-SUB_DES</t>
  </si>
  <si>
    <t>PRON-DPM-2025-05-15-2025-T1-INPC</t>
  </si>
  <si>
    <t>PRON-DPM-2025-05-15-2025-T1-SUB</t>
  </si>
  <si>
    <t>PRON-DPM-2025-05-15-2025-T1-INPC_DES</t>
  </si>
  <si>
    <t>PRON-DPM-2025-05-15-2025-T1-SUB_DES</t>
  </si>
  <si>
    <t>PRON-DPM-2025-05-15-2025-T2-INPC</t>
  </si>
  <si>
    <t>PRON-DPM-2025-05-15-2025-T2-SUB</t>
  </si>
  <si>
    <t>PRON-DPM-2025-05-15-2025-T2-INPC_DES</t>
  </si>
  <si>
    <t>PRON-DPM-2025-05-15-2025-T2-SUB_DES</t>
  </si>
  <si>
    <t>PRON-DPM-2025-05-15-2025-T3-INPC</t>
  </si>
  <si>
    <t>PRON-DPM-2025-05-15-2025-T3-SUB</t>
  </si>
  <si>
    <t>PRON-DPM-2025-05-15-2025-T3-INPC_DES</t>
  </si>
  <si>
    <t>PRON-DPM-2025-05-15-2025-T3-SUB_DES</t>
  </si>
  <si>
    <t>PRON-DPM-2025-05-15-2025-T4-INPC</t>
  </si>
  <si>
    <t>PRON-DPM-2025-05-15-2025-T4-SUB</t>
  </si>
  <si>
    <t>PRON-DPM-2025-05-15-2025-T4-INPC_DES</t>
  </si>
  <si>
    <t>PRON-DPM-2025-05-15-2025-T4-SUB_DES</t>
  </si>
  <si>
    <t>PRON-DPM-2025-05-15-2026-T1-INPC</t>
  </si>
  <si>
    <t>PRON-DPM-2025-05-15-2026-T1-SUB</t>
  </si>
  <si>
    <t>PRON-DPM-2025-05-15-2026-T1-INPC_DES</t>
  </si>
  <si>
    <t>PRON-DPM-2025-05-15-2026-T1-SUB_DES</t>
  </si>
  <si>
    <t>PRON-DPM-2025-05-15-2026-T2-INPC</t>
  </si>
  <si>
    <t>PRON-DPM-2025-05-15-2026-T2-SUB</t>
  </si>
  <si>
    <t>PRON-DPM-2025-05-15-2026-T2-INPC_DES</t>
  </si>
  <si>
    <t>PRON-DPM-2025-05-15-2026-T2-SUB_DES</t>
  </si>
  <si>
    <t>PRON-DPM-2025-05-15-2026-T3-INPC</t>
  </si>
  <si>
    <t>PRON-DPM-2025-05-15-2026-T3-SUB</t>
  </si>
  <si>
    <t>PRON-DPM-2025-05-15-2026-T3-INPC_DES</t>
  </si>
  <si>
    <t>PRON-DPM-2025-05-15-2026-T3-SUB_DES</t>
  </si>
  <si>
    <t>PRON-DPM-2025-05-15-2026-T4-INPC</t>
  </si>
  <si>
    <t>PRON-DPM-2025-05-15-2026-T4-SUB</t>
  </si>
  <si>
    <t>PRON-DPM-2025-05-15-2026-T4-INPC_DES</t>
  </si>
  <si>
    <t>PRON-DPM-2025-05-15-2026-T4-SUB_DES</t>
  </si>
  <si>
    <t>PRON-DPM-2025-05-15-2027-T1-INPC</t>
  </si>
  <si>
    <t>PRON-DPM-2025-05-15-2027-T1-SUB</t>
  </si>
  <si>
    <t>PRON-DPM-2025-05-15-2027-T1-INPC_DES</t>
  </si>
  <si>
    <t>PRON-DPM-2025-05-15-2027-T1-SUB_DES</t>
  </si>
  <si>
    <t>PRON-DPM-2025-06-26-2024-T3-INPC</t>
  </si>
  <si>
    <t>PRON-DPM-2025-06-26-2024-T3-SUB</t>
  </si>
  <si>
    <t>PRON-DPM-2025-06-26-2024-T3-INPC_DES</t>
  </si>
  <si>
    <t>PRON-DPM-2025-06-26-2024-T3-SUB_DES</t>
  </si>
  <si>
    <t>PRON-DPM-2025-06-26-2024-T4-INPC</t>
  </si>
  <si>
    <t>PRON-DPM-2025-06-26-2024-T4-SUB</t>
  </si>
  <si>
    <t>PRON-DPM-2025-06-26-2024-T4-INPC_DES</t>
  </si>
  <si>
    <t>PRON-DPM-2025-06-26-2024-T4-SUB_DES</t>
  </si>
  <si>
    <t>PRON-DPM-2025-06-26-2025-T1-INPC</t>
  </si>
  <si>
    <t>PRON-DPM-2025-06-26-2025-T1-SUB</t>
  </si>
  <si>
    <t>PRON-DPM-2025-06-26-2025-T1-INPC_DES</t>
  </si>
  <si>
    <t>PRON-DPM-2025-06-26-2025-T1-SUB_DES</t>
  </si>
  <si>
    <t>PRON-DPM-2025-06-26-2025-T2-INPC</t>
  </si>
  <si>
    <t>PRON-DPM-2025-06-26-2025-T2-SUB</t>
  </si>
  <si>
    <t>PRON-DPM-2025-06-26-2025-T2-INPC_DES</t>
  </si>
  <si>
    <t>PRON-DPM-2025-06-26-2025-T2-SUB_DES</t>
  </si>
  <si>
    <t>PRON-DPM-2025-06-26-2025-T3-INPC</t>
  </si>
  <si>
    <t>PRON-DPM-2025-06-26-2025-T3-SUB</t>
  </si>
  <si>
    <t>PRON-DPM-2025-06-26-2025-T3-INPC_DES</t>
  </si>
  <si>
    <t>PRON-DPM-2025-06-26-2025-T3-SUB_DES</t>
  </si>
  <si>
    <t>PRON-DPM-2025-06-26-2025-T4-INPC</t>
  </si>
  <si>
    <t>PRON-DPM-2025-06-26-2025-T4-SUB</t>
  </si>
  <si>
    <t>PRON-DPM-2025-06-26-2025-T4-INPC_DES</t>
  </si>
  <si>
    <t>PRON-DPM-2025-06-26-2025-T4-SUB_DES</t>
  </si>
  <si>
    <t>PRON-DPM-2025-06-26-2026-T1-INPC</t>
  </si>
  <si>
    <t>PRON-DPM-2025-06-26-2026-T1-SUB</t>
  </si>
  <si>
    <t>PRON-DPM-2025-06-26-2026-T1-INPC_DES</t>
  </si>
  <si>
    <t>PRON-DPM-2025-06-26-2026-T1-SUB_DES</t>
  </si>
  <si>
    <t>PRON-DPM-2025-06-26-2026-T2-INPC</t>
  </si>
  <si>
    <t>PRON-DPM-2025-06-26-2026-T2-SUB</t>
  </si>
  <si>
    <t>PRON-DPM-2025-06-26-2026-T2-INPC_DES</t>
  </si>
  <si>
    <t>PRON-DPM-2025-06-26-2026-T2-SUB_DES</t>
  </si>
  <si>
    <t>PRON-DPM-2025-06-26-2026-T3-INPC</t>
  </si>
  <si>
    <t>PRON-DPM-2025-06-26-2026-T3-SUB</t>
  </si>
  <si>
    <t>PRON-DPM-2025-06-26-2026-T3-INPC_DES</t>
  </si>
  <si>
    <t>PRON-DPM-2025-06-26-2026-T3-SUB_DES</t>
  </si>
  <si>
    <t>PRON-DPM-2025-06-26-2026-T4-INPC</t>
  </si>
  <si>
    <t>PRON-DPM-2025-06-26-2026-T4-SUB</t>
  </si>
  <si>
    <t>PRON-DPM-2025-06-26-2026-T4-INPC_DES</t>
  </si>
  <si>
    <t>PRON-DPM-2025-06-26-2026-T4-SUB_DES</t>
  </si>
  <si>
    <t>PRON-DPM-2025-06-26-2027-T1-INPC</t>
  </si>
  <si>
    <t>PRON-DPM-2025-06-26-2027-T1-SUB</t>
  </si>
  <si>
    <t>PRON-DPM-2025-06-26-2027-T1-INPC_DES</t>
  </si>
  <si>
    <t>PRON-DPM-2025-06-26-2027-T1-SUB_DES</t>
  </si>
  <si>
    <t>PRON-DPM-2025-06-26-2027-T2-INPC</t>
  </si>
  <si>
    <t>2027-T2</t>
  </si>
  <si>
    <t>PRON-DPM-2025-06-26-2027-T2-SUB</t>
  </si>
  <si>
    <t>PRON-DPM-2025-06-26-2027-T2-INPC_DES</t>
  </si>
  <si>
    <t>PRON-DPM-2025-06-26-2027-T2-SUB_DES</t>
  </si>
  <si>
    <t>PRON-DPM-2025-08-07-2024-T3-INPC</t>
  </si>
  <si>
    <t>PRON-DPM-2025-08-07-2024-T3-SUB</t>
  </si>
  <si>
    <t>PRON-DPM-2025-08-07-2024-T3-INPC_DES</t>
  </si>
  <si>
    <t>PRON-DPM-2025-08-07-2024-T3-SUB_DES</t>
  </si>
  <si>
    <t>PRON-DPM-2025-08-07-2024-T4-INPC</t>
  </si>
  <si>
    <t>PRON-DPM-2025-08-07-2024-T4-SUB</t>
  </si>
  <si>
    <t>PRON-DPM-2025-08-07-2024-T4-INPC_DES</t>
  </si>
  <si>
    <t>PRON-DPM-2025-08-07-2024-T4-SUB_DES</t>
  </si>
  <si>
    <t>PRON-DPM-2025-08-07-2025-T1-INPC</t>
  </si>
  <si>
    <t>PRON-DPM-2025-08-07-2025-T1-SUB</t>
  </si>
  <si>
    <t>PRON-DPM-2025-08-07-2025-T1-INPC_DES</t>
  </si>
  <si>
    <t>PRON-DPM-2025-08-07-2025-T1-SUB_DES</t>
  </si>
  <si>
    <t>PRON-DPM-2025-08-07-2025-T2-INPC</t>
  </si>
  <si>
    <t>PRON-DPM-2025-08-07-2025-T2-SUB</t>
  </si>
  <si>
    <t>PRON-DPM-2025-08-07-2025-T2-INPC_DES</t>
  </si>
  <si>
    <t>PRON-DPM-2025-08-07-2025-T2-SUB_DES</t>
  </si>
  <si>
    <t>PRON-DPM-2025-08-07-2025-T3-INPC</t>
  </si>
  <si>
    <t>PRON-DPM-2025-08-07-2025-T3-SUB</t>
  </si>
  <si>
    <t>PRON-DPM-2025-08-07-2025-T3-INPC_DES</t>
  </si>
  <si>
    <t>PRON-DPM-2025-08-07-2025-T3-SUB_DES</t>
  </si>
  <si>
    <t>PRON-DPM-2025-08-07-2025-T4-INPC</t>
  </si>
  <si>
    <t>PRON-DPM-2025-08-07-2025-T4-SUB</t>
  </si>
  <si>
    <t>PRON-DPM-2025-08-07-2025-T4-INPC_DES</t>
  </si>
  <si>
    <t>PRON-DPM-2025-08-07-2025-T4-SUB_DES</t>
  </si>
  <si>
    <t>PRON-DPM-2025-08-07-2026-T1-INPC</t>
  </si>
  <si>
    <t>PRON-DPM-2025-08-07-2026-T1-SUB</t>
  </si>
  <si>
    <t>PRON-DPM-2025-08-07-2026-T1-INPC_DES</t>
  </si>
  <si>
    <t>PRON-DPM-2025-08-07-2026-T1-SUB_DES</t>
  </si>
  <si>
    <t>PRON-DPM-2025-08-07-2026-T2-INPC</t>
  </si>
  <si>
    <t>PRON-DPM-2025-08-07-2026-T2-SUB</t>
  </si>
  <si>
    <t>PRON-DPM-2025-08-07-2026-T2-INPC_DES</t>
  </si>
  <si>
    <t>PRON-DPM-2025-08-07-2026-T2-SUB_DES</t>
  </si>
  <si>
    <t>PRON-DPM-2025-08-07-2026-T3-INPC</t>
  </si>
  <si>
    <t>PRON-DPM-2025-08-07-2026-T3-SUB</t>
  </si>
  <si>
    <t>PRON-DPM-2025-08-07-2026-T3-INPC_DES</t>
  </si>
  <si>
    <t>PRON-DPM-2025-08-07-2026-T3-SUB_DES</t>
  </si>
  <si>
    <t>PRON-DPM-2025-08-07-2026-T4-INPC</t>
  </si>
  <si>
    <t>PRON-DPM-2025-08-07-2026-T4-SUB</t>
  </si>
  <si>
    <t>PRON-DPM-2025-08-07-2026-T4-INPC_DES</t>
  </si>
  <si>
    <t>PRON-DPM-2025-08-07-2026-T4-SUB_DES</t>
  </si>
  <si>
    <t>PRON-DPM-2025-08-07-2027-T1-INPC</t>
  </si>
  <si>
    <t>PRON-DPM-2025-08-07-2027-T1-SUB</t>
  </si>
  <si>
    <t>PRON-DPM-2025-08-07-2027-T1-INPC_DES</t>
  </si>
  <si>
    <t>PRON-DPM-2025-08-07-2027-T1-SUB_DES</t>
  </si>
  <si>
    <t>PRON-DPM-2025-08-07-2027-T2-INPC</t>
  </si>
  <si>
    <t>PRON-DPM-2025-08-07-2027-T2-SUB</t>
  </si>
  <si>
    <t>PRON-DPM-2025-08-07-2027-T2-INPC_DES</t>
  </si>
  <si>
    <t>PRON-DPM-2025-08-07-2027-T2-SUB_DES</t>
  </si>
  <si>
    <t>PRON-DPM-2025-09-25-2024-T4-INPC</t>
  </si>
  <si>
    <t>PRON-DPM-2025-09-25-2024-T4-SUB</t>
  </si>
  <si>
    <t>PRON-DPM-2025-09-25-2024-T4-INPC_DES</t>
  </si>
  <si>
    <t>PRON-DPM-2025-09-25-2024-T4-SUB_DES</t>
  </si>
  <si>
    <t>PRON-DPM-2025-09-25-2025-T1-INPC</t>
  </si>
  <si>
    <t>PRON-DPM-2025-09-25-2025-T1-SUB</t>
  </si>
  <si>
    <t>PRON-DPM-2025-09-25-2025-T1-INPC_DES</t>
  </si>
  <si>
    <t>PRON-DPM-2025-09-25-2025-T1-SUB_DES</t>
  </si>
  <si>
    <t>PRON-DPM-2025-09-25-2025-T2-INPC</t>
  </si>
  <si>
    <t>PRON-DPM-2025-09-25-2025-T2-SUB</t>
  </si>
  <si>
    <t>PRON-DPM-2025-09-25-2025-T2-INPC_DES</t>
  </si>
  <si>
    <t>PRON-DPM-2025-09-25-2025-T2-SUB_DES</t>
  </si>
  <si>
    <t>PRON-DPM-2025-09-25-2025-T3-INPC</t>
  </si>
  <si>
    <t>PRON-DPM-2025-09-25-2025-T3-SUB</t>
  </si>
  <si>
    <t>PRON-DPM-2025-09-25-2025-T3-INPC_DES</t>
  </si>
  <si>
    <t>PRON-DPM-2025-09-25-2025-T3-SUB_DES</t>
  </si>
  <si>
    <t>PRON-DPM-2025-09-25-2025-T4-INPC</t>
  </si>
  <si>
    <t>PRON-DPM-2025-09-25-2025-T4-SUB</t>
  </si>
  <si>
    <t>PRON-DPM-2025-09-25-2025-T4-INPC_DES</t>
  </si>
  <si>
    <t>PRON-DPM-2025-09-25-2025-T4-SUB_DES</t>
  </si>
  <si>
    <t>PRON-DPM-2025-09-25-2026-T1-INPC</t>
  </si>
  <si>
    <t>PRON-DPM-2025-09-25-2026-T1-SUB</t>
  </si>
  <si>
    <t>PRON-DPM-2025-09-25-2026-T1-INPC_DES</t>
  </si>
  <si>
    <t>PRON-DPM-2025-09-25-2026-T1-SUB_DES</t>
  </si>
  <si>
    <t>PRON-DPM-2025-09-25-2026-T2-INPC</t>
  </si>
  <si>
    <t>PRON-DPM-2025-09-25-2026-T2-SUB</t>
  </si>
  <si>
    <t>PRON-DPM-2025-09-25-2026-T2-INPC_DES</t>
  </si>
  <si>
    <t>PRON-DPM-2025-09-25-2026-T2-SUB_DES</t>
  </si>
  <si>
    <t>PRON-DPM-2025-09-25-2026-T3-INPC</t>
  </si>
  <si>
    <t>PRON-DPM-2025-09-25-2026-T3-SUB</t>
  </si>
  <si>
    <t>PRON-DPM-2025-09-25-2026-T3-INPC_DES</t>
  </si>
  <si>
    <t>PRON-DPM-2025-09-25-2026-T3-SUB_DES</t>
  </si>
  <si>
    <t>PRON-DPM-2025-09-25-2026-T4-INPC</t>
  </si>
  <si>
    <t>PRON-DPM-2025-09-25-2026-T4-SUB</t>
  </si>
  <si>
    <t>PRON-DPM-2025-09-25-2026-T4-INPC_DES</t>
  </si>
  <si>
    <t>PRON-DPM-2025-09-25-2026-T4-SUB_DES</t>
  </si>
  <si>
    <t>PRON-DPM-2025-09-25-2027-T1-INPC</t>
  </si>
  <si>
    <t>PRON-DPM-2025-09-25-2027-T1-SUB</t>
  </si>
  <si>
    <t>PRON-DPM-2025-09-25-2027-T1-INPC_DES</t>
  </si>
  <si>
    <t>PRON-DPM-2025-09-25-2027-T1-SUB_DES</t>
  </si>
  <si>
    <t>PRON-DPM-2025-09-25-2027-T2-INPC</t>
  </si>
  <si>
    <t>PRON-DPM-2025-09-25-2027-T2-SUB</t>
  </si>
  <si>
    <t>PRON-DPM-2025-09-25-2027-T2-INPC_DES</t>
  </si>
  <si>
    <t>PRON-DPM-2025-09-25-2027-T2-SUB_DES</t>
  </si>
  <si>
    <t>PRON-DPM-2025-09-25-2027-T3-INPC</t>
  </si>
  <si>
    <t>2027-T3</t>
  </si>
  <si>
    <t>PRON-DPM-2025-09-25-2027-T3-SUB</t>
  </si>
  <si>
    <t>PRON-DPM-2025-09-25-2027-T3-INPC_DES</t>
  </si>
  <si>
    <t>PRON-DPM-2025-09-25-2027-T3-SUB_DES</t>
  </si>
  <si>
    <t>PRON-DPM-2025-11-06-2024-T4-INPC</t>
  </si>
  <si>
    <t>PRON-DPM-2025-11-06-2024-T4-SUB</t>
  </si>
  <si>
    <t>PRON-DPM-2025-11-06-2024-T4-INPC_DES</t>
  </si>
  <si>
    <t>PRON-DPM-2025-11-06-2024-T4-SUB_DES</t>
  </si>
  <si>
    <t>PRON-DPM-2025-11-06-2025-T1-INPC</t>
  </si>
  <si>
    <t>PRON-DPM-2025-11-06-2025-T1-SUB</t>
  </si>
  <si>
    <t>PRON-DPM-2025-11-06-2025-T1-INPC_DES</t>
  </si>
  <si>
    <t>PRON-DPM-2025-11-06-2025-T1-SUB_DES</t>
  </si>
  <si>
    <t>PRON-DPM-2025-11-06-2025-T2-INPC</t>
  </si>
  <si>
    <t>PRON-DPM-2025-11-06-2025-T2-SUB</t>
  </si>
  <si>
    <t>PRON-DPM-2025-11-06-2025-T2-INPC_DES</t>
  </si>
  <si>
    <t>PRON-DPM-2025-11-06-2025-T2-SUB_DES</t>
  </si>
  <si>
    <t>PRON-DPM-2025-11-06-2025-T3-INPC</t>
  </si>
  <si>
    <t>PRON-DPM-2025-11-06-2025-T3-SUB</t>
  </si>
  <si>
    <t>PRON-DPM-2025-11-06-2025-T3-INPC_DES</t>
  </si>
  <si>
    <t>PRON-DPM-2025-11-06-2025-T3-SUB_DES</t>
  </si>
  <si>
    <t>PRON-DPM-2025-11-06-2025-T4-INPC</t>
  </si>
  <si>
    <t>PRON-DPM-2025-11-06-2025-T4-SUB</t>
  </si>
  <si>
    <t>PRON-DPM-2025-11-06-2025-T4-INPC_DES</t>
  </si>
  <si>
    <t>PRON-DPM-2025-11-06-2025-T4-SUB_DES</t>
  </si>
  <si>
    <t>PRON-DPM-2025-11-06-2026-T1-INPC</t>
  </si>
  <si>
    <t>PRON-DPM-2025-11-06-2026-T1-SUB</t>
  </si>
  <si>
    <t>PRON-DPM-2025-11-06-2026-T1-INPC_DES</t>
  </si>
  <si>
    <t>PRON-DPM-2025-11-06-2026-T1-SUB_DES</t>
  </si>
  <si>
    <t>PRON-DPM-2025-11-06-2026-T2-INPC</t>
  </si>
  <si>
    <t>PRON-DPM-2025-11-06-2026-T2-SUB</t>
  </si>
  <si>
    <t>PRON-DPM-2025-11-06-2026-T2-INPC_DES</t>
  </si>
  <si>
    <t>PRON-DPM-2025-11-06-2026-T2-SUB_DES</t>
  </si>
  <si>
    <t>PRON-DPM-2025-11-06-2026-T3-INPC</t>
  </si>
  <si>
    <t>PRON-DPM-2025-11-06-2026-T3-SUB</t>
  </si>
  <si>
    <t>PRON-DPM-2025-11-06-2026-T3-INPC_DES</t>
  </si>
  <si>
    <t>PRON-DPM-2025-11-06-2026-T3-SUB_DES</t>
  </si>
  <si>
    <t>PRON-DPM-2025-11-06-2026-T4-INPC</t>
  </si>
  <si>
    <t>PRON-DPM-2025-11-06-2026-T4-SUB</t>
  </si>
  <si>
    <t>PRON-DPM-2025-11-06-2026-T4-INPC_DES</t>
  </si>
  <si>
    <t>PRON-DPM-2025-11-06-2026-T4-SUB_DES</t>
  </si>
  <si>
    <t>PRON-DPM-2025-11-06-2027-T1-INPC</t>
  </si>
  <si>
    <t>PRON-DPM-2025-11-06-2027-T1-SUB</t>
  </si>
  <si>
    <t>PRON-DPM-2025-11-06-2027-T1-INPC_DES</t>
  </si>
  <si>
    <t>PRON-DPM-2025-11-06-2027-T1-SUB_DES</t>
  </si>
  <si>
    <t>PRON-DPM-2025-11-06-2027-T2-INPC</t>
  </si>
  <si>
    <t>PRON-DPM-2025-11-06-2027-T2-SUB</t>
  </si>
  <si>
    <t>PRON-DPM-2025-11-06-2027-T2-INPC_DES</t>
  </si>
  <si>
    <t>PRON-DPM-2025-11-06-2027-T2-SUB_DES</t>
  </si>
  <si>
    <t>PRON-DPM-2025-11-06-2027-T3-INPC</t>
  </si>
  <si>
    <t>PRON-DPM-2025-11-06-2027-T3-SUB</t>
  </si>
  <si>
    <t>PRON-DPM-2025-11-06-2027-T3-INPC_DES</t>
  </si>
  <si>
    <t>PRON-DPM-2025-11-06-2027-T3-SUB_DES</t>
  </si>
  <si>
    <t>PRON-DPM-2025-12-18-2025-T1-INPC</t>
  </si>
  <si>
    <t>PRON-DPM-2025-12-18-2025-T1-SUB</t>
  </si>
  <si>
    <t>PRON-DPM-2025-12-18-2025-T1-INPC_DES</t>
  </si>
  <si>
    <t>PRON-DPM-2025-12-18-2025-T1-SUB_DES</t>
  </si>
  <si>
    <t>PRON-DPM-2025-12-18-2025-T2-INPC</t>
  </si>
  <si>
    <t>PRON-DPM-2025-12-18-2025-T2-SUB</t>
  </si>
  <si>
    <t>PRON-DPM-2025-12-18-2025-T2-INPC_DES</t>
  </si>
  <si>
    <t>PRON-DPM-2025-12-18-2025-T2-SUB_DES</t>
  </si>
  <si>
    <t>PRON-DPM-2025-12-18-2025-T3-INPC</t>
  </si>
  <si>
    <t>PRON-DPM-2025-12-18-2025-T3-SUB</t>
  </si>
  <si>
    <t>PRON-DPM-2025-12-18-2025-T3-INPC_DES</t>
  </si>
  <si>
    <t>PRON-DPM-2025-12-18-2025-T3-SUB_DES</t>
  </si>
  <si>
    <t>PRON-DPM-2025-12-18-2025-T4-INPC</t>
  </si>
  <si>
    <t>PRON-DPM-2025-12-18-2025-T4-SUB</t>
  </si>
  <si>
    <t>PRON-DPM-2025-12-18-2025-T4-INPC_DES</t>
  </si>
  <si>
    <t>PRON-DPM-2025-12-18-2025-T4-SUB_DES</t>
  </si>
  <si>
    <t>PRON-DPM-2025-12-18-2026-T1-INPC</t>
  </si>
  <si>
    <t>PRON-DPM-2025-12-18-2026-T1-SUB</t>
  </si>
  <si>
    <t>PRON-DPM-2025-12-18-2026-T1-INPC_DES</t>
  </si>
  <si>
    <t>PRON-DPM-2025-12-18-2026-T1-SUB_DES</t>
  </si>
  <si>
    <t>PRON-DPM-2025-12-18-2026-T2-INPC</t>
  </si>
  <si>
    <t>PRON-DPM-2025-12-18-2026-T2-SUB</t>
  </si>
  <si>
    <t>PRON-DPM-2025-12-18-2026-T2-INPC_DES</t>
  </si>
  <si>
    <t>PRON-DPM-2025-12-18-2026-T2-SUB_DES</t>
  </si>
  <si>
    <t>PRON-DPM-2025-12-18-2026-T3-INPC</t>
  </si>
  <si>
    <t>PRON-DPM-2025-12-18-2026-T3-SUB</t>
  </si>
  <si>
    <t>PRON-DPM-2025-12-18-2026-T3-INPC_DES</t>
  </si>
  <si>
    <t>PRON-DPM-2025-12-18-2026-T3-SUB_DES</t>
  </si>
  <si>
    <t>PRON-DPM-2025-12-18-2026-T4-INPC</t>
  </si>
  <si>
    <t>PRON-DPM-2025-12-18-2026-T4-SUB</t>
  </si>
  <si>
    <t>PRON-DPM-2025-12-18-2026-T4-INPC_DES</t>
  </si>
  <si>
    <t>PRON-DPM-2025-12-18-2026-T4-SUB_DES</t>
  </si>
  <si>
    <t>PRON-DPM-2025-12-18-2027-T1-INPC</t>
  </si>
  <si>
    <t>PRON-DPM-2025-12-18-2027-T1-SUB</t>
  </si>
  <si>
    <t>PRON-DPM-2025-12-18-2027-T1-INPC_DES</t>
  </si>
  <si>
    <t>PRON-DPM-2025-12-18-2027-T1-SUB_DES</t>
  </si>
  <si>
    <t>PRON-DPM-2025-12-18-2027-T2-INPC</t>
  </si>
  <si>
    <t>PRON-DPM-2025-12-18-2027-T2-SUB</t>
  </si>
  <si>
    <t>PRON-DPM-2025-12-18-2027-T2-INPC_DES</t>
  </si>
  <si>
    <t>PRON-DPM-2025-12-18-2027-T2-SUB_DES</t>
  </si>
  <si>
    <t>PRON-DPM-2025-12-18-2027-T3-INPC</t>
  </si>
  <si>
    <t>PRON-DPM-2025-12-18-2027-T3-SUB</t>
  </si>
  <si>
    <t>PRON-DPM-2025-12-18-2027-T3-INPC_DES</t>
  </si>
  <si>
    <t>PRON-DPM-2025-12-18-2027-T3-SUB_DES</t>
  </si>
  <si>
    <t>PRON-DPM-2025-12-18-2027-T4-INPC</t>
  </si>
  <si>
    <t>2027-T4</t>
  </si>
  <si>
    <t>PRON-DPM-2025-12-18-2027-T4-SUB</t>
  </si>
  <si>
    <t>PRON-DPM-2025-12-18-2027-T4-INPC_DES</t>
  </si>
  <si>
    <t>PRON-DPM-2025-12-18-2027-T4-SUB_DES</t>
  </si>
  <si>
    <t>PRON-DPM-2026-02-05-2025-T1-INPC</t>
  </si>
  <si>
    <t>PRON-DPM-2026-02-05-2025-T1-SUB</t>
  </si>
  <si>
    <t>PRON-DPM-2026-02-05-2025-T1-INPC_DES</t>
  </si>
  <si>
    <t>PRON-DPM-2026-02-05-2025-T1-SUB_DES</t>
  </si>
  <si>
    <t>PRON-DPM-2026-02-05-2025-T2-INPC</t>
  </si>
  <si>
    <t>PRON-DPM-2026-02-05-2025-T2-SUB</t>
  </si>
  <si>
    <t>PRON-DPM-2026-02-05-2025-T2-INPC_DES</t>
  </si>
  <si>
    <t>PRON-DPM-2026-02-05-2025-T2-SUB_DES</t>
  </si>
  <si>
    <t>PRON-DPM-2026-02-05-2025-T3-INPC</t>
  </si>
  <si>
    <t>PRON-DPM-2026-02-05-2025-T3-SUB</t>
  </si>
  <si>
    <t>PRON-DPM-2026-02-05-2025-T3-INPC_DES</t>
  </si>
  <si>
    <t>PRON-DPM-2026-02-05-2025-T3-SUB_DES</t>
  </si>
  <si>
    <t>PRON-DPM-2026-02-05-2025-T4-INPC</t>
  </si>
  <si>
    <t>PRON-DPM-2026-02-05-2025-T4-SUB</t>
  </si>
  <si>
    <t>PRON-DPM-2026-02-05-2025-T4-INPC_DES</t>
  </si>
  <si>
    <t>PRON-DPM-2026-02-05-2025-T4-SUB_DES</t>
  </si>
  <si>
    <t>PRON-DPM-2026-02-05-2026-T1-INPC</t>
  </si>
  <si>
    <t>PRON-DPM-2026-02-05-2026-T1-SUB</t>
  </si>
  <si>
    <t>PRON-DPM-2026-02-05-2026-T1-INPC_DES</t>
  </si>
  <si>
    <t>PRON-DPM-2026-02-05-2026-T1-SUB_DES</t>
  </si>
  <si>
    <t>PRON-DPM-2026-02-05-2026-T2-INPC</t>
  </si>
  <si>
    <t>PRON-DPM-2026-02-05-2026-T2-SUB</t>
  </si>
  <si>
    <t>PRON-DPM-2026-02-05-2026-T2-INPC_DES</t>
  </si>
  <si>
    <t>PRON-DPM-2026-02-05-2026-T2-SUB_DES</t>
  </si>
  <si>
    <t>PRON-DPM-2026-02-05-2026-T3-INPC</t>
  </si>
  <si>
    <t>PRON-DPM-2026-02-05-2026-T3-SUB</t>
  </si>
  <si>
    <t>PRON-DPM-2026-02-05-2026-T3-INPC_DES</t>
  </si>
  <si>
    <t>PRON-DPM-2026-02-05-2026-T3-SUB_DES</t>
  </si>
  <si>
    <t>PRON-DPM-2026-02-05-2026-T4-INPC</t>
  </si>
  <si>
    <t>PRON-DPM-2026-02-05-2026-T4-SUB</t>
  </si>
  <si>
    <t>PRON-DPM-2026-02-05-2026-T4-INPC_DES</t>
  </si>
  <si>
    <t>PRON-DPM-2026-02-05-2026-T4-SUB_DES</t>
  </si>
  <si>
    <t>PRON-DPM-2026-02-05-2027-T1-INPC</t>
  </si>
  <si>
    <t>PRON-DPM-2026-02-05-2027-T1-SUB</t>
  </si>
  <si>
    <t>PRON-DPM-2026-02-05-2027-T1-INPC_DES</t>
  </si>
  <si>
    <t>PRON-DPM-2026-02-05-2027-T1-SUB_DES</t>
  </si>
  <si>
    <t>PRON-DPM-2026-02-05-2027-T2-INPC</t>
  </si>
  <si>
    <t>PRON-DPM-2026-02-05-2027-T2-SUB</t>
  </si>
  <si>
    <t>PRON-DPM-2026-02-05-2027-T2-INPC_DES</t>
  </si>
  <si>
    <t>PRON-DPM-2026-02-05-2027-T2-SUB_DES</t>
  </si>
  <si>
    <t>PRON-DPM-2026-02-05-2027-T3-INPC</t>
  </si>
  <si>
    <t>PRON-DPM-2026-02-05-2027-T3-SUB</t>
  </si>
  <si>
    <t>PRON-DPM-2026-02-05-2027-T3-INPC_DES</t>
  </si>
  <si>
    <t>PRON-DPM-2026-02-05-2027-T3-SUB_DES</t>
  </si>
  <si>
    <t>PRON-DPM-2026-02-05-2027-T4-INPC</t>
  </si>
  <si>
    <t>PRON-DPM-2026-02-05-2027-T4-SUB</t>
  </si>
  <si>
    <t>PRON-DPM-2026-02-05-2027-T4-INPC_DES</t>
  </si>
  <si>
    <t>PRON-DPM-2026-02-05-2027-T4-SUB_DES</t>
  </si>
  <si>
    <t>PRON-DPM-2026-03-26-2025-T2-INPC</t>
  </si>
  <si>
    <t>PRON-DPM-2026-03-26-2025-T2-SUB</t>
  </si>
  <si>
    <t>PRON-DPM-2026-03-26-2025-T2-INPC_DES</t>
  </si>
  <si>
    <t>PRON-DPM-2026-03-26-2025-T2-SUB_DES</t>
  </si>
  <si>
    <t>PRON-DPM-2026-03-26-2025-T3-INPC</t>
  </si>
  <si>
    <t>PRON-DPM-2026-03-26-2025-T3-SUB</t>
  </si>
  <si>
    <t>PRON-DPM-2026-03-26-2025-T3-INPC_DES</t>
  </si>
  <si>
    <t>PRON-DPM-2026-03-26-2025-T3-SUB_DES</t>
  </si>
  <si>
    <t>PRON-DPM-2026-03-26-2025-T4-INPC</t>
  </si>
  <si>
    <t>PRON-DPM-2026-03-26-2025-T4-SUB</t>
  </si>
  <si>
    <t>PRON-DPM-2026-03-26-2025-T4-INPC_DES</t>
  </si>
  <si>
    <t>PRON-DPM-2026-03-26-2025-T4-SUB_DES</t>
  </si>
  <si>
    <t>PRON-DPM-2026-03-26-2026-T1-INPC</t>
  </si>
  <si>
    <t>PRON-DPM-2026-03-26-2026-T1-SUB</t>
  </si>
  <si>
    <t>PRON-DPM-2026-03-26-2026-T1-INPC_DES</t>
  </si>
  <si>
    <t>PRON-DPM-2026-03-26-2026-T1-SUB_DES</t>
  </si>
  <si>
    <t>PRON-DPM-2026-03-26-2026-T2-INPC</t>
  </si>
  <si>
    <t>PRON-DPM-2026-03-26-2026-T2-SUB</t>
  </si>
  <si>
    <t>PRON-DPM-2026-03-26-2026-T2-INPC_DES</t>
  </si>
  <si>
    <t>PRON-DPM-2026-03-26-2026-T2-SUB_DES</t>
  </si>
  <si>
    <t>PRON-DPM-2026-03-26-2026-T3-INPC</t>
  </si>
  <si>
    <t>PRON-DPM-2026-03-26-2026-T3-SUB</t>
  </si>
  <si>
    <t>PRON-DPM-2026-03-26-2026-T3-INPC_DES</t>
  </si>
  <si>
    <t>PRON-DPM-2026-03-26-2026-T3-SUB_DES</t>
  </si>
  <si>
    <t>PRON-DPM-2026-03-26-2026-T4-INPC</t>
  </si>
  <si>
    <t>PRON-DPM-2026-03-26-2026-T4-SUB</t>
  </si>
  <si>
    <t>PRON-DPM-2026-03-26-2026-T4-INPC_DES</t>
  </si>
  <si>
    <t>PRON-DPM-2026-03-26-2026-T4-SUB_DES</t>
  </si>
  <si>
    <t>PRON-DPM-2026-03-26-2027-T1-INPC</t>
  </si>
  <si>
    <t>PRON-DPM-2026-03-26-2027-T1-SUB</t>
  </si>
  <si>
    <t>PRON-DPM-2026-03-26-2027-T1-INPC_DES</t>
  </si>
  <si>
    <t>PRON-DPM-2026-03-26-2027-T1-SUB_DES</t>
  </si>
  <si>
    <t>PRON-DPM-2026-03-26-2027-T2-INPC</t>
  </si>
  <si>
    <t>PRON-DPM-2026-03-26-2027-T2-SUB</t>
  </si>
  <si>
    <t>PRON-DPM-2026-03-26-2027-T2-INPC_DES</t>
  </si>
  <si>
    <t>PRON-DPM-2026-03-26-2027-T2-SUB_DES</t>
  </si>
  <si>
    <t>PRON-DPM-2026-03-26-2027-T3-INPC</t>
  </si>
  <si>
    <t>PRON-DPM-2026-03-26-2027-T3-SUB</t>
  </si>
  <si>
    <t>PRON-DPM-2026-03-26-2027-T3-INPC_DES</t>
  </si>
  <si>
    <t>PRON-DPM-2026-03-26-2027-T3-SUB_DES</t>
  </si>
  <si>
    <t>PRON-DPM-2026-03-26-2027-T4-INPC</t>
  </si>
  <si>
    <t>PRON-DPM-2026-03-26-2027-T4-SUB</t>
  </si>
  <si>
    <t>PRON-DPM-2026-03-26-2027-T4-INPC_DES</t>
  </si>
  <si>
    <t>PRON-DPM-2026-03-26-2027-T4-SUB_DES</t>
  </si>
  <si>
    <t>PRON-DPM-2026-03-26-2028-T1-INPC</t>
  </si>
  <si>
    <t>2028-T1</t>
  </si>
  <si>
    <t>PRON-DPM-2026-03-26-2028-T1-SUB</t>
  </si>
  <si>
    <t>PRON-DPM-2026-03-26-2028-T1-INPC_DES</t>
  </si>
  <si>
    <t>PRON-DPM-2026-03-26-2028-T1-SUB_DES</t>
  </si>
  <si>
    <t>PRON-DPM-2026-05-07-2025-T2-INPC</t>
  </si>
  <si>
    <t>PRON-DPM-2026-05-07-2025-T2-SUB</t>
  </si>
  <si>
    <t>PRON-DPM-2026-05-07-2025-T2-INPC_DES</t>
  </si>
  <si>
    <t>PRON-DPM-2026-05-07-2025-T2-SUB_DES</t>
  </si>
  <si>
    <t>PRON-DPM-2026-05-07-2025-T3-INPC</t>
  </si>
  <si>
    <t>PRON-DPM-2026-05-07-2025-T3-SUB</t>
  </si>
  <si>
    <t>PRON-DPM-2026-05-07-2025-T3-INPC_DES</t>
  </si>
  <si>
    <t>PRON-DPM-2026-05-07-2025-T3-SUB_DES</t>
  </si>
  <si>
    <t>PRON-DPM-2026-05-07-2025-T4-INPC</t>
  </si>
  <si>
    <t>PRON-DPM-2026-05-07-2025-T4-SUB</t>
  </si>
  <si>
    <t>PRON-DPM-2026-05-07-2025-T4-INPC_DES</t>
  </si>
  <si>
    <t>PRON-DPM-2026-05-07-2025-T4-SUB_DES</t>
  </si>
  <si>
    <t>PRON-DPM-2026-05-07-2026-T1-INPC</t>
  </si>
  <si>
    <t>PRON-DPM-2026-05-07-2026-T1-SUB</t>
  </si>
  <si>
    <t>PRON-DPM-2026-05-07-2026-T1-INPC_DES</t>
  </si>
  <si>
    <t>PRON-DPM-2026-05-07-2026-T1-SUB_DES</t>
  </si>
  <si>
    <t>PRON-DPM-2026-05-07-2026-T2-INPC</t>
  </si>
  <si>
    <t>PRON-DPM-2026-05-07-2026-T2-SUB</t>
  </si>
  <si>
    <t>PRON-DPM-2026-05-07-2026-T2-INPC_DES</t>
  </si>
  <si>
    <t>PRON-DPM-2026-05-07-2026-T2-SUB_DES</t>
  </si>
  <si>
    <t>PRON-DPM-2026-05-07-2026-T3-INPC</t>
  </si>
  <si>
    <t>PRON-DPM-2026-05-07-2026-T3-SUB</t>
  </si>
  <si>
    <t>PRON-DPM-2026-05-07-2026-T3-INPC_DES</t>
  </si>
  <si>
    <t>PRON-DPM-2026-05-07-2026-T3-SUB_DES</t>
  </si>
  <si>
    <t>PRON-DPM-2026-05-07-2026-T4-INPC</t>
  </si>
  <si>
    <t>PRON-DPM-2026-05-07-2026-T4-SUB</t>
  </si>
  <si>
    <t>PRON-DPM-2026-05-07-2026-T4-INPC_DES</t>
  </si>
  <si>
    <t>PRON-DPM-2026-05-07-2026-T4-SUB_DES</t>
  </si>
  <si>
    <t>PRON-DPM-2026-05-07-2027-T1-INPC</t>
  </si>
  <si>
    <t>PRON-DPM-2026-05-07-2027-T1-SUB</t>
  </si>
  <si>
    <t>PRON-DPM-2026-05-07-2027-T1-INPC_DES</t>
  </si>
  <si>
    <t>PRON-DPM-2026-05-07-2027-T1-SUB_DES</t>
  </si>
  <si>
    <t>PRON-DPM-2026-05-07-2027-T2-INPC</t>
  </si>
  <si>
    <t>PRON-DPM-2026-05-07-2027-T2-SUB</t>
  </si>
  <si>
    <t>PRON-DPM-2026-05-07-2027-T2-INPC_DES</t>
  </si>
  <si>
    <t>PRON-DPM-2026-05-07-2027-T2-SUB_DES</t>
  </si>
  <si>
    <t>PRON-DPM-2026-05-07-2027-T3-INPC</t>
  </si>
  <si>
    <t>PRON-DPM-2026-05-07-2027-T3-SUB</t>
  </si>
  <si>
    <t>PRON-DPM-2026-05-07-2027-T3-INPC_DES</t>
  </si>
  <si>
    <t>PRON-DPM-2026-05-07-2027-T3-SUB_DES</t>
  </si>
  <si>
    <t>PRON-DPM-2026-05-07-2027-T4-INPC</t>
  </si>
  <si>
    <t>PRON-DPM-2026-05-07-2027-T4-SUB</t>
  </si>
  <si>
    <t>PRON-DPM-2026-05-07-2027-T4-INPC_DES</t>
  </si>
  <si>
    <t>PRON-DPM-2026-05-07-2027-T4-SUB_DES</t>
  </si>
  <si>
    <t>PRON-DPM-2026-05-07-2028-T1-INPC</t>
  </si>
  <si>
    <t>PRON-DPM-2026-05-07-2028-T1-SUB</t>
  </si>
  <si>
    <t>PRON-DPM-2026-05-07-2028-T1-INPC_DES</t>
  </si>
  <si>
    <t>PRON-DPM-2026-05-07-2028-T1-SUB_DES</t>
  </si>
  <si>
    <t>PRON-DPM-2026-06-25-2025-T3-INPC</t>
  </si>
  <si>
    <t>PRON-DPM-2026-06-25-2025-T3-SUB</t>
  </si>
  <si>
    <t>PRON-DPM-2026-06-25-2025-T3-INPC_DES</t>
  </si>
  <si>
    <t>PRON-DPM-2026-06-25-2025-T3-SUB_DES</t>
  </si>
  <si>
    <t>PRON-DPM-2026-06-25-2025-T4-INPC</t>
  </si>
  <si>
    <t>PRON-DPM-2026-06-25-2025-T4-SUB</t>
  </si>
  <si>
    <t>PRON-DPM-2026-06-25-2025-T4-INPC_DES</t>
  </si>
  <si>
    <t>PRON-DPM-2026-06-25-2025-T4-SUB_DES</t>
  </si>
  <si>
    <t>PRON-DPM-2026-06-25-2026-T1-INPC</t>
  </si>
  <si>
    <t>PRON-DPM-2026-06-25-2026-T1-SUB</t>
  </si>
  <si>
    <t>PRON-DPM-2026-06-25-2026-T1-INPC_DES</t>
  </si>
  <si>
    <t>PRON-DPM-2026-06-25-2026-T1-SUB_DES</t>
  </si>
  <si>
    <t>PRON-DPM-2026-06-25-2026-T2-INPC</t>
  </si>
  <si>
    <t>PRON-DPM-2026-06-25-2026-T2-SUB</t>
  </si>
  <si>
    <t>PRON-DPM-2026-06-25-2026-T2-INPC_DES</t>
  </si>
  <si>
    <t>PRON-DPM-2026-06-25-2026-T2-SUB_DES</t>
  </si>
  <si>
    <t>PRON-DPM-2026-06-25-2026-T3-INPC</t>
  </si>
  <si>
    <t>PRON-DPM-2026-06-25-2026-T3-SUB</t>
  </si>
  <si>
    <t>PRON-DPM-2026-06-25-2026-T3-INPC_DES</t>
  </si>
  <si>
    <t>PRON-DPM-2026-06-25-2026-T3-SUB_DES</t>
  </si>
  <si>
    <t>PRON-DPM-2026-06-25-2026-T4-INPC</t>
  </si>
  <si>
    <t>PRON-DPM-2026-06-25-2026-T4-SUB</t>
  </si>
  <si>
    <t>PRON-DPM-2026-06-25-2026-T4-INPC_DES</t>
  </si>
  <si>
    <t>PRON-DPM-2026-06-25-2026-T4-SUB_DES</t>
  </si>
  <si>
    <t>PRON-DPM-2026-06-25-2027-T1-INPC</t>
  </si>
  <si>
    <t>PRON-DPM-2026-06-25-2027-T1-SUB</t>
  </si>
  <si>
    <t>PRON-DPM-2026-06-25-2027-T1-INPC_DES</t>
  </si>
  <si>
    <t>PRON-DPM-2026-06-25-2027-T1-SUB_DES</t>
  </si>
  <si>
    <t>PRON-DPM-2026-06-25-2027-T2-INPC</t>
  </si>
  <si>
    <t>PRON-DPM-2026-06-25-2027-T2-SUB</t>
  </si>
  <si>
    <t>PRON-DPM-2026-06-25-2027-T2-INPC_DES</t>
  </si>
  <si>
    <t>PRON-DPM-2026-06-25-2027-T2-SUB_DES</t>
  </si>
  <si>
    <t>PRON-DPM-2026-06-25-2027-T3-INPC</t>
  </si>
  <si>
    <t>PRON-DPM-2026-06-25-2027-T3-SUB</t>
  </si>
  <si>
    <t>PRON-DPM-2026-06-25-2027-T3-INPC_DES</t>
  </si>
  <si>
    <t>PRON-DPM-2026-06-25-2027-T3-SUB_DES</t>
  </si>
  <si>
    <t>PRON-DPM-2026-06-25-2027-T4-INPC</t>
  </si>
  <si>
    <t>PRON-DPM-2026-06-25-2027-T4-SUB</t>
  </si>
  <si>
    <t>PRON-DPM-2026-06-25-2027-T4-INPC_DES</t>
  </si>
  <si>
    <t>PRON-DPM-2026-06-25-2027-T4-SUB_DES</t>
  </si>
  <si>
    <t>PRON-DPM-2026-06-25-2028-T1-INPC</t>
  </si>
  <si>
    <t>PRON-DPM-2026-06-25-2028-T1-SUB</t>
  </si>
  <si>
    <t>PRON-DPM-2026-06-25-2028-T1-INPC_DES</t>
  </si>
  <si>
    <t>PRON-DPM-2026-06-25-2028-T1-SUB_DES</t>
  </si>
  <si>
    <t>PRON-DPM-2026-06-25-2028-T2-INPC</t>
  </si>
  <si>
    <t>2028-T2</t>
  </si>
  <si>
    <t>PRON-DPM-2026-06-25-2028-T2-SUB</t>
  </si>
  <si>
    <t>PRON-DPM-2026-06-25-2028-T2-INPC_DES</t>
  </si>
  <si>
    <t>PRON-DPM-2026-06-25-2028-T2-SUB_DES</t>
  </si>
  <si>
    <t>PRON-DPM-2026-08-06-2025-T3-INPC</t>
  </si>
  <si>
    <t>PRON-DPM-2026-08-06-2025-T3-SUB</t>
  </si>
  <si>
    <t>PRON-DPM-2026-08-06-2025-T3-INPC_DES</t>
  </si>
  <si>
    <t>PRON-DPM-2026-08-06-2025-T3-SUB_DES</t>
  </si>
  <si>
    <t>PRON-DPM-2026-08-06-2025-T4-INPC</t>
  </si>
  <si>
    <t>PRON-DPM-2026-08-06-2025-T4-SUB</t>
  </si>
  <si>
    <t>PRON-DPM-2026-08-06-2025-T4-INPC_DES</t>
  </si>
  <si>
    <t>PRON-DPM-2026-08-06-2025-T4-SUB_DES</t>
  </si>
  <si>
    <t>PRON-DPM-2026-08-06-2026-T1-INPC</t>
  </si>
  <si>
    <t>PRON-DPM-2026-08-06-2026-T1-SUB</t>
  </si>
  <si>
    <t>PRON-DPM-2026-08-06-2026-T1-INPC_DES</t>
  </si>
  <si>
    <t>PRON-DPM-2026-08-06-2026-T1-SUB_DES</t>
  </si>
  <si>
    <t>PRON-DPM-2026-08-06-2026-T2-INPC</t>
  </si>
  <si>
    <t>PRON-DPM-2026-08-06-2026-T2-SUB</t>
  </si>
  <si>
    <t>PRON-DPM-2026-08-06-2026-T2-INPC_DES</t>
  </si>
  <si>
    <t>PRON-DPM-2026-08-06-2026-T2-SUB_DES</t>
  </si>
  <si>
    <t>PRON-DPM-2026-08-06-2026-T3-INPC</t>
  </si>
  <si>
    <t>PRON-DPM-2026-08-06-2026-T3-SUB</t>
  </si>
  <si>
    <t>PRON-DPM-2026-08-06-2026-T3-INPC_DES</t>
  </si>
  <si>
    <t>PRON-DPM-2026-08-06-2026-T3-SUB_DES</t>
  </si>
  <si>
    <t>PRON-DPM-2026-08-06-2026-T4-INPC</t>
  </si>
  <si>
    <t>PRON-DPM-2026-08-06-2026-T4-SUB</t>
  </si>
  <si>
    <t>PRON-DPM-2026-08-06-2026-T4-INPC_DES</t>
  </si>
  <si>
    <t>PRON-DPM-2026-08-06-2026-T4-SUB_DES</t>
  </si>
  <si>
    <t>PRON-DPM-2026-08-06-2027-T1-INPC</t>
  </si>
  <si>
    <t>PRON-DPM-2026-08-06-2027-T1-SUB</t>
  </si>
  <si>
    <t>PRON-DPM-2026-08-06-2027-T1-INPC_DES</t>
  </si>
  <si>
    <t>PRON-DPM-2026-08-06-2027-T1-SUB_DES</t>
  </si>
  <si>
    <t>PRON-DPM-2026-08-06-2027-T2-INPC</t>
  </si>
  <si>
    <t>PRON-DPM-2026-08-06-2027-T2-SUB</t>
  </si>
  <si>
    <t>PRON-DPM-2026-08-06-2027-T2-INPC_DES</t>
  </si>
  <si>
    <t>PRON-DPM-2026-08-06-2027-T2-SUB_DES</t>
  </si>
  <si>
    <t>PRON-DPM-2026-08-06-2027-T3-INPC</t>
  </si>
  <si>
    <t>PRON-DPM-2026-08-06-2027-T3-SUB</t>
  </si>
  <si>
    <t>PRON-DPM-2026-08-06-2027-T3-INPC_DES</t>
  </si>
  <si>
    <t>PRON-DPM-2026-08-06-2027-T3-SUB_DES</t>
  </si>
  <si>
    <t>PRON-DPM-2026-08-06-2027-T4-INPC</t>
  </si>
  <si>
    <t>PRON-DPM-2026-08-06-2027-T4-SUB</t>
  </si>
  <si>
    <t>PRON-DPM-2026-08-06-2027-T4-INPC_DES</t>
  </si>
  <si>
    <t>PRON-DPM-2026-08-06-2027-T4-SUB_DES</t>
  </si>
  <si>
    <t>PRON-DPM-2026-08-06-2028-T1-INPC</t>
  </si>
  <si>
    <t>PRON-DPM-2026-08-06-2028-T1-SUB</t>
  </si>
  <si>
    <t>PRON-DPM-2026-08-06-2028-T1-INPC_DES</t>
  </si>
  <si>
    <t>PRON-DPM-2026-08-06-2028-T1-SUB_DES</t>
  </si>
  <si>
    <t>PRON-DPM-2026-08-06-2028-T2-INPC</t>
  </si>
  <si>
    <t>PRON-DPM-2026-08-06-2028-T2-SUB</t>
  </si>
  <si>
    <t>PRON-DPM-2026-08-06-2028-T2-INPC_DES</t>
  </si>
  <si>
    <t>PRON-DPM-2026-08-06-2028-T2-SUB_DES</t>
  </si>
  <si>
    <t>decision_id_origen</t>
  </si>
  <si>
    <t>decision_id_referencia</t>
  </si>
  <si>
    <t>valor_anterior</t>
  </si>
  <si>
    <t>valor_actual_referido</t>
  </si>
  <si>
    <t>resultado</t>
  </si>
  <si>
    <t>nota</t>
  </si>
  <si>
    <t>DPM-2021-06-02</t>
  </si>
  <si>
    <t>No comparable: referencia a informe o fecha sin decisión</t>
  </si>
  <si>
    <t>La referencia anterior apunta a un Informe Trimestral o fecha no incluida como decisión.</t>
  </si>
  <si>
    <t>DPM-2021-08-31</t>
  </si>
  <si>
    <t>Coincide</t>
  </si>
  <si>
    <t>definicion</t>
  </si>
  <si>
    <t>Variación anual en por ciento de los índices promedio trimestrales.</t>
  </si>
  <si>
    <t>Variación trimestral desestacionalizada anualizada en por ciento.</t>
  </si>
  <si>
    <t>Graficador de pronósticos por decisión</t>
  </si>
  <si>
    <t>Pronósticos publicados en la decisión seleccionada</t>
  </si>
  <si>
    <t>Periodo pronosticado</t>
  </si>
  <si>
    <t>Análisis ex post de revisiones de pronósticos</t>
  </si>
  <si>
    <t>Categoría</t>
  </si>
  <si>
    <t>Periodos pronosticados seleccionados</t>
  </si>
  <si>
    <t>Periodo 1</t>
  </si>
  <si>
    <t>Periodo 2</t>
  </si>
  <si>
    <t>Periodo 3</t>
  </si>
  <si>
    <t>Periodo 4</t>
  </si>
  <si>
    <t>Periodo 5</t>
  </si>
  <si>
    <t>Periodo 6</t>
  </si>
  <si>
    <t>Interpretación del evento</t>
  </si>
  <si>
    <t>D0</t>
  </si>
  <si>
    <t>Última decisión antes o en el cierre trimestral</t>
  </si>
  <si>
    <t>D-n</t>
  </si>
  <si>
    <t>Revisiones mientras el periodo aún era pronóstico</t>
  </si>
  <si>
    <t>D+n</t>
  </si>
  <si>
    <t>Valores reportados después del cierre del periodo</t>
  </si>
  <si>
    <t>Datos alineados alrededor de la última decisión con pronóstico vigente</t>
  </si>
  <si>
    <t>Decisión relativa</t>
  </si>
  <si>
    <t>D-16</t>
  </si>
  <si>
    <t>D-15</t>
  </si>
  <si>
    <t>D-14</t>
  </si>
  <si>
    <t>D-13</t>
  </si>
  <si>
    <t>D-12</t>
  </si>
  <si>
    <t>D-11</t>
  </si>
  <si>
    <t>D-10</t>
  </si>
  <si>
    <t>D-9</t>
  </si>
  <si>
    <t>D-8</t>
  </si>
  <si>
    <t>D-7</t>
  </si>
  <si>
    <t>D-6</t>
  </si>
  <si>
    <t>D-5</t>
  </si>
  <si>
    <t>D-4</t>
  </si>
  <si>
    <t>D-3</t>
  </si>
  <si>
    <t>D-2</t>
  </si>
  <si>
    <t>D-1</t>
  </si>
  <si>
    <t>D+1</t>
  </si>
  <si>
    <t>D+2</t>
  </si>
  <si>
    <t>D+3</t>
  </si>
  <si>
    <t>D+4</t>
  </si>
  <si>
    <t>D+5</t>
  </si>
  <si>
    <t>D+6</t>
  </si>
  <si>
    <t>D+7</t>
  </si>
  <si>
    <t>D+8</t>
  </si>
  <si>
    <t>D+9</t>
  </si>
  <si>
    <t>D+10</t>
  </si>
  <si>
    <t>D+11</t>
  </si>
  <si>
    <t>D+12</t>
  </si>
  <si>
    <t>D+13</t>
  </si>
  <si>
    <t>D+14</t>
  </si>
  <si>
    <t>D+15</t>
  </si>
  <si>
    <t>D+16</t>
  </si>
  <si>
    <t>D relativo B6</t>
  </si>
  <si>
    <t>Valor B6</t>
  </si>
  <si>
    <t>D relativo B7</t>
  </si>
  <si>
    <t>Valor B7</t>
  </si>
  <si>
    <t>D relativo B8</t>
  </si>
  <si>
    <t>Valor B8</t>
  </si>
  <si>
    <t>D relativo B9</t>
  </si>
  <si>
    <t>Valor B9</t>
  </si>
  <si>
    <t>D relativo B10</t>
  </si>
  <si>
    <t>Valor B10</t>
  </si>
  <si>
    <t>D relativo B11</t>
  </si>
  <si>
    <t>Valor B11</t>
  </si>
  <si>
    <t>Escala X</t>
  </si>
  <si>
    <t>Escala Y</t>
  </si>
  <si>
    <t>estado</t>
  </si>
  <si>
    <t>Efectiva</t>
  </si>
  <si>
    <t>DPM-2026-09-24</t>
  </si>
  <si>
    <t>Programada</t>
  </si>
  <si>
    <t>DPM-2026-11-05</t>
  </si>
  <si>
    <t>DPM-2026-12-17</t>
  </si>
  <si>
    <t>DPM-2027-02-04</t>
  </si>
  <si>
    <t>Estimada</t>
  </si>
  <si>
    <t>DPM-2027-03-25</t>
  </si>
  <si>
    <t>DPM-2027-05-13</t>
  </si>
  <si>
    <t>DPM-2027-06-24</t>
  </si>
  <si>
    <t>DPM-2027-08-05</t>
  </si>
  <si>
    <t>DPM-2027-09-23</t>
  </si>
  <si>
    <t>DPM-2027-11-04</t>
  </si>
  <si>
    <t>DPM-2027-12-16</t>
  </si>
  <si>
    <t>DPM-2028-02-03</t>
  </si>
  <si>
    <t>DPM-2028-03-23</t>
  </si>
  <si>
    <t>DPM-2028-05-04</t>
  </si>
  <si>
    <t>DPM-2028-06-15</t>
  </si>
  <si>
    <t>Resultados — muestra principal posterior a 2000</t>
  </si>
  <si>
    <t>variable</t>
  </si>
  <si>
    <t>inicio_muestra_principal</t>
  </si>
  <si>
    <t>n_trimestres</t>
  </si>
  <si>
    <t>inflacion_anual_trimestral_promedio</t>
  </si>
  <si>
    <t>2000-T1</t>
  </si>
  <si>
    <t>Indicador</t>
  </si>
  <si>
    <t>Definición</t>
  </si>
  <si>
    <t>Inflación anual trimestral</t>
  </si>
  <si>
    <t>Variación anual de los índices promedio trimestrales.</t>
  </si>
  <si>
    <t>Inflación SA anualizada</t>
  </si>
  <si>
    <t>Suma de tres inflaciones mensuales logarítmicas ajustadas por estacionalidad, anualizada de manera compuesta.</t>
  </si>
  <si>
    <t>Inflación realizada y desestacionalizada — insumo para anclaje</t>
  </si>
  <si>
    <t>Fuente</t>
  </si>
  <si>
    <t>ca55_2018a (1).xlsx (INEGI): columnas Fecha, INPC general e INPC subyacente.</t>
  </si>
  <si>
    <t>Muestra principal</t>
  </si>
  <si>
    <t>Enero de 2000 en adelante; no se mezclan niveles del régimen previo en la calibración.</t>
  </si>
  <si>
    <t>100 × (índice promedio del trimestre / índice promedio del mismo trimestre del año anterior − 1).</t>
  </si>
  <si>
    <t>Desestacionalización</t>
  </si>
  <si>
    <t>Mediana robusta por mes calendario sobre inflación mensual logarítmica; factores normalizados a suma cero.</t>
  </si>
  <si>
    <t>Tasa trimestral SA</t>
  </si>
  <si>
    <t>Se acumulan los tres cambios mensuales SA logarítmicos y se anualiza de manera compuesta.</t>
  </si>
  <si>
    <t>Uso pre-2000</t>
  </si>
  <si>
    <t>Se conserva como diagnóstico, pero no determina factores ni promedios principales.</t>
  </si>
  <si>
    <t>Limitación</t>
  </si>
  <si>
    <t>No es la especificación propietaria de Banxico; es una aproximación transparente y reproducible.</t>
  </si>
  <si>
    <t>fecha</t>
  </si>
  <si>
    <t>indice</t>
  </si>
  <si>
    <t>inflacion_mensual_log_pp</t>
  </si>
  <si>
    <t>inflacion_anual_mensual</t>
  </si>
  <si>
    <t>factor_estacional_log_pp</t>
  </si>
  <si>
    <t>inflacion_mensual_desest_log_pp</t>
  </si>
  <si>
    <t>inflacion_mensual_desest_anualizada</t>
  </si>
  <si>
    <t>muestra_principal</t>
  </si>
  <si>
    <t>INPC general</t>
  </si>
  <si>
    <t>1970-T1</t>
  </si>
  <si>
    <t>1970-T2</t>
  </si>
  <si>
    <t>1970-T3</t>
  </si>
  <si>
    <t>1970-T4</t>
  </si>
  <si>
    <t>1971-T1</t>
  </si>
  <si>
    <t>1971-T2</t>
  </si>
  <si>
    <t>1971-T3</t>
  </si>
  <si>
    <t>1971-T4</t>
  </si>
  <si>
    <t>1972-T1</t>
  </si>
  <si>
    <t>1972-T2</t>
  </si>
  <si>
    <t>1972-T3</t>
  </si>
  <si>
    <t>1972-T4</t>
  </si>
  <si>
    <t>1973-T1</t>
  </si>
  <si>
    <t>1973-T2</t>
  </si>
  <si>
    <t>1973-T3</t>
  </si>
  <si>
    <t>1973-T4</t>
  </si>
  <si>
    <t>1974-T1</t>
  </si>
  <si>
    <t>1974-T2</t>
  </si>
  <si>
    <t>1974-T3</t>
  </si>
  <si>
    <t>1974-T4</t>
  </si>
  <si>
    <t>1975-T1</t>
  </si>
  <si>
    <t>1975-T2</t>
  </si>
  <si>
    <t>1975-T3</t>
  </si>
  <si>
    <t>1975-T4</t>
  </si>
  <si>
    <t>1976-T1</t>
  </si>
  <si>
    <t>1976-T2</t>
  </si>
  <si>
    <t>1976-T3</t>
  </si>
  <si>
    <t>1976-T4</t>
  </si>
  <si>
    <t>1977-T1</t>
  </si>
  <si>
    <t>1977-T2</t>
  </si>
  <si>
    <t>1977-T3</t>
  </si>
  <si>
    <t>1977-T4</t>
  </si>
  <si>
    <t>1978-T1</t>
  </si>
  <si>
    <t>1978-T2</t>
  </si>
  <si>
    <t>1978-T3</t>
  </si>
  <si>
    <t>1978-T4</t>
  </si>
  <si>
    <t>1979-T1</t>
  </si>
  <si>
    <t>1979-T2</t>
  </si>
  <si>
    <t>1979-T3</t>
  </si>
  <si>
    <t>1979-T4</t>
  </si>
  <si>
    <t>1980-T1</t>
  </si>
  <si>
    <t>1980-T2</t>
  </si>
  <si>
    <t>1980-T3</t>
  </si>
  <si>
    <t>1980-T4</t>
  </si>
  <si>
    <t>1981-T1</t>
  </si>
  <si>
    <t>1981-T2</t>
  </si>
  <si>
    <t>1981-T3</t>
  </si>
  <si>
    <t>1981-T4</t>
  </si>
  <si>
    <t>1982-T1</t>
  </si>
  <si>
    <t>1982-T2</t>
  </si>
  <si>
    <t>1982-T3</t>
  </si>
  <si>
    <t>1982-T4</t>
  </si>
  <si>
    <t>1983-T1</t>
  </si>
  <si>
    <t>1983-T2</t>
  </si>
  <si>
    <t>1983-T3</t>
  </si>
  <si>
    <t>1983-T4</t>
  </si>
  <si>
    <t>1984-T1</t>
  </si>
  <si>
    <t>1984-T2</t>
  </si>
  <si>
    <t>1984-T3</t>
  </si>
  <si>
    <t>1984-T4</t>
  </si>
  <si>
    <t>1985-T1</t>
  </si>
  <si>
    <t>1985-T2</t>
  </si>
  <si>
    <t>1985-T3</t>
  </si>
  <si>
    <t>1985-T4</t>
  </si>
  <si>
    <t>1986-T1</t>
  </si>
  <si>
    <t>1986-T2</t>
  </si>
  <si>
    <t>1986-T3</t>
  </si>
  <si>
    <t>1986-T4</t>
  </si>
  <si>
    <t>1987-T1</t>
  </si>
  <si>
    <t>1987-T2</t>
  </si>
  <si>
    <t>1987-T3</t>
  </si>
  <si>
    <t>1987-T4</t>
  </si>
  <si>
    <t>1988-T1</t>
  </si>
  <si>
    <t>1988-T2</t>
  </si>
  <si>
    <t>1988-T3</t>
  </si>
  <si>
    <t>1988-T4</t>
  </si>
  <si>
    <t>1989-T1</t>
  </si>
  <si>
    <t>1989-T2</t>
  </si>
  <si>
    <t>1989-T3</t>
  </si>
  <si>
    <t>1989-T4</t>
  </si>
  <si>
    <t>1990-T1</t>
  </si>
  <si>
    <t>1990-T2</t>
  </si>
  <si>
    <t>1990-T3</t>
  </si>
  <si>
    <t>1990-T4</t>
  </si>
  <si>
    <t>1991-T1</t>
  </si>
  <si>
    <t>1991-T2</t>
  </si>
  <si>
    <t>1991-T3</t>
  </si>
  <si>
    <t>1991-T4</t>
  </si>
  <si>
    <t>1992-T1</t>
  </si>
  <si>
    <t>1992-T2</t>
  </si>
  <si>
    <t>1992-T3</t>
  </si>
  <si>
    <t>1992-T4</t>
  </si>
  <si>
    <t>1993-T1</t>
  </si>
  <si>
    <t>1993-T2</t>
  </si>
  <si>
    <t>1993-T3</t>
  </si>
  <si>
    <t>1993-T4</t>
  </si>
  <si>
    <t>1994-T1</t>
  </si>
  <si>
    <t>1994-T2</t>
  </si>
  <si>
    <t>1994-T3</t>
  </si>
  <si>
    <t>1994-T4</t>
  </si>
  <si>
    <t>1995-T1</t>
  </si>
  <si>
    <t>1995-T2</t>
  </si>
  <si>
    <t>1995-T3</t>
  </si>
  <si>
    <t>1995-T4</t>
  </si>
  <si>
    <t>1996-T1</t>
  </si>
  <si>
    <t>1996-T2</t>
  </si>
  <si>
    <t>1996-T3</t>
  </si>
  <si>
    <t>1996-T4</t>
  </si>
  <si>
    <t>1997-T1</t>
  </si>
  <si>
    <t>1997-T2</t>
  </si>
  <si>
    <t>1997-T3</t>
  </si>
  <si>
    <t>1997-T4</t>
  </si>
  <si>
    <t>1998-T1</t>
  </si>
  <si>
    <t>1998-T2</t>
  </si>
  <si>
    <t>1998-T3</t>
  </si>
  <si>
    <t>1998-T4</t>
  </si>
  <si>
    <t>1999-T1</t>
  </si>
  <si>
    <t>1999-T2</t>
  </si>
  <si>
    <t>1999-T3</t>
  </si>
  <si>
    <t>1999-T4</t>
  </si>
  <si>
    <t>2000-T2</t>
  </si>
  <si>
    <t>2000-T3</t>
  </si>
  <si>
    <t>2000-T4</t>
  </si>
  <si>
    <t>2001-T1</t>
  </si>
  <si>
    <t>2001-T2</t>
  </si>
  <si>
    <t>2001-T3</t>
  </si>
  <si>
    <t>2001-T4</t>
  </si>
  <si>
    <t>2002-T1</t>
  </si>
  <si>
    <t>2002-T2</t>
  </si>
  <si>
    <t>2002-T3</t>
  </si>
  <si>
    <t>2002-T4</t>
  </si>
  <si>
    <t>2003-T1</t>
  </si>
  <si>
    <t>2003-T2</t>
  </si>
  <si>
    <t>2003-T3</t>
  </si>
  <si>
    <t>2003-T4</t>
  </si>
  <si>
    <t>2004-T1</t>
  </si>
  <si>
    <t>2004-T2</t>
  </si>
  <si>
    <t>2004-T3</t>
  </si>
  <si>
    <t>2004-T4</t>
  </si>
  <si>
    <t>2005-T1</t>
  </si>
  <si>
    <t>2005-T2</t>
  </si>
  <si>
    <t>2005-T3</t>
  </si>
  <si>
    <t>2005-T4</t>
  </si>
  <si>
    <t>2006-T1</t>
  </si>
  <si>
    <t>2006-T2</t>
  </si>
  <si>
    <t>2006-T3</t>
  </si>
  <si>
    <t>2006-T4</t>
  </si>
  <si>
    <t>2007-T1</t>
  </si>
  <si>
    <t>2007-T2</t>
  </si>
  <si>
    <t>2007-T3</t>
  </si>
  <si>
    <t>2007-T4</t>
  </si>
  <si>
    <t>2008-T1</t>
  </si>
  <si>
    <t>2008-T2</t>
  </si>
  <si>
    <t>2008-T3</t>
  </si>
  <si>
    <t>2008-T4</t>
  </si>
  <si>
    <t>2009-T1</t>
  </si>
  <si>
    <t>2009-T2</t>
  </si>
  <si>
    <t>2009-T3</t>
  </si>
  <si>
    <t>2009-T4</t>
  </si>
  <si>
    <t>2010-T1</t>
  </si>
  <si>
    <t>2010-T2</t>
  </si>
  <si>
    <t>2010-T3</t>
  </si>
  <si>
    <t>2010-T4</t>
  </si>
  <si>
    <t>2011-T1</t>
  </si>
  <si>
    <t>2011-T2</t>
  </si>
  <si>
    <t>2011-T3</t>
  </si>
  <si>
    <t>2011-T4</t>
  </si>
  <si>
    <t>2012-T1</t>
  </si>
  <si>
    <t>2012-T2</t>
  </si>
  <si>
    <t>2012-T3</t>
  </si>
  <si>
    <t>2012-T4</t>
  </si>
  <si>
    <t>2013-T1</t>
  </si>
  <si>
    <t>2013-T2</t>
  </si>
  <si>
    <t>2013-T3</t>
  </si>
  <si>
    <t>2013-T4</t>
  </si>
  <si>
    <t>2014-T1</t>
  </si>
  <si>
    <t>2014-T2</t>
  </si>
  <si>
    <t>2014-T3</t>
  </si>
  <si>
    <t>2014-T4</t>
  </si>
  <si>
    <t>2015-T1</t>
  </si>
  <si>
    <t>2015-T2</t>
  </si>
  <si>
    <t>2015-T3</t>
  </si>
  <si>
    <t>2015-T4</t>
  </si>
  <si>
    <t>2016-T1</t>
  </si>
  <si>
    <t>2016-T2</t>
  </si>
  <si>
    <t>2016-T3</t>
  </si>
  <si>
    <t>2016-T4</t>
  </si>
  <si>
    <t>2017-T1</t>
  </si>
  <si>
    <t>2017-T2</t>
  </si>
  <si>
    <t>2017-T3</t>
  </si>
  <si>
    <t>2017-T4</t>
  </si>
  <si>
    <t>2018-T1</t>
  </si>
  <si>
    <t>2018-T2</t>
  </si>
  <si>
    <t>2018-T3</t>
  </si>
  <si>
    <t>2018-T4</t>
  </si>
  <si>
    <t>2019-T1</t>
  </si>
  <si>
    <t>2019-T2</t>
  </si>
  <si>
    <t>2019-T3</t>
  </si>
  <si>
    <t>2019-T4</t>
  </si>
  <si>
    <t>2020-T1</t>
  </si>
  <si>
    <t>2020-T2</t>
  </si>
  <si>
    <t>2020-T3</t>
  </si>
  <si>
    <t>2020-T4</t>
  </si>
  <si>
    <t>INPC subyacente</t>
  </si>
  <si>
    <t>indice_promedio_trimestral</t>
  </si>
  <si>
    <t>inflacion_anual_indices_promedio</t>
  </si>
  <si>
    <t>inflacion_trimestral_desest_anualizada</t>
  </si>
  <si>
    <t>mes</t>
  </si>
  <si>
    <t>muestra_desde</t>
  </si>
  <si>
    <t>metodo</t>
  </si>
  <si>
    <t>2000-01</t>
  </si>
  <si>
    <t>Mediana mensual robusta, normalizada a suma cero</t>
  </si>
  <si>
    <t>VALIDACIÓN — ÚLTIMA OBSERVACIÓN PUBLICADA POR BANXICO VS. INFLACIÓN OBSERVADA</t>
  </si>
  <si>
    <t>cierre_trimestre</t>
  </si>
  <si>
    <t>decision_id_ultima</t>
  </si>
  <si>
    <t>fecha_ultima_publicacion</t>
  </si>
  <si>
    <t>valor_banxico_ultimo</t>
  </si>
  <si>
    <t>valor_observado</t>
  </si>
  <si>
    <t>observado_1_decimal</t>
  </si>
  <si>
    <t>diferencia_raw_pp</t>
  </si>
  <si>
    <t>diferencia_absoluta_pp</t>
  </si>
  <si>
    <t>diferencia_1_decimal_pp</t>
  </si>
  <si>
    <t>ultima_publicacion_post_cierre</t>
  </si>
  <si>
    <t>n_publicaciones_post_cierre</t>
  </si>
  <si>
    <t>url_fuente_banxico</t>
  </si>
  <si>
    <t>Coincide a 1 decimal</t>
  </si>
  <si>
    <t>Revisar diferencia</t>
  </si>
  <si>
    <t>Diferencia de 0.1 pp</t>
  </si>
  <si>
    <t>RESUMEN</t>
  </si>
  <si>
    <t>n</t>
  </si>
  <si>
    <t>Coincide 1 decimal</t>
  </si>
  <si>
    <t>Dif. 0.1 pp</t>
  </si>
  <si>
    <t>Revisar</t>
  </si>
  <si>
    <t>MAE raw pp</t>
  </si>
  <si>
    <t>Publicación post cierre</t>
  </si>
  <si>
    <t>Sólo incluye trimestres concluidos al 2026-08-08. La realización redondeada a un decimal se compara con la precisión publicada por Banxico.</t>
  </si>
  <si>
    <t>BASE ANALÍTICA — ANCLAJE DE PRONÓSTICOS DE INFLACIÓN</t>
  </si>
  <si>
    <t>Pronósticos válidos hasta el cierre; realización = último dato histórico publicado por Banxico; muestra concluida hasta 2026-T2.</t>
  </si>
  <si>
    <t>periodo_objetivo</t>
  </si>
  <si>
    <t>decision_D0</t>
  </si>
  <si>
    <t>fecha_D0</t>
  </si>
  <si>
    <t>horizonte_decisiones</t>
  </si>
  <si>
    <t>etiqueta_horizonte</t>
  </si>
  <si>
    <t>pronostico</t>
  </si>
  <si>
    <t>realizado_banxico</t>
  </si>
  <si>
    <t>meta</t>
  </si>
  <si>
    <t>desviacion_meta</t>
  </si>
  <si>
    <t>distancia_meta</t>
  </si>
  <si>
    <t>error</t>
  </si>
  <si>
    <t>error_absoluto</t>
  </si>
  <si>
    <t>error_cuadratico</t>
  </si>
  <si>
    <t>revision</t>
  </si>
  <si>
    <t>revision_absoluta</t>
  </si>
  <si>
    <t>periodo_contemporaneo</t>
  </si>
  <si>
    <t>inflacion_contemporanea</t>
  </si>
  <si>
    <t>desviacion_contemporanea_meta</t>
  </si>
  <si>
    <t>grupo_realizado</t>
  </si>
  <si>
    <t>d-1</t>
  </si>
  <si>
    <t>&gt;4%</t>
  </si>
  <si>
    <t>d-0</t>
  </si>
  <si>
    <t>d-3</t>
  </si>
  <si>
    <t>d-2</t>
  </si>
  <si>
    <t>d-5</t>
  </si>
  <si>
    <t>d-4</t>
  </si>
  <si>
    <t>d-7</t>
  </si>
  <si>
    <t>d-6</t>
  </si>
  <si>
    <t>d-9</t>
  </si>
  <si>
    <t>d-8</t>
  </si>
  <si>
    <t>d-11</t>
  </si>
  <si>
    <t>d-10</t>
  </si>
  <si>
    <t>d-13</t>
  </si>
  <si>
    <t>d-12</t>
  </si>
  <si>
    <t>d-15</t>
  </si>
  <si>
    <t>d-14</t>
  </si>
  <si>
    <t>d-16</t>
  </si>
  <si>
    <t>2%-4%</t>
  </si>
  <si>
    <t>horizonte</t>
  </si>
  <si>
    <t>etiqueta</t>
  </si>
  <si>
    <t>pronostico_promedio</t>
  </si>
  <si>
    <t>realizado_promedio</t>
  </si>
  <si>
    <t>bias</t>
  </si>
  <si>
    <t>MAE</t>
  </si>
  <si>
    <t>RMSE</t>
  </si>
  <si>
    <t>desviacion_promedio_meta</t>
  </si>
  <si>
    <t>distancia_promedio_meta</t>
  </si>
  <si>
    <t>mediana_distancia_meta</t>
  </si>
  <si>
    <t>pct_arriba_3</t>
  </si>
  <si>
    <t>pct_abajo_3</t>
  </si>
  <si>
    <t>pct_dentro_025</t>
  </si>
  <si>
    <t>pct_dentro_050</t>
  </si>
  <si>
    <t>revision_promedio</t>
  </si>
  <si>
    <t>revision_abs_promedio</t>
  </si>
  <si>
    <t>especificacion</t>
  </si>
  <si>
    <t>alpha</t>
  </si>
  <si>
    <t>beta</t>
  </si>
  <si>
    <t>gamma</t>
  </si>
  <si>
    <t>delta</t>
  </si>
  <si>
    <t>se_alpha</t>
  </si>
  <si>
    <t>se_beta</t>
  </si>
  <si>
    <t>se_gamma</t>
  </si>
  <si>
    <t>se_delta</t>
  </si>
  <si>
    <t>t_alpha</t>
  </si>
  <si>
    <t>t_beta</t>
  </si>
  <si>
    <t>t_gamma</t>
  </si>
  <si>
    <t>t_delta</t>
  </si>
  <si>
    <t>R2</t>
  </si>
  <si>
    <t>DistanciaMeta</t>
  </si>
  <si>
    <t>RespuestaContemporanea</t>
  </si>
  <si>
    <t>n_realizados</t>
  </si>
  <si>
    <t>media_realizada</t>
  </si>
  <si>
    <t>mediana_realizada</t>
  </si>
  <si>
    <t>media_recortada_5_95</t>
  </si>
  <si>
    <t>n_d2</t>
  </si>
  <si>
    <t>media_d2</t>
  </si>
  <si>
    <t>mediana_d2</t>
  </si>
  <si>
    <t>n_d8</t>
  </si>
  <si>
    <t>media_d8</t>
  </si>
  <si>
    <t>mediana_d8</t>
  </si>
  <si>
    <t>n_d16</t>
  </si>
  <si>
    <t>media_d16</t>
  </si>
  <si>
    <t>mediana_d16</t>
  </si>
  <si>
    <t>ANCLAJE DE PRONÓSTICOS DE INFLACIÓN — BANCO DE MÉXICO</t>
  </si>
  <si>
    <t>Variable</t>
  </si>
  <si>
    <t>Meta Banxico</t>
  </si>
  <si>
    <t>Media realizada</t>
  </si>
  <si>
    <t>Mediana realizada</t>
  </si>
  <si>
    <t>Pronóstico medio d-8</t>
  </si>
  <si>
    <t>Pronóstico medio d-16</t>
  </si>
  <si>
    <t>Pronóstico medio d-2</t>
  </si>
  <si>
    <t>Bias d-8</t>
  </si>
  <si>
    <t>Bias d-16</t>
  </si>
  <si>
    <t>Horizonte</t>
  </si>
  <si>
    <t>Pronóstico promedio</t>
  </si>
  <si>
    <t>Realizado promedio</t>
  </si>
  <si>
    <t>Meta 3%</t>
  </si>
  <si>
    <t>Distancia a meta</t>
  </si>
  <si>
    <t>Bias</t>
  </si>
  <si>
    <t>LECTURA</t>
  </si>
  <si>
    <t>Aproximadamente dos años antes: mide la convergencia institucional de largo plazo.</t>
  </si>
  <si>
    <t>Aproximadamente un año antes: prueba alternativa de anclaje.</t>
  </si>
  <si>
    <t>Nota</t>
  </si>
  <si>
    <t>Un beta negativo en DistanciaMeta indica que la distancia a 3% cae al aumentar el horizonte: evidencia compatible con anclaje, no prueba de optimalidad de la meta.</t>
  </si>
  <si>
    <t>Beta distancia</t>
  </si>
  <si>
    <t>t beta</t>
  </si>
  <si>
    <t>R2 distancia</t>
  </si>
  <si>
    <t>Beta contemporánea</t>
  </si>
  <si>
    <t>Gamma horizonte</t>
  </si>
  <si>
    <t>Delta interacción</t>
  </si>
  <si>
    <t>t delta</t>
  </si>
  <si>
    <t>R2 respuesta</t>
  </si>
  <si>
    <t>Decisiones previas</t>
  </si>
  <si>
    <t>Realizada &gt;4%</t>
  </si>
  <si>
    <t>Realizada 2%-4%</t>
  </si>
  <si>
    <t>Número de observaciones</t>
  </si>
  <si>
    <t>Pronóstico promedio general</t>
  </si>
  <si>
    <t>Pronóstico promedio 2%-4%</t>
  </si>
  <si>
    <t>Realizado promedio 2%-4%</t>
  </si>
  <si>
    <t>Pronóstico promedio 4%-5%</t>
  </si>
  <si>
    <t>Realizado promedio 4%-5%</t>
  </si>
  <si>
    <t>Pronóstico promedio &gt;5%</t>
  </si>
  <si>
    <t>Realizado promedio &gt;5%</t>
  </si>
  <si>
    <t>Bias realizado 2%-4%</t>
  </si>
  <si>
    <t>Bias realizado &gt;4%-5%</t>
  </si>
  <si>
    <t>Bias realizado &gt;5%</t>
  </si>
  <si>
    <t>DISTRIBUCIÓN DE ERRORES DE PRONÓSTICO</t>
  </si>
  <si>
    <t>Error = Pronóstico - Realizado. Valores negativos indican subestimación.</t>
  </si>
  <si>
    <t>Las cajas muestran mediana, cuartiles, bigotes y observaciones. Cuando n &lt; 5, la lectura debe concentrarse en los puntos individuales.</t>
  </si>
  <si>
    <t>Muestra</t>
  </si>
  <si>
    <t>General</t>
  </si>
  <si>
    <t>Realizada &gt;4%-5%</t>
  </si>
  <si>
    <t>Realizada &gt;5%</t>
  </si>
  <si>
    <t>Regla: con n ≥ 5 se interpreta la caja; con n &lt; 5 se interpretan únicamente las observaciones individuales.</t>
  </si>
  <si>
    <t>Error general n&lt;5</t>
  </si>
  <si>
    <t>Error 2%-4% n&lt;5</t>
  </si>
  <si>
    <t>Error &gt;4%-5% n&lt;5</t>
  </si>
  <si>
    <t>Error &gt;5% n&lt;5</t>
  </si>
  <si>
    <t>https://www.banxico.org.mx/publicaciones-y-prensa/anuncios-de-las-decisiones-de-politica-monetaria/{7D0BDB6E-E519-9C69-04AA-ABD4D31E4850}.pdf</t>
  </si>
  <si>
    <t>PRON-DPM-2026-09-24-2025-T4-INPC</t>
  </si>
  <si>
    <t>PRON-DPM-2026-09-24-2025-T4-SUB</t>
  </si>
  <si>
    <t>PRON-DPM-2026-09-24-2025-T4-INPC_DES</t>
  </si>
  <si>
    <t>PRON-DPM-2026-09-24-2025-T4-SUB_DES</t>
  </si>
  <si>
    <t>PRON-DPM-2026-09-24-2026-T1-INPC</t>
  </si>
  <si>
    <t>PRON-DPM-2026-09-24-2026-T1-SUB</t>
  </si>
  <si>
    <t>PRON-DPM-2026-09-24-2026-T1-INPC_DES</t>
  </si>
  <si>
    <t>PRON-DPM-2026-09-24-2026-T1-SUB_DES</t>
  </si>
  <si>
    <t>PRON-DPM-2026-09-24-2026-T2-INPC</t>
  </si>
  <si>
    <t>PRON-DPM-2026-09-24-2026-T2-SUB</t>
  </si>
  <si>
    <t>PRON-DPM-2026-09-24-2026-T2-INPC_DES</t>
  </si>
  <si>
    <t>PRON-DPM-2026-09-24-2026-T2-SUB_DES</t>
  </si>
  <si>
    <t>PRON-DPM-2026-09-24-2026-T3-INPC</t>
  </si>
  <si>
    <t>PRON-DPM-2026-09-24-2026-T3-SUB</t>
  </si>
  <si>
    <t>PRON-DPM-2026-09-24-2026-T3-INPC_DES</t>
  </si>
  <si>
    <t>PRON-DPM-2026-09-24-2026-T3-SUB_DES</t>
  </si>
  <si>
    <t>PRON-DPM-2026-09-24-2026-T4-INPC</t>
  </si>
  <si>
    <t>PRON-DPM-2026-09-24-2026-T4-SUB</t>
  </si>
  <si>
    <t>PRON-DPM-2026-09-24-2026-T4-INPC_DES</t>
  </si>
  <si>
    <t>PRON-DPM-2026-09-24-2026-T4-SUB_DES</t>
  </si>
  <si>
    <t>PRON-DPM-2026-09-24-2027-T1-INPC</t>
  </si>
  <si>
    <t>PRON-DPM-2026-09-24-2027-T1-SUB</t>
  </si>
  <si>
    <t>PRON-DPM-2026-09-24-2027-T1-INPC_DES</t>
  </si>
  <si>
    <t>PRON-DPM-2026-09-24-2027-T1-SUB_DES</t>
  </si>
  <si>
    <t>PRON-DPM-2026-09-24-2027-T2-INPC</t>
  </si>
  <si>
    <t>PRON-DPM-2026-09-24-2027-T2-SUB</t>
  </si>
  <si>
    <t>PRON-DPM-2026-09-24-2027-T2-INPC_DES</t>
  </si>
  <si>
    <t>PRON-DPM-2026-09-24-2027-T2-SUB_DES</t>
  </si>
  <si>
    <t>PRON-DPM-2026-09-24-2027-T3-INPC</t>
  </si>
  <si>
    <t>PRON-DPM-2026-09-24-2027-T3-SUB</t>
  </si>
  <si>
    <t>PRON-DPM-2026-09-24-2027-T3-INPC_DES</t>
  </si>
  <si>
    <t>PRON-DPM-2026-09-24-2027-T3-SUB_DES</t>
  </si>
  <si>
    <t>PRON-DPM-2026-09-24-2027-T4-INPC</t>
  </si>
  <si>
    <t>PRON-DPM-2026-09-24-2027-T4-SUB</t>
  </si>
  <si>
    <t>PRON-DPM-2026-09-24-2027-T4-INPC_DES</t>
  </si>
  <si>
    <t>PRON-DPM-2026-09-24-2027-T4-SUB_DES</t>
  </si>
  <si>
    <t>PRON-DPM-2026-09-24-2028-T1-INPC</t>
  </si>
  <si>
    <t>PRON-DPM-2026-09-24-2028-T1-SUB</t>
  </si>
  <si>
    <t>PRON-DPM-2026-09-24-2028-T1-INPC_DES</t>
  </si>
  <si>
    <t>PRON-DPM-2026-09-24-2028-T1-SUB_DES</t>
  </si>
  <si>
    <t>PRON-DPM-2026-09-24-2028-T2-INPC</t>
  </si>
  <si>
    <t>PRON-DPM-2026-09-24-2028-T2-SUB</t>
  </si>
  <si>
    <t>PRON-DPM-2026-09-24-2028-T2-INPC_DES</t>
  </si>
  <si>
    <t>PRON-DPM-2026-09-24-2028-T2-SUB_DES</t>
  </si>
  <si>
    <t>PRON-DPM-2026-09-24-2028-T3-INPC</t>
  </si>
  <si>
    <t>2028-T3</t>
  </si>
  <si>
    <t>PRON-DPM-2026-09-24-2028-T3-SUB</t>
  </si>
  <si>
    <t>PRON-DPM-2026-09-24-2028-T3-INPC_DES</t>
  </si>
  <si>
    <t>PRON-DPM-2026-09-24-2028-T3-SUB_DES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</si>
</sst>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yyyy\-mm\-dd"/>
    <numFmt numFmtId="165" formatCode="0.0"/>
    <numFmt numFmtId="166" formatCode="mmm\ yyyy"/>
    <numFmt numFmtId="167" formatCode="dd\-mmm\-yyyy"/>
    <numFmt numFmtId="168" formatCode="0.000"/>
    <numFmt numFmtId="169" formatCode="mm\-dd\-yy"/>
  </numFmts>
  <fonts count="26">
    <font>
      <sz val="11"/>
      <name val="Carlito"/>
    </font>
    <font>
      <b/>
      <sz val="15"/>
      <color rgb="FFFFFFFF"/>
      <name val="Carlito"/>
    </font>
    <font>
      <b/>
      <sz val="11"/>
      <color rgb="FF0B4F6C"/>
      <name val="Carlito"/>
    </font>
    <font>
      <b/>
      <sz val="11"/>
      <color rgb="FFFFFFFF"/>
      <name val="Carlito"/>
    </font>
    <font>
      <sz val="11"/>
      <name val="Carlito"/>
    </font>
    <font>
      <sz val="11"/>
      <color rgb="FF000000"/>
      <name val="Carlito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rlito"/>
    </font>
    <font>
      <sz val="11"/>
      <color rgb="FF0070C0"/>
      <name val="Carlito"/>
    </font>
    <font>
      <sz val="11"/>
      <color rgb="FFC00000"/>
      <name val="Carlito"/>
    </font>
    <font>
      <i/>
      <sz val="11"/>
      <name val="Carlito"/>
    </font>
    <font>
      <b/>
      <sz val="14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10"/>
      <color rgb="FF000000"/>
      <name val="Calibri"/>
      <family val="2"/>
    </font>
    <font>
      <b/>
      <sz val="16"/>
      <color rgb="FFFFFFFF"/>
      <name val="Calibri"/>
      <family val="2"/>
    </font>
    <font>
      <b/>
      <sz val="12"/>
      <color rgb="FF0070C0"/>
      <name val="Calibri"/>
      <family val="2"/>
    </font>
    <font>
      <b/>
      <sz val="10"/>
      <color rgb="FFFFFFFF"/>
      <name val="Calibri"/>
      <family val="2"/>
    </font>
    <font>
      <b/>
      <sz val="14"/>
      <color rgb="FF000000"/>
      <name val="Calibri"/>
      <family val="2"/>
    </font>
    <font>
      <sz val="9"/>
      <name val="Carlito"/>
    </font>
    <font>
      <sz val="11"/>
      <name val="Calibri"/>
      <family val="2"/>
    </font>
    <font>
      <i/>
      <sz val="11"/>
      <color rgb="FFC00000"/>
      <name val="Calibri"/>
      <family val="2"/>
    </font>
    <font>
      <b/>
      <sz val="11"/>
      <name val="Calibri"/>
      <family val="2"/>
    </font>
    <font>
      <i/>
      <sz val="11"/>
      <color rgb="FF595959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0B4F6C"/>
      </patternFill>
    </fill>
    <fill>
      <patternFill patternType="solid">
        <fgColor rgb="FFDCEBF3"/>
      </patternFill>
    </fill>
    <fill>
      <patternFill patternType="solid">
        <fgColor rgb="FFFFFFFF"/>
        <bgColor indexed="64"/>
      </patternFill>
    </fill>
    <fill>
      <patternFill patternType="solid">
        <fgColor rgb="FF0F5B78"/>
        <bgColor indexed="64"/>
      </patternFill>
    </fill>
    <fill>
      <patternFill patternType="solid">
        <fgColor rgb="FFD9EA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155E75"/>
      </patternFill>
    </fill>
    <fill>
      <patternFill patternType="solid">
        <fgColor rgb="FFE0F2FE"/>
      </patternFill>
    </fill>
    <fill>
      <patternFill patternType="solid">
        <fgColor rgb="FF1D2330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222B45"/>
        <bgColor indexed="64"/>
      </patternFill>
    </fill>
  </fills>
  <borders count="15">
    <border>
      <left/>
      <right/>
      <top/>
      <bottom/>
      <diagonal/>
    </border>
    <border>
      <left style="thin">
        <color rgb="FFB7C5D0"/>
      </left>
      <right/>
      <top style="thin">
        <color rgb="FFB7C5D0"/>
      </top>
      <bottom/>
      <diagonal/>
    </border>
    <border>
      <left/>
      <right style="thin">
        <color rgb="FFB7C5D0"/>
      </right>
      <top style="thin">
        <color rgb="FFB7C5D0"/>
      </top>
      <bottom/>
      <diagonal/>
    </border>
    <border>
      <left style="thin">
        <color rgb="FFB7C5D0"/>
      </left>
      <right/>
      <top/>
      <bottom/>
      <diagonal/>
    </border>
    <border>
      <left/>
      <right style="thin">
        <color rgb="FFB7C5D0"/>
      </right>
      <top/>
      <bottom/>
      <diagonal/>
    </border>
    <border>
      <left style="thin">
        <color rgb="FFB7C5D0"/>
      </left>
      <right/>
      <top/>
      <bottom style="thin">
        <color rgb="FFB7C5D0"/>
      </bottom>
      <diagonal/>
    </border>
    <border>
      <left/>
      <right style="thin">
        <color rgb="FFB7C5D0"/>
      </right>
      <top/>
      <bottom style="thin">
        <color rgb="FFB7C5D0"/>
      </bottom>
      <diagonal/>
    </border>
    <border>
      <left style="thin">
        <color rgb="FFB7C5D0"/>
      </left>
      <right/>
      <top style="thin">
        <color rgb="FFB7C5D0"/>
      </top>
      <bottom style="thin">
        <color rgb="FFB7C5D0"/>
      </bottom>
      <diagonal/>
    </border>
    <border>
      <left/>
      <right style="thin">
        <color rgb="FFB7C5D0"/>
      </right>
      <top style="thin">
        <color rgb="FFB7C5D0"/>
      </top>
      <bottom style="thin">
        <color rgb="FFB7C5D0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1D2330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auto="1"/>
      </top>
      <bottom style="thick">
        <color rgb="FF1D2330"/>
      </bottom>
      <diagonal/>
    </border>
    <border>
      <left style="medium">
        <color rgb="FF4472C4"/>
      </left>
      <right style="medium">
        <color rgb="FF4472C4"/>
      </right>
      <top style="medium">
        <color rgb="FF1D2330"/>
      </top>
      <bottom style="medium">
        <color rgb="FF4472C4"/>
      </bottom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72">
    <xf numFmtId="0" fontId="0" fillId="0" borderId="0" xfId="0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2" fillId="3" borderId="1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5" xfId="0" applyFont="1" applyFill="1" applyBorder="1" applyAlignment="1">
      <alignment vertical="center" wrapText="1"/>
    </xf>
    <xf numFmtId="0" fontId="0" fillId="0" borderId="2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6" xfId="0" applyBorder="1" applyAlignment="1">
      <alignment wrapText="1"/>
    </xf>
    <xf numFmtId="0" fontId="3" fillId="2" borderId="0" xfId="0" applyFont="1" applyFill="1" applyAlignment="1">
      <alignment horizontal="center" vertical="center" wrapText="1"/>
    </xf>
    <xf numFmtId="0" fontId="2" fillId="3" borderId="7" xfId="0" applyFont="1" applyFill="1" applyBorder="1" applyAlignment="1">
      <alignment vertical="center" wrapText="1"/>
    </xf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0" xfId="0" applyNumberFormat="1"/>
    <xf numFmtId="167" fontId="0" fillId="0" borderId="8" xfId="0" applyNumberFormat="1" applyBorder="1"/>
    <xf numFmtId="0" fontId="5" fillId="4" borderId="0" xfId="0" applyFont="1" applyFill="1" applyAlignment="1">
      <alignment horizontal="center"/>
    </xf>
    <xf numFmtId="167" fontId="0" fillId="0" borderId="0" xfId="0" applyNumberFormat="1"/>
    <xf numFmtId="0" fontId="8" fillId="6" borderId="0" xfId="0" applyFont="1" applyFill="1"/>
    <xf numFmtId="0" fontId="9" fillId="0" borderId="0" xfId="0" applyFont="1"/>
    <xf numFmtId="0" fontId="8" fillId="0" borderId="0" xfId="0" applyFont="1"/>
    <xf numFmtId="0" fontId="3" fillId="5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43" fontId="0" fillId="0" borderId="0" xfId="1" applyFont="1"/>
    <xf numFmtId="0" fontId="10" fillId="0" borderId="0" xfId="0" applyFont="1"/>
    <xf numFmtId="164" fontId="9" fillId="4" borderId="0" xfId="0" applyNumberFormat="1" applyFont="1" applyFill="1" applyAlignment="1">
      <alignment horizontal="right"/>
    </xf>
    <xf numFmtId="2" fontId="0" fillId="0" borderId="0" xfId="1" applyNumberFormat="1" applyFont="1"/>
    <xf numFmtId="164" fontId="9" fillId="0" borderId="0" xfId="0" applyNumberFormat="1" applyFont="1"/>
    <xf numFmtId="0" fontId="3" fillId="8" borderId="0" xfId="0" applyFont="1" applyFill="1" applyAlignment="1">
      <alignment horizontal="center"/>
    </xf>
    <xf numFmtId="0" fontId="8" fillId="9" borderId="0" xfId="0" applyFont="1" applyFill="1"/>
    <xf numFmtId="0" fontId="8" fillId="9" borderId="0" xfId="0" applyFont="1" applyFill="1" applyAlignment="1">
      <alignment wrapText="1"/>
    </xf>
    <xf numFmtId="0" fontId="0" fillId="0" borderId="0" xfId="0" applyAlignment="1">
      <alignment wrapText="1"/>
    </xf>
    <xf numFmtId="168" fontId="0" fillId="0" borderId="0" xfId="0" applyNumberFormat="1"/>
    <xf numFmtId="14" fontId="0" fillId="0" borderId="0" xfId="0" applyNumberFormat="1"/>
    <xf numFmtId="0" fontId="0" fillId="0" borderId="9" xfId="0" applyBorder="1"/>
    <xf numFmtId="0" fontId="13" fillId="11" borderId="11" xfId="0" applyFont="1" applyFill="1" applyBorder="1" applyAlignment="1">
      <alignment horizontal="center"/>
    </xf>
    <xf numFmtId="168" fontId="14" fillId="4" borderId="0" xfId="0" applyNumberFormat="1" applyFont="1" applyFill="1" applyAlignment="1">
      <alignment horizontal="right"/>
    </xf>
    <xf numFmtId="168" fontId="14" fillId="4" borderId="9" xfId="0" applyNumberFormat="1" applyFont="1" applyFill="1" applyBorder="1" applyAlignment="1">
      <alignment horizontal="right"/>
    </xf>
    <xf numFmtId="0" fontId="15" fillId="10" borderId="10" xfId="0" applyFont="1" applyFill="1" applyBorder="1" applyAlignment="1">
      <alignment horizontal="center"/>
    </xf>
    <xf numFmtId="0" fontId="15" fillId="10" borderId="12" xfId="0" applyFont="1" applyFill="1" applyBorder="1" applyAlignment="1">
      <alignment horizontal="center"/>
    </xf>
    <xf numFmtId="168" fontId="13" fillId="4" borderId="0" xfId="0" applyNumberFormat="1" applyFont="1" applyFill="1" applyAlignment="1">
      <alignment horizontal="right"/>
    </xf>
    <xf numFmtId="0" fontId="16" fillId="11" borderId="11" xfId="0" applyFont="1" applyFill="1" applyBorder="1" applyAlignment="1">
      <alignment horizontal="center"/>
    </xf>
    <xf numFmtId="0" fontId="18" fillId="12" borderId="13" xfId="0" applyFont="1" applyFill="1" applyBorder="1" applyAlignment="1">
      <alignment horizontal="center"/>
    </xf>
    <xf numFmtId="0" fontId="19" fillId="13" borderId="0" xfId="0" applyFont="1" applyFill="1" applyAlignment="1">
      <alignment horizontal="center"/>
    </xf>
    <xf numFmtId="2" fontId="20" fillId="4" borderId="14" xfId="0" applyNumberFormat="1" applyFont="1" applyFill="1" applyBorder="1" applyAlignment="1">
      <alignment horizontal="center"/>
    </xf>
    <xf numFmtId="0" fontId="21" fillId="0" borderId="0" xfId="0" applyFont="1"/>
    <xf numFmtId="1" fontId="14" fillId="4" borderId="0" xfId="0" applyNumberFormat="1" applyFont="1" applyFill="1" applyAlignment="1">
      <alignment horizontal="right"/>
    </xf>
    <xf numFmtId="2" fontId="14" fillId="4" borderId="0" xfId="0" applyNumberFormat="1" applyFont="1" applyFill="1" applyAlignment="1">
      <alignment horizontal="right"/>
    </xf>
    <xf numFmtId="0" fontId="15" fillId="10" borderId="14" xfId="0" applyFont="1" applyFill="1" applyBorder="1" applyAlignment="1">
      <alignment horizontal="center"/>
    </xf>
    <xf numFmtId="2" fontId="0" fillId="0" borderId="0" xfId="0" applyNumberFormat="1"/>
    <xf numFmtId="0" fontId="22" fillId="0" borderId="0" xfId="0" applyFont="1"/>
    <xf numFmtId="0" fontId="24" fillId="11" borderId="0" xfId="0" applyFont="1" applyFill="1"/>
    <xf numFmtId="0" fontId="24" fillId="0" borderId="0" xfId="0" applyFont="1"/>
    <xf numFmtId="1" fontId="22" fillId="0" borderId="0" xfId="0" applyNumberFormat="1" applyFont="1"/>
    <xf numFmtId="0" fontId="17" fillId="10" borderId="0" xfId="0" applyFont="1" applyFill="1"/>
    <xf numFmtId="0" fontId="22" fillId="0" borderId="0" xfId="0" applyFont="1"/>
    <xf numFmtId="0" fontId="23" fillId="0" borderId="0" xfId="0" applyFont="1"/>
    <xf numFmtId="0" fontId="25" fillId="0" borderId="0" xfId="0" applyFont="1"/>
    <xf numFmtId="0" fontId="3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8" fillId="6" borderId="0" xfId="0" applyFont="1" applyFill="1"/>
    <xf numFmtId="0" fontId="2" fillId="3" borderId="0" xfId="0" applyFont="1" applyFill="1" applyAlignment="1">
      <alignment vertical="center" wrapText="1"/>
    </xf>
    <xf numFmtId="0" fontId="12" fillId="10" borderId="10" xfId="0" applyFont="1" applyFill="1" applyBorder="1" applyAlignment="1">
      <alignment horizontal="left"/>
    </xf>
    <xf numFmtId="0" fontId="11" fillId="0" borderId="0" xfId="0" applyFont="1" applyAlignment="1">
      <alignment wrapText="1"/>
    </xf>
    <xf numFmtId="0" fontId="17" fillId="10" borderId="10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169" fontId="0" fillId="0" borderId="0" xfId="0" applyNumberFormat="1"/>
  </cellXfs>
  <cellStyles count="2">
    <cellStyle name="Comma" xfId="1" builtinId="3"/>
    <cellStyle name="Normal" xfId="0" builtinId="0"/>
  </cellStyles>
  <dxfs count="2">
    <dxf>
      <font>
        <color rgb="FF166534"/>
      </font>
      <fill>
        <patternFill patternType="solid">
          <bgColor rgb="FFDCFCE7"/>
        </patternFill>
      </fill>
    </dxf>
    <dxf>
      <font>
        <b/>
        <color rgb="FF991B1B"/>
      </font>
      <fill>
        <patternFill patternType="solid">
          <bgColor rgb="FFFECAC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8" Type="http://schemas.openxmlformats.org/officeDocument/2006/relationships/worksheet" Target="worksheets/sheet15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3.xml"/><Relationship Id="rId20" Type="http://schemas.openxmlformats.org/officeDocument/2006/relationships/worksheet" Target="worksheets/sheet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1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Graficador3!$V$2</c:f>
          <c:strCache>
            <c:ptCount val="1"/>
            <c:pt idx="0">
              <c:v>Revisiones de SUB_DES alrededor de D0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478005865102636E-2"/>
          <c:y val="0.10707070707070708"/>
          <c:w val="0.91768821052793625"/>
          <c:h val="0.71193615949521472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Graficador3!$B$15</c:f>
              <c:strCache>
                <c:ptCount val="1"/>
                <c:pt idx="0">
                  <c:v>2027-T2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Graficador3!$W$2:$W$34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</c:numCache>
            </c:numRef>
          </c:xVal>
          <c:yVal>
            <c:numRef>
              <c:f>Graficador3!$X$2:$X$34</c:f>
              <c:numCache>
                <c:formatCode>General</c:formatCode>
                <c:ptCount val="3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2.9</c:v>
                </c:pt>
                <c:pt idx="4">
                  <c:v>2.7</c:v>
                </c:pt>
                <c:pt idx="5">
                  <c:v>2.9</c:v>
                </c:pt>
                <c:pt idx="6">
                  <c:v>3.1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  <c:pt idx="10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3-4DE2-B873-29977D40B279}"/>
            </c:ext>
          </c:extLst>
        </c:ser>
        <c:ser>
          <c:idx val="1"/>
          <c:order val="1"/>
          <c:tx>
            <c:strRef>
              <c:f>Graficador3!$C$15</c:f>
              <c:strCache>
                <c:ptCount val="1"/>
                <c:pt idx="0">
                  <c:v>2026-T4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Graficador3!$Y$2:$Y$34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</c:numCache>
            </c:numRef>
          </c:xVal>
          <c:yVal>
            <c:numRef>
              <c:f>Graficador3!$Z$2:$Z$34</c:f>
              <c:numCache>
                <c:formatCode>General</c:formatCode>
                <c:ptCount val="3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2.9</c:v>
                </c:pt>
                <c:pt idx="5">
                  <c:v>2.7</c:v>
                </c:pt>
                <c:pt idx="6">
                  <c:v>3</c:v>
                </c:pt>
                <c:pt idx="7">
                  <c:v>3</c:v>
                </c:pt>
                <c:pt idx="8">
                  <c:v>3.3</c:v>
                </c:pt>
                <c:pt idx="9">
                  <c:v>3.1</c:v>
                </c:pt>
                <c:pt idx="10">
                  <c:v>3.1</c:v>
                </c:pt>
                <c:pt idx="11">
                  <c:v>3</c:v>
                </c:pt>
                <c:pt idx="12">
                  <c:v>2.9</c:v>
                </c:pt>
                <c:pt idx="13">
                  <c:v>3.1</c:v>
                </c:pt>
                <c:pt idx="14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33-4DE2-B873-29977D40B279}"/>
            </c:ext>
          </c:extLst>
        </c:ser>
        <c:ser>
          <c:idx val="2"/>
          <c:order val="2"/>
          <c:tx>
            <c:strRef>
              <c:f>Graficador3!$D$15</c:f>
              <c:strCache>
                <c:ptCount val="1"/>
                <c:pt idx="0">
                  <c:v>2026-T2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Graficador3!$AA$2:$AA$34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</c:numCache>
            </c:numRef>
          </c:xVal>
          <c:yVal>
            <c:numRef>
              <c:f>Graficador3!$AB$2:$AB$34</c:f>
              <c:numCache>
                <c:formatCode>General</c:formatCode>
                <c:ptCount val="3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2.9</c:v>
                </c:pt>
                <c:pt idx="7">
                  <c:v>3.3</c:v>
                </c:pt>
                <c:pt idx="8">
                  <c:v>3.1</c:v>
                </c:pt>
                <c:pt idx="9">
                  <c:v>3</c:v>
                </c:pt>
                <c:pt idx="10">
                  <c:v>3.1</c:v>
                </c:pt>
                <c:pt idx="11">
                  <c:v>2.9</c:v>
                </c:pt>
                <c:pt idx="12">
                  <c:v>2.6</c:v>
                </c:pt>
                <c:pt idx="13">
                  <c:v>3.3</c:v>
                </c:pt>
                <c:pt idx="14">
                  <c:v>3.3</c:v>
                </c:pt>
                <c:pt idx="15">
                  <c:v>3.4</c:v>
                </c:pt>
                <c:pt idx="16">
                  <c:v>3.7</c:v>
                </c:pt>
                <c:pt idx="17">
                  <c:v>3.7</c:v>
                </c:pt>
                <c:pt idx="18">
                  <c:v>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33-4DE2-B873-29977D40B279}"/>
            </c:ext>
          </c:extLst>
        </c:ser>
        <c:ser>
          <c:idx val="3"/>
          <c:order val="3"/>
          <c:tx>
            <c:strRef>
              <c:f>Graficador3!$E$15</c:f>
              <c:strCache>
                <c:ptCount val="1"/>
                <c:pt idx="0">
                  <c:v>2025-T4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Graficador3!$AC$2:$AC$34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</c:numCache>
            </c:numRef>
          </c:xVal>
          <c:yVal>
            <c:numRef>
              <c:f>Graficador3!$AD$2:$AD$34</c:f>
              <c:numCache>
                <c:formatCode>General</c:formatCode>
                <c:ptCount val="33"/>
                <c:pt idx="0">
                  <c:v>3.3</c:v>
                </c:pt>
                <c:pt idx="1">
                  <c:v>3.2</c:v>
                </c:pt>
                <c:pt idx="2">
                  <c:v>3.2</c:v>
                </c:pt>
                <c:pt idx="3">
                  <c:v>2.9</c:v>
                </c:pt>
                <c:pt idx="4">
                  <c:v>3.1</c:v>
                </c:pt>
                <c:pt idx="5">
                  <c:v>3.1</c:v>
                </c:pt>
                <c:pt idx="6">
                  <c:v>3</c:v>
                </c:pt>
                <c:pt idx="7">
                  <c:v>2.9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2.9</c:v>
                </c:pt>
                <c:pt idx="13">
                  <c:v>2.6</c:v>
                </c:pt>
                <c:pt idx="14">
                  <c:v>3</c:v>
                </c:pt>
                <c:pt idx="15">
                  <c:v>3.1</c:v>
                </c:pt>
                <c:pt idx="16">
                  <c:v>3.6</c:v>
                </c:pt>
                <c:pt idx="17">
                  <c:v>3.9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4.0999999999999996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33-4DE2-B873-29977D40B279}"/>
            </c:ext>
          </c:extLst>
        </c:ser>
        <c:ser>
          <c:idx val="4"/>
          <c:order val="4"/>
          <c:tx>
            <c:strRef>
              <c:f>Graficador3!$F$15</c:f>
              <c:strCache>
                <c:ptCount val="1"/>
                <c:pt idx="0">
                  <c:v>2025-T2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Graficador3!$AE$2:$AE$34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</c:numCache>
            </c:numRef>
          </c:xVal>
          <c:yVal>
            <c:numRef>
              <c:f>Graficador3!$AF$2:$AF$34</c:f>
              <c:numCache>
                <c:formatCode>General</c:formatCode>
                <c:ptCount val="33"/>
                <c:pt idx="0">
                  <c:v>2.8</c:v>
                </c:pt>
                <c:pt idx="1">
                  <c:v>2.8</c:v>
                </c:pt>
                <c:pt idx="2">
                  <c:v>2.7</c:v>
                </c:pt>
                <c:pt idx="3">
                  <c:v>2.7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3.2</c:v>
                </c:pt>
                <c:pt idx="8">
                  <c:v>2.8</c:v>
                </c:pt>
                <c:pt idx="9">
                  <c:v>2.7</c:v>
                </c:pt>
                <c:pt idx="10">
                  <c:v>2.7</c:v>
                </c:pt>
                <c:pt idx="11">
                  <c:v>2.7</c:v>
                </c:pt>
                <c:pt idx="12">
                  <c:v>3.4</c:v>
                </c:pt>
                <c:pt idx="13">
                  <c:v>3.2</c:v>
                </c:pt>
                <c:pt idx="14">
                  <c:v>3.3</c:v>
                </c:pt>
                <c:pt idx="15">
                  <c:v>4.0999999999999996</c:v>
                </c:pt>
                <c:pt idx="16">
                  <c:v>4.5999999999999996</c:v>
                </c:pt>
                <c:pt idx="17">
                  <c:v>5</c:v>
                </c:pt>
                <c:pt idx="18">
                  <c:v>4.9000000000000004</c:v>
                </c:pt>
                <c:pt idx="19">
                  <c:v>4.9000000000000004</c:v>
                </c:pt>
                <c:pt idx="20">
                  <c:v>4.9000000000000004</c:v>
                </c:pt>
                <c:pt idx="21">
                  <c:v>4.9000000000000004</c:v>
                </c:pt>
                <c:pt idx="22">
                  <c:v>4.9000000000000004</c:v>
                </c:pt>
                <c:pt idx="23">
                  <c:v>4.9000000000000004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33-4DE2-B873-29977D40B279}"/>
            </c:ext>
          </c:extLst>
        </c:ser>
        <c:ser>
          <c:idx val="5"/>
          <c:order val="5"/>
          <c:tx>
            <c:strRef>
              <c:f>Graficador3!$G$15</c:f>
              <c:strCache>
                <c:ptCount val="1"/>
                <c:pt idx="0">
                  <c:v>2024-T4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Graficador3!$AG$2:$AG$34</c:f>
              <c:numCache>
                <c:formatCode>General</c:formatCode>
                <c:ptCount val="33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</c:numCache>
            </c:numRef>
          </c:xVal>
          <c:yVal>
            <c:numRef>
              <c:f>Graficador3!$AH$2:$AH$34</c:f>
              <c:numCache>
                <c:formatCode>General</c:formatCode>
                <c:ptCount val="33"/>
                <c:pt idx="0">
                  <c:v>3</c:v>
                </c:pt>
                <c:pt idx="1">
                  <c:v>3.1</c:v>
                </c:pt>
                <c:pt idx="2">
                  <c:v>3.1</c:v>
                </c:pt>
                <c:pt idx="3">
                  <c:v>3.1</c:v>
                </c:pt>
                <c:pt idx="4">
                  <c:v>3.2</c:v>
                </c:pt>
                <c:pt idx="5">
                  <c:v>3.3</c:v>
                </c:pt>
                <c:pt idx="6">
                  <c:v>3.4</c:v>
                </c:pt>
                <c:pt idx="7">
                  <c:v>3.4</c:v>
                </c:pt>
                <c:pt idx="8">
                  <c:v>3.5</c:v>
                </c:pt>
                <c:pt idx="9">
                  <c:v>3.4</c:v>
                </c:pt>
                <c:pt idx="10">
                  <c:v>3.3</c:v>
                </c:pt>
                <c:pt idx="11">
                  <c:v>3.5</c:v>
                </c:pt>
                <c:pt idx="12">
                  <c:v>3.6</c:v>
                </c:pt>
                <c:pt idx="13">
                  <c:v>3.7</c:v>
                </c:pt>
                <c:pt idx="14">
                  <c:v>3.7</c:v>
                </c:pt>
                <c:pt idx="15">
                  <c:v>3.5</c:v>
                </c:pt>
                <c:pt idx="16">
                  <c:v>3.4</c:v>
                </c:pt>
                <c:pt idx="17">
                  <c:v>3.4</c:v>
                </c:pt>
                <c:pt idx="18">
                  <c:v>3.4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3.6</c:v>
                </c:pt>
                <c:pt idx="23">
                  <c:v>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133-4DE2-B873-29977D40B279}"/>
            </c:ext>
          </c:extLst>
        </c:ser>
        <c:ser>
          <c:idx val="6"/>
          <c:order val="6"/>
          <c:tx>
            <c:v>Escala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Graficador3!$AI$2:$AI$3</c:f>
              <c:numCache>
                <c:formatCode>General</c:formatCode>
                <c:ptCount val="2"/>
                <c:pt idx="0">
                  <c:v>-16</c:v>
                </c:pt>
                <c:pt idx="1">
                  <c:v>8</c:v>
                </c:pt>
              </c:numCache>
            </c:numRef>
          </c:xVal>
          <c:yVal>
            <c:numRef>
              <c:f>Graficador3!$AJ$2:$AJ$3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133-4DE2-B873-29977D40B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507983"/>
        <c:axId val="847508463"/>
      </c:scatterChart>
      <c:valAx>
        <c:axId val="847507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Decisión relativa al cierre del periodo (D0)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rgbClr val="191919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7508463"/>
        <c:crosses val="autoZero"/>
        <c:crossBetween val="midCat"/>
        <c:majorUnit val="2"/>
      </c:valAx>
      <c:valAx>
        <c:axId val="847508463"/>
        <c:scaling>
          <c:orientation val="minMax"/>
          <c:max val="5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Porcentaje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50800" cap="flat" cmpd="sng" algn="ctr">
            <a:solidFill>
              <a:srgbClr val="191919"/>
            </a:solidFill>
            <a:prstDash val="lg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75079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ayout>
        <c:manualLayout>
          <c:xMode val="edge"/>
          <c:yMode val="edge"/>
          <c:x val="0.18052855196619483"/>
          <c:y val="6.6481614040669212E-2"/>
          <c:w val="0.5714941387458532"/>
          <c:h val="2.30806755216204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20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Pronósticos publicados en la junta de 6 de agosto de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450596901193789E-2"/>
          <c:y val="0.12457912457912458"/>
          <c:w val="0.92079671492676318"/>
          <c:h val="0.62843447599353108"/>
        </c:manualLayout>
      </c:layout>
      <c:lineChart>
        <c:grouping val="standard"/>
        <c:varyColors val="0"/>
        <c:ser>
          <c:idx val="0"/>
          <c:order val="0"/>
          <c:tx>
            <c:v>INPC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Graficador2!$A$12:$A$24</c:f>
              <c:strCache>
                <c:ptCount val="12"/>
                <c:pt idx="0">
                  <c:v>2025-T3</c:v>
                </c:pt>
                <c:pt idx="1">
                  <c:v>2025-T4</c:v>
                </c:pt>
                <c:pt idx="2">
                  <c:v>2026-T1</c:v>
                </c:pt>
                <c:pt idx="3">
                  <c:v>2026-T2</c:v>
                </c:pt>
                <c:pt idx="4">
                  <c:v>2026-T3</c:v>
                </c:pt>
                <c:pt idx="5">
                  <c:v>2026-T4</c:v>
                </c:pt>
                <c:pt idx="6">
                  <c:v>2027-T1</c:v>
                </c:pt>
                <c:pt idx="7">
                  <c:v>2027-T2</c:v>
                </c:pt>
                <c:pt idx="8">
                  <c:v>2027-T3</c:v>
                </c:pt>
                <c:pt idx="9">
                  <c:v>2027-T4</c:v>
                </c:pt>
                <c:pt idx="10">
                  <c:v>2028-T1</c:v>
                </c:pt>
                <c:pt idx="11">
                  <c:v>2028-T2</c:v>
                </c:pt>
              </c:strCache>
            </c:strRef>
          </c:cat>
          <c:val>
            <c:numRef>
              <c:f>Graficador2!$B$12:$B$24</c:f>
              <c:numCache>
                <c:formatCode>0.0</c:formatCode>
                <c:ptCount val="13"/>
                <c:pt idx="0">
                  <c:v>3.6</c:v>
                </c:pt>
                <c:pt idx="1">
                  <c:v>3.7</c:v>
                </c:pt>
                <c:pt idx="2">
                  <c:v>4.0999999999999996</c:v>
                </c:pt>
                <c:pt idx="3">
                  <c:v>3.9</c:v>
                </c:pt>
                <c:pt idx="4">
                  <c:v>3.5</c:v>
                </c:pt>
                <c:pt idx="5">
                  <c:v>3.5</c:v>
                </c:pt>
                <c:pt idx="6">
                  <c:v>3.4</c:v>
                </c:pt>
                <c:pt idx="7">
                  <c:v>3.3</c:v>
                </c:pt>
                <c:pt idx="8">
                  <c:v>3.2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8D-492B-AD30-66AB2A4DDD58}"/>
            </c:ext>
          </c:extLst>
        </c:ser>
        <c:ser>
          <c:idx val="1"/>
          <c:order val="1"/>
          <c:tx>
            <c:v>Subyacente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Graficador2!$A$12:$A$24</c:f>
              <c:strCache>
                <c:ptCount val="12"/>
                <c:pt idx="0">
                  <c:v>2025-T3</c:v>
                </c:pt>
                <c:pt idx="1">
                  <c:v>2025-T4</c:v>
                </c:pt>
                <c:pt idx="2">
                  <c:v>2026-T1</c:v>
                </c:pt>
                <c:pt idx="3">
                  <c:v>2026-T2</c:v>
                </c:pt>
                <c:pt idx="4">
                  <c:v>2026-T3</c:v>
                </c:pt>
                <c:pt idx="5">
                  <c:v>2026-T4</c:v>
                </c:pt>
                <c:pt idx="6">
                  <c:v>2027-T1</c:v>
                </c:pt>
                <c:pt idx="7">
                  <c:v>2027-T2</c:v>
                </c:pt>
                <c:pt idx="8">
                  <c:v>2027-T3</c:v>
                </c:pt>
                <c:pt idx="9">
                  <c:v>2027-T4</c:v>
                </c:pt>
                <c:pt idx="10">
                  <c:v>2028-T1</c:v>
                </c:pt>
                <c:pt idx="11">
                  <c:v>2028-T2</c:v>
                </c:pt>
              </c:strCache>
            </c:strRef>
          </c:cat>
          <c:val>
            <c:numRef>
              <c:f>Graficador2!$C$12:$C$24</c:f>
              <c:numCache>
                <c:formatCode>0.0</c:formatCode>
                <c:ptCount val="13"/>
                <c:pt idx="0">
                  <c:v>4.2</c:v>
                </c:pt>
                <c:pt idx="1">
                  <c:v>4.3</c:v>
                </c:pt>
                <c:pt idx="2">
                  <c:v>4.5</c:v>
                </c:pt>
                <c:pt idx="3">
                  <c:v>4.2</c:v>
                </c:pt>
                <c:pt idx="4">
                  <c:v>3.8</c:v>
                </c:pt>
                <c:pt idx="5">
                  <c:v>3.5</c:v>
                </c:pt>
                <c:pt idx="6">
                  <c:v>3.4</c:v>
                </c:pt>
                <c:pt idx="7">
                  <c:v>3.3</c:v>
                </c:pt>
                <c:pt idx="8">
                  <c:v>3.2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8D-492B-AD30-66AB2A4DDD58}"/>
            </c:ext>
          </c:extLst>
        </c:ser>
        <c:ser>
          <c:idx val="2"/>
          <c:order val="2"/>
          <c:tx>
            <c:v>INPC desestacionalizado</c:v>
          </c:tx>
          <c:spPr>
            <a:ln w="444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Graficador2!$A$12:$A$24</c:f>
              <c:strCache>
                <c:ptCount val="12"/>
                <c:pt idx="0">
                  <c:v>2025-T3</c:v>
                </c:pt>
                <c:pt idx="1">
                  <c:v>2025-T4</c:v>
                </c:pt>
                <c:pt idx="2">
                  <c:v>2026-T1</c:v>
                </c:pt>
                <c:pt idx="3">
                  <c:v>2026-T2</c:v>
                </c:pt>
                <c:pt idx="4">
                  <c:v>2026-T3</c:v>
                </c:pt>
                <c:pt idx="5">
                  <c:v>2026-T4</c:v>
                </c:pt>
                <c:pt idx="6">
                  <c:v>2027-T1</c:v>
                </c:pt>
                <c:pt idx="7">
                  <c:v>2027-T2</c:v>
                </c:pt>
                <c:pt idx="8">
                  <c:v>2027-T3</c:v>
                </c:pt>
                <c:pt idx="9">
                  <c:v>2027-T4</c:v>
                </c:pt>
                <c:pt idx="10">
                  <c:v>2028-T1</c:v>
                </c:pt>
                <c:pt idx="11">
                  <c:v>2028-T2</c:v>
                </c:pt>
              </c:strCache>
            </c:strRef>
          </c:cat>
          <c:val>
            <c:numRef>
              <c:f>Graficador2!$D$12:$D$24</c:f>
              <c:numCache>
                <c:formatCode>0.0</c:formatCode>
                <c:ptCount val="13"/>
                <c:pt idx="0">
                  <c:v>3.6</c:v>
                </c:pt>
                <c:pt idx="1">
                  <c:v>3.4</c:v>
                </c:pt>
                <c:pt idx="2">
                  <c:v>4.5</c:v>
                </c:pt>
                <c:pt idx="3">
                  <c:v>4.0999999999999996</c:v>
                </c:pt>
                <c:pt idx="4">
                  <c:v>2.5</c:v>
                </c:pt>
                <c:pt idx="5">
                  <c:v>3.5</c:v>
                </c:pt>
                <c:pt idx="6">
                  <c:v>3.3</c:v>
                </c:pt>
                <c:pt idx="7">
                  <c:v>3.1</c:v>
                </c:pt>
                <c:pt idx="8">
                  <c:v>2.6</c:v>
                </c:pt>
                <c:pt idx="9">
                  <c:v>3.3</c:v>
                </c:pt>
                <c:pt idx="10">
                  <c:v>3.1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8D-492B-AD30-66AB2A4DDD58}"/>
            </c:ext>
          </c:extLst>
        </c:ser>
        <c:ser>
          <c:idx val="3"/>
          <c:order val="3"/>
          <c:tx>
            <c:v>Subyacente desestacionalizado</c:v>
          </c:tx>
          <c:spPr>
            <a:ln w="476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Graficador2!$A$12:$A$24</c:f>
              <c:strCache>
                <c:ptCount val="12"/>
                <c:pt idx="0">
                  <c:v>2025-T3</c:v>
                </c:pt>
                <c:pt idx="1">
                  <c:v>2025-T4</c:v>
                </c:pt>
                <c:pt idx="2">
                  <c:v>2026-T1</c:v>
                </c:pt>
                <c:pt idx="3">
                  <c:v>2026-T2</c:v>
                </c:pt>
                <c:pt idx="4">
                  <c:v>2026-T3</c:v>
                </c:pt>
                <c:pt idx="5">
                  <c:v>2026-T4</c:v>
                </c:pt>
                <c:pt idx="6">
                  <c:v>2027-T1</c:v>
                </c:pt>
                <c:pt idx="7">
                  <c:v>2027-T2</c:v>
                </c:pt>
                <c:pt idx="8">
                  <c:v>2027-T3</c:v>
                </c:pt>
                <c:pt idx="9">
                  <c:v>2027-T4</c:v>
                </c:pt>
                <c:pt idx="10">
                  <c:v>2028-T1</c:v>
                </c:pt>
                <c:pt idx="11">
                  <c:v>2028-T2</c:v>
                </c:pt>
              </c:strCache>
            </c:strRef>
          </c:cat>
          <c:val>
            <c:numRef>
              <c:f>Graficador2!$E$12:$E$24</c:f>
              <c:numCache>
                <c:formatCode>0.0</c:formatCode>
                <c:ptCount val="13"/>
                <c:pt idx="0">
                  <c:v>4.4000000000000004</c:v>
                </c:pt>
                <c:pt idx="1">
                  <c:v>4</c:v>
                </c:pt>
                <c:pt idx="2">
                  <c:v>4.5999999999999996</c:v>
                </c:pt>
                <c:pt idx="3">
                  <c:v>3.7</c:v>
                </c:pt>
                <c:pt idx="4">
                  <c:v>3.3</c:v>
                </c:pt>
                <c:pt idx="5">
                  <c:v>3.1</c:v>
                </c:pt>
                <c:pt idx="6">
                  <c:v>3.1</c:v>
                </c:pt>
                <c:pt idx="7">
                  <c:v>3.2</c:v>
                </c:pt>
                <c:pt idx="8">
                  <c:v>2.9</c:v>
                </c:pt>
                <c:pt idx="9">
                  <c:v>3</c:v>
                </c:pt>
                <c:pt idx="10">
                  <c:v>3</c:v>
                </c:pt>
                <c:pt idx="11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8D-492B-AD30-66AB2A4DD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934832"/>
        <c:axId val="1161936272"/>
      </c:lineChart>
      <c:catAx>
        <c:axId val="1161934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8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Periodo pronosticado</a:t>
                </a:r>
              </a:p>
            </c:rich>
          </c:tx>
          <c:layout>
            <c:manualLayout>
              <c:xMode val="edge"/>
              <c:yMode val="edge"/>
              <c:x val="0.41833822091886608"/>
              <c:y val="0.788237015827566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61936272"/>
        <c:crossesAt val="3"/>
        <c:auto val="1"/>
        <c:lblAlgn val="ctr"/>
        <c:lblOffset val="100"/>
        <c:noMultiLvlLbl val="0"/>
      </c:catAx>
      <c:valAx>
        <c:axId val="1161936272"/>
        <c:scaling>
          <c:orientation val="minMax"/>
          <c:max val="5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8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Porcentaje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6193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36164284449781"/>
          <c:y val="6.513481269386788E-2"/>
          <c:w val="0.77905188537649805"/>
          <c:h val="3.38550862960311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Evolución de los pronósticos para el período 2026-T2 (%)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3372534932974456E-2"/>
          <c:y val="9.6545651553258893E-2"/>
          <c:w val="0.92586813435130821"/>
          <c:h val="0.73500806651682282"/>
        </c:manualLayout>
      </c:layout>
      <c:lineChart>
        <c:grouping val="standard"/>
        <c:varyColors val="0"/>
        <c:ser>
          <c:idx val="0"/>
          <c:order val="0"/>
          <c:tx>
            <c:v>INPC</c:v>
          </c:tx>
          <c:spPr>
            <a:ln w="44450"/>
          </c:spPr>
          <c:marker>
            <c:symbol val="none"/>
          </c:marker>
          <c:dPt>
            <c:idx val="0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1-BE57-4717-84AD-92E54BC4DE84}"/>
              </c:ext>
            </c:extLst>
          </c:dPt>
          <c:dPt>
            <c:idx val="1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3-BE57-4717-84AD-92E54BC4DE84}"/>
              </c:ext>
            </c:extLst>
          </c:dPt>
          <c:dPt>
            <c:idx val="2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5-BE57-4717-84AD-92E54BC4DE84}"/>
              </c:ext>
            </c:extLst>
          </c:dPt>
          <c:dPt>
            <c:idx val="3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7-BE57-4717-84AD-92E54BC4DE84}"/>
              </c:ext>
            </c:extLst>
          </c:dPt>
          <c:dPt>
            <c:idx val="4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9-BE57-4717-84AD-92E54BC4DE84}"/>
              </c:ext>
            </c:extLst>
          </c:dPt>
          <c:dPt>
            <c:idx val="5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B-BE57-4717-84AD-92E54BC4DE84}"/>
              </c:ext>
            </c:extLst>
          </c:dPt>
          <c:dPt>
            <c:idx val="6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D-BE57-4717-84AD-92E54BC4DE84}"/>
              </c:ext>
            </c:extLst>
          </c:dPt>
          <c:dPt>
            <c:idx val="7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F-BE57-4717-84AD-92E54BC4DE84}"/>
              </c:ext>
            </c:extLst>
          </c:dPt>
          <c:dPt>
            <c:idx val="8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1-BE57-4717-84AD-92E54BC4DE84}"/>
              </c:ext>
            </c:extLst>
          </c:dPt>
          <c:dPt>
            <c:idx val="9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3-BE57-4717-84AD-92E54BC4DE84}"/>
              </c:ext>
            </c:extLst>
          </c:dPt>
          <c:dPt>
            <c:idx val="10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5-BE57-4717-84AD-92E54BC4DE84}"/>
              </c:ext>
            </c:extLst>
          </c:dPt>
          <c:dPt>
            <c:idx val="11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7-BE57-4717-84AD-92E54BC4DE84}"/>
              </c:ext>
            </c:extLst>
          </c:dPt>
          <c:dPt>
            <c:idx val="12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9-BE57-4717-84AD-92E54BC4DE84}"/>
              </c:ext>
            </c:extLst>
          </c:dPt>
          <c:dPt>
            <c:idx val="13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B-BE57-4717-84AD-92E54BC4DE84}"/>
              </c:ext>
            </c:extLst>
          </c:dPt>
          <c:dPt>
            <c:idx val="14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D-BE57-4717-84AD-92E54BC4DE84}"/>
              </c:ext>
            </c:extLst>
          </c:dPt>
          <c:dPt>
            <c:idx val="15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F-BE57-4717-84AD-92E54BC4DE84}"/>
              </c:ext>
            </c:extLst>
          </c:dPt>
          <c:dPt>
            <c:idx val="16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1-BE57-4717-84AD-92E54BC4DE84}"/>
              </c:ext>
            </c:extLst>
          </c:dPt>
          <c:dPt>
            <c:idx val="17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3-BE57-4717-84AD-92E54BC4DE84}"/>
              </c:ext>
            </c:extLst>
          </c:dPt>
          <c:dPt>
            <c:idx val="18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5-BE57-4717-84AD-92E54BC4DE84}"/>
              </c:ext>
            </c:extLst>
          </c:dPt>
          <c:dPt>
            <c:idx val="19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7-BE57-4717-84AD-92E54BC4DE84}"/>
              </c:ext>
            </c:extLst>
          </c:dPt>
          <c:dPt>
            <c:idx val="20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9-BE57-4717-84AD-92E54BC4DE84}"/>
              </c:ext>
            </c:extLst>
          </c:dPt>
          <c:dPt>
            <c:idx val="21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C-BE57-4717-84AD-92E54BC4DE84}"/>
              </c:ext>
            </c:extLst>
          </c:dPt>
          <c:dPt>
            <c:idx val="22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0-BE57-4717-84AD-92E54BC4DE84}"/>
              </c:ext>
            </c:extLst>
          </c:dPt>
          <c:dPt>
            <c:idx val="23"/>
            <c:bubble3D val="0"/>
            <c:spPr>
              <a:ln w="44450" cap="rnd" cmpd="sng" algn="ctr">
                <a:solidFill>
                  <a:srgbClr val="001D62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1-BE57-4717-84AD-92E54BC4DE84}"/>
              </c:ext>
            </c:extLst>
          </c:dPt>
          <c:cat>
            <c:numRef>
              <c:f>Graficador!$A$36:$A$53</c:f>
              <c:numCache>
                <c:formatCode>mmm\ yyyy</c:formatCode>
                <c:ptCount val="18"/>
                <c:pt idx="0">
                  <c:v>45470</c:v>
                </c:pt>
                <c:pt idx="1">
                  <c:v>45512</c:v>
                </c:pt>
                <c:pt idx="2">
                  <c:v>45561</c:v>
                </c:pt>
                <c:pt idx="3">
                  <c:v>45610</c:v>
                </c:pt>
                <c:pt idx="4">
                  <c:v>45645</c:v>
                </c:pt>
                <c:pt idx="5">
                  <c:v>45694</c:v>
                </c:pt>
                <c:pt idx="6">
                  <c:v>45743</c:v>
                </c:pt>
                <c:pt idx="7">
                  <c:v>45792</c:v>
                </c:pt>
                <c:pt idx="8">
                  <c:v>45834</c:v>
                </c:pt>
                <c:pt idx="9">
                  <c:v>45876</c:v>
                </c:pt>
                <c:pt idx="10">
                  <c:v>45925</c:v>
                </c:pt>
                <c:pt idx="11">
                  <c:v>45967</c:v>
                </c:pt>
                <c:pt idx="12">
                  <c:v>46009</c:v>
                </c:pt>
                <c:pt idx="13">
                  <c:v>46058</c:v>
                </c:pt>
                <c:pt idx="14">
                  <c:v>46107</c:v>
                </c:pt>
                <c:pt idx="15">
                  <c:v>46149</c:v>
                </c:pt>
                <c:pt idx="16">
                  <c:v>46198</c:v>
                </c:pt>
                <c:pt idx="17">
                  <c:v>46240</c:v>
                </c:pt>
              </c:numCache>
            </c:numRef>
          </c:cat>
          <c:val>
            <c:numRef>
              <c:f>Graficador!$B$36:$B$53</c:f>
              <c:numCache>
                <c:formatCode>0.0</c:formatCode>
                <c:ptCount val="1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3.1</c:v>
                </c:pt>
                <c:pt idx="5">
                  <c:v>3.1</c:v>
                </c:pt>
                <c:pt idx="6">
                  <c:v>3.1</c:v>
                </c:pt>
                <c:pt idx="7">
                  <c:v>3.1</c:v>
                </c:pt>
                <c:pt idx="8">
                  <c:v>3.1</c:v>
                </c:pt>
                <c:pt idx="9">
                  <c:v>3.1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  <c:pt idx="13">
                  <c:v>3.8</c:v>
                </c:pt>
                <c:pt idx="14">
                  <c:v>4</c:v>
                </c:pt>
                <c:pt idx="15">
                  <c:v>4.0999999999999996</c:v>
                </c:pt>
                <c:pt idx="16">
                  <c:v>4</c:v>
                </c:pt>
                <c:pt idx="17">
                  <c:v>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E57-4717-84AD-92E54BC4DE84}"/>
            </c:ext>
          </c:extLst>
        </c:ser>
        <c:ser>
          <c:idx val="1"/>
          <c:order val="1"/>
          <c:tx>
            <c:v>Subyacente</c:v>
          </c:tx>
          <c:spPr>
            <a:ln w="38100"/>
          </c:spPr>
          <c:marker>
            <c:symbol val="none"/>
          </c:marker>
          <c:dPt>
            <c:idx val="0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C-BE57-4717-84AD-92E54BC4DE84}"/>
              </c:ext>
            </c:extLst>
          </c:dPt>
          <c:dPt>
            <c:idx val="1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2E-BE57-4717-84AD-92E54BC4DE84}"/>
              </c:ext>
            </c:extLst>
          </c:dPt>
          <c:dPt>
            <c:idx val="2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0-BE57-4717-84AD-92E54BC4DE84}"/>
              </c:ext>
            </c:extLst>
          </c:dPt>
          <c:dPt>
            <c:idx val="3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2-BE57-4717-84AD-92E54BC4DE84}"/>
              </c:ext>
            </c:extLst>
          </c:dPt>
          <c:dPt>
            <c:idx val="4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4-BE57-4717-84AD-92E54BC4DE84}"/>
              </c:ext>
            </c:extLst>
          </c:dPt>
          <c:dPt>
            <c:idx val="5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6-BE57-4717-84AD-92E54BC4DE84}"/>
              </c:ext>
            </c:extLst>
          </c:dPt>
          <c:dPt>
            <c:idx val="6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8-BE57-4717-84AD-92E54BC4DE84}"/>
              </c:ext>
            </c:extLst>
          </c:dPt>
          <c:dPt>
            <c:idx val="7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A-BE57-4717-84AD-92E54BC4DE84}"/>
              </c:ext>
            </c:extLst>
          </c:dPt>
          <c:dPt>
            <c:idx val="8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C-BE57-4717-84AD-92E54BC4DE84}"/>
              </c:ext>
            </c:extLst>
          </c:dPt>
          <c:dPt>
            <c:idx val="9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3E-BE57-4717-84AD-92E54BC4DE84}"/>
              </c:ext>
            </c:extLst>
          </c:dPt>
          <c:dPt>
            <c:idx val="10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0-BE57-4717-84AD-92E54BC4DE84}"/>
              </c:ext>
            </c:extLst>
          </c:dPt>
          <c:dPt>
            <c:idx val="11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2-BE57-4717-84AD-92E54BC4DE84}"/>
              </c:ext>
            </c:extLst>
          </c:dPt>
          <c:dPt>
            <c:idx val="12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4-BE57-4717-84AD-92E54BC4DE84}"/>
              </c:ext>
            </c:extLst>
          </c:dPt>
          <c:dPt>
            <c:idx val="13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6-BE57-4717-84AD-92E54BC4DE84}"/>
              </c:ext>
            </c:extLst>
          </c:dPt>
          <c:dPt>
            <c:idx val="14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8-BE57-4717-84AD-92E54BC4DE84}"/>
              </c:ext>
            </c:extLst>
          </c:dPt>
          <c:dPt>
            <c:idx val="15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A-BE57-4717-84AD-92E54BC4DE84}"/>
              </c:ext>
            </c:extLst>
          </c:dPt>
          <c:dPt>
            <c:idx val="16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C-BE57-4717-84AD-92E54BC4DE84}"/>
              </c:ext>
            </c:extLst>
          </c:dPt>
          <c:dPt>
            <c:idx val="17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4E-BE57-4717-84AD-92E54BC4DE84}"/>
              </c:ext>
            </c:extLst>
          </c:dPt>
          <c:dPt>
            <c:idx val="18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0-BE57-4717-84AD-92E54BC4DE84}"/>
              </c:ext>
            </c:extLst>
          </c:dPt>
          <c:dPt>
            <c:idx val="19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2-BE57-4717-84AD-92E54BC4DE84}"/>
              </c:ext>
            </c:extLst>
          </c:dPt>
          <c:dPt>
            <c:idx val="20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4-BE57-4717-84AD-92E54BC4DE84}"/>
              </c:ext>
            </c:extLst>
          </c:dPt>
          <c:dPt>
            <c:idx val="21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D-BE57-4717-84AD-92E54BC4DE84}"/>
              </c:ext>
            </c:extLst>
          </c:dPt>
          <c:dPt>
            <c:idx val="22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2-BE57-4717-84AD-92E54BC4DE84}"/>
              </c:ext>
            </c:extLst>
          </c:dPt>
          <c:dPt>
            <c:idx val="23"/>
            <c:bubble3D val="0"/>
            <c:spPr>
              <a:ln w="38100" cap="rnd" cmpd="sng" algn="ctr">
                <a:solidFill>
                  <a:srgbClr val="6491D1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3-BE57-4717-84AD-92E54BC4DE84}"/>
              </c:ext>
            </c:extLst>
          </c:dPt>
          <c:cat>
            <c:numRef>
              <c:f>Graficador!$A$36:$A$53</c:f>
              <c:numCache>
                <c:formatCode>mmm\ yyyy</c:formatCode>
                <c:ptCount val="18"/>
                <c:pt idx="0">
                  <c:v>45470</c:v>
                </c:pt>
                <c:pt idx="1">
                  <c:v>45512</c:v>
                </c:pt>
                <c:pt idx="2">
                  <c:v>45561</c:v>
                </c:pt>
                <c:pt idx="3">
                  <c:v>45610</c:v>
                </c:pt>
                <c:pt idx="4">
                  <c:v>45645</c:v>
                </c:pt>
                <c:pt idx="5">
                  <c:v>45694</c:v>
                </c:pt>
                <c:pt idx="6">
                  <c:v>45743</c:v>
                </c:pt>
                <c:pt idx="7">
                  <c:v>45792</c:v>
                </c:pt>
                <c:pt idx="8">
                  <c:v>45834</c:v>
                </c:pt>
                <c:pt idx="9">
                  <c:v>45876</c:v>
                </c:pt>
                <c:pt idx="10">
                  <c:v>45925</c:v>
                </c:pt>
                <c:pt idx="11">
                  <c:v>45967</c:v>
                </c:pt>
                <c:pt idx="12">
                  <c:v>46009</c:v>
                </c:pt>
                <c:pt idx="13">
                  <c:v>46058</c:v>
                </c:pt>
                <c:pt idx="14">
                  <c:v>46107</c:v>
                </c:pt>
                <c:pt idx="15">
                  <c:v>46149</c:v>
                </c:pt>
                <c:pt idx="16">
                  <c:v>46198</c:v>
                </c:pt>
                <c:pt idx="17">
                  <c:v>46240</c:v>
                </c:pt>
              </c:numCache>
            </c:numRef>
          </c:cat>
          <c:val>
            <c:numRef>
              <c:f>Graficador!$C$36:$C$53</c:f>
              <c:numCache>
                <c:formatCode>0.0</c:formatCode>
                <c:ptCount val="1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3.1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  <c:pt idx="12">
                  <c:v>3.4</c:v>
                </c:pt>
                <c:pt idx="13">
                  <c:v>4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4.2</c:v>
                </c:pt>
                <c:pt idx="17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E57-4717-84AD-92E54BC4DE84}"/>
            </c:ext>
          </c:extLst>
        </c:ser>
        <c:ser>
          <c:idx val="2"/>
          <c:order val="2"/>
          <c:tx>
            <c:v>INPC desestacionalizado</c:v>
          </c:tx>
          <c:spPr>
            <a:ln w="57150"/>
          </c:spPr>
          <c:marker>
            <c:symbol val="none"/>
          </c:marker>
          <c:dPt>
            <c:idx val="0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7-BE57-4717-84AD-92E54BC4DE84}"/>
              </c:ext>
            </c:extLst>
          </c:dPt>
          <c:dPt>
            <c:idx val="1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9-BE57-4717-84AD-92E54BC4DE84}"/>
              </c:ext>
            </c:extLst>
          </c:dPt>
          <c:dPt>
            <c:idx val="2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B-BE57-4717-84AD-92E54BC4DE84}"/>
              </c:ext>
            </c:extLst>
          </c:dPt>
          <c:dPt>
            <c:idx val="3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D-BE57-4717-84AD-92E54BC4DE84}"/>
              </c:ext>
            </c:extLst>
          </c:dPt>
          <c:dPt>
            <c:idx val="4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5F-BE57-4717-84AD-92E54BC4DE84}"/>
              </c:ext>
            </c:extLst>
          </c:dPt>
          <c:dPt>
            <c:idx val="5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1-BE57-4717-84AD-92E54BC4DE84}"/>
              </c:ext>
            </c:extLst>
          </c:dPt>
          <c:dPt>
            <c:idx val="6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3-BE57-4717-84AD-92E54BC4DE84}"/>
              </c:ext>
            </c:extLst>
          </c:dPt>
          <c:dPt>
            <c:idx val="7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5-BE57-4717-84AD-92E54BC4DE84}"/>
              </c:ext>
            </c:extLst>
          </c:dPt>
          <c:dPt>
            <c:idx val="8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7-BE57-4717-84AD-92E54BC4DE84}"/>
              </c:ext>
            </c:extLst>
          </c:dPt>
          <c:dPt>
            <c:idx val="9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9-BE57-4717-84AD-92E54BC4DE84}"/>
              </c:ext>
            </c:extLst>
          </c:dPt>
          <c:dPt>
            <c:idx val="10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B-BE57-4717-84AD-92E54BC4DE84}"/>
              </c:ext>
            </c:extLst>
          </c:dPt>
          <c:dPt>
            <c:idx val="11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D-BE57-4717-84AD-92E54BC4DE84}"/>
              </c:ext>
            </c:extLst>
          </c:dPt>
          <c:dPt>
            <c:idx val="12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6F-BE57-4717-84AD-92E54BC4DE84}"/>
              </c:ext>
            </c:extLst>
          </c:dPt>
          <c:dPt>
            <c:idx val="13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1-BE57-4717-84AD-92E54BC4DE84}"/>
              </c:ext>
            </c:extLst>
          </c:dPt>
          <c:dPt>
            <c:idx val="14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3-BE57-4717-84AD-92E54BC4DE84}"/>
              </c:ext>
            </c:extLst>
          </c:dPt>
          <c:dPt>
            <c:idx val="15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5-BE57-4717-84AD-92E54BC4DE84}"/>
              </c:ext>
            </c:extLst>
          </c:dPt>
          <c:dPt>
            <c:idx val="16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7-BE57-4717-84AD-92E54BC4DE84}"/>
              </c:ext>
            </c:extLst>
          </c:dPt>
          <c:dPt>
            <c:idx val="17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9-BE57-4717-84AD-92E54BC4DE84}"/>
              </c:ext>
            </c:extLst>
          </c:dPt>
          <c:dPt>
            <c:idx val="18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B-BE57-4717-84AD-92E54BC4DE84}"/>
              </c:ext>
            </c:extLst>
          </c:dPt>
          <c:dPt>
            <c:idx val="19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D-BE57-4717-84AD-92E54BC4DE84}"/>
              </c:ext>
            </c:extLst>
          </c:dPt>
          <c:dPt>
            <c:idx val="20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7F-BE57-4717-84AD-92E54BC4DE84}"/>
              </c:ext>
            </c:extLst>
          </c:dPt>
          <c:dPt>
            <c:idx val="21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E-BE57-4717-84AD-92E54BC4DE84}"/>
              </c:ext>
            </c:extLst>
          </c:dPt>
          <c:dPt>
            <c:idx val="22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4-BE57-4717-84AD-92E54BC4DE84}"/>
              </c:ext>
            </c:extLst>
          </c:dPt>
          <c:dPt>
            <c:idx val="23"/>
            <c:bubble3D val="0"/>
            <c:spPr>
              <a:ln w="57150" cap="rnd" cmpd="sng" algn="ctr">
                <a:solidFill>
                  <a:srgbClr val="1B7874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5-BE57-4717-84AD-92E54BC4DE84}"/>
              </c:ext>
            </c:extLst>
          </c:dPt>
          <c:cat>
            <c:numRef>
              <c:f>Graficador!$A$36:$A$53</c:f>
              <c:numCache>
                <c:formatCode>mmm\ yyyy</c:formatCode>
                <c:ptCount val="18"/>
                <c:pt idx="0">
                  <c:v>45470</c:v>
                </c:pt>
                <c:pt idx="1">
                  <c:v>45512</c:v>
                </c:pt>
                <c:pt idx="2">
                  <c:v>45561</c:v>
                </c:pt>
                <c:pt idx="3">
                  <c:v>45610</c:v>
                </c:pt>
                <c:pt idx="4">
                  <c:v>45645</c:v>
                </c:pt>
                <c:pt idx="5">
                  <c:v>45694</c:v>
                </c:pt>
                <c:pt idx="6">
                  <c:v>45743</c:v>
                </c:pt>
                <c:pt idx="7">
                  <c:v>45792</c:v>
                </c:pt>
                <c:pt idx="8">
                  <c:v>45834</c:v>
                </c:pt>
                <c:pt idx="9">
                  <c:v>45876</c:v>
                </c:pt>
                <c:pt idx="10">
                  <c:v>45925</c:v>
                </c:pt>
                <c:pt idx="11">
                  <c:v>45967</c:v>
                </c:pt>
                <c:pt idx="12">
                  <c:v>46009</c:v>
                </c:pt>
                <c:pt idx="13">
                  <c:v>46058</c:v>
                </c:pt>
                <c:pt idx="14">
                  <c:v>46107</c:v>
                </c:pt>
                <c:pt idx="15">
                  <c:v>46149</c:v>
                </c:pt>
                <c:pt idx="16">
                  <c:v>46198</c:v>
                </c:pt>
                <c:pt idx="17">
                  <c:v>46240</c:v>
                </c:pt>
              </c:numCache>
            </c:numRef>
          </c:cat>
          <c:val>
            <c:numRef>
              <c:f>Graficador!$D$36:$D$53</c:f>
              <c:numCache>
                <c:formatCode>0.0</c:formatCode>
                <c:ptCount val="18"/>
                <c:pt idx="0">
                  <c:v>2.9</c:v>
                </c:pt>
                <c:pt idx="1">
                  <c:v>2.8</c:v>
                </c:pt>
                <c:pt idx="2">
                  <c:v>3.1</c:v>
                </c:pt>
                <c:pt idx="3">
                  <c:v>2.6</c:v>
                </c:pt>
                <c:pt idx="4">
                  <c:v>2.7</c:v>
                </c:pt>
                <c:pt idx="5">
                  <c:v>3.1</c:v>
                </c:pt>
                <c:pt idx="6">
                  <c:v>3.1</c:v>
                </c:pt>
                <c:pt idx="7">
                  <c:v>3.6</c:v>
                </c:pt>
                <c:pt idx="8">
                  <c:v>3.8</c:v>
                </c:pt>
                <c:pt idx="9">
                  <c:v>3.5</c:v>
                </c:pt>
                <c:pt idx="10">
                  <c:v>3.5</c:v>
                </c:pt>
                <c:pt idx="11">
                  <c:v>3.6</c:v>
                </c:pt>
                <c:pt idx="12">
                  <c:v>3.2</c:v>
                </c:pt>
                <c:pt idx="13">
                  <c:v>4</c:v>
                </c:pt>
                <c:pt idx="14">
                  <c:v>4.2</c:v>
                </c:pt>
                <c:pt idx="15">
                  <c:v>4.5999999999999996</c:v>
                </c:pt>
                <c:pt idx="16">
                  <c:v>4.0999999999999996</c:v>
                </c:pt>
                <c:pt idx="17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BE57-4717-84AD-92E54BC4DE84}"/>
            </c:ext>
          </c:extLst>
        </c:ser>
        <c:ser>
          <c:idx val="3"/>
          <c:order val="3"/>
          <c:tx>
            <c:v>Subyacente desestacionalizado</c:v>
          </c:tx>
          <c:spPr>
            <a:ln w="47625"/>
          </c:spPr>
          <c:marker>
            <c:symbol val="none"/>
          </c:marker>
          <c:dPt>
            <c:idx val="0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2-BE57-4717-84AD-92E54BC4DE84}"/>
              </c:ext>
            </c:extLst>
          </c:dPt>
          <c:dPt>
            <c:idx val="1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4-BE57-4717-84AD-92E54BC4DE84}"/>
              </c:ext>
            </c:extLst>
          </c:dPt>
          <c:dPt>
            <c:idx val="2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6-BE57-4717-84AD-92E54BC4DE84}"/>
              </c:ext>
            </c:extLst>
          </c:dPt>
          <c:dPt>
            <c:idx val="3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8-BE57-4717-84AD-92E54BC4DE84}"/>
              </c:ext>
            </c:extLst>
          </c:dPt>
          <c:dPt>
            <c:idx val="4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A-BE57-4717-84AD-92E54BC4DE84}"/>
              </c:ext>
            </c:extLst>
          </c:dPt>
          <c:dPt>
            <c:idx val="5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C-BE57-4717-84AD-92E54BC4DE84}"/>
              </c:ext>
            </c:extLst>
          </c:dPt>
          <c:dPt>
            <c:idx val="6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8E-BE57-4717-84AD-92E54BC4DE84}"/>
              </c:ext>
            </c:extLst>
          </c:dPt>
          <c:dPt>
            <c:idx val="7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0-BE57-4717-84AD-92E54BC4DE84}"/>
              </c:ext>
            </c:extLst>
          </c:dPt>
          <c:dPt>
            <c:idx val="8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2-BE57-4717-84AD-92E54BC4DE84}"/>
              </c:ext>
            </c:extLst>
          </c:dPt>
          <c:dPt>
            <c:idx val="9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4-BE57-4717-84AD-92E54BC4DE84}"/>
              </c:ext>
            </c:extLst>
          </c:dPt>
          <c:dPt>
            <c:idx val="10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6-BE57-4717-84AD-92E54BC4DE84}"/>
              </c:ext>
            </c:extLst>
          </c:dPt>
          <c:dPt>
            <c:idx val="11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8-BE57-4717-84AD-92E54BC4DE84}"/>
              </c:ext>
            </c:extLst>
          </c:dPt>
          <c:dPt>
            <c:idx val="12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A-BE57-4717-84AD-92E54BC4DE84}"/>
              </c:ext>
            </c:extLst>
          </c:dPt>
          <c:dPt>
            <c:idx val="13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C-BE57-4717-84AD-92E54BC4DE84}"/>
              </c:ext>
            </c:extLst>
          </c:dPt>
          <c:dPt>
            <c:idx val="14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9E-BE57-4717-84AD-92E54BC4DE84}"/>
              </c:ext>
            </c:extLst>
          </c:dPt>
          <c:dPt>
            <c:idx val="15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0-BE57-4717-84AD-92E54BC4DE84}"/>
              </c:ext>
            </c:extLst>
          </c:dPt>
          <c:dPt>
            <c:idx val="16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2-BE57-4717-84AD-92E54BC4DE84}"/>
              </c:ext>
            </c:extLst>
          </c:dPt>
          <c:dPt>
            <c:idx val="17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4-BE57-4717-84AD-92E54BC4DE84}"/>
              </c:ext>
            </c:extLst>
          </c:dPt>
          <c:dPt>
            <c:idx val="18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6-BE57-4717-84AD-92E54BC4DE84}"/>
              </c:ext>
            </c:extLst>
          </c:dPt>
          <c:dPt>
            <c:idx val="19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8-BE57-4717-84AD-92E54BC4DE84}"/>
              </c:ext>
            </c:extLst>
          </c:dPt>
          <c:dPt>
            <c:idx val="20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A-BE57-4717-84AD-92E54BC4DE84}"/>
              </c:ext>
            </c:extLst>
          </c:dPt>
          <c:dPt>
            <c:idx val="21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AF-BE57-4717-84AD-92E54BC4DE84}"/>
              </c:ext>
            </c:extLst>
          </c:dPt>
          <c:dPt>
            <c:idx val="22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6-BE57-4717-84AD-92E54BC4DE84}"/>
              </c:ext>
            </c:extLst>
          </c:dPt>
          <c:dPt>
            <c:idx val="23"/>
            <c:bubble3D val="0"/>
            <c:spPr>
              <a:ln w="47625" cap="rnd" cmpd="sng" algn="ctr">
                <a:solidFill>
                  <a:srgbClr val="91C9C5"/>
                </a:solidFill>
                <a:prstDash val="solid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B7-BE57-4717-84AD-92E54BC4DE84}"/>
              </c:ext>
            </c:extLst>
          </c:dPt>
          <c:cat>
            <c:numRef>
              <c:f>Graficador!$A$36:$A$53</c:f>
              <c:numCache>
                <c:formatCode>mmm\ yyyy</c:formatCode>
                <c:ptCount val="18"/>
                <c:pt idx="0">
                  <c:v>45470</c:v>
                </c:pt>
                <c:pt idx="1">
                  <c:v>45512</c:v>
                </c:pt>
                <c:pt idx="2">
                  <c:v>45561</c:v>
                </c:pt>
                <c:pt idx="3">
                  <c:v>45610</c:v>
                </c:pt>
                <c:pt idx="4">
                  <c:v>45645</c:v>
                </c:pt>
                <c:pt idx="5">
                  <c:v>45694</c:v>
                </c:pt>
                <c:pt idx="6">
                  <c:v>45743</c:v>
                </c:pt>
                <c:pt idx="7">
                  <c:v>45792</c:v>
                </c:pt>
                <c:pt idx="8">
                  <c:v>45834</c:v>
                </c:pt>
                <c:pt idx="9">
                  <c:v>45876</c:v>
                </c:pt>
                <c:pt idx="10">
                  <c:v>45925</c:v>
                </c:pt>
                <c:pt idx="11">
                  <c:v>45967</c:v>
                </c:pt>
                <c:pt idx="12">
                  <c:v>46009</c:v>
                </c:pt>
                <c:pt idx="13">
                  <c:v>46058</c:v>
                </c:pt>
                <c:pt idx="14">
                  <c:v>46107</c:v>
                </c:pt>
                <c:pt idx="15">
                  <c:v>46149</c:v>
                </c:pt>
                <c:pt idx="16">
                  <c:v>46198</c:v>
                </c:pt>
                <c:pt idx="17">
                  <c:v>46240</c:v>
                </c:pt>
              </c:numCache>
            </c:numRef>
          </c:cat>
          <c:val>
            <c:numRef>
              <c:f>Graficador!$E$36:$E$53</c:f>
              <c:numCache>
                <c:formatCode>0.0</c:formatCode>
                <c:ptCount val="18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2.9</c:v>
                </c:pt>
                <c:pt idx="7">
                  <c:v>3.3</c:v>
                </c:pt>
                <c:pt idx="8">
                  <c:v>3.1</c:v>
                </c:pt>
                <c:pt idx="9">
                  <c:v>3</c:v>
                </c:pt>
                <c:pt idx="10">
                  <c:v>3.1</c:v>
                </c:pt>
                <c:pt idx="11">
                  <c:v>2.9</c:v>
                </c:pt>
                <c:pt idx="12">
                  <c:v>2.6</c:v>
                </c:pt>
                <c:pt idx="13">
                  <c:v>3.3</c:v>
                </c:pt>
                <c:pt idx="14">
                  <c:v>3.3</c:v>
                </c:pt>
                <c:pt idx="15">
                  <c:v>3.4</c:v>
                </c:pt>
                <c:pt idx="16">
                  <c:v>3.7</c:v>
                </c:pt>
                <c:pt idx="17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B-BE57-4717-84AD-92E54BC4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0112"/>
        <c:axId val="48672768"/>
      </c:lineChart>
      <c:dateAx>
        <c:axId val="48650112"/>
        <c:scaling>
          <c:orientation val="minMax"/>
          <c:max val="46240"/>
          <c:min val="45470"/>
        </c:scaling>
        <c:delete val="0"/>
        <c:axPos val="b"/>
        <c:numFmt formatCode="mmm\ yyyy" sourceLinked="1"/>
        <c:majorTickMark val="none"/>
        <c:minorTickMark val="none"/>
        <c:tickLblPos val="low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8672768"/>
        <c:crossesAt val="3"/>
        <c:auto val="0"/>
        <c:lblOffset val="100"/>
        <c:baseTimeUnit val="months"/>
      </c:dateAx>
      <c:valAx>
        <c:axId val="48672768"/>
        <c:scaling>
          <c:orientation val="minMax"/>
          <c:max val="4.7379999999999995"/>
          <c:min val="2.5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" sourceLinked="0"/>
        <c:majorTickMark val="none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18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8650112"/>
        <c:crosses val="autoZero"/>
        <c:crossBetween val="between"/>
        <c:majorUnit val="0.5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8.3785380541815849E-2"/>
          <c:y val="7.2159239355843591E-2"/>
          <c:w val="0.75711384688894756"/>
          <c:h val="3.4199522832951357E-2"/>
        </c:manualLayout>
      </c:layout>
      <c:overlay val="0"/>
      <c:txPr>
        <a:bodyPr/>
        <a:lstStyle/>
        <a:p>
          <a:pPr>
            <a:defRPr sz="18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1"/>
  </c:chart>
  <c:spPr>
    <a:ln w="9525">
      <a:noFill/>
      <a:prstDash val="solid"/>
    </a:ln>
  </c:sp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8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La gravedad del 3%: pronóstico, realizado y tamaño de muestra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90167983029849E-2"/>
          <c:y val="0.23899900253316281"/>
          <c:w val="0.84759206951824961"/>
          <c:h val="0.650963999410282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Dashboard_Anclaje!$P$12</c:f>
              <c:strCache>
                <c:ptCount val="1"/>
                <c:pt idx="0">
                  <c:v>Número de observaciones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rgbClr val="7F8FA6"/>
              </a:solidFill>
              <a:prstDash val="solid"/>
            </a:ln>
            <a:effectLst/>
          </c:spPr>
          <c:invertIfNegative val="0"/>
          <c:cat>
            <c:strRef>
              <c:f>Dashboard_Anclaje!$N$13:$N$29</c:f>
              <c:strCache>
                <c:ptCount val="17"/>
                <c:pt idx="0">
                  <c:v> d-16 </c:v>
                </c:pt>
                <c:pt idx="1">
                  <c:v> d-15 </c:v>
                </c:pt>
                <c:pt idx="2">
                  <c:v> d-14 </c:v>
                </c:pt>
                <c:pt idx="3">
                  <c:v> d-13 </c:v>
                </c:pt>
                <c:pt idx="4">
                  <c:v> d-12 </c:v>
                </c:pt>
                <c:pt idx="5">
                  <c:v> d-11 </c:v>
                </c:pt>
                <c:pt idx="6">
                  <c:v> d-10 </c:v>
                </c:pt>
                <c:pt idx="7">
                  <c:v> d-9 </c:v>
                </c:pt>
                <c:pt idx="8">
                  <c:v> d-8 </c:v>
                </c:pt>
                <c:pt idx="9">
                  <c:v> d-7 </c:v>
                </c:pt>
                <c:pt idx="10">
                  <c:v> d-6 </c:v>
                </c:pt>
                <c:pt idx="11">
                  <c:v> d-5 </c:v>
                </c:pt>
                <c:pt idx="12">
                  <c:v> d-4 </c:v>
                </c:pt>
                <c:pt idx="13">
                  <c:v> d-3 </c:v>
                </c:pt>
                <c:pt idx="14">
                  <c:v> d-2 </c:v>
                </c:pt>
                <c:pt idx="15">
                  <c:v> d-1 </c:v>
                </c:pt>
                <c:pt idx="16">
                  <c:v> d-0 </c:v>
                </c:pt>
              </c:strCache>
            </c:strRef>
          </c:cat>
          <c:val>
            <c:numRef>
              <c:f>Dashboard_Anclaje!$P$13:$P$29</c:f>
              <c:numCache>
                <c:formatCode>_(* #,##0.00_);_(* \(#,##0.00\);_(* "-"??_);_(@_)</c:formatCode>
                <c:ptCount val="17"/>
                <c:pt idx="0">
                  <c:v>12</c:v>
                </c:pt>
                <c:pt idx="1">
                  <c:v>13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15</c:v>
                </c:pt>
                <c:pt idx="6">
                  <c:v>15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18</c:v>
                </c:pt>
                <c:pt idx="12">
                  <c:v>18</c:v>
                </c:pt>
                <c:pt idx="13">
                  <c:v>19</c:v>
                </c:pt>
                <c:pt idx="14">
                  <c:v>19</c:v>
                </c:pt>
                <c:pt idx="15">
                  <c:v>20</c:v>
                </c:pt>
                <c:pt idx="16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16223919"/>
        <c:axId val="2116217679"/>
      </c:barChart>
      <c:lineChart>
        <c:grouping val="standard"/>
        <c:varyColors val="0"/>
        <c:ser>
          <c:idx val="0"/>
          <c:order val="0"/>
          <c:tx>
            <c:strRef>
              <c:f>Dashboard_Anclaje!$O$12</c:f>
              <c:strCache>
                <c:ptCount val="1"/>
                <c:pt idx="0">
                  <c:v>Pronóstico promedio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Dashboard_Anclaje!$N$13:$N$29</c:f>
              <c:strCache>
                <c:ptCount val="17"/>
                <c:pt idx="0">
                  <c:v> d-16 </c:v>
                </c:pt>
                <c:pt idx="1">
                  <c:v> d-15 </c:v>
                </c:pt>
                <c:pt idx="2">
                  <c:v> d-14 </c:v>
                </c:pt>
                <c:pt idx="3">
                  <c:v> d-13 </c:v>
                </c:pt>
                <c:pt idx="4">
                  <c:v> d-12 </c:v>
                </c:pt>
                <c:pt idx="5">
                  <c:v> d-11 </c:v>
                </c:pt>
                <c:pt idx="6">
                  <c:v> d-10 </c:v>
                </c:pt>
                <c:pt idx="7">
                  <c:v> d-9 </c:v>
                </c:pt>
                <c:pt idx="8">
                  <c:v> d-8 </c:v>
                </c:pt>
                <c:pt idx="9">
                  <c:v> d-7 </c:v>
                </c:pt>
                <c:pt idx="10">
                  <c:v> d-6 </c:v>
                </c:pt>
                <c:pt idx="11">
                  <c:v> d-5 </c:v>
                </c:pt>
                <c:pt idx="12">
                  <c:v> d-4 </c:v>
                </c:pt>
                <c:pt idx="13">
                  <c:v> d-3 </c:v>
                </c:pt>
                <c:pt idx="14">
                  <c:v> d-2 </c:v>
                </c:pt>
                <c:pt idx="15">
                  <c:v> d-1 </c:v>
                </c:pt>
                <c:pt idx="16">
                  <c:v> d-0 </c:v>
                </c:pt>
              </c:strCache>
            </c:strRef>
          </c:cat>
          <c:val>
            <c:numRef>
              <c:f>Dashboard_Anclaje!$O$13:$O$29</c:f>
              <c:numCache>
                <c:formatCode>_(* #,##0.00_);_(* \(#,##0.00\);_(* "-"??_);_(@_)</c:formatCode>
                <c:ptCount val="17"/>
                <c:pt idx="0">
                  <c:v>3.0750000000000006</c:v>
                </c:pt>
                <c:pt idx="1">
                  <c:v>3.0846153846153852</c:v>
                </c:pt>
                <c:pt idx="2">
                  <c:v>3.1230769230769235</c:v>
                </c:pt>
                <c:pt idx="3">
                  <c:v>3.1357142857142861</c:v>
                </c:pt>
                <c:pt idx="4">
                  <c:v>3.2142857142857144</c:v>
                </c:pt>
                <c:pt idx="5">
                  <c:v>3.2533333333333334</c:v>
                </c:pt>
                <c:pt idx="6">
                  <c:v>3.373333333333334</c:v>
                </c:pt>
                <c:pt idx="7">
                  <c:v>3.4250000000000003</c:v>
                </c:pt>
                <c:pt idx="8">
                  <c:v>3.7</c:v>
                </c:pt>
                <c:pt idx="9">
                  <c:v>3.9000000000000008</c:v>
                </c:pt>
                <c:pt idx="10">
                  <c:v>4.2176470588235295</c:v>
                </c:pt>
                <c:pt idx="11">
                  <c:v>4.4611111111111121</c:v>
                </c:pt>
                <c:pt idx="12">
                  <c:v>4.7500000000000009</c:v>
                </c:pt>
                <c:pt idx="13">
                  <c:v>5.0315789473684225</c:v>
                </c:pt>
                <c:pt idx="14">
                  <c:v>5.2736842105263149</c:v>
                </c:pt>
                <c:pt idx="15">
                  <c:v>5.4350000000000005</c:v>
                </c:pt>
                <c:pt idx="16">
                  <c:v>5.4599999999999991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E-4E62-A6F1-CC6E2C498628}"/>
            </c:ext>
          </c:extLst>
        </c:ser>
        <c:ser>
          <c:idx val="2"/>
          <c:order val="2"/>
          <c:tx>
            <c:strRef>
              <c:f>Dashboard_Anclaje!$Q$12</c:f>
              <c:strCache>
                <c:ptCount val="1"/>
                <c:pt idx="0">
                  <c:v>Meta 3%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Dashboard_Anclaje!$N$13:$N$29</c:f>
              <c:strCache>
                <c:ptCount val="17"/>
                <c:pt idx="0">
                  <c:v> d-16 </c:v>
                </c:pt>
                <c:pt idx="1">
                  <c:v> d-15 </c:v>
                </c:pt>
                <c:pt idx="2">
                  <c:v> d-14 </c:v>
                </c:pt>
                <c:pt idx="3">
                  <c:v> d-13 </c:v>
                </c:pt>
                <c:pt idx="4">
                  <c:v> d-12 </c:v>
                </c:pt>
                <c:pt idx="5">
                  <c:v> d-11 </c:v>
                </c:pt>
                <c:pt idx="6">
                  <c:v> d-10 </c:v>
                </c:pt>
                <c:pt idx="7">
                  <c:v> d-9 </c:v>
                </c:pt>
                <c:pt idx="8">
                  <c:v> d-8 </c:v>
                </c:pt>
                <c:pt idx="9">
                  <c:v> d-7 </c:v>
                </c:pt>
                <c:pt idx="10">
                  <c:v> d-6 </c:v>
                </c:pt>
                <c:pt idx="11">
                  <c:v> d-5 </c:v>
                </c:pt>
                <c:pt idx="12">
                  <c:v> d-4 </c:v>
                </c:pt>
                <c:pt idx="13">
                  <c:v> d-3 </c:v>
                </c:pt>
                <c:pt idx="14">
                  <c:v> d-2 </c:v>
                </c:pt>
                <c:pt idx="15">
                  <c:v> d-1 </c:v>
                </c:pt>
                <c:pt idx="16">
                  <c:v> d-0 </c:v>
                </c:pt>
              </c:strCache>
            </c:strRef>
          </c:cat>
          <c:val>
            <c:numRef>
              <c:f>Dashboard_Anclaje!$Q$13:$Q$29</c:f>
              <c:numCache>
                <c:formatCode>_(* #,##0.00_);_(* \(#,##0.00\);_(* "-"??_);_(@_)</c:formatCode>
                <c:ptCount val="1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BE-4E62-A6F1-CC6E2C498628}"/>
            </c:ext>
          </c:extLst>
        </c:ser>
        <c:ser>
          <c:idx val="3"/>
          <c:order val="3"/>
          <c:tx>
            <c:v>Realizado promedio</c:v>
          </c:tx>
          <c:spPr>
            <a:ln w="28575" cap="rnd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>
                <a:solidFill>
                  <a:schemeClr val="accent6"/>
                </a:solidFill>
              </a:ln>
              <a:effectLst/>
            </c:spPr>
          </c:marker>
          <c:val>
            <c:numRef>
              <c:f>Dashboard_Anclaje!$D$13:$D$29</c:f>
              <c:numCache>
                <c:formatCode>_(* #,##0.00_);_(* \(#,##0.00\);_(* "-"??_);_(@_)</c:formatCode>
                <c:ptCount val="17"/>
                <c:pt idx="0">
                  <c:v>4.2583333333333337</c:v>
                </c:pt>
                <c:pt idx="1">
                  <c:v>4.3692307692307697</c:v>
                </c:pt>
                <c:pt idx="2">
                  <c:v>4.3692307692307697</c:v>
                </c:pt>
                <c:pt idx="3">
                  <c:v>4.5928571428571434</c:v>
                </c:pt>
                <c:pt idx="4">
                  <c:v>4.5928571428571434</c:v>
                </c:pt>
                <c:pt idx="5">
                  <c:v>4.8199999999999994</c:v>
                </c:pt>
                <c:pt idx="6">
                  <c:v>4.8199999999999994</c:v>
                </c:pt>
                <c:pt idx="7">
                  <c:v>5.05</c:v>
                </c:pt>
                <c:pt idx="8">
                  <c:v>5.05</c:v>
                </c:pt>
                <c:pt idx="9">
                  <c:v>5.2117647058823531</c:v>
                </c:pt>
                <c:pt idx="10">
                  <c:v>5.2117647058823531</c:v>
                </c:pt>
                <c:pt idx="11">
                  <c:v>5.3277777777777784</c:v>
                </c:pt>
                <c:pt idx="12">
                  <c:v>5.3277777777777784</c:v>
                </c:pt>
                <c:pt idx="13">
                  <c:v>5.4157894736842112</c:v>
                </c:pt>
                <c:pt idx="14">
                  <c:v>5.4157894736842112</c:v>
                </c:pt>
                <c:pt idx="15">
                  <c:v>5.4350000000000005</c:v>
                </c:pt>
                <c:pt idx="16">
                  <c:v>5.4350000000000005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157872"/>
        <c:axId val="1303148272"/>
      </c:lineChart>
      <c:catAx>
        <c:axId val="1303157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Decisiones previas al cierre del trimestre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48272"/>
        <c:crosses val="autoZero"/>
        <c:auto val="1"/>
        <c:lblAlgn val="ctr"/>
        <c:lblOffset val="100"/>
        <c:noMultiLvlLbl val="0"/>
      </c:catAx>
      <c:valAx>
        <c:axId val="130314827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Inflación / pronóstico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57872"/>
        <c:crosses val="autoZero"/>
        <c:crossBetween val="between"/>
        <c:majorUnit val="1"/>
      </c:valAx>
      <c:valAx>
        <c:axId val="2116217679"/>
        <c:scaling>
          <c:orientation val="minMax"/>
          <c:max val="23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Número de observaciones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16223919"/>
        <c:crosses val="max"/>
        <c:crossBetween val="between"/>
      </c:valAx>
      <c:catAx>
        <c:axId val="211622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62176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81977296138988E-2"/>
          <c:y val="0.14053441068706243"/>
          <c:w val="0.8935707837570539"/>
          <c:h val="7.99981177221038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8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Distancia promedio respecto de 3%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37356013807309"/>
          <c:y val="0.16530318482622364"/>
          <c:w val="0.86733072113980414"/>
          <c:h val="0.5655675343252996"/>
        </c:manualLayout>
      </c:layout>
      <c:lineChart>
        <c:grouping val="standard"/>
        <c:varyColors val="0"/>
        <c:ser>
          <c:idx val="0"/>
          <c:order val="0"/>
          <c:tx>
            <c:strRef>
              <c:f>Dashboard_Anclaje!$O$32</c:f>
              <c:strCache>
                <c:ptCount val="1"/>
                <c:pt idx="0">
                  <c:v>Distancia a meta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Dashboard_Anclaje!$N$33:$N$49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Dashboard_Anclaje!$O$33:$O$49</c:f>
              <c:numCache>
                <c:formatCode>General</c:formatCode>
                <c:ptCount val="17"/>
                <c:pt idx="0">
                  <c:v>7.5000000000000067E-2</c:v>
                </c:pt>
                <c:pt idx="1">
                  <c:v>8.4615384615384689E-2</c:v>
                </c:pt>
                <c:pt idx="2">
                  <c:v>0.12307692307692315</c:v>
                </c:pt>
                <c:pt idx="3">
                  <c:v>0.13571428571428576</c:v>
                </c:pt>
                <c:pt idx="4">
                  <c:v>0.21428571428571436</c:v>
                </c:pt>
                <c:pt idx="5">
                  <c:v>0.25333333333333341</c:v>
                </c:pt>
                <c:pt idx="6">
                  <c:v>0.37333333333333341</c:v>
                </c:pt>
                <c:pt idx="7">
                  <c:v>0.42500000000000004</c:v>
                </c:pt>
                <c:pt idx="8">
                  <c:v>0.69999999999999984</c:v>
                </c:pt>
                <c:pt idx="9">
                  <c:v>0.89999999999999991</c:v>
                </c:pt>
                <c:pt idx="10">
                  <c:v>1.2176470588235293</c:v>
                </c:pt>
                <c:pt idx="11">
                  <c:v>1.4611111111111108</c:v>
                </c:pt>
                <c:pt idx="12">
                  <c:v>1.7499999999999998</c:v>
                </c:pt>
                <c:pt idx="13">
                  <c:v>2.0315789473684207</c:v>
                </c:pt>
                <c:pt idx="14">
                  <c:v>2.2736842105263158</c:v>
                </c:pt>
                <c:pt idx="15">
                  <c:v>2.4350000000000005</c:v>
                </c:pt>
                <c:pt idx="16">
                  <c:v>2.4600000000000009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BD-406B-BB44-391B2E9FF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892255"/>
        <c:axId val="733895615"/>
      </c:lineChart>
      <c:catAx>
        <c:axId val="733892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05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Horizonte por decisiones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33895615"/>
        <c:crosses val="autoZero"/>
        <c:auto val="1"/>
        <c:lblAlgn val="ctr"/>
        <c:lblOffset val="100"/>
        <c:noMultiLvlLbl val="0"/>
      </c:catAx>
      <c:valAx>
        <c:axId val="73389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6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Puntos porcentuales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3389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Bias por horizonte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Dashboard_Anclaje!$R$32</c:f>
              <c:strCache>
                <c:ptCount val="1"/>
                <c:pt idx="0">
                  <c:v>Bias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Dashboard_Anclaje!$Q$33:$Q$49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Dashboard_Anclaje!$R$33:$R$49</c:f>
              <c:numCache>
                <c:formatCode>General</c:formatCode>
                <c:ptCount val="17"/>
                <c:pt idx="0">
                  <c:v>-1.1833333333333333</c:v>
                </c:pt>
                <c:pt idx="1">
                  <c:v>-1.2846153846153845</c:v>
                </c:pt>
                <c:pt idx="2">
                  <c:v>-1.2461538461538462</c:v>
                </c:pt>
                <c:pt idx="3">
                  <c:v>-1.4571428571428571</c:v>
                </c:pt>
                <c:pt idx="4">
                  <c:v>-1.3785714285714286</c:v>
                </c:pt>
                <c:pt idx="5">
                  <c:v>-1.5666666666666664</c:v>
                </c:pt>
                <c:pt idx="6">
                  <c:v>-1.4466666666666668</c:v>
                </c:pt>
                <c:pt idx="7">
                  <c:v>-1.625</c:v>
                </c:pt>
                <c:pt idx="8">
                  <c:v>-1.3499999999999999</c:v>
                </c:pt>
                <c:pt idx="9">
                  <c:v>-1.3117647058823525</c:v>
                </c:pt>
                <c:pt idx="10">
                  <c:v>-0.99411764705882388</c:v>
                </c:pt>
                <c:pt idx="11">
                  <c:v>-0.8666666666666667</c:v>
                </c:pt>
                <c:pt idx="12">
                  <c:v>-0.57777777777777761</c:v>
                </c:pt>
                <c:pt idx="13">
                  <c:v>-0.38421052631578939</c:v>
                </c:pt>
                <c:pt idx="14">
                  <c:v>-0.14210526315789473</c:v>
                </c:pt>
                <c:pt idx="15">
                  <c:v>6.661338147750939E-17</c:v>
                </c:pt>
                <c:pt idx="16">
                  <c:v>2.4999999999999932E-2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6-41BF-A91D-FCED8BBC6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159"/>
        <c:axId val="439295119"/>
      </c:lineChart>
      <c:catAx>
        <c:axId val="4392941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Horizonte por decisiones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9295119"/>
        <c:crosses val="autoZero"/>
        <c:auto val="1"/>
        <c:lblAlgn val="ctr"/>
        <c:lblOffset val="100"/>
        <c:noMultiLvlLbl val="0"/>
      </c:catAx>
      <c:valAx>
        <c:axId val="43929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Bias: pronóstico - realizado (pp)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9294159"/>
        <c:crosses val="autoZero"/>
        <c:crossBetween val="between"/>
        <c:majorUnit val="0.30000000000000004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Realizada 2%-4%: pronóstico vs. realización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90167983029849E-2"/>
          <c:y val="0.23899900253316281"/>
          <c:w val="0.84759206951824961"/>
          <c:h val="0.6509639994102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Dashboard_Anclaje!$R$100</c:f>
              <c:strCache>
                <c:ptCount val="1"/>
                <c:pt idx="0">
                  <c:v>Número de observaciones</c:v>
                </c:pt>
              </c:strCache>
            </c:strRef>
          </c:tx>
          <c:spPr>
            <a:solidFill>
              <a:srgbClr val="939596">
                <a:lumMod val="20000"/>
                <a:lumOff val="80000"/>
              </a:srgbClr>
            </a:solidFill>
            <a:ln w="34925">
              <a:noFill/>
            </a:ln>
            <a:effectLst/>
          </c:spPr>
          <c:invertIfNegative val="0"/>
          <c:cat>
            <c:strRef>
              <c:f>Dashboard_Anclaje!$N$101:$N$117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Dashboard_Anclaje!$R$101:$R$117</c:f>
              <c:numCache>
                <c:formatCode>0</c:formatCode>
                <c:ptCount val="1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223919"/>
        <c:axId val="2116217679"/>
      </c:barChart>
      <c:lineChart>
        <c:grouping val="standard"/>
        <c:varyColors val="0"/>
        <c:ser>
          <c:idx val="1"/>
          <c:order val="1"/>
          <c:tx>
            <c:strRef>
              <c:f>Dashboard_Anclaje!$O$100</c:f>
              <c:strCache>
                <c:ptCount val="1"/>
                <c:pt idx="0">
                  <c:v>Pronóstico promedio 2%-4%</c:v>
                </c:pt>
              </c:strCache>
            </c:strRef>
          </c:tx>
          <c:spPr>
            <a:ln w="28575" cap="rnd">
              <a:solidFill>
                <a:srgbClr val="001F6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1F62"/>
              </a:solidFill>
              <a:ln w="9525">
                <a:solidFill>
                  <a:srgbClr val="001F62"/>
                </a:solidFill>
              </a:ln>
              <a:effectLst/>
            </c:spPr>
          </c:marker>
          <c:cat>
            <c:strRef>
              <c:f>Dashboard_Anclaje!$N$101:$N$117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Dashboard_Anclaje!$O$101:$O$117</c:f>
              <c:numCache>
                <c:formatCode>General</c:formatCode>
                <c:ptCount val="17"/>
                <c:pt idx="0">
                  <c:v>3.0750000000000002</c:v>
                </c:pt>
                <c:pt idx="1">
                  <c:v>3.0750000000000002</c:v>
                </c:pt>
                <c:pt idx="2">
                  <c:v>3.0750000000000002</c:v>
                </c:pt>
                <c:pt idx="3">
                  <c:v>3.05</c:v>
                </c:pt>
                <c:pt idx="4">
                  <c:v>3.1</c:v>
                </c:pt>
                <c:pt idx="5">
                  <c:v>3.125</c:v>
                </c:pt>
                <c:pt idx="6">
                  <c:v>3.1</c:v>
                </c:pt>
                <c:pt idx="7">
                  <c:v>3.1</c:v>
                </c:pt>
                <c:pt idx="8">
                  <c:v>3.1750000000000003</c:v>
                </c:pt>
                <c:pt idx="9">
                  <c:v>3.2499999999999996</c:v>
                </c:pt>
                <c:pt idx="10">
                  <c:v>3.3249999999999997</c:v>
                </c:pt>
                <c:pt idx="11">
                  <c:v>3.3999999999999995</c:v>
                </c:pt>
                <c:pt idx="12">
                  <c:v>3.5250000000000004</c:v>
                </c:pt>
                <c:pt idx="13">
                  <c:v>3.7250000000000005</c:v>
                </c:pt>
                <c:pt idx="14">
                  <c:v>3.875</c:v>
                </c:pt>
                <c:pt idx="15">
                  <c:v>3.7749999999999999</c:v>
                </c:pt>
                <c:pt idx="16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BE-4E62-A6F1-CC6E2C498628}"/>
            </c:ext>
          </c:extLst>
        </c:ser>
        <c:ser>
          <c:idx val="2"/>
          <c:order val="2"/>
          <c:tx>
            <c:strRef>
              <c:f>Dashboard_Anclaje!$P$100</c:f>
              <c:strCache>
                <c:ptCount val="1"/>
                <c:pt idx="0">
                  <c:v>Realizado promedio 2%-4%</c:v>
                </c:pt>
              </c:strCache>
            </c:strRef>
          </c:tx>
          <c:spPr>
            <a:ln w="38100" cap="rnd">
              <a:solidFill>
                <a:srgbClr val="710E2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10E2C"/>
              </a:solidFill>
              <a:ln w="9525">
                <a:solidFill>
                  <a:srgbClr val="710E2C"/>
                </a:solidFill>
              </a:ln>
              <a:effectLst/>
            </c:spPr>
          </c:marker>
          <c:cat>
            <c:strRef>
              <c:f>Dashboard_Anclaje!$N$101:$N$117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Dashboard_Anclaje!$P$101:$P$117</c:f>
              <c:numCache>
                <c:formatCode>General</c:formatCode>
                <c:ptCount val="17"/>
                <c:pt idx="0">
                  <c:v>3.7250000000000001</c:v>
                </c:pt>
                <c:pt idx="1">
                  <c:v>3.7250000000000001</c:v>
                </c:pt>
                <c:pt idx="2">
                  <c:v>3.7250000000000001</c:v>
                </c:pt>
                <c:pt idx="3">
                  <c:v>3.7250000000000001</c:v>
                </c:pt>
                <c:pt idx="4">
                  <c:v>3.7250000000000001</c:v>
                </c:pt>
                <c:pt idx="5">
                  <c:v>3.7250000000000001</c:v>
                </c:pt>
                <c:pt idx="6">
                  <c:v>3.7250000000000001</c:v>
                </c:pt>
                <c:pt idx="7">
                  <c:v>3.7250000000000001</c:v>
                </c:pt>
                <c:pt idx="8">
                  <c:v>3.7250000000000001</c:v>
                </c:pt>
                <c:pt idx="9">
                  <c:v>3.7250000000000001</c:v>
                </c:pt>
                <c:pt idx="10">
                  <c:v>3.7250000000000001</c:v>
                </c:pt>
                <c:pt idx="11">
                  <c:v>3.7250000000000001</c:v>
                </c:pt>
                <c:pt idx="12">
                  <c:v>3.7250000000000001</c:v>
                </c:pt>
                <c:pt idx="13">
                  <c:v>3.7250000000000001</c:v>
                </c:pt>
                <c:pt idx="14">
                  <c:v>3.7250000000000001</c:v>
                </c:pt>
                <c:pt idx="15">
                  <c:v>3.7250000000000001</c:v>
                </c:pt>
                <c:pt idx="16">
                  <c:v>3.7250000000000001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BE-4E62-A6F1-CC6E2C498628}"/>
            </c:ext>
          </c:extLst>
        </c:ser>
        <c:ser>
          <c:idx val="3"/>
          <c:order val="3"/>
          <c:tx>
            <c:strRef>
              <c:f>Dashboard_Anclaje!$Q$100</c:f>
              <c:strCache>
                <c:ptCount val="1"/>
                <c:pt idx="0">
                  <c:v>Meta 3%</c:v>
                </c:pt>
              </c:strCache>
            </c:strRef>
          </c:tx>
          <c:spPr>
            <a:ln w="28575" cap="rnd">
              <a:solidFill>
                <a:srgbClr val="1E7975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1E7975"/>
              </a:solidFill>
              <a:ln w="25400">
                <a:solidFill>
                  <a:srgbClr val="1E7975"/>
                </a:solidFill>
              </a:ln>
              <a:effectLst/>
            </c:spPr>
          </c:marker>
          <c:cat>
            <c:strRef>
              <c:f>Dashboard_Anclaje!$N$101:$N$117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Dashboard_Anclaje!$Q$101:$Q$117</c:f>
              <c:numCache>
                <c:formatCode>General</c:formatCode>
                <c:ptCount val="1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157872"/>
        <c:axId val="1303148272"/>
      </c:lineChart>
      <c:catAx>
        <c:axId val="130315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48272"/>
        <c:crosses val="autoZero"/>
        <c:auto val="1"/>
        <c:lblAlgn val="ctr"/>
        <c:lblOffset val="100"/>
        <c:noMultiLvlLbl val="0"/>
      </c:catAx>
      <c:valAx>
        <c:axId val="130314827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Inflación / pronóstico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57872"/>
        <c:crosses val="autoZero"/>
        <c:crossBetween val="between"/>
        <c:majorUnit val="1"/>
      </c:valAx>
      <c:valAx>
        <c:axId val="2116217679"/>
        <c:scaling>
          <c:orientation val="minMax"/>
          <c:max val="4.5"/>
          <c:min val="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Número de observaciones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16223919"/>
        <c:crosses val="max"/>
        <c:crossBetween val="between"/>
        <c:majorUnit val="1"/>
      </c:valAx>
      <c:catAx>
        <c:axId val="211622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62176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81977296138988E-2"/>
          <c:y val="0.14053441068706243"/>
          <c:w val="0.89486822595684778"/>
          <c:h val="7.82891540911970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Realizada &gt;4%-5%: pronóstico vs. realización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90167983029849E-2"/>
          <c:y val="0.23899900253316281"/>
          <c:w val="0.8331946115957618"/>
          <c:h val="0.6509639994102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Dashboard_Anclaje!$W$100</c:f>
              <c:strCache>
                <c:ptCount val="1"/>
                <c:pt idx="0">
                  <c:v>Número de observaciones</c:v>
                </c:pt>
              </c:strCache>
            </c:strRef>
          </c:tx>
          <c:spPr>
            <a:solidFill>
              <a:srgbClr val="939596">
                <a:lumMod val="20000"/>
                <a:lumOff val="80000"/>
              </a:srgbClr>
            </a:solidFill>
            <a:ln w="34925">
              <a:noFill/>
            </a:ln>
            <a:effectLst/>
          </c:spPr>
          <c:invertIfNegative val="0"/>
          <c:cat>
            <c:strRef>
              <c:f>Dashboard_Anclaje!$S$101:$S$117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Dashboard_Anclaje!$W$101:$W$117</c:f>
              <c:numCache>
                <c:formatCode>0</c:formatCode>
                <c:ptCount val="1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0754496"/>
        <c:axId val="1210754016"/>
      </c:barChart>
      <c:lineChart>
        <c:grouping val="standard"/>
        <c:varyColors val="0"/>
        <c:ser>
          <c:idx val="1"/>
          <c:order val="1"/>
          <c:tx>
            <c:strRef>
              <c:f>Dashboard_Anclaje!$T$100</c:f>
              <c:strCache>
                <c:ptCount val="1"/>
                <c:pt idx="0">
                  <c:v>Pronóstico promedio 4%-5%</c:v>
                </c:pt>
              </c:strCache>
            </c:strRef>
          </c:tx>
          <c:spPr>
            <a:ln w="28575" cap="rnd">
              <a:solidFill>
                <a:srgbClr val="001F6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1F62"/>
              </a:solidFill>
              <a:ln w="9525">
                <a:solidFill>
                  <a:srgbClr val="001F62"/>
                </a:solidFill>
              </a:ln>
              <a:effectLst/>
            </c:spPr>
          </c:marker>
          <c:cat>
            <c:strRef>
              <c:f>Dashboard_Anclaje!$S$101:$S$117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Dashboard_Anclaje!$T$101:$T$117</c:f>
              <c:numCache>
                <c:formatCode>General</c:formatCode>
                <c:ptCount val="17"/>
                <c:pt idx="0">
                  <c:v>3.0750000000000002</c:v>
                </c:pt>
                <c:pt idx="1">
                  <c:v>3.0875000000000004</c:v>
                </c:pt>
                <c:pt idx="2">
                  <c:v>3.1375000000000002</c:v>
                </c:pt>
                <c:pt idx="3">
                  <c:v>3.1750000000000003</c:v>
                </c:pt>
                <c:pt idx="4">
                  <c:v>3.2625000000000006</c:v>
                </c:pt>
                <c:pt idx="5">
                  <c:v>3.3125</c:v>
                </c:pt>
                <c:pt idx="6">
                  <c:v>3.5124999999999997</c:v>
                </c:pt>
                <c:pt idx="7">
                  <c:v>3.6249999999999996</c:v>
                </c:pt>
                <c:pt idx="8">
                  <c:v>3.8249999999999997</c:v>
                </c:pt>
                <c:pt idx="9">
                  <c:v>3.9</c:v>
                </c:pt>
                <c:pt idx="10">
                  <c:v>3.9750000000000001</c:v>
                </c:pt>
                <c:pt idx="11">
                  <c:v>4.0999999999999996</c:v>
                </c:pt>
                <c:pt idx="12">
                  <c:v>4.1624999999999996</c:v>
                </c:pt>
                <c:pt idx="13">
                  <c:v>4.2750000000000004</c:v>
                </c:pt>
                <c:pt idx="14">
                  <c:v>4.3</c:v>
                </c:pt>
                <c:pt idx="15">
                  <c:v>4.5249999999999995</c:v>
                </c:pt>
                <c:pt idx="16">
                  <c:v>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BE-4E62-A6F1-CC6E2C498628}"/>
            </c:ext>
          </c:extLst>
        </c:ser>
        <c:ser>
          <c:idx val="2"/>
          <c:order val="2"/>
          <c:tx>
            <c:strRef>
              <c:f>Dashboard_Anclaje!$U$100</c:f>
              <c:strCache>
                <c:ptCount val="1"/>
                <c:pt idx="0">
                  <c:v>Realizado promedio 4%-5%</c:v>
                </c:pt>
              </c:strCache>
            </c:strRef>
          </c:tx>
          <c:spPr>
            <a:ln w="38100" cap="rnd">
              <a:solidFill>
                <a:srgbClr val="710E2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10E2C"/>
              </a:solidFill>
              <a:ln w="9525">
                <a:solidFill>
                  <a:srgbClr val="710E2C"/>
                </a:solidFill>
              </a:ln>
              <a:effectLst/>
            </c:spPr>
          </c:marker>
          <c:cat>
            <c:strRef>
              <c:f>Dashboard_Anclaje!$S$101:$S$117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Dashboard_Anclaje!$U$101:$U$117</c:f>
              <c:numCache>
                <c:formatCode>General</c:formatCode>
                <c:ptCount val="17"/>
                <c:pt idx="0">
                  <c:v>4.5250000000000004</c:v>
                </c:pt>
                <c:pt idx="1">
                  <c:v>4.5250000000000004</c:v>
                </c:pt>
                <c:pt idx="2">
                  <c:v>4.5250000000000004</c:v>
                </c:pt>
                <c:pt idx="3">
                  <c:v>4.5250000000000004</c:v>
                </c:pt>
                <c:pt idx="4">
                  <c:v>4.5250000000000004</c:v>
                </c:pt>
                <c:pt idx="5">
                  <c:v>4.5250000000000004</c:v>
                </c:pt>
                <c:pt idx="6">
                  <c:v>4.5250000000000004</c:v>
                </c:pt>
                <c:pt idx="7">
                  <c:v>4.5250000000000004</c:v>
                </c:pt>
                <c:pt idx="8">
                  <c:v>4.5250000000000004</c:v>
                </c:pt>
                <c:pt idx="9">
                  <c:v>4.5250000000000004</c:v>
                </c:pt>
                <c:pt idx="10">
                  <c:v>4.5250000000000004</c:v>
                </c:pt>
                <c:pt idx="11">
                  <c:v>4.5250000000000004</c:v>
                </c:pt>
                <c:pt idx="12">
                  <c:v>4.5250000000000004</c:v>
                </c:pt>
                <c:pt idx="13">
                  <c:v>4.5250000000000004</c:v>
                </c:pt>
                <c:pt idx="14">
                  <c:v>4.5250000000000004</c:v>
                </c:pt>
                <c:pt idx="15">
                  <c:v>4.5250000000000004</c:v>
                </c:pt>
                <c:pt idx="16">
                  <c:v>4.5250000000000004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BE-4E62-A6F1-CC6E2C498628}"/>
            </c:ext>
          </c:extLst>
        </c:ser>
        <c:ser>
          <c:idx val="3"/>
          <c:order val="3"/>
          <c:tx>
            <c:strRef>
              <c:f>Dashboard_Anclaje!$V$100</c:f>
              <c:strCache>
                <c:ptCount val="1"/>
                <c:pt idx="0">
                  <c:v>Meta 3%</c:v>
                </c:pt>
              </c:strCache>
            </c:strRef>
          </c:tx>
          <c:spPr>
            <a:ln w="28575" cap="rnd">
              <a:solidFill>
                <a:srgbClr val="1E7975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1E7975"/>
              </a:solidFill>
              <a:ln w="25400">
                <a:solidFill>
                  <a:srgbClr val="1E7975"/>
                </a:solidFill>
              </a:ln>
              <a:effectLst/>
            </c:spPr>
          </c:marker>
          <c:cat>
            <c:strRef>
              <c:f>Dashboard_Anclaje!$S$101:$S$117</c:f>
              <c:strCache>
                <c:ptCount val="17"/>
                <c:pt idx="0">
                  <c:v>d-16</c:v>
                </c:pt>
                <c:pt idx="1">
                  <c:v>d-15</c:v>
                </c:pt>
                <c:pt idx="2">
                  <c:v>d-14</c:v>
                </c:pt>
                <c:pt idx="3">
                  <c:v>d-13</c:v>
                </c:pt>
                <c:pt idx="4">
                  <c:v>d-12</c:v>
                </c:pt>
                <c:pt idx="5">
                  <c:v>d-11</c:v>
                </c:pt>
                <c:pt idx="6">
                  <c:v>d-10</c:v>
                </c:pt>
                <c:pt idx="7">
                  <c:v>d-9</c:v>
                </c:pt>
                <c:pt idx="8">
                  <c:v>d-8</c:v>
                </c:pt>
                <c:pt idx="9">
                  <c:v>d-7</c:v>
                </c:pt>
                <c:pt idx="10">
                  <c:v>d-6</c:v>
                </c:pt>
                <c:pt idx="11">
                  <c:v>d-5</c:v>
                </c:pt>
                <c:pt idx="12">
                  <c:v>d-4</c:v>
                </c:pt>
                <c:pt idx="13">
                  <c:v>d-3</c:v>
                </c:pt>
                <c:pt idx="14">
                  <c:v>d-2</c:v>
                </c:pt>
                <c:pt idx="15">
                  <c:v>d-1</c:v>
                </c:pt>
                <c:pt idx="16">
                  <c:v>d-0</c:v>
                </c:pt>
              </c:strCache>
            </c:strRef>
          </c:cat>
          <c:val>
            <c:numRef>
              <c:f>Dashboard_Anclaje!$V$101:$V$117</c:f>
              <c:numCache>
                <c:formatCode>General</c:formatCode>
                <c:ptCount val="1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157872"/>
        <c:axId val="1303148272"/>
      </c:lineChart>
      <c:catAx>
        <c:axId val="130315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48272"/>
        <c:crosses val="autoZero"/>
        <c:auto val="1"/>
        <c:lblAlgn val="ctr"/>
        <c:lblOffset val="100"/>
        <c:noMultiLvlLbl val="0"/>
      </c:catAx>
      <c:valAx>
        <c:axId val="130314827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Inflación / pronóstico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57872"/>
        <c:crosses val="autoZero"/>
        <c:crossBetween val="between"/>
        <c:majorUnit val="1"/>
      </c:valAx>
      <c:valAx>
        <c:axId val="1210754016"/>
        <c:scaling>
          <c:orientation val="minMax"/>
          <c:max val="8.5"/>
          <c:min val="6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10754496"/>
        <c:crosses val="max"/>
        <c:crossBetween val="between"/>
        <c:majorUnit val="1"/>
      </c:valAx>
      <c:catAx>
        <c:axId val="1210754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10754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81977296138988E-2"/>
          <c:y val="0.14053441068706243"/>
          <c:w val="0.89486822595684778"/>
          <c:h val="7.82891540911970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Realizada &gt;5%: pronóstico vs. realización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90167983029849E-2"/>
          <c:y val="0.23899900253316281"/>
          <c:w val="0.84759206951824961"/>
          <c:h val="0.6509639994102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Dashboard_Anclaje!$AB$100</c:f>
              <c:strCache>
                <c:ptCount val="1"/>
                <c:pt idx="0">
                  <c:v>Número de observaciones</c:v>
                </c:pt>
              </c:strCache>
            </c:strRef>
          </c:tx>
          <c:spPr>
            <a:solidFill>
              <a:srgbClr val="939596">
                <a:lumMod val="20000"/>
                <a:lumOff val="80000"/>
              </a:srgbClr>
            </a:solidFill>
            <a:ln w="34925">
              <a:noFill/>
            </a:ln>
            <a:effectLst/>
          </c:spPr>
          <c:invertIfNegative val="0"/>
          <c:cat>
            <c:strRef>
              <c:f>Dashboard_Anclaje!$X$102:$X$117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Dashboard_Anclaje!$AB$102:$AB$117</c:f>
              <c:numCache>
                <c:formatCode>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4848607"/>
        <c:axId val="744848127"/>
      </c:barChart>
      <c:lineChart>
        <c:grouping val="standard"/>
        <c:varyColors val="0"/>
        <c:ser>
          <c:idx val="1"/>
          <c:order val="1"/>
          <c:tx>
            <c:strRef>
              <c:f>Dashboard_Anclaje!$Y$100</c:f>
              <c:strCache>
                <c:ptCount val="1"/>
                <c:pt idx="0">
                  <c:v>Pronóstico promedio &gt;5%</c:v>
                </c:pt>
              </c:strCache>
            </c:strRef>
          </c:tx>
          <c:spPr>
            <a:ln w="28575" cap="rnd">
              <a:solidFill>
                <a:srgbClr val="001F6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1F62"/>
              </a:solidFill>
              <a:ln w="9525">
                <a:solidFill>
                  <a:srgbClr val="001F62"/>
                </a:solidFill>
              </a:ln>
              <a:effectLst/>
            </c:spPr>
          </c:marker>
          <c:cat>
            <c:strRef>
              <c:f>Dashboard_Anclaje!$X$102:$X$117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Dashboard_Anclaje!$Y$102:$Y$117</c:f>
              <c:numCache>
                <c:formatCode>General</c:formatCode>
                <c:ptCount val="16"/>
                <c:pt idx="0">
                  <c:v>3.1</c:v>
                </c:pt>
                <c:pt idx="1">
                  <c:v>3.2</c:v>
                </c:pt>
                <c:pt idx="2">
                  <c:v>3.1500000000000004</c:v>
                </c:pt>
                <c:pt idx="3">
                  <c:v>3.25</c:v>
                </c:pt>
                <c:pt idx="4">
                  <c:v>3.2666666666666671</c:v>
                </c:pt>
                <c:pt idx="5">
                  <c:v>3.3666666666666667</c:v>
                </c:pt>
                <c:pt idx="6">
                  <c:v>3.35</c:v>
                </c:pt>
                <c:pt idx="7">
                  <c:v>3.9750000000000001</c:v>
                </c:pt>
                <c:pt idx="8">
                  <c:v>4.42</c:v>
                </c:pt>
                <c:pt idx="9">
                  <c:v>5.32</c:v>
                </c:pt>
                <c:pt idx="10">
                  <c:v>5.6499999999999995</c:v>
                </c:pt>
                <c:pt idx="11">
                  <c:v>6.3499999999999988</c:v>
                </c:pt>
                <c:pt idx="12">
                  <c:v>6.6428571428571432</c:v>
                </c:pt>
                <c:pt idx="13">
                  <c:v>7.1857142857142851</c:v>
                </c:pt>
                <c:pt idx="14">
                  <c:v>7.1750000000000007</c:v>
                </c:pt>
                <c:pt idx="15">
                  <c:v>7.2250000000000005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BE-4E62-A6F1-CC6E2C498628}"/>
            </c:ext>
          </c:extLst>
        </c:ser>
        <c:ser>
          <c:idx val="2"/>
          <c:order val="2"/>
          <c:tx>
            <c:strRef>
              <c:f>Dashboard_Anclaje!$Z$100</c:f>
              <c:strCache>
                <c:ptCount val="1"/>
                <c:pt idx="0">
                  <c:v>Realizado promedio &gt;5%</c:v>
                </c:pt>
              </c:strCache>
            </c:strRef>
          </c:tx>
          <c:spPr>
            <a:ln w="38100" cap="rnd">
              <a:solidFill>
                <a:srgbClr val="710E2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10E2C"/>
              </a:solidFill>
              <a:ln w="9525">
                <a:solidFill>
                  <a:srgbClr val="710E2C"/>
                </a:solidFill>
              </a:ln>
              <a:effectLst/>
            </c:spPr>
          </c:marker>
          <c:cat>
            <c:strRef>
              <c:f>Dashboard_Anclaje!$X$102:$X$117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Dashboard_Anclaje!$Z$102:$Z$117</c:f>
              <c:numCache>
                <c:formatCode>General</c:formatCode>
                <c:ptCount val="16"/>
                <c:pt idx="0">
                  <c:v>5.7</c:v>
                </c:pt>
                <c:pt idx="1">
                  <c:v>5.7</c:v>
                </c:pt>
                <c:pt idx="2">
                  <c:v>6.6</c:v>
                </c:pt>
                <c:pt idx="3">
                  <c:v>6.6</c:v>
                </c:pt>
                <c:pt idx="4">
                  <c:v>7.0666666666666664</c:v>
                </c:pt>
                <c:pt idx="5">
                  <c:v>7.0666666666666664</c:v>
                </c:pt>
                <c:pt idx="6">
                  <c:v>7.4249999999999998</c:v>
                </c:pt>
                <c:pt idx="7">
                  <c:v>7.4249999999999998</c:v>
                </c:pt>
                <c:pt idx="8">
                  <c:v>7.5</c:v>
                </c:pt>
                <c:pt idx="9">
                  <c:v>7.5</c:v>
                </c:pt>
                <c:pt idx="10">
                  <c:v>7.4666666666666677</c:v>
                </c:pt>
                <c:pt idx="11">
                  <c:v>7.4666666666666677</c:v>
                </c:pt>
                <c:pt idx="12">
                  <c:v>7.4</c:v>
                </c:pt>
                <c:pt idx="13">
                  <c:v>7.4</c:v>
                </c:pt>
                <c:pt idx="14">
                  <c:v>7.2000000000000011</c:v>
                </c:pt>
                <c:pt idx="15">
                  <c:v>7.2000000000000011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BE-4E62-A6F1-CC6E2C498628}"/>
            </c:ext>
          </c:extLst>
        </c:ser>
        <c:ser>
          <c:idx val="3"/>
          <c:order val="3"/>
          <c:tx>
            <c:strRef>
              <c:f>Dashboard_Anclaje!$AA$100</c:f>
              <c:strCache>
                <c:ptCount val="1"/>
                <c:pt idx="0">
                  <c:v>Meta 3%</c:v>
                </c:pt>
              </c:strCache>
            </c:strRef>
          </c:tx>
          <c:spPr>
            <a:ln w="28575" cap="rnd">
              <a:solidFill>
                <a:srgbClr val="1E7975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1E7975"/>
              </a:solidFill>
              <a:ln w="25400">
                <a:solidFill>
                  <a:srgbClr val="1E7975"/>
                </a:solidFill>
              </a:ln>
              <a:effectLst/>
            </c:spPr>
          </c:marker>
          <c:cat>
            <c:strRef>
              <c:f>Dashboard_Anclaje!$X$102:$X$117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Dashboard_Anclaje!$AA$101:$AA$117</c:f>
              <c:numCache>
                <c:formatCode>General</c:formatCode>
                <c:ptCount val="1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BE-4E62-A6F1-CC6E2C49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157872"/>
        <c:axId val="1303148272"/>
      </c:lineChart>
      <c:catAx>
        <c:axId val="130315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48272"/>
        <c:crosses val="autoZero"/>
        <c:auto val="1"/>
        <c:lblAlgn val="ctr"/>
        <c:lblOffset val="100"/>
        <c:noMultiLvlLbl val="0"/>
      </c:catAx>
      <c:valAx>
        <c:axId val="130314827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Inflación / pronóstico (%)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0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3157872"/>
        <c:crosses val="autoZero"/>
        <c:crossBetween val="between"/>
        <c:majorUnit val="1"/>
      </c:valAx>
      <c:valAx>
        <c:axId val="744848127"/>
        <c:scaling>
          <c:orientation val="minMax"/>
          <c:max val="8.5"/>
          <c:min val="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44848607"/>
        <c:crosses val="max"/>
        <c:crossBetween val="between"/>
      </c:valAx>
      <c:catAx>
        <c:axId val="7448486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48481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641926807553122E-2"/>
          <c:y val="0.1405344941948399"/>
          <c:w val="0.89486822595684778"/>
          <c:h val="7.82891540911970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20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Bias por horizonte y cohorte de inflación realizada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111333688223284E-2"/>
          <c:y val="0.2550457978629494"/>
          <c:w val="0.91279062081353901"/>
          <c:h val="0.59374627067939878"/>
        </c:manualLayout>
      </c:layout>
      <c:lineChart>
        <c:grouping val="standard"/>
        <c:varyColors val="0"/>
        <c:ser>
          <c:idx val="0"/>
          <c:order val="0"/>
          <c:tx>
            <c:strRef>
              <c:f>Dashboard_Anclaje!$O$120:$O$121</c:f>
              <c:strCache>
                <c:ptCount val="2"/>
                <c:pt idx="0">
                  <c:v>Bias realizado 2%-4%</c:v>
                </c:pt>
                <c:pt idx="1">
                  <c:v>-0.65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Dashboard_Anclaje!$N$122:$N$137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Dashboard_Anclaje!$O$122:$O$137</c:f>
              <c:numCache>
                <c:formatCode>0.00</c:formatCode>
                <c:ptCount val="16"/>
                <c:pt idx="0">
                  <c:v>-0.65</c:v>
                </c:pt>
                <c:pt idx="1">
                  <c:v>-0.65</c:v>
                </c:pt>
                <c:pt idx="2">
                  <c:v>-0.67500000000000004</c:v>
                </c:pt>
                <c:pt idx="3">
                  <c:v>-0.625</c:v>
                </c:pt>
                <c:pt idx="4">
                  <c:v>-0.6</c:v>
                </c:pt>
                <c:pt idx="5">
                  <c:v>-0.625</c:v>
                </c:pt>
                <c:pt idx="6">
                  <c:v>-0.625</c:v>
                </c:pt>
                <c:pt idx="7">
                  <c:v>-0.55000000000000004</c:v>
                </c:pt>
                <c:pt idx="8">
                  <c:v>-0.47500000000000009</c:v>
                </c:pt>
                <c:pt idx="9">
                  <c:v>-0.40000000000000013</c:v>
                </c:pt>
                <c:pt idx="10">
                  <c:v>-0.32500000000000007</c:v>
                </c:pt>
                <c:pt idx="11">
                  <c:v>-0.20000000000000007</c:v>
                </c:pt>
                <c:pt idx="12">
                  <c:v>-1.1102230246251565E-16</c:v>
                </c:pt>
                <c:pt idx="13">
                  <c:v>0.1499999999999998</c:v>
                </c:pt>
                <c:pt idx="14">
                  <c:v>4.9999999999999822E-2</c:v>
                </c:pt>
                <c:pt idx="15">
                  <c:v>2.5000000000000022E-2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CA-475D-A549-3097C98AEC51}"/>
            </c:ext>
          </c:extLst>
        </c:ser>
        <c:ser>
          <c:idx val="1"/>
          <c:order val="1"/>
          <c:tx>
            <c:strRef>
              <c:f>Dashboard_Anclaje!$P$120:$P$121</c:f>
              <c:strCache>
                <c:ptCount val="2"/>
                <c:pt idx="0">
                  <c:v>Bias realizado &gt;4%-5%</c:v>
                </c:pt>
                <c:pt idx="1">
                  <c:v>-1.45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Dashboard_Anclaje!$N$122:$N$137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Dashboard_Anclaje!$P$122:$P$137</c:f>
              <c:numCache>
                <c:formatCode>0.00</c:formatCode>
                <c:ptCount val="16"/>
                <c:pt idx="0">
                  <c:v>-1.4374999999999998</c:v>
                </c:pt>
                <c:pt idx="1">
                  <c:v>-1.3875</c:v>
                </c:pt>
                <c:pt idx="2">
                  <c:v>-1.3499999999999999</c:v>
                </c:pt>
                <c:pt idx="3">
                  <c:v>-1.2624999999999997</c:v>
                </c:pt>
                <c:pt idx="4">
                  <c:v>-1.2124999999999999</c:v>
                </c:pt>
                <c:pt idx="5">
                  <c:v>-1.0124999999999997</c:v>
                </c:pt>
                <c:pt idx="6">
                  <c:v>-0.8999999999999998</c:v>
                </c:pt>
                <c:pt idx="7">
                  <c:v>-0.69999999999999984</c:v>
                </c:pt>
                <c:pt idx="8">
                  <c:v>-0.62499999999999978</c:v>
                </c:pt>
                <c:pt idx="9">
                  <c:v>-0.55000000000000004</c:v>
                </c:pt>
                <c:pt idx="10">
                  <c:v>-0.42499999999999999</c:v>
                </c:pt>
                <c:pt idx="11">
                  <c:v>-0.36249999999999999</c:v>
                </c:pt>
                <c:pt idx="12">
                  <c:v>-0.24999999999999989</c:v>
                </c:pt>
                <c:pt idx="13">
                  <c:v>-0.22499999999999987</c:v>
                </c:pt>
                <c:pt idx="14">
                  <c:v>1.6653345369377348E-16</c:v>
                </c:pt>
                <c:pt idx="15">
                  <c:v>2.4999999999999911E-2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CA-475D-A549-3097C98AEC51}"/>
            </c:ext>
          </c:extLst>
        </c:ser>
        <c:ser>
          <c:idx val="2"/>
          <c:order val="2"/>
          <c:tx>
            <c:strRef>
              <c:f>Dashboard_Anclaje!$Q$120:$Q$121</c:f>
              <c:strCache>
                <c:ptCount val="2"/>
                <c:pt idx="0">
                  <c:v>Bias realizado &gt;5%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Dashboard_Anclaje!$N$122:$N$137</c:f>
              <c:strCache>
                <c:ptCount val="16"/>
                <c:pt idx="0">
                  <c:v>d-15</c:v>
                </c:pt>
                <c:pt idx="1">
                  <c:v>d-14</c:v>
                </c:pt>
                <c:pt idx="2">
                  <c:v>d-13</c:v>
                </c:pt>
                <c:pt idx="3">
                  <c:v>d-12</c:v>
                </c:pt>
                <c:pt idx="4">
                  <c:v>d-11</c:v>
                </c:pt>
                <c:pt idx="5">
                  <c:v>d-10</c:v>
                </c:pt>
                <c:pt idx="6">
                  <c:v>d-9</c:v>
                </c:pt>
                <c:pt idx="7">
                  <c:v>d-8</c:v>
                </c:pt>
                <c:pt idx="8">
                  <c:v>d-7</c:v>
                </c:pt>
                <c:pt idx="9">
                  <c:v>d-6</c:v>
                </c:pt>
                <c:pt idx="10">
                  <c:v>d-5</c:v>
                </c:pt>
                <c:pt idx="11">
                  <c:v>d-4</c:v>
                </c:pt>
                <c:pt idx="12">
                  <c:v>d-3</c:v>
                </c:pt>
                <c:pt idx="13">
                  <c:v>d-2</c:v>
                </c:pt>
                <c:pt idx="14">
                  <c:v>d-1</c:v>
                </c:pt>
                <c:pt idx="15">
                  <c:v>d-0</c:v>
                </c:pt>
              </c:strCache>
            </c:strRef>
          </c:cat>
          <c:val>
            <c:numRef>
              <c:f>Dashboard_Anclaje!$Q$122:$Q$137</c:f>
              <c:numCache>
                <c:formatCode>0.00</c:formatCode>
                <c:ptCount val="16"/>
                <c:pt idx="0">
                  <c:v>-2.6</c:v>
                </c:pt>
                <c:pt idx="1">
                  <c:v>-2.5</c:v>
                </c:pt>
                <c:pt idx="2">
                  <c:v>-3.45</c:v>
                </c:pt>
                <c:pt idx="3">
                  <c:v>-3.35</c:v>
                </c:pt>
                <c:pt idx="4">
                  <c:v>-3.7999999999999994</c:v>
                </c:pt>
                <c:pt idx="5">
                  <c:v>-3.7000000000000006</c:v>
                </c:pt>
                <c:pt idx="6">
                  <c:v>-4.0750000000000002</c:v>
                </c:pt>
                <c:pt idx="7">
                  <c:v>-3.45</c:v>
                </c:pt>
                <c:pt idx="8">
                  <c:v>-3.0799999999999996</c:v>
                </c:pt>
                <c:pt idx="9">
                  <c:v>-2.1799999999999997</c:v>
                </c:pt>
                <c:pt idx="10">
                  <c:v>-1.8166666666666667</c:v>
                </c:pt>
                <c:pt idx="11">
                  <c:v>-1.1166666666666667</c:v>
                </c:pt>
                <c:pt idx="12">
                  <c:v>-0.75714285714285712</c:v>
                </c:pt>
                <c:pt idx="13">
                  <c:v>-0.21428571428571427</c:v>
                </c:pt>
                <c:pt idx="14">
                  <c:v>-2.4999999999999911E-2</c:v>
                </c:pt>
                <c:pt idx="15">
                  <c:v>2.4999999999999911E-2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CA-475D-A549-3097C98AE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227279"/>
        <c:axId val="2116228239"/>
      </c:lineChart>
      <c:catAx>
        <c:axId val="2116227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1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Decisiones antes del cierre del período</a:t>
                </a:r>
              </a:p>
            </c:rich>
          </c:tx>
          <c:layout>
            <c:manualLayout>
              <c:xMode val="edge"/>
              <c:yMode val="edge"/>
              <c:x val="0.38582828540216524"/>
              <c:y val="0.920596714412565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16228239"/>
        <c:crossesAt val="0"/>
        <c:auto val="1"/>
        <c:lblAlgn val="ctr"/>
        <c:lblOffset val="100"/>
        <c:noMultiLvlLbl val="0"/>
      </c:catAx>
      <c:valAx>
        <c:axId val="211622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Bias: pronóstico menos realizado (pp)</a:t>
                </a:r>
              </a:p>
            </c:rich>
          </c:tx>
          <c:layout>
            <c:manualLayout>
              <c:xMode val="edge"/>
              <c:yMode val="edge"/>
              <c:x val="2.6914450496635694E-2"/>
              <c:y val="0.166972428816751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16227279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3373540178672794E-2"/>
          <c:y val="0.13711070227242583"/>
          <c:w val="0.92330380682549251"/>
          <c:h val="7.88389572089988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individuales — realizada &gt;5% con n &lt;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92189748540004"/>
          <c:y val="0.12242975933639247"/>
          <c:w val="0.85957870827786076"/>
          <c:h val="0.71052624699276701"/>
        </c:manualLayout>
      </c:layout>
      <c:scatterChart>
        <c:scatterStyle val="lineMarker"/>
        <c:varyColors val="0"/>
        <c:ser>
          <c:idx val="0"/>
          <c:order val="0"/>
          <c:tx>
            <c:strRef>
              <c:f>Distribucion_Errores!$AD$149</c:f>
              <c:strCache>
                <c:ptCount val="1"/>
                <c:pt idx="0">
                  <c:v>Error &gt;5% n&lt;5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Distribucion_Errores!$AC$150:$AC$220</c:f>
              <c:numCache>
                <c:formatCode>General</c:formatCode>
                <c:ptCount val="71"/>
                <c:pt idx="0">
                  <c:v>-9</c:v>
                </c:pt>
                <c:pt idx="1">
                  <c:v>-8</c:v>
                </c:pt>
                <c:pt idx="2">
                  <c:v>-11</c:v>
                </c:pt>
                <c:pt idx="3">
                  <c:v>-10</c:v>
                </c:pt>
                <c:pt idx="4">
                  <c:v>-9</c:v>
                </c:pt>
                <c:pt idx="5">
                  <c:v>-8</c:v>
                </c:pt>
                <c:pt idx="6">
                  <c:v>-13</c:v>
                </c:pt>
                <c:pt idx="7">
                  <c:v>-12</c:v>
                </c:pt>
                <c:pt idx="8">
                  <c:v>-11</c:v>
                </c:pt>
                <c:pt idx="9">
                  <c:v>-10</c:v>
                </c:pt>
                <c:pt idx="10">
                  <c:v>-9</c:v>
                </c:pt>
                <c:pt idx="11">
                  <c:v>-8</c:v>
                </c:pt>
                <c:pt idx="12">
                  <c:v>-15</c:v>
                </c:pt>
                <c:pt idx="13">
                  <c:v>-14</c:v>
                </c:pt>
                <c:pt idx="14">
                  <c:v>-13</c:v>
                </c:pt>
                <c:pt idx="15">
                  <c:v>-12</c:v>
                </c:pt>
                <c:pt idx="16">
                  <c:v>-11</c:v>
                </c:pt>
                <c:pt idx="17">
                  <c:v>-10</c:v>
                </c:pt>
                <c:pt idx="18">
                  <c:v>-9</c:v>
                </c:pt>
                <c:pt idx="19">
                  <c:v>-8</c:v>
                </c:pt>
              </c:numCache>
            </c:numRef>
          </c:xVal>
          <c:yVal>
            <c:numRef>
              <c:f>Distribucion_Errores!$AD$150:$AD$220</c:f>
              <c:numCache>
                <c:formatCode>General</c:formatCode>
                <c:ptCount val="71"/>
                <c:pt idx="0">
                  <c:v>-5.3</c:v>
                </c:pt>
                <c:pt idx="1">
                  <c:v>-5</c:v>
                </c:pt>
                <c:pt idx="2">
                  <c:v>-4.5999999999999996</c:v>
                </c:pt>
                <c:pt idx="3">
                  <c:v>-4.5999999999999996</c:v>
                </c:pt>
                <c:pt idx="4">
                  <c:v>-4.7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-4.2</c:v>
                </c:pt>
                <c:pt idx="8">
                  <c:v>-4.3</c:v>
                </c:pt>
                <c:pt idx="9">
                  <c:v>-4.2</c:v>
                </c:pt>
                <c:pt idx="10">
                  <c:v>-4.0999999999999996</c:v>
                </c:pt>
                <c:pt idx="11">
                  <c:v>-3</c:v>
                </c:pt>
                <c:pt idx="12">
                  <c:v>-2.6</c:v>
                </c:pt>
                <c:pt idx="13">
                  <c:v>-2.5</c:v>
                </c:pt>
                <c:pt idx="14">
                  <c:v>-2.5</c:v>
                </c:pt>
                <c:pt idx="15">
                  <c:v>-2.5</c:v>
                </c:pt>
                <c:pt idx="16">
                  <c:v>-2.5</c:v>
                </c:pt>
                <c:pt idx="17">
                  <c:v>-2.3000000000000003</c:v>
                </c:pt>
                <c:pt idx="18">
                  <c:v>-2.2000000000000002</c:v>
                </c:pt>
                <c:pt idx="19">
                  <c:v>-1.2999999999999998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3F-4291-AAF6-42F9906A7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751616"/>
        <c:axId val="1210752576"/>
      </c:scatterChart>
      <c:valAx>
        <c:axId val="1210751616"/>
        <c:scaling>
          <c:orientation val="minMax"/>
          <c:max val="-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Horizonte (d)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752576"/>
        <c:crosses val="autoZero"/>
        <c:crossBetween val="midCat"/>
        <c:majorUnit val="2"/>
      </c:valAx>
      <c:valAx>
        <c:axId val="12107525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751616"/>
        <c:crosses val="autoZero"/>
        <c:crossBetween val="midCat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individuales — realizada 2%-4% (n &lt; 5 por horizonte)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Distribucion_Errores!$X$149</c:f>
              <c:strCache>
                <c:ptCount val="1"/>
                <c:pt idx="0">
                  <c:v>Error 2%-4% n&lt;5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Distribucion_Errores!$W$150:$W$217</c:f>
              <c:numCache>
                <c:formatCode>General</c:formatCode>
                <c:ptCount val="68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-16</c:v>
                </c:pt>
                <c:pt idx="18">
                  <c:v>-15</c:v>
                </c:pt>
                <c:pt idx="19">
                  <c:v>-14</c:v>
                </c:pt>
                <c:pt idx="20">
                  <c:v>-13</c:v>
                </c:pt>
                <c:pt idx="21">
                  <c:v>-12</c:v>
                </c:pt>
                <c:pt idx="22">
                  <c:v>-11</c:v>
                </c:pt>
                <c:pt idx="23">
                  <c:v>-10</c:v>
                </c:pt>
                <c:pt idx="24">
                  <c:v>-9</c:v>
                </c:pt>
                <c:pt idx="25">
                  <c:v>-8</c:v>
                </c:pt>
                <c:pt idx="26">
                  <c:v>-7</c:v>
                </c:pt>
                <c:pt idx="27">
                  <c:v>-6</c:v>
                </c:pt>
                <c:pt idx="28">
                  <c:v>-5</c:v>
                </c:pt>
                <c:pt idx="29">
                  <c:v>-4</c:v>
                </c:pt>
                <c:pt idx="30">
                  <c:v>-3</c:v>
                </c:pt>
                <c:pt idx="31">
                  <c:v>-2</c:v>
                </c:pt>
                <c:pt idx="32">
                  <c:v>-1</c:v>
                </c:pt>
                <c:pt idx="33">
                  <c:v>0</c:v>
                </c:pt>
                <c:pt idx="34">
                  <c:v>-16</c:v>
                </c:pt>
                <c:pt idx="35">
                  <c:v>-15</c:v>
                </c:pt>
                <c:pt idx="36">
                  <c:v>-14</c:v>
                </c:pt>
                <c:pt idx="37">
                  <c:v>-13</c:v>
                </c:pt>
                <c:pt idx="38">
                  <c:v>-12</c:v>
                </c:pt>
                <c:pt idx="39">
                  <c:v>-11</c:v>
                </c:pt>
                <c:pt idx="40">
                  <c:v>-10</c:v>
                </c:pt>
                <c:pt idx="41">
                  <c:v>-9</c:v>
                </c:pt>
                <c:pt idx="42">
                  <c:v>-8</c:v>
                </c:pt>
                <c:pt idx="43">
                  <c:v>-7</c:v>
                </c:pt>
                <c:pt idx="44">
                  <c:v>-6</c:v>
                </c:pt>
                <c:pt idx="45">
                  <c:v>-5</c:v>
                </c:pt>
                <c:pt idx="46">
                  <c:v>-4</c:v>
                </c:pt>
                <c:pt idx="47">
                  <c:v>-3</c:v>
                </c:pt>
                <c:pt idx="48">
                  <c:v>-2</c:v>
                </c:pt>
                <c:pt idx="49">
                  <c:v>-1</c:v>
                </c:pt>
                <c:pt idx="50">
                  <c:v>0</c:v>
                </c:pt>
                <c:pt idx="51">
                  <c:v>-16</c:v>
                </c:pt>
                <c:pt idx="52">
                  <c:v>-15</c:v>
                </c:pt>
                <c:pt idx="53">
                  <c:v>-14</c:v>
                </c:pt>
                <c:pt idx="54">
                  <c:v>-13</c:v>
                </c:pt>
                <c:pt idx="55">
                  <c:v>-12</c:v>
                </c:pt>
                <c:pt idx="56">
                  <c:v>-11</c:v>
                </c:pt>
                <c:pt idx="57">
                  <c:v>-10</c:v>
                </c:pt>
                <c:pt idx="58">
                  <c:v>-9</c:v>
                </c:pt>
                <c:pt idx="59">
                  <c:v>-8</c:v>
                </c:pt>
                <c:pt idx="60">
                  <c:v>-7</c:v>
                </c:pt>
                <c:pt idx="61">
                  <c:v>-6</c:v>
                </c:pt>
                <c:pt idx="62">
                  <c:v>-5</c:v>
                </c:pt>
                <c:pt idx="63">
                  <c:v>-4</c:v>
                </c:pt>
                <c:pt idx="64">
                  <c:v>-3</c:v>
                </c:pt>
                <c:pt idx="65">
                  <c:v>-2</c:v>
                </c:pt>
                <c:pt idx="66">
                  <c:v>-1</c:v>
                </c:pt>
                <c:pt idx="67">
                  <c:v>0</c:v>
                </c:pt>
              </c:numCache>
            </c:numRef>
          </c:xVal>
          <c:yVal>
            <c:numRef>
              <c:f>Distribucion_Errores!$X$150:$X$217</c:f>
              <c:numCache>
                <c:formatCode>General</c:formatCode>
                <c:ptCount val="68"/>
                <c:pt idx="0">
                  <c:v>-0.60000000000000009</c:v>
                </c:pt>
                <c:pt idx="1">
                  <c:v>-0.60000000000000009</c:v>
                </c:pt>
                <c:pt idx="2">
                  <c:v>-0.60000000000000009</c:v>
                </c:pt>
                <c:pt idx="3">
                  <c:v>-0.60000000000000009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-0.20000000000000018</c:v>
                </c:pt>
                <c:pt idx="10">
                  <c:v>-0.20000000000000018</c:v>
                </c:pt>
                <c:pt idx="11">
                  <c:v>0</c:v>
                </c:pt>
                <c:pt idx="12">
                  <c:v>0</c:v>
                </c:pt>
                <c:pt idx="13">
                  <c:v>0.19999999999999973</c:v>
                </c:pt>
                <c:pt idx="14">
                  <c:v>9.9999999999999645E-2</c:v>
                </c:pt>
                <c:pt idx="15">
                  <c:v>0</c:v>
                </c:pt>
                <c:pt idx="16">
                  <c:v>0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  <c:pt idx="21">
                  <c:v>-0.5</c:v>
                </c:pt>
                <c:pt idx="22">
                  <c:v>-0.39999999999999991</c:v>
                </c:pt>
                <c:pt idx="23">
                  <c:v>-0.5</c:v>
                </c:pt>
                <c:pt idx="24">
                  <c:v>-0.5</c:v>
                </c:pt>
                <c:pt idx="25">
                  <c:v>-0.5</c:v>
                </c:pt>
                <c:pt idx="26">
                  <c:v>-0.5</c:v>
                </c:pt>
                <c:pt idx="27">
                  <c:v>-0.20000000000000018</c:v>
                </c:pt>
                <c:pt idx="28">
                  <c:v>-0.20000000000000018</c:v>
                </c:pt>
                <c:pt idx="29">
                  <c:v>-0.20000000000000018</c:v>
                </c:pt>
                <c:pt idx="30">
                  <c:v>-0.10000000000000009</c:v>
                </c:pt>
                <c:pt idx="31">
                  <c:v>0.49999999999999956</c:v>
                </c:pt>
                <c:pt idx="32">
                  <c:v>0.19999999999999973</c:v>
                </c:pt>
                <c:pt idx="33">
                  <c:v>0</c:v>
                </c:pt>
                <c:pt idx="34">
                  <c:v>-0.60000000000000009</c:v>
                </c:pt>
                <c:pt idx="35">
                  <c:v>-0.60000000000000009</c:v>
                </c:pt>
                <c:pt idx="36">
                  <c:v>-0.60000000000000009</c:v>
                </c:pt>
                <c:pt idx="37">
                  <c:v>-0.70000000000000018</c:v>
                </c:pt>
                <c:pt idx="38">
                  <c:v>-0.70000000000000018</c:v>
                </c:pt>
                <c:pt idx="39">
                  <c:v>-0.70000000000000018</c:v>
                </c:pt>
                <c:pt idx="40">
                  <c:v>-0.70000000000000018</c:v>
                </c:pt>
                <c:pt idx="41">
                  <c:v>-0.70000000000000018</c:v>
                </c:pt>
                <c:pt idx="42">
                  <c:v>-0.40000000000000036</c:v>
                </c:pt>
                <c:pt idx="43">
                  <c:v>-0.40000000000000036</c:v>
                </c:pt>
                <c:pt idx="44">
                  <c:v>-0.40000000000000036</c:v>
                </c:pt>
                <c:pt idx="45">
                  <c:v>-0.40000000000000036</c:v>
                </c:pt>
                <c:pt idx="46">
                  <c:v>0</c:v>
                </c:pt>
                <c:pt idx="47">
                  <c:v>0</c:v>
                </c:pt>
                <c:pt idx="48">
                  <c:v>-0.10000000000000009</c:v>
                </c:pt>
                <c:pt idx="49">
                  <c:v>-0.20000000000000018</c:v>
                </c:pt>
                <c:pt idx="50">
                  <c:v>0</c:v>
                </c:pt>
                <c:pt idx="51">
                  <c:v>-0.89999999999999991</c:v>
                </c:pt>
                <c:pt idx="52">
                  <c:v>-0.89999999999999991</c:v>
                </c:pt>
                <c:pt idx="53">
                  <c:v>-0.89999999999999991</c:v>
                </c:pt>
                <c:pt idx="54">
                  <c:v>-0.89999999999999991</c:v>
                </c:pt>
                <c:pt idx="55">
                  <c:v>-0.79999999999999982</c:v>
                </c:pt>
                <c:pt idx="56">
                  <c:v>-0.79999999999999982</c:v>
                </c:pt>
                <c:pt idx="57">
                  <c:v>-0.79999999999999982</c:v>
                </c:pt>
                <c:pt idx="58">
                  <c:v>-0.79999999999999982</c:v>
                </c:pt>
                <c:pt idx="59">
                  <c:v>-0.79999999999999982</c:v>
                </c:pt>
                <c:pt idx="60">
                  <c:v>-0.79999999999999982</c:v>
                </c:pt>
                <c:pt idx="61">
                  <c:v>-0.79999999999999982</c:v>
                </c:pt>
                <c:pt idx="62">
                  <c:v>-0.69999999999999973</c:v>
                </c:pt>
                <c:pt idx="63">
                  <c:v>-0.60000000000000009</c:v>
                </c:pt>
                <c:pt idx="64">
                  <c:v>-0.10000000000000009</c:v>
                </c:pt>
                <c:pt idx="65">
                  <c:v>0.10000000000000009</c:v>
                </c:pt>
                <c:pt idx="66">
                  <c:v>0.19999999999999973</c:v>
                </c:pt>
                <c:pt idx="67">
                  <c:v>0.10000000000000009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26-4791-8A4E-0CED208FA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750943"/>
        <c:axId val="625531135"/>
      </c:scatterChart>
      <c:valAx>
        <c:axId val="632750943"/>
        <c:scaling>
          <c:orientation val="minMax"/>
          <c:min val="-1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Horizonte (decisiones)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31135"/>
        <c:crosses val="autoZero"/>
        <c:crossBetween val="midCat"/>
      </c:valAx>
      <c:valAx>
        <c:axId val="62553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50943"/>
        <c:crossesAt val="-1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Distribución del error por horizonte — muestra general</cx:v>
        </cx:txData>
      </cx:tx>
    </cx:title>
    <cx:plotArea>
      <cx:plotAreaRegion>
        <cx:series layoutId="boxWhisker" uniqueId="{00000000-A2AC-4C0D-9FBE-35B9D5818D32}">
          <cx:tx>
            <cx:txData>
              <cx:f>_xlchart.v1.4</cx:f>
              <cx:v>Error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Horizonte</cx:v>
            </cx:txData>
          </cx:tx>
        </cx:title>
        <cx:tickLabels/>
      </cx:axis>
      <cx:axis id="1">
        <cx:valScaling/>
        <cx:title>
          <cx:tx>
            <cx:txData>
              <cx:v>Error (pp)</cx:v>
            </cx:txData>
          </cx:tx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Distribución del error — realizada &gt;4% y ≤5%</cx:v>
        </cx:txData>
      </cx:tx>
    </cx:title>
    <cx:plotArea>
      <cx:plotAreaRegion>
        <cx:series layoutId="boxWhisker" uniqueId="{00000000-BBCB-465E-BB3B-88204EDCF17D}">
          <cx:tx>
            <cx:txData>
              <cx:f>_xlchart.v1.7</cx:f>
              <cx:v>Error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Horizonte</cx:v>
            </cx:txData>
          </cx:tx>
        </cx:title>
        <cx:tickLabels/>
      </cx:axis>
      <cx:axis id="1">
        <cx:valScaling/>
        <cx:title>
          <cx:tx>
            <cx:txData>
              <cx:v>Error (pp)</cx:v>
            </cx:txData>
          </cx:tx>
        </cx:title>
        <cx:majorGridlines/>
        <cx:tickLabels/>
        <cx:numFmt formatCode="#,##0.0" sourceLinked="0"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Distribución del error — realizada &gt;5%</cx:v>
        </cx:txData>
      </cx:tx>
    </cx:title>
    <cx:plotArea>
      <cx:plotAreaRegion>
        <cx:series layoutId="boxWhisker" uniqueId="{00000000-51AD-4E69-A189-E7C1F0AEB207}">
          <cx:tx>
            <cx:txData>
              <cx:f>_xlchart.v1.1</cx:f>
              <cx:v>Error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Horizonte</cx:v>
            </cx:txData>
          </cx:tx>
        </cx:title>
        <cx:tickLabels/>
      </cx:axis>
      <cx:axis id="1">
        <cx:valScaling/>
        <cx:title>
          <cx:tx>
            <cx:txData>
              <cx:v>Error (pp)</cx:v>
            </cx:txData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283BC0C-3A21-4DA8-B32E-07354F7246A3}">
  <sheetPr codeName="Chart23"/>
  <sheetViews>
    <sheetView zoomScale="7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F00587-5946-4B12-97FF-E59228EE13F6}">
  <sheetPr codeName="Chart21"/>
  <sheetViews>
    <sheetView zoomScale="7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638DCB21-CDBA-4C1C-A6C6-0BD74809CA90}">
  <sheetPr codeName="Chart7"/>
  <sheetViews>
    <sheetView zoomScale="75" workbookViewId="0" zoomToFit="1"/>
  </sheetViews>
  <pageMargins left="0.7" right="0.7" top="0.75" bottom="0.75" header="0.3" footer="0.3"/>
  <drawing r:id="rId1"/>
  <legacy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11.xml"/><Relationship Id="rId5" Type="http://schemas.openxmlformats.org/officeDocument/2006/relationships/chart" Target="../charts/chart12.xml"/><Relationship Id="rId4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2992100" cy="9436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2650CE-3B36-A5FC-0496-07B5BFC3479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2992100" cy="9436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5F6E0C-E7D1-B38F-9BB6-8DAA1F87A7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992100" cy="9436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831F2F-D4B3-3960-A6D1-4B98CF4C4D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0.94126</cdr:x>
      <cdr:y>0.09655</cdr:y>
    </cdr:from>
    <cdr:to>
      <cdr:x>0.94126</cdr:x>
      <cdr:y>0.83155</cdr:y>
    </cdr:to>
    <cdr:cxnSp macro="">
      <cdr:nvCxnSpPr>
        <cdr:cNvPr id="4" name="LineaFinPeriodoPronosticado">
          <a:extLst xmlns:a="http://schemas.openxmlformats.org/drawingml/2006/main">
            <a:ext uri="{FF2B5EF4-FFF2-40B4-BE49-F238E27FC236}">
              <a16:creationId xmlns:a16="http://schemas.microsoft.com/office/drawing/2014/main" id="{F021CA9A-1C5F-9E27-B010-135D78504118}"/>
            </a:ext>
          </a:extLst>
        </cdr:cNvPr>
        <cdr:cNvCxnSpPr/>
      </cdr:nvCxnSpPr>
      <cdr:spPr>
        <a:xfrm xmlns:a="http://schemas.openxmlformats.org/drawingml/2006/main">
          <a:off x="12221414" y="908304"/>
          <a:ext cx="0" cy="6914975"/>
        </a:xfrm>
        <a:prstGeom xmlns:a="http://schemas.openxmlformats.org/drawingml/2006/main" prst="line">
          <a:avLst/>
        </a:prstGeom>
        <a:ln xmlns:a="http://schemas.openxmlformats.org/drawingml/2006/main" w="50800" cap="flat" cmpd="sng" algn="ctr">
          <a:solidFill>
            <a:srgbClr val="191919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36</xdr:row>
      <xdr:rowOff>66675</xdr:rowOff>
    </xdr:from>
    <xdr:to>
      <xdr:col>10</xdr:col>
      <xdr:colOff>31750</xdr:colOff>
      <xdr:row>54</xdr:row>
      <xdr:rowOff>9525</xdr:rowOff>
    </xdr:to>
    <xdr:graphicFrame macro="">
      <xdr:nvGraphicFramePr>
        <xdr:cNvPr id="2" name="Gravedad3">
          <a:extLst>
            <a:ext uri="{FF2B5EF4-FFF2-40B4-BE49-F238E27FC236}">
              <a16:creationId xmlns:a16="http://schemas.microsoft.com/office/drawing/2014/main" id="{41E04174-A70C-7850-8B2D-F7E384D3B3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25400</xdr:colOff>
      <xdr:row>36</xdr:row>
      <xdr:rowOff>66675</xdr:rowOff>
    </xdr:from>
    <xdr:to>
      <xdr:col>22</xdr:col>
      <xdr:colOff>81643</xdr:colOff>
      <xdr:row>54</xdr:row>
      <xdr:rowOff>9525</xdr:rowOff>
    </xdr:to>
    <xdr:graphicFrame macro="">
      <xdr:nvGraphicFramePr>
        <xdr:cNvPr id="3" name="DistanciaMeta">
          <a:extLst>
            <a:ext uri="{FF2B5EF4-FFF2-40B4-BE49-F238E27FC236}">
              <a16:creationId xmlns:a16="http://schemas.microsoft.com/office/drawing/2014/main" id="{7D0827B3-612E-E5EE-0820-50B3D9CA0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54</xdr:row>
      <xdr:rowOff>67128</xdr:rowOff>
    </xdr:from>
    <xdr:to>
      <xdr:col>10</xdr:col>
      <xdr:colOff>25400</xdr:colOff>
      <xdr:row>72</xdr:row>
      <xdr:rowOff>7710</xdr:rowOff>
    </xdr:to>
    <xdr:graphicFrame macro="">
      <xdr:nvGraphicFramePr>
        <xdr:cNvPr id="4" name="ErrorHorizonte">
          <a:extLst>
            <a:ext uri="{FF2B5EF4-FFF2-40B4-BE49-F238E27FC236}">
              <a16:creationId xmlns:a16="http://schemas.microsoft.com/office/drawing/2014/main" id="{A0A62231-F471-26B6-8268-C6002E60AE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120649</xdr:rowOff>
    </xdr:from>
    <xdr:to>
      <xdr:col>10</xdr:col>
      <xdr:colOff>277091</xdr:colOff>
      <xdr:row>97</xdr:row>
      <xdr:rowOff>86589</xdr:rowOff>
    </xdr:to>
    <xdr:graphicFrame macro="">
      <xdr:nvGraphicFramePr>
        <xdr:cNvPr id="6" name="Cohort_2_4">
          <a:extLst>
            <a:ext uri="{FF2B5EF4-FFF2-40B4-BE49-F238E27FC236}">
              <a16:creationId xmlns:a16="http://schemas.microsoft.com/office/drawing/2014/main" id="{261C3856-54CB-A767-5619-44A92C5284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222251</xdr:colOff>
      <xdr:row>98</xdr:row>
      <xdr:rowOff>13564</xdr:rowOff>
    </xdr:from>
    <xdr:to>
      <xdr:col>10</xdr:col>
      <xdr:colOff>543215</xdr:colOff>
      <xdr:row>116</xdr:row>
      <xdr:rowOff>124401</xdr:rowOff>
    </xdr:to>
    <xdr:graphicFrame macro="">
      <xdr:nvGraphicFramePr>
        <xdr:cNvPr id="7" name="Cohort_4_5">
          <a:extLst>
            <a:ext uri="{FF2B5EF4-FFF2-40B4-BE49-F238E27FC236}">
              <a16:creationId xmlns:a16="http://schemas.microsoft.com/office/drawing/2014/main" id="{E77672F0-6A03-B58F-6518-7FE1785450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103909</xdr:colOff>
      <xdr:row>117</xdr:row>
      <xdr:rowOff>14142</xdr:rowOff>
    </xdr:from>
    <xdr:to>
      <xdr:col>10</xdr:col>
      <xdr:colOff>481735</xdr:colOff>
      <xdr:row>137</xdr:row>
      <xdr:rowOff>69272</xdr:rowOff>
    </xdr:to>
    <xdr:graphicFrame macro="">
      <xdr:nvGraphicFramePr>
        <xdr:cNvPr id="8" name="Cohort_Mayor5">
          <a:extLst>
            <a:ext uri="{FF2B5EF4-FFF2-40B4-BE49-F238E27FC236}">
              <a16:creationId xmlns:a16="http://schemas.microsoft.com/office/drawing/2014/main" id="{66F45DEF-04B4-4C99-240A-D127C9CC01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170008</xdr:colOff>
      <xdr:row>78</xdr:row>
      <xdr:rowOff>147781</xdr:rowOff>
    </xdr:from>
    <xdr:to>
      <xdr:col>26</xdr:col>
      <xdr:colOff>207819</xdr:colOff>
      <xdr:row>98</xdr:row>
      <xdr:rowOff>138546</xdr:rowOff>
    </xdr:to>
    <xdr:graphicFrame macro="">
      <xdr:nvGraphicFramePr>
        <xdr:cNvPr id="9" name="Bias_Cohortes">
          <a:extLst>
            <a:ext uri="{FF2B5EF4-FFF2-40B4-BE49-F238E27FC236}">
              <a16:creationId xmlns:a16="http://schemas.microsoft.com/office/drawing/2014/main" id="{27E868B7-74C1-83EF-A2E9-78AB23046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104198</xdr:colOff>
      <xdr:row>21</xdr:row>
      <xdr:rowOff>27709</xdr:rowOff>
    </xdr:from>
    <xdr:to>
      <xdr:col>19</xdr:col>
      <xdr:colOff>640773</xdr:colOff>
      <xdr:row>38</xdr:row>
      <xdr:rowOff>143740</xdr:rowOff>
    </xdr:to>
    <xdr:graphicFrame macro="">
      <xdr:nvGraphicFramePr>
        <xdr:cNvPr id="10" name="Puntos_Mayor5_nMenor5">
          <a:extLst>
            <a:ext uri="{FF2B5EF4-FFF2-40B4-BE49-F238E27FC236}">
              <a16:creationId xmlns:a16="http://schemas.microsoft.com/office/drawing/2014/main" id="{DFE37CCF-1203-617F-3457-9CFE53CF9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</xdr:row>
      <xdr:rowOff>103909</xdr:rowOff>
    </xdr:from>
    <xdr:to>
      <xdr:col>10</xdr:col>
      <xdr:colOff>289</xdr:colOff>
      <xdr:row>20</xdr:row>
      <xdr:rowOff>66675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Box_Error_General">
              <a:extLst>
                <a:ext uri="{FF2B5EF4-FFF2-40B4-BE49-F238E27FC236}">
                  <a16:creationId xmlns:a16="http://schemas.microsoft.com/office/drawing/2014/main" id="{A236631E-6521-A0C7-9B5B-F3FED786D4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36369"/>
              <a:ext cx="6881149" cy="30717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21</xdr:row>
      <xdr:rowOff>63500</xdr:rowOff>
    </xdr:from>
    <xdr:to>
      <xdr:col>10</xdr:col>
      <xdr:colOff>289</xdr:colOff>
      <xdr:row>38</xdr:row>
      <xdr:rowOff>155864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Box_Error_4_5">
              <a:extLst>
                <a:ext uri="{FF2B5EF4-FFF2-40B4-BE49-F238E27FC236}">
                  <a16:creationId xmlns:a16="http://schemas.microsoft.com/office/drawing/2014/main" id="{A0A773D4-8D01-6E42-1452-69D0792D0A8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7800"/>
              <a:ext cx="6881149" cy="32013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34924</xdr:colOff>
      <xdr:row>21</xdr:row>
      <xdr:rowOff>25688</xdr:rowOff>
    </xdr:from>
    <xdr:to>
      <xdr:col>29</xdr:col>
      <xdr:colOff>170006</xdr:colOff>
      <xdr:row>38</xdr:row>
      <xdr:rowOff>159038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2" name="Box_Error_Mayor5">
              <a:extLst>
                <a:ext uri="{FF2B5EF4-FFF2-40B4-BE49-F238E27FC236}">
                  <a16:creationId xmlns:a16="http://schemas.microsoft.com/office/drawing/2014/main" id="{C90BE7B9-911F-A65C-5811-6405986772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33704" y="3949988"/>
              <a:ext cx="6170122" cy="32423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107373</xdr:colOff>
      <xdr:row>3</xdr:row>
      <xdr:rowOff>103910</xdr:rowOff>
    </xdr:from>
    <xdr:to>
      <xdr:col>20</xdr:col>
      <xdr:colOff>107084</xdr:colOff>
      <xdr:row>20</xdr:row>
      <xdr:rowOff>87169</xdr:rowOff>
    </xdr:to>
    <xdr:graphicFrame macro="">
      <xdr:nvGraphicFramePr>
        <xdr:cNvPr id="23" name="Puntos_2_4_nMenor5">
          <a:extLst>
            <a:ext uri="{FF2B5EF4-FFF2-40B4-BE49-F238E27FC236}">
              <a16:creationId xmlns:a16="http://schemas.microsoft.com/office/drawing/2014/main" id="{9E98CD99-8738-6317-934F-F98232CCB3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ecisionesTable" displayName="DecisionesTable" ref="A1:G58" totalsRowShown="0">
  <tableColumns count="7">
    <tableColumn id="1" xr3:uid="{00000000-0010-0000-0000-000001000000}" name="decision_id"/>
    <tableColumn id="2" xr3:uid="{00000000-0010-0000-0000-000002000000}" name="fecha_decision"/>
    <tableColumn id="3" xr3:uid="{00000000-0010-0000-0000-000003000000}" name="cuadro_anual_disponible"/>
    <tableColumn id="4" xr3:uid="{00000000-0010-0000-0000-000004000000}" name="series_desestacionalizadas_disponibles"/>
    <tableColumn id="5" xr3:uid="{00000000-0010-0000-0000-000005000000}" name="cobertura"/>
    <tableColumn id="6" xr3:uid="{00000000-0010-0000-0000-000006000000}" name="url_fuente"/>
    <tableColumn id="7" xr3:uid="{CFDC4DFB-2608-4149-9E3D-C7156DBCBD3F}" name="estad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ronosticosTable" displayName="PronosticosTable" ref="A1:J1989" totalsRowShown="0">
  <tableColumns count="10">
    <tableColumn id="1" xr3:uid="{00000000-0010-0000-0100-000001000000}" name="forecast_id"/>
    <tableColumn id="2" xr3:uid="{00000000-0010-0000-0100-000002000000}" name="decision_id"/>
    <tableColumn id="3" xr3:uid="{00000000-0010-0000-0100-000003000000}" name="fecha_decision"/>
    <tableColumn id="4" xr3:uid="{00000000-0010-0000-0100-000004000000}" name="categoria_codigo"/>
    <tableColumn id="5" xr3:uid="{00000000-0010-0000-0100-000005000000}" name="categoria"/>
    <tableColumn id="6" xr3:uid="{00000000-0010-0000-0100-000006000000}" name="anio"/>
    <tableColumn id="7" xr3:uid="{00000000-0010-0000-0100-000007000000}" name="trimestre"/>
    <tableColumn id="8" xr3:uid="{00000000-0010-0000-0100-000008000000}" name="periodo"/>
    <tableColumn id="9" xr3:uid="{00000000-0010-0000-0100-000009000000}" name="valor_porcentaje"/>
    <tableColumn id="10" xr3:uid="{00000000-0010-0000-0100-00000A000000}" name="url_fuen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alidacionTable" displayName="ValidacionTable" ref="A1:I961" totalsRowShown="0">
  <tableColumns count="9">
    <tableColumn id="1" xr3:uid="{00000000-0010-0000-0200-000001000000}" name="decision_id_origen"/>
    <tableColumn id="2" xr3:uid="{00000000-0010-0000-0200-000002000000}" name="decision_id_referencia"/>
    <tableColumn id="3" xr3:uid="{00000000-0010-0000-0200-000003000000}" name="categoria_codigo"/>
    <tableColumn id="4" xr3:uid="{00000000-0010-0000-0200-000004000000}" name="periodo"/>
    <tableColumn id="5" xr3:uid="{00000000-0010-0000-0200-000005000000}" name="valor_anterior"/>
    <tableColumn id="6" xr3:uid="{00000000-0010-0000-0200-000006000000}" name="valor_actual_referido"/>
    <tableColumn id="7" xr3:uid="{00000000-0010-0000-0200-000007000000}" name="resultado"/>
    <tableColumn id="8" xr3:uid="{00000000-0010-0000-0200-000008000000}" name="nota"/>
    <tableColumn id="9" xr3:uid="{00000000-0010-0000-0200-000009000000}" name="url_fuen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CatalogosTable" displayName="CatalogosTable" ref="A1:C5" totalsRowShown="0">
  <tableColumns count="3">
    <tableColumn id="1" xr3:uid="{00000000-0010-0000-0300-000001000000}" name="categoria_codigo"/>
    <tableColumn id="2" xr3:uid="{00000000-0010-0000-0300-000002000000}" name="categoria"/>
    <tableColumn id="3" xr3:uid="{00000000-0010-0000-0300-000003000000}" name="defini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ne FT 2026">
  <a:themeElements>
    <a:clrScheme name="One FT Color Palette 2026">
      <a:dk1>
        <a:srgbClr val="000000"/>
      </a:dk1>
      <a:lt1>
        <a:srgbClr val="FFFFFF"/>
      </a:lt1>
      <a:dk2>
        <a:srgbClr val="002EB8"/>
      </a:dk2>
      <a:lt2>
        <a:srgbClr val="EBECED"/>
      </a:lt2>
      <a:accent1>
        <a:srgbClr val="001F62"/>
      </a:accent1>
      <a:accent2>
        <a:srgbClr val="6995D3"/>
      </a:accent2>
      <a:accent3>
        <a:srgbClr val="1E7975"/>
      </a:accent3>
      <a:accent4>
        <a:srgbClr val="96CCC8"/>
      </a:accent4>
      <a:accent5>
        <a:srgbClr val="939596"/>
      </a:accent5>
      <a:accent6>
        <a:srgbClr val="710E2C"/>
      </a:accent6>
      <a:hlink>
        <a:srgbClr val="002EB8"/>
      </a:hlink>
      <a:folHlink>
        <a:srgbClr val="606668"/>
      </a:folHlink>
    </a:clrScheme>
    <a:fontScheme name="One FT Fonts">
      <a:majorFont>
        <a:latin typeface="TT Commons Pro"/>
        <a:ea typeface=""/>
        <a:cs typeface=""/>
      </a:majorFont>
      <a:minorFont>
        <a:latin typeface="TT Commons Pr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/>
        </a:solidFill>
        <a:ln>
          <a:noFill/>
        </a:ln>
      </a:spPr>
      <a:bodyPr rtlCol="0" anchor="ctr"/>
      <a:lstStyle>
        <a:defPPr algn="ctr">
          <a:defRPr sz="1200" dirty="0" smtClean="0">
            <a:latin typeface="+mn-lt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spAutoFit/>
      </a:bodyPr>
      <a:lstStyle>
        <a:defPPr marL="0" algn="l">
          <a:spcAft>
            <a:spcPts val="800"/>
          </a:spcAft>
          <a:defRPr sz="1400" dirty="0" smtClean="0">
            <a:latin typeface="TT Commons Pro" panose="020B0103030102020204" pitchFamily="34" charset="77"/>
          </a:defRPr>
        </a:defPPr>
      </a:lstStyle>
    </a:txDef>
  </a:objectDefaults>
  <a:extraClrSchemeLst/>
  <a:custClrLst>
    <a:custClr name="FT MAROON3">
      <a:srgbClr val="B77988"/>
    </a:custClr>
    <a:custClr name="FT BLUE2">
      <a:srgbClr val="AABFE2"/>
    </a:custClr>
    <a:custClr name="FT TEAL4">
      <a:srgbClr val="093D44"/>
    </a:custClr>
    <a:custClr name="FT GRAY4">
      <a:srgbClr val="606668"/>
    </a:custClr>
    <a:custClr name="FT MAROON2">
      <a:srgbClr val="DAAEB5"/>
    </a:custClr>
    <a:custClr name="FT BLUE4">
      <a:srgbClr val="3B5FC4"/>
    </a:custClr>
    <a:custClr name="FT TEAL3">
      <a:srgbClr val="52A89F"/>
    </a:custClr>
    <a:custClr name="FT GRAY">
      <a:srgbClr val="293438"/>
    </a:custClr>
    <a:custClr name="FT ORANGE">
      <a:srgbClr val="B2410F"/>
    </a:custClr>
    <a:custClr name="FT YELLOW">
      <a:srgbClr val="BC8A0D"/>
    </a:custClr>
    <a:custClr name="FT BLUE5">
      <a:srgbClr val="001F62"/>
    </a:custClr>
    <a:custClr name="FT BLUE3">
      <a:srgbClr val="6A95D3"/>
    </a:custClr>
    <a:custClr name="FT BLUE2">
      <a:srgbClr val="AABFE2"/>
    </a:custClr>
    <a:custClr name="FT TEAL2">
      <a:srgbClr val="96CCC8"/>
    </a:custClr>
    <a:custClr name="FT GRAY2">
      <a:srgbClr val="C0C3C4"/>
    </a:custClr>
    <a:custClr name="FT MAROON2">
      <a:srgbClr val="DAAEB5"/>
    </a:custClr>
    <a:custClr name="FT GRAY3">
      <a:srgbClr val="939596"/>
    </a:custClr>
    <a:custClr name="BLANK">
      <a:srgbClr val="FFFFFF"/>
    </a:custClr>
    <a:custClr name="BLANK">
      <a:srgbClr val="FFFFFF"/>
    </a:custClr>
    <a:custClr name="BLANK">
      <a:srgbClr val="FFFFFF"/>
    </a:custClr>
    <a:custClr name="FT BLUE5">
      <a:srgbClr val="001F62"/>
    </a:custClr>
    <a:custClr name="FT BLUE">
      <a:srgbClr val="002EB8"/>
    </a:custClr>
    <a:custClr name="FT TEAL4">
      <a:srgbClr val="093D44"/>
    </a:custClr>
    <a:custClr name="FT TEAL">
      <a:srgbClr val="1E7A75"/>
    </a:custClr>
    <a:custClr name="FT GRAY4">
      <a:srgbClr val="606668"/>
    </a:custClr>
    <a:custClr name="FT GRAY">
      <a:srgbClr val="293438"/>
    </a:custClr>
    <a:custClr name="FT MAROON">
      <a:srgbClr val="720E2D"/>
    </a:custClr>
    <a:custClr name="FT BLUE1">
      <a:srgbClr val="E4ECF4"/>
    </a:custClr>
    <a:custClr name="FT TEAL1">
      <a:srgbClr val="D9F4F2"/>
    </a:custClr>
    <a:custClr name="FT GRAY1">
      <a:srgbClr val="EBECED"/>
    </a:custClr>
  </a:custClrLst>
  <a:extLst>
    <a:ext uri="{05A4C25C-085E-4340-85A3-A5531E510DB2}">
      <thm15:themeFamily xmlns:thm15="http://schemas.microsoft.com/office/thememl/2012/main" name="One FT 2026" id="{E8754C48-E4E6-4543-8DCF-6C8D23F3DE83}" vid="{8487EA72-02CA-41F5-BBA5-601DAAF7DFAA}"/>
    </a:ext>
  </a:extLst>
</a:theme>
</file>

<file path=xl/theme/themeOverride1.xml><?xml version="1.0" encoding="utf-8"?>
<a:themeOverride xmlns:a="http://schemas.openxmlformats.org/drawingml/2006/main">
  <a:clrScheme name="One FT Color Palette 2026">
    <a:dk1>
      <a:srgbClr val="000000"/>
    </a:dk1>
    <a:lt1>
      <a:srgbClr val="FFFFFF"/>
    </a:lt1>
    <a:dk2>
      <a:srgbClr val="002EB8"/>
    </a:dk2>
    <a:lt2>
      <a:srgbClr val="EBECED"/>
    </a:lt2>
    <a:accent1>
      <a:srgbClr val="001F62"/>
    </a:accent1>
    <a:accent2>
      <a:srgbClr val="6995D3"/>
    </a:accent2>
    <a:accent3>
      <a:srgbClr val="1E7975"/>
    </a:accent3>
    <a:accent4>
      <a:srgbClr val="96CCC8"/>
    </a:accent4>
    <a:accent5>
      <a:srgbClr val="939596"/>
    </a:accent5>
    <a:accent6>
      <a:srgbClr val="710E2C"/>
    </a:accent6>
    <a:hlink>
      <a:srgbClr val="002EB8"/>
    </a:hlink>
    <a:folHlink>
      <a:srgbClr val="606668"/>
    </a:folHlink>
  </a:clrScheme>
  <a:fontScheme name="One FT Fonts">
    <a:majorFont>
      <a:latin typeface="TT Commons Pro"/>
      <a:ea typeface=""/>
      <a:cs typeface=""/>
    </a:majorFont>
    <a:minorFont>
      <a:latin typeface="TT Commons Pro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ne FT Color Palette 2026">
    <a:dk1>
      <a:srgbClr val="000000"/>
    </a:dk1>
    <a:lt1>
      <a:srgbClr val="FFFFFF"/>
    </a:lt1>
    <a:dk2>
      <a:srgbClr val="002EB8"/>
    </a:dk2>
    <a:lt2>
      <a:srgbClr val="EBECED"/>
    </a:lt2>
    <a:accent1>
      <a:srgbClr val="001F62"/>
    </a:accent1>
    <a:accent2>
      <a:srgbClr val="6995D3"/>
    </a:accent2>
    <a:accent3>
      <a:srgbClr val="1E7975"/>
    </a:accent3>
    <a:accent4>
      <a:srgbClr val="96CCC8"/>
    </a:accent4>
    <a:accent5>
      <a:srgbClr val="939596"/>
    </a:accent5>
    <a:accent6>
      <a:srgbClr val="710E2C"/>
    </a:accent6>
    <a:hlink>
      <a:srgbClr val="002EB8"/>
    </a:hlink>
    <a:folHlink>
      <a:srgbClr val="606668"/>
    </a:folHlink>
  </a:clrScheme>
  <a:fontScheme name="One FT Fonts">
    <a:majorFont>
      <a:latin typeface="TT Commons Pro"/>
      <a:ea typeface=""/>
      <a:cs typeface=""/>
    </a:majorFont>
    <a:minorFont>
      <a:latin typeface="TT Commons Pro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ne FT Color Palette 2026">
    <a:dk1>
      <a:srgbClr val="000000"/>
    </a:dk1>
    <a:lt1>
      <a:srgbClr val="FFFFFF"/>
    </a:lt1>
    <a:dk2>
      <a:srgbClr val="002EB8"/>
    </a:dk2>
    <a:lt2>
      <a:srgbClr val="EBECED"/>
    </a:lt2>
    <a:accent1>
      <a:srgbClr val="001F62"/>
    </a:accent1>
    <a:accent2>
      <a:srgbClr val="6995D3"/>
    </a:accent2>
    <a:accent3>
      <a:srgbClr val="1E7975"/>
    </a:accent3>
    <a:accent4>
      <a:srgbClr val="96CCC8"/>
    </a:accent4>
    <a:accent5>
      <a:srgbClr val="939596"/>
    </a:accent5>
    <a:accent6>
      <a:srgbClr val="710E2C"/>
    </a:accent6>
    <a:hlink>
      <a:srgbClr val="002EB8"/>
    </a:hlink>
    <a:folHlink>
      <a:srgbClr val="606668"/>
    </a:folHlink>
  </a:clrScheme>
  <a:fontScheme name="One FT Fonts">
    <a:majorFont>
      <a:latin typeface="TT Commons Pro"/>
      <a:ea typeface=""/>
      <a:cs typeface=""/>
    </a:majorFont>
    <a:minorFont>
      <a:latin typeface="TT Commons Pro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8363C55-A754-4A83-A788-5ABF4388BA21}">
  <we:reference id="cba9fc06-6fc9-492e-9525-923870a3b909" version="2.0.0.0" store="EXCatalog" storeType="EXCatalog"/>
  <we:alternateReferences>
    <we:reference id="WA200010215" version="2.0.0.0" store="en-US" storeType="OMEX"/>
  </we:alternateReferences>
  <we:properties>
    <we:property name="bps.codex_control.document_id" value="&quot;40871e9e-3ba3-4fd7-ab51-073f60e48c4f&quot;"/>
  </we:properties>
  <we:bindings/>
  <we:snapshot xmlns:r="http://schemas.openxmlformats.org/officeDocument/2006/relationships"/>
</we:webextension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0D16-BD81-4EA9-A856-E00AE2148222}">
  <dimension ref="A1:D10"/>
  <sheetViews>
    <sheetView showGridLines="0" workbookViewId="0">
      <selection activeCell="N389" sqref="N389"/>
    </sheetView>
  </sheetViews>
  <sheetFormatPr defaultRowHeight="13.8"/>
  <cols>
    <col min="1" max="1" width="28" customWidth="1"/>
    <col min="2" max="2" width="42" customWidth="1"/>
    <col min="3" max="4" width="22" customWidth="1"/>
  </cols>
  <sheetData>
    <row r="1" spans="1:4">
      <c r="A1" s="61" t="s">
        <v>2203</v>
      </c>
      <c r="B1" s="61"/>
      <c r="C1" s="61"/>
      <c r="D1" s="61"/>
    </row>
    <row r="3" spans="1:4">
      <c r="A3" t="s">
        <v>2204</v>
      </c>
      <c r="B3" t="s">
        <v>2205</v>
      </c>
      <c r="C3" t="s">
        <v>2206</v>
      </c>
      <c r="D3" t="s">
        <v>2207</v>
      </c>
    </row>
    <row r="4" spans="1:4">
      <c r="A4" t="s">
        <v>22</v>
      </c>
      <c r="B4" t="s">
        <v>2208</v>
      </c>
      <c r="C4">
        <v>107</v>
      </c>
      <c r="D4">
        <v>4.6962199942447187</v>
      </c>
    </row>
    <row r="5" spans="1:4">
      <c r="A5" t="s">
        <v>134</v>
      </c>
      <c r="B5" t="s">
        <v>2208</v>
      </c>
      <c r="C5">
        <v>214</v>
      </c>
      <c r="D5">
        <v>4.5332338839777631</v>
      </c>
    </row>
    <row r="8" spans="1:4">
      <c r="A8" s="32" t="s">
        <v>2209</v>
      </c>
      <c r="B8" s="33" t="s">
        <v>2210</v>
      </c>
    </row>
    <row r="9" spans="1:4" ht="27.6">
      <c r="A9" t="s">
        <v>2211</v>
      </c>
      <c r="B9" s="34" t="s">
        <v>2212</v>
      </c>
    </row>
    <row r="10" spans="1:4" ht="41.4">
      <c r="A10" t="s">
        <v>2213</v>
      </c>
      <c r="B10" s="34" t="s">
        <v>2214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1605-AF33-4664-8365-D73C33D53C5D}">
  <dimension ref="A1:F9"/>
  <sheetViews>
    <sheetView showGridLines="0" workbookViewId="0">
      <selection sqref="A1:F1"/>
    </sheetView>
  </sheetViews>
  <sheetFormatPr defaultRowHeight="13.8"/>
  <cols>
    <col min="1" max="1" width="30" customWidth="1"/>
    <col min="2" max="2" width="95" customWidth="1"/>
  </cols>
  <sheetData>
    <row r="1" spans="1:6">
      <c r="A1" s="62" t="s">
        <v>2215</v>
      </c>
      <c r="B1" s="62"/>
      <c r="C1" s="61"/>
      <c r="D1" s="61"/>
      <c r="E1" s="61"/>
      <c r="F1" s="61"/>
    </row>
    <row r="3" spans="1:6">
      <c r="A3" s="32" t="s">
        <v>2216</v>
      </c>
      <c r="B3" t="s">
        <v>2217</v>
      </c>
    </row>
    <row r="4" spans="1:6">
      <c r="A4" s="32" t="s">
        <v>2218</v>
      </c>
      <c r="B4" t="s">
        <v>2219</v>
      </c>
    </row>
    <row r="5" spans="1:6">
      <c r="A5" s="32" t="s">
        <v>2211</v>
      </c>
      <c r="B5" t="s">
        <v>2220</v>
      </c>
    </row>
    <row r="6" spans="1:6">
      <c r="A6" s="32" t="s">
        <v>2221</v>
      </c>
      <c r="B6" t="s">
        <v>2222</v>
      </c>
    </row>
    <row r="7" spans="1:6">
      <c r="A7" s="32" t="s">
        <v>2223</v>
      </c>
      <c r="B7" t="s">
        <v>2224</v>
      </c>
    </row>
    <row r="8" spans="1:6">
      <c r="A8" s="32" t="s">
        <v>2225</v>
      </c>
      <c r="B8" t="s">
        <v>2226</v>
      </c>
    </row>
    <row r="9" spans="1:6">
      <c r="A9" s="32" t="s">
        <v>2227</v>
      </c>
      <c r="B9" t="s">
        <v>2228</v>
      </c>
    </row>
  </sheetData>
  <mergeCells count="1"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88DCF-7088-4E09-B147-2A3855D60594}">
  <dimension ref="A1:K1215"/>
  <sheetViews>
    <sheetView showGridLines="0" workbookViewId="0">
      <selection activeCell="N389" sqref="N389"/>
    </sheetView>
  </sheetViews>
  <sheetFormatPr defaultRowHeight="13.8"/>
  <cols>
    <col min="1" max="1" width="9.19921875" customWidth="1"/>
    <col min="2" max="2" width="6.69921875" customWidth="1"/>
    <col min="3" max="3" width="13" customWidth="1"/>
    <col min="4" max="4" width="6.69921875" customWidth="1"/>
    <col min="5" max="5" width="20.69921875" customWidth="1"/>
    <col min="6" max="7" width="19.69921875" customWidth="1"/>
    <col min="8" max="8" width="26.3984375" customWidth="1"/>
    <col min="9" max="9" width="29.3984375" customWidth="1"/>
    <col min="10" max="10" width="7.69921875" customWidth="1"/>
    <col min="11" max="11" width="14.3984375" customWidth="1"/>
  </cols>
  <sheetData>
    <row r="1" spans="1:11">
      <c r="A1" s="31" t="s">
        <v>2229</v>
      </c>
      <c r="B1" s="31" t="s">
        <v>2204</v>
      </c>
      <c r="C1" s="31" t="s">
        <v>126</v>
      </c>
      <c r="D1" s="31" t="s">
        <v>2230</v>
      </c>
      <c r="E1" s="31" t="s">
        <v>2231</v>
      </c>
      <c r="F1" s="31" t="s">
        <v>2232</v>
      </c>
      <c r="G1" s="31" t="s">
        <v>2233</v>
      </c>
      <c r="H1" s="31" t="s">
        <v>2234</v>
      </c>
      <c r="I1" s="31" t="s">
        <v>2235</v>
      </c>
      <c r="J1" s="31" t="s">
        <v>128</v>
      </c>
      <c r="K1" s="31" t="s">
        <v>2236</v>
      </c>
    </row>
    <row r="2" spans="1:11">
      <c r="A2" s="1">
        <v>25569</v>
      </c>
      <c r="B2" t="s">
        <v>22</v>
      </c>
      <c r="C2" t="s">
        <v>2237</v>
      </c>
      <c r="D2" s="35">
        <v>1.2197614897229E-2</v>
      </c>
      <c r="E2" s="35"/>
      <c r="F2" s="35"/>
      <c r="G2" s="35">
        <v>0.17355366550716039</v>
      </c>
      <c r="H2" s="35"/>
      <c r="I2" s="35"/>
      <c r="J2" t="s">
        <v>2238</v>
      </c>
      <c r="K2" t="s">
        <v>36</v>
      </c>
    </row>
    <row r="3" spans="1:11">
      <c r="A3" s="1">
        <v>25600</v>
      </c>
      <c r="B3" t="s">
        <v>22</v>
      </c>
      <c r="C3" t="s">
        <v>2237</v>
      </c>
      <c r="D3" s="35">
        <v>1.219617988536E-2</v>
      </c>
      <c r="E3" s="35">
        <v>-1.176538446309138E-2</v>
      </c>
      <c r="F3" s="35"/>
      <c r="G3" s="35">
        <v>-2.3713097848198361E-2</v>
      </c>
      <c r="H3" s="35">
        <v>1.1947713385106981E-2</v>
      </c>
      <c r="I3" s="35">
        <v>0.14347538821328776</v>
      </c>
      <c r="J3" t="s">
        <v>2238</v>
      </c>
      <c r="K3" t="s">
        <v>36</v>
      </c>
    </row>
    <row r="4" spans="1:11">
      <c r="A4" s="1">
        <v>25628</v>
      </c>
      <c r="B4" t="s">
        <v>22</v>
      </c>
      <c r="C4" t="s">
        <v>2237</v>
      </c>
      <c r="D4" s="35">
        <v>1.223206037322E-2</v>
      </c>
      <c r="E4" s="35">
        <v>0.29376257383404941</v>
      </c>
      <c r="F4" s="35"/>
      <c r="G4" s="35">
        <v>4.9988579633774066E-2</v>
      </c>
      <c r="H4" s="35">
        <v>0.24377399420027535</v>
      </c>
      <c r="I4" s="35">
        <v>2.9684947567703235</v>
      </c>
      <c r="J4" t="s">
        <v>2238</v>
      </c>
      <c r="K4" t="s">
        <v>36</v>
      </c>
    </row>
    <row r="5" spans="1:11">
      <c r="A5" s="1">
        <v>25659</v>
      </c>
      <c r="B5" t="s">
        <v>22</v>
      </c>
      <c r="C5" t="s">
        <v>2237</v>
      </c>
      <c r="D5" s="35">
        <v>1.2247845508293999E-2</v>
      </c>
      <c r="E5" s="35">
        <v>0.12896403554968588</v>
      </c>
      <c r="F5" s="35"/>
      <c r="G5" s="35">
        <v>-0.20981878280513042</v>
      </c>
      <c r="H5" s="35">
        <v>0.33878281835481627</v>
      </c>
      <c r="I5" s="35">
        <v>4.1491622711452791</v>
      </c>
      <c r="J5" t="s">
        <v>2239</v>
      </c>
      <c r="K5" t="s">
        <v>36</v>
      </c>
    </row>
    <row r="6" spans="1:11">
      <c r="A6" s="1">
        <v>25689</v>
      </c>
      <c r="B6" t="s">
        <v>22</v>
      </c>
      <c r="C6" t="s">
        <v>2237</v>
      </c>
      <c r="D6" s="35">
        <v>1.2273680910060999E-2</v>
      </c>
      <c r="E6" s="35">
        <v>0.21071617553987443</v>
      </c>
      <c r="F6" s="35"/>
      <c r="G6" s="35">
        <v>-0.60748395632500474</v>
      </c>
      <c r="H6" s="35">
        <v>0.81820013186487917</v>
      </c>
      <c r="I6" s="35">
        <v>10.316576638932528</v>
      </c>
      <c r="J6" t="s">
        <v>2239</v>
      </c>
      <c r="K6" t="s">
        <v>36</v>
      </c>
    </row>
    <row r="7" spans="1:11">
      <c r="A7" s="1">
        <v>25720</v>
      </c>
      <c r="B7" t="s">
        <v>22</v>
      </c>
      <c r="C7" t="s">
        <v>2237</v>
      </c>
      <c r="D7" s="35">
        <v>1.2348311911022E-2</v>
      </c>
      <c r="E7" s="35">
        <v>0.60621599607527177</v>
      </c>
      <c r="F7" s="35"/>
      <c r="G7" s="35">
        <v>-0.18319094864445387</v>
      </c>
      <c r="H7" s="35">
        <v>0.78940694471972561</v>
      </c>
      <c r="I7" s="35">
        <v>9.9360704762256002</v>
      </c>
      <c r="J7" t="s">
        <v>2239</v>
      </c>
      <c r="K7" t="s">
        <v>36</v>
      </c>
    </row>
    <row r="8" spans="1:11">
      <c r="A8" s="1">
        <v>25750</v>
      </c>
      <c r="B8" t="s">
        <v>22</v>
      </c>
      <c r="C8" t="s">
        <v>2237</v>
      </c>
      <c r="D8" s="35">
        <v>1.240858760818E-2</v>
      </c>
      <c r="E8" s="35">
        <v>0.48694155915607235</v>
      </c>
      <c r="F8" s="35"/>
      <c r="G8" s="35">
        <v>1.857230697938933E-2</v>
      </c>
      <c r="H8" s="35">
        <v>0.46836925217668302</v>
      </c>
      <c r="I8" s="35">
        <v>5.7813783870607649</v>
      </c>
      <c r="J8" t="s">
        <v>2240</v>
      </c>
      <c r="K8" t="s">
        <v>36</v>
      </c>
    </row>
    <row r="9" spans="1:11">
      <c r="A9" s="1">
        <v>25781</v>
      </c>
      <c r="B9" t="s">
        <v>22</v>
      </c>
      <c r="C9" t="s">
        <v>2237</v>
      </c>
      <c r="D9" s="35">
        <v>1.2465993280846001E-2</v>
      </c>
      <c r="E9" s="35">
        <v>0.46156174317801341</v>
      </c>
      <c r="F9" s="35"/>
      <c r="G9" s="35">
        <v>-2.7232588788898948E-2</v>
      </c>
      <c r="H9" s="35">
        <v>0.48879433196691235</v>
      </c>
      <c r="I9" s="35">
        <v>6.040967556139698</v>
      </c>
      <c r="J9" t="s">
        <v>2240</v>
      </c>
      <c r="K9" t="s">
        <v>36</v>
      </c>
    </row>
    <row r="10" spans="1:11">
      <c r="A10" s="1">
        <v>25812</v>
      </c>
      <c r="B10" t="s">
        <v>22</v>
      </c>
      <c r="C10" t="s">
        <v>2237</v>
      </c>
      <c r="D10" s="35">
        <v>1.2496133719725E-2</v>
      </c>
      <c r="E10" s="35">
        <v>0.24148946542774885</v>
      </c>
      <c r="F10" s="35"/>
      <c r="G10" s="35">
        <v>0.11528589899523589</v>
      </c>
      <c r="H10" s="35">
        <v>0.12620356643251296</v>
      </c>
      <c r="I10" s="35">
        <v>1.5259685924746469</v>
      </c>
      <c r="J10" t="s">
        <v>2240</v>
      </c>
      <c r="K10" t="s">
        <v>36</v>
      </c>
    </row>
    <row r="11" spans="1:11">
      <c r="A11" s="1">
        <v>25842</v>
      </c>
      <c r="B11" t="s">
        <v>22</v>
      </c>
      <c r="C11" t="s">
        <v>2237</v>
      </c>
      <c r="D11" s="35">
        <v>1.2500438756084999E-2</v>
      </c>
      <c r="E11" s="35">
        <v>3.444501366521182E-2</v>
      </c>
      <c r="F11" s="35"/>
      <c r="G11" s="35">
        <v>0.17125837170386743</v>
      </c>
      <c r="H11" s="35">
        <v>-0.1368133580386556</v>
      </c>
      <c r="I11" s="35">
        <v>-1.6283568631013767</v>
      </c>
      <c r="J11" t="s">
        <v>2241</v>
      </c>
      <c r="K11" t="s">
        <v>36</v>
      </c>
    </row>
    <row r="12" spans="1:11">
      <c r="A12" s="1">
        <v>25873</v>
      </c>
      <c r="B12" t="s">
        <v>22</v>
      </c>
      <c r="C12" t="s">
        <v>2237</v>
      </c>
      <c r="D12" s="35">
        <v>1.2567894695444001E-2</v>
      </c>
      <c r="E12" s="35">
        <v>0.53817779552744927</v>
      </c>
      <c r="F12" s="35"/>
      <c r="G12" s="35">
        <v>0.43204811008838456</v>
      </c>
      <c r="H12" s="35">
        <v>0.1061296854390647</v>
      </c>
      <c r="I12" s="35">
        <v>1.2817004897682338</v>
      </c>
      <c r="J12" t="s">
        <v>2241</v>
      </c>
      <c r="K12" t="s">
        <v>36</v>
      </c>
    </row>
    <row r="13" spans="1:11">
      <c r="A13" s="1">
        <v>25903</v>
      </c>
      <c r="B13" t="s">
        <v>22</v>
      </c>
      <c r="C13" t="s">
        <v>2237</v>
      </c>
      <c r="D13" s="35">
        <v>1.2674095966554E-2</v>
      </c>
      <c r="E13" s="35">
        <v>0.84147006614858655</v>
      </c>
      <c r="F13" s="35"/>
      <c r="G13" s="35">
        <v>9.0732441503875105E-2</v>
      </c>
      <c r="H13" s="35">
        <v>0.7507376246447115</v>
      </c>
      <c r="I13" s="35">
        <v>9.4271138781781172</v>
      </c>
      <c r="J13" t="s">
        <v>2241</v>
      </c>
      <c r="K13" t="s">
        <v>36</v>
      </c>
    </row>
    <row r="14" spans="1:11">
      <c r="A14" s="1">
        <v>25934</v>
      </c>
      <c r="B14" t="s">
        <v>22</v>
      </c>
      <c r="C14" t="s">
        <v>2237</v>
      </c>
      <c r="D14" s="35">
        <v>1.279895757858E-2</v>
      </c>
      <c r="E14" s="35">
        <v>0.98035056399762632</v>
      </c>
      <c r="F14" s="35">
        <v>4.9300021882770606</v>
      </c>
      <c r="G14" s="35">
        <v>0.17355366550716039</v>
      </c>
      <c r="H14" s="35">
        <v>0.80679689849046587</v>
      </c>
      <c r="I14" s="35">
        <v>10.165723994728459</v>
      </c>
      <c r="J14" t="s">
        <v>2242</v>
      </c>
      <c r="K14" t="s">
        <v>36</v>
      </c>
    </row>
    <row r="15" spans="1:11">
      <c r="A15" s="1">
        <v>25965</v>
      </c>
      <c r="B15" t="s">
        <v>22</v>
      </c>
      <c r="C15" t="s">
        <v>2237</v>
      </c>
      <c r="D15" s="35">
        <v>1.2852058214134999E-2</v>
      </c>
      <c r="E15" s="35">
        <v>0.4140242385455819</v>
      </c>
      <c r="F15" s="35">
        <v>5.3777357741525256</v>
      </c>
      <c r="G15" s="35">
        <v>-2.3713097848198361E-2</v>
      </c>
      <c r="H15" s="35">
        <v>0.43773733639378026</v>
      </c>
      <c r="I15" s="35">
        <v>5.3932578037985568</v>
      </c>
      <c r="J15" t="s">
        <v>2242</v>
      </c>
      <c r="K15" t="s">
        <v>36</v>
      </c>
    </row>
    <row r="16" spans="1:11">
      <c r="A16" s="1">
        <v>25993</v>
      </c>
      <c r="B16" t="s">
        <v>22</v>
      </c>
      <c r="C16" t="s">
        <v>2237</v>
      </c>
      <c r="D16" s="35">
        <v>1.2900853812578999E-2</v>
      </c>
      <c r="E16" s="35">
        <v>0.3789525377749835</v>
      </c>
      <c r="F16" s="35">
        <v>5.46754527817086</v>
      </c>
      <c r="G16" s="35">
        <v>4.9988579633774066E-2</v>
      </c>
      <c r="H16" s="35">
        <v>0.32896395814120943</v>
      </c>
      <c r="I16" s="35">
        <v>4.0265194102359736</v>
      </c>
      <c r="J16" t="s">
        <v>2242</v>
      </c>
      <c r="K16" t="s">
        <v>36</v>
      </c>
    </row>
    <row r="17" spans="1:11">
      <c r="A17" s="1">
        <v>26024</v>
      </c>
      <c r="B17" t="s">
        <v>22</v>
      </c>
      <c r="C17" t="s">
        <v>2237</v>
      </c>
      <c r="D17" s="35">
        <v>1.2966874739317E-2</v>
      </c>
      <c r="E17" s="35">
        <v>0.51045123625123867</v>
      </c>
      <c r="F17" s="35">
        <v>5.8706588888314037</v>
      </c>
      <c r="G17" s="35">
        <v>-0.20981878280513042</v>
      </c>
      <c r="H17" s="35">
        <v>0.72027001905636912</v>
      </c>
      <c r="I17" s="35">
        <v>9.0277664949795611</v>
      </c>
      <c r="J17" t="s">
        <v>2243</v>
      </c>
      <c r="K17" t="s">
        <v>36</v>
      </c>
    </row>
    <row r="18" spans="1:11">
      <c r="A18" s="1">
        <v>26054</v>
      </c>
      <c r="B18" t="s">
        <v>22</v>
      </c>
      <c r="C18" t="s">
        <v>2237</v>
      </c>
      <c r="D18" s="35">
        <v>1.2994145153705E-2</v>
      </c>
      <c r="E18" s="35">
        <v>0.21008746598246505</v>
      </c>
      <c r="F18" s="35">
        <v>5.8699932719728842</v>
      </c>
      <c r="G18" s="35">
        <v>-0.60748395632500474</v>
      </c>
      <c r="H18" s="35">
        <v>0.81757142230746982</v>
      </c>
      <c r="I18" s="35">
        <v>10.308254102555136</v>
      </c>
      <c r="J18" t="s">
        <v>2243</v>
      </c>
      <c r="K18" t="s">
        <v>36</v>
      </c>
    </row>
    <row r="19" spans="1:11">
      <c r="A19" s="1">
        <v>26085</v>
      </c>
      <c r="B19" t="s">
        <v>22</v>
      </c>
      <c r="C19" t="s">
        <v>2237</v>
      </c>
      <c r="D19" s="35">
        <v>1.3052985838241001E-2</v>
      </c>
      <c r="E19" s="35">
        <v>0.45180242418887795</v>
      </c>
      <c r="F19" s="35">
        <v>5.7066417846962203</v>
      </c>
      <c r="G19" s="35">
        <v>-0.18319094864445387</v>
      </c>
      <c r="H19" s="35">
        <v>0.63499337283333179</v>
      </c>
      <c r="I19" s="35">
        <v>7.9177530025741572</v>
      </c>
      <c r="J19" t="s">
        <v>2243</v>
      </c>
      <c r="K19" t="s">
        <v>36</v>
      </c>
    </row>
    <row r="20" spans="1:11">
      <c r="A20" s="1">
        <v>26115</v>
      </c>
      <c r="B20" t="s">
        <v>22</v>
      </c>
      <c r="C20" t="s">
        <v>2237</v>
      </c>
      <c r="D20" s="35">
        <v>1.3042940752149E-2</v>
      </c>
      <c r="E20" s="35">
        <v>-7.698585871886425E-2</v>
      </c>
      <c r="F20" s="35">
        <v>5.1122107043900966</v>
      </c>
      <c r="G20" s="35">
        <v>1.857230697938933E-2</v>
      </c>
      <c r="H20" s="35">
        <v>-9.555816569825358E-2</v>
      </c>
      <c r="I20" s="35">
        <v>-1.1401484653168037</v>
      </c>
      <c r="J20" t="s">
        <v>2244</v>
      </c>
      <c r="K20" t="s">
        <v>36</v>
      </c>
    </row>
    <row r="21" spans="1:11">
      <c r="A21" s="1">
        <v>26146</v>
      </c>
      <c r="B21" t="s">
        <v>22</v>
      </c>
      <c r="C21" t="s">
        <v>2237</v>
      </c>
      <c r="D21" s="35">
        <v>1.3162057133842E-2</v>
      </c>
      <c r="E21" s="35">
        <v>0.90911819661357918</v>
      </c>
      <c r="F21" s="35">
        <v>5.5837014934501994</v>
      </c>
      <c r="G21" s="35">
        <v>-2.7232588788898948E-2</v>
      </c>
      <c r="H21" s="35">
        <v>0.93635078540247818</v>
      </c>
      <c r="I21" s="35">
        <v>11.891794105274833</v>
      </c>
      <c r="J21" t="s">
        <v>2244</v>
      </c>
      <c r="K21" t="s">
        <v>36</v>
      </c>
    </row>
    <row r="22" spans="1:11">
      <c r="A22" s="1">
        <v>26177</v>
      </c>
      <c r="B22" t="s">
        <v>22</v>
      </c>
      <c r="C22" t="s">
        <v>2237</v>
      </c>
      <c r="D22" s="35">
        <v>1.3205112683304E-2</v>
      </c>
      <c r="E22" s="35">
        <v>0.3265848252121295</v>
      </c>
      <c r="F22" s="35">
        <v>5.6735865626972748</v>
      </c>
      <c r="G22" s="35">
        <v>0.11528589899523589</v>
      </c>
      <c r="H22" s="35">
        <v>0.21129892621689361</v>
      </c>
      <c r="I22" s="35">
        <v>2.5680065524255058</v>
      </c>
      <c r="J22" t="s">
        <v>2244</v>
      </c>
      <c r="K22" t="s">
        <v>36</v>
      </c>
    </row>
    <row r="23" spans="1:11">
      <c r="A23" s="1">
        <v>26207</v>
      </c>
      <c r="B23" t="s">
        <v>22</v>
      </c>
      <c r="C23" t="s">
        <v>2237</v>
      </c>
      <c r="D23" s="35">
        <v>1.3218032974488E-2</v>
      </c>
      <c r="E23" s="35">
        <v>9.7795261632127331E-2</v>
      </c>
      <c r="F23" s="35">
        <v>5.7405522510454832</v>
      </c>
      <c r="G23" s="35">
        <v>0.17125837170386743</v>
      </c>
      <c r="H23" s="35">
        <v>-7.3463110071740098E-2</v>
      </c>
      <c r="I23" s="35">
        <v>-0.87768299746361356</v>
      </c>
      <c r="J23" t="s">
        <v>2245</v>
      </c>
      <c r="K23" t="s">
        <v>36</v>
      </c>
    </row>
    <row r="24" spans="1:11">
      <c r="A24" s="1">
        <v>26238</v>
      </c>
      <c r="B24" t="s">
        <v>22</v>
      </c>
      <c r="C24" t="s">
        <v>2237</v>
      </c>
      <c r="D24" s="35">
        <v>1.3239558159294E-2</v>
      </c>
      <c r="E24" s="35">
        <v>0.16271465868788099</v>
      </c>
      <c r="F24" s="35">
        <v>5.3442798505742184</v>
      </c>
      <c r="G24" s="35">
        <v>0.43204811008838456</v>
      </c>
      <c r="H24" s="35">
        <v>-0.26933345140050358</v>
      </c>
      <c r="I24" s="35">
        <v>-3.1803304162289048</v>
      </c>
      <c r="J24" t="s">
        <v>2245</v>
      </c>
      <c r="K24" t="s">
        <v>36</v>
      </c>
    </row>
    <row r="25" spans="1:11">
      <c r="A25" s="1">
        <v>26268</v>
      </c>
      <c r="B25" t="s">
        <v>22</v>
      </c>
      <c r="C25" t="s">
        <v>2237</v>
      </c>
      <c r="D25" s="35">
        <v>1.3302709061542E-2</v>
      </c>
      <c r="E25" s="35">
        <v>0.47585250262132162</v>
      </c>
      <c r="F25" s="35">
        <v>4.9598259051127913</v>
      </c>
      <c r="G25" s="35">
        <v>9.0732441503875105E-2</v>
      </c>
      <c r="H25" s="35">
        <v>0.38512006111744651</v>
      </c>
      <c r="I25" s="35">
        <v>4.7298935458977898</v>
      </c>
      <c r="J25" t="s">
        <v>2245</v>
      </c>
      <c r="K25" t="s">
        <v>36</v>
      </c>
    </row>
    <row r="26" spans="1:11">
      <c r="A26" s="1">
        <v>26299</v>
      </c>
      <c r="B26" t="s">
        <v>22</v>
      </c>
      <c r="C26" t="s">
        <v>2237</v>
      </c>
      <c r="D26" s="35">
        <v>1.3361549746078E-2</v>
      </c>
      <c r="E26" s="35">
        <v>0.4413457015377163</v>
      </c>
      <c r="F26" s="35">
        <v>4.3956092833649096</v>
      </c>
      <c r="G26" s="35">
        <v>0.17355366550716039</v>
      </c>
      <c r="H26" s="35">
        <v>0.2677920360305559</v>
      </c>
      <c r="I26" s="35">
        <v>3.2656950348715297</v>
      </c>
      <c r="J26" t="s">
        <v>2246</v>
      </c>
      <c r="K26" t="s">
        <v>36</v>
      </c>
    </row>
    <row r="27" spans="1:11">
      <c r="A27" s="1">
        <v>26330</v>
      </c>
      <c r="B27" t="s">
        <v>22</v>
      </c>
      <c r="C27" t="s">
        <v>2237</v>
      </c>
      <c r="D27" s="35">
        <v>1.3403170283671001E-2</v>
      </c>
      <c r="E27" s="35">
        <v>0.31101069688411992</v>
      </c>
      <c r="F27" s="35">
        <v>4.2881230411007332</v>
      </c>
      <c r="G27" s="35">
        <v>-2.3713097848198361E-2</v>
      </c>
      <c r="H27" s="35">
        <v>0.33472379473231828</v>
      </c>
      <c r="I27" s="35">
        <v>4.0984453546270894</v>
      </c>
      <c r="J27" t="s">
        <v>2246</v>
      </c>
      <c r="K27" t="s">
        <v>36</v>
      </c>
    </row>
    <row r="28" spans="1:11">
      <c r="A28" s="1">
        <v>26359</v>
      </c>
      <c r="B28" t="s">
        <v>22</v>
      </c>
      <c r="C28" t="s">
        <v>2237</v>
      </c>
      <c r="D28" s="35">
        <v>1.3476366272012E-2</v>
      </c>
      <c r="E28" s="35">
        <v>0.54462374464327235</v>
      </c>
      <c r="F28" s="35">
        <v>4.4610416317705015</v>
      </c>
      <c r="G28" s="35">
        <v>4.9988579633774066E-2</v>
      </c>
      <c r="H28" s="35">
        <v>0.49463516500949828</v>
      </c>
      <c r="I28" s="35">
        <v>6.1153177195697461</v>
      </c>
      <c r="J28" t="s">
        <v>2246</v>
      </c>
      <c r="K28" t="s">
        <v>36</v>
      </c>
    </row>
    <row r="29" spans="1:11">
      <c r="A29" s="1">
        <v>26390</v>
      </c>
      <c r="B29" t="s">
        <v>22</v>
      </c>
      <c r="C29" t="s">
        <v>2237</v>
      </c>
      <c r="D29" s="35">
        <v>1.3561042358315E-2</v>
      </c>
      <c r="E29" s="35">
        <v>0.62636448857743998</v>
      </c>
      <c r="F29" s="35">
        <v>4.582196025973917</v>
      </c>
      <c r="G29" s="35">
        <v>-0.20981878280513042</v>
      </c>
      <c r="H29" s="35">
        <v>0.83618327138257043</v>
      </c>
      <c r="I29" s="35">
        <v>10.554894295085182</v>
      </c>
      <c r="J29" t="s">
        <v>2247</v>
      </c>
      <c r="K29" t="s">
        <v>36</v>
      </c>
    </row>
    <row r="30" spans="1:11">
      <c r="A30" s="1">
        <v>26420</v>
      </c>
      <c r="B30" t="s">
        <v>22</v>
      </c>
      <c r="C30" t="s">
        <v>2237</v>
      </c>
      <c r="D30" s="35">
        <v>1.3588307592102999E-2</v>
      </c>
      <c r="E30" s="35">
        <v>0.20085374422564484</v>
      </c>
      <c r="F30" s="35">
        <v>4.5725396428143439</v>
      </c>
      <c r="G30" s="35">
        <v>-0.60748395632500474</v>
      </c>
      <c r="H30" s="35">
        <v>0.80833770055064957</v>
      </c>
      <c r="I30" s="35">
        <v>10.186095106880643</v>
      </c>
      <c r="J30" t="s">
        <v>2247</v>
      </c>
      <c r="K30" t="s">
        <v>36</v>
      </c>
    </row>
    <row r="31" spans="1:11">
      <c r="A31" s="1">
        <v>26451</v>
      </c>
      <c r="B31" t="s">
        <v>22</v>
      </c>
      <c r="C31" t="s">
        <v>2237</v>
      </c>
      <c r="D31" s="35">
        <v>1.3688768814232E-2</v>
      </c>
      <c r="E31" s="35">
        <v>0.7366014954751513</v>
      </c>
      <c r="F31" s="35">
        <v>4.8707857640384544</v>
      </c>
      <c r="G31" s="35">
        <v>-0.18319094864445387</v>
      </c>
      <c r="H31" s="35">
        <v>0.91979244411960515</v>
      </c>
      <c r="I31" s="35">
        <v>11.669685741491275</v>
      </c>
      <c r="J31" t="s">
        <v>2247</v>
      </c>
      <c r="K31" t="s">
        <v>36</v>
      </c>
    </row>
    <row r="32" spans="1:11">
      <c r="A32" s="1">
        <v>26481</v>
      </c>
      <c r="B32" t="s">
        <v>22</v>
      </c>
      <c r="C32" t="s">
        <v>2237</v>
      </c>
      <c r="D32" s="35">
        <v>1.3740439617765001E-2</v>
      </c>
      <c r="E32" s="35">
        <v>0.37675797157519769</v>
      </c>
      <c r="F32" s="35">
        <v>5.3477116769166999</v>
      </c>
      <c r="G32" s="35">
        <v>1.857230697938933E-2</v>
      </c>
      <c r="H32" s="35">
        <v>0.35818566459580836</v>
      </c>
      <c r="I32" s="35">
        <v>4.391939617559526</v>
      </c>
      <c r="J32" t="s">
        <v>2248</v>
      </c>
      <c r="K32" t="s">
        <v>36</v>
      </c>
    </row>
    <row r="33" spans="1:11">
      <c r="A33" s="1">
        <v>26512</v>
      </c>
      <c r="B33" t="s">
        <v>22</v>
      </c>
      <c r="C33" t="s">
        <v>2237</v>
      </c>
      <c r="D33" s="35">
        <v>1.3830855753801E-2</v>
      </c>
      <c r="E33" s="35">
        <v>0.65587386400896475</v>
      </c>
      <c r="F33" s="35">
        <v>5.0812620942010556</v>
      </c>
      <c r="G33" s="35">
        <v>-2.7232588788898948E-2</v>
      </c>
      <c r="H33" s="35">
        <v>0.68310645279786364</v>
      </c>
      <c r="I33" s="35">
        <v>8.5426257976391806</v>
      </c>
      <c r="J33" t="s">
        <v>2248</v>
      </c>
      <c r="K33" t="s">
        <v>36</v>
      </c>
    </row>
    <row r="34" spans="1:11">
      <c r="A34" s="1">
        <v>26543</v>
      </c>
      <c r="B34" t="s">
        <v>22</v>
      </c>
      <c r="C34" t="s">
        <v>2237</v>
      </c>
      <c r="D34" s="35">
        <v>1.3894001475448999E-2</v>
      </c>
      <c r="E34" s="35">
        <v>0.45551780709594747</v>
      </c>
      <c r="F34" s="35">
        <v>5.2168338784113644</v>
      </c>
      <c r="G34" s="35">
        <v>0.11528589899523589</v>
      </c>
      <c r="H34" s="35">
        <v>0.34023190810071158</v>
      </c>
      <c r="I34" s="35">
        <v>4.1672744238386183</v>
      </c>
      <c r="J34" t="s">
        <v>2248</v>
      </c>
      <c r="K34" t="s">
        <v>36</v>
      </c>
    </row>
    <row r="35" spans="1:11">
      <c r="A35" s="1">
        <v>26573</v>
      </c>
      <c r="B35" t="s">
        <v>22</v>
      </c>
      <c r="C35" t="s">
        <v>2237</v>
      </c>
      <c r="D35" s="35">
        <v>1.3904046561542E-2</v>
      </c>
      <c r="E35" s="35">
        <v>7.2271884103984163E-2</v>
      </c>
      <c r="F35" s="35">
        <v>5.1899824155233087</v>
      </c>
      <c r="G35" s="35">
        <v>0.17125837170386743</v>
      </c>
      <c r="H35" s="35">
        <v>-9.8986487599883266E-2</v>
      </c>
      <c r="I35" s="35">
        <v>-1.1808109078117579</v>
      </c>
      <c r="J35" t="s">
        <v>2249</v>
      </c>
      <c r="K35" t="s">
        <v>36</v>
      </c>
    </row>
    <row r="36" spans="1:11">
      <c r="A36" s="1">
        <v>26604</v>
      </c>
      <c r="B36" t="s">
        <v>22</v>
      </c>
      <c r="C36" t="s">
        <v>2237</v>
      </c>
      <c r="D36" s="35">
        <v>1.3994462697578E-2</v>
      </c>
      <c r="E36" s="35">
        <v>0.64818124694154244</v>
      </c>
      <c r="F36" s="35">
        <v>5.7018861898655349</v>
      </c>
      <c r="G36" s="35">
        <v>0.43204811008838456</v>
      </c>
      <c r="H36" s="35">
        <v>0.21613313685315788</v>
      </c>
      <c r="I36" s="35">
        <v>2.6275240557512181</v>
      </c>
      <c r="J36" t="s">
        <v>2249</v>
      </c>
      <c r="K36" t="s">
        <v>36</v>
      </c>
    </row>
    <row r="37" spans="1:11">
      <c r="A37" s="1">
        <v>26634</v>
      </c>
      <c r="B37" t="s">
        <v>22</v>
      </c>
      <c r="C37" t="s">
        <v>2237</v>
      </c>
      <c r="D37" s="35">
        <v>1.4041828464751001E-2</v>
      </c>
      <c r="E37" s="35">
        <v>0.33788928758800263</v>
      </c>
      <c r="F37" s="35">
        <v>5.5561570187668607</v>
      </c>
      <c r="G37" s="35">
        <v>9.0732441503875105E-2</v>
      </c>
      <c r="H37" s="35">
        <v>0.24715684608412752</v>
      </c>
      <c r="I37" s="35">
        <v>3.0103025019366125</v>
      </c>
      <c r="J37" t="s">
        <v>2249</v>
      </c>
      <c r="K37" t="s">
        <v>36</v>
      </c>
    </row>
    <row r="38" spans="1:11">
      <c r="A38" s="1">
        <v>26665</v>
      </c>
      <c r="B38" t="s">
        <v>22</v>
      </c>
      <c r="C38" t="s">
        <v>2237</v>
      </c>
      <c r="D38" s="35">
        <v>1.42456209335E-2</v>
      </c>
      <c r="E38" s="35">
        <v>1.4408933924895675</v>
      </c>
      <c r="F38" s="35">
        <v>6.6165317962573855</v>
      </c>
      <c r="G38" s="35">
        <v>0.17355366550716039</v>
      </c>
      <c r="H38" s="35">
        <v>1.2673397269824072</v>
      </c>
      <c r="I38" s="35">
        <v>16.425426623608175</v>
      </c>
      <c r="J38" t="s">
        <v>2250</v>
      </c>
      <c r="K38" t="s">
        <v>36</v>
      </c>
    </row>
    <row r="39" spans="1:11">
      <c r="A39" s="1">
        <v>26696</v>
      </c>
      <c r="B39" t="s">
        <v>22</v>
      </c>
      <c r="C39" t="s">
        <v>2237</v>
      </c>
      <c r="D39" s="35">
        <v>1.4363307483171999E-2</v>
      </c>
      <c r="E39" s="35">
        <v>0.82273066501087921</v>
      </c>
      <c r="F39" s="35">
        <v>7.1635081788875565</v>
      </c>
      <c r="G39" s="35">
        <v>-2.3713097848198361E-2</v>
      </c>
      <c r="H39" s="35">
        <v>0.84644376285907752</v>
      </c>
      <c r="I39" s="35">
        <v>10.69109983609755</v>
      </c>
      <c r="J39" t="s">
        <v>2250</v>
      </c>
      <c r="K39" t="s">
        <v>36</v>
      </c>
    </row>
    <row r="40" spans="1:11">
      <c r="A40" s="1">
        <v>26724</v>
      </c>
      <c r="B40" t="s">
        <v>22</v>
      </c>
      <c r="C40" t="s">
        <v>2237</v>
      </c>
      <c r="D40" s="35">
        <v>1.4489604107068E-2</v>
      </c>
      <c r="E40" s="35">
        <v>0.8754570930621135</v>
      </c>
      <c r="F40" s="35">
        <v>7.5186279046178361</v>
      </c>
      <c r="G40" s="35">
        <v>4.9988579633774066E-2</v>
      </c>
      <c r="H40" s="35">
        <v>0.82546851342833949</v>
      </c>
      <c r="I40" s="35">
        <v>10.412837369027383</v>
      </c>
      <c r="J40" t="s">
        <v>2250</v>
      </c>
      <c r="K40" t="s">
        <v>36</v>
      </c>
    </row>
    <row r="41" spans="1:11">
      <c r="A41" s="1">
        <v>26755</v>
      </c>
      <c r="B41" t="s">
        <v>22</v>
      </c>
      <c r="C41" t="s">
        <v>2237</v>
      </c>
      <c r="D41" s="35">
        <v>1.4719231977583E-2</v>
      </c>
      <c r="E41" s="35">
        <v>1.5723502347714142</v>
      </c>
      <c r="F41" s="35">
        <v>8.5405648671088574</v>
      </c>
      <c r="G41" s="35">
        <v>-0.20981878280513042</v>
      </c>
      <c r="H41" s="35">
        <v>1.7821690175765446</v>
      </c>
      <c r="I41" s="35">
        <v>23.844960913767778</v>
      </c>
      <c r="J41" t="s">
        <v>2251</v>
      </c>
      <c r="K41" t="s">
        <v>36</v>
      </c>
    </row>
    <row r="42" spans="1:11">
      <c r="A42" s="1">
        <v>26785</v>
      </c>
      <c r="B42" t="s">
        <v>22</v>
      </c>
      <c r="C42" t="s">
        <v>2237</v>
      </c>
      <c r="D42" s="35">
        <v>1.4875669040357E-2</v>
      </c>
      <c r="E42" s="35">
        <v>1.0571991419620148</v>
      </c>
      <c r="F42" s="35">
        <v>9.4740381723634535</v>
      </c>
      <c r="G42" s="35">
        <v>-0.60748395632500474</v>
      </c>
      <c r="H42" s="35">
        <v>1.6646830982870195</v>
      </c>
      <c r="I42" s="35">
        <v>22.111206445140532</v>
      </c>
      <c r="J42" t="s">
        <v>2251</v>
      </c>
      <c r="K42" t="s">
        <v>36</v>
      </c>
    </row>
    <row r="43" spans="1:11">
      <c r="A43" s="1">
        <v>26816</v>
      </c>
      <c r="B43" t="s">
        <v>22</v>
      </c>
      <c r="C43" t="s">
        <v>2237</v>
      </c>
      <c r="D43" s="35">
        <v>1.4997655446541001E-2</v>
      </c>
      <c r="E43" s="35">
        <v>0.8166957398374256</v>
      </c>
      <c r="F43" s="35">
        <v>9.5617556996665076</v>
      </c>
      <c r="G43" s="35">
        <v>-0.18319094864445387</v>
      </c>
      <c r="H43" s="35">
        <v>0.99988668848187945</v>
      </c>
      <c r="I43" s="35">
        <v>12.748152067801444</v>
      </c>
      <c r="J43" t="s">
        <v>2251</v>
      </c>
      <c r="K43" t="s">
        <v>36</v>
      </c>
    </row>
    <row r="44" spans="1:11">
      <c r="A44" s="1">
        <v>26846</v>
      </c>
      <c r="B44" t="s">
        <v>22</v>
      </c>
      <c r="C44" t="s">
        <v>2237</v>
      </c>
      <c r="D44" s="35">
        <v>1.5382285367960999E-2</v>
      </c>
      <c r="E44" s="35">
        <v>2.5322661212489836</v>
      </c>
      <c r="F44" s="35">
        <v>11.949004514187877</v>
      </c>
      <c r="G44" s="35">
        <v>1.857230697938933E-2</v>
      </c>
      <c r="H44" s="35">
        <v>2.5136938142695944</v>
      </c>
      <c r="I44" s="35">
        <v>35.207879697994017</v>
      </c>
      <c r="J44" t="s">
        <v>2252</v>
      </c>
      <c r="K44" t="s">
        <v>36</v>
      </c>
    </row>
    <row r="45" spans="1:11">
      <c r="A45" s="1">
        <v>26877</v>
      </c>
      <c r="B45" t="s">
        <v>22</v>
      </c>
      <c r="C45" t="s">
        <v>2237</v>
      </c>
      <c r="D45" s="35">
        <v>1.5629138566770999E-2</v>
      </c>
      <c r="E45" s="35">
        <v>1.5920482290309228</v>
      </c>
      <c r="F45" s="35">
        <v>13.001963471969514</v>
      </c>
      <c r="G45" s="35">
        <v>-2.7232588788898948E-2</v>
      </c>
      <c r="H45" s="35">
        <v>1.6192808178198217</v>
      </c>
      <c r="I45" s="35">
        <v>21.447720244375223</v>
      </c>
      <c r="J45" t="s">
        <v>2252</v>
      </c>
      <c r="K45" t="s">
        <v>36</v>
      </c>
    </row>
    <row r="46" spans="1:11">
      <c r="A46" s="1">
        <v>26908</v>
      </c>
      <c r="B46" t="s">
        <v>22</v>
      </c>
      <c r="C46" t="s">
        <v>2237</v>
      </c>
      <c r="D46" s="35">
        <v>1.6000848196255999E-2</v>
      </c>
      <c r="E46" s="35">
        <v>2.3504704276279877</v>
      </c>
      <c r="F46" s="35">
        <v>15.163714531985928</v>
      </c>
      <c r="G46" s="35">
        <v>0.11528589899523589</v>
      </c>
      <c r="H46" s="35">
        <v>2.2351845286327521</v>
      </c>
      <c r="I46" s="35">
        <v>30.763759086025246</v>
      </c>
      <c r="J46" t="s">
        <v>2252</v>
      </c>
      <c r="K46" t="s">
        <v>36</v>
      </c>
    </row>
    <row r="47" spans="1:11">
      <c r="A47" s="1">
        <v>26938</v>
      </c>
      <c r="B47" t="s">
        <v>22</v>
      </c>
      <c r="C47" t="s">
        <v>2237</v>
      </c>
      <c r="D47" s="35">
        <v>1.6206080857473E-2</v>
      </c>
      <c r="E47" s="35">
        <v>1.274480027953423</v>
      </c>
      <c r="F47" s="35">
        <v>16.556577869196222</v>
      </c>
      <c r="G47" s="35">
        <v>0.17125837170386743</v>
      </c>
      <c r="H47" s="35">
        <v>1.1032216562495556</v>
      </c>
      <c r="I47" s="35">
        <v>14.15495556022297</v>
      </c>
      <c r="J47" t="s">
        <v>2253</v>
      </c>
      <c r="K47" t="s">
        <v>36</v>
      </c>
    </row>
    <row r="48" spans="1:11">
      <c r="A48" s="1">
        <v>26969</v>
      </c>
      <c r="B48" t="s">
        <v>22</v>
      </c>
      <c r="C48" t="s">
        <v>2237</v>
      </c>
      <c r="D48" s="35">
        <v>1.640557346971E-2</v>
      </c>
      <c r="E48" s="35">
        <v>1.2234589429487817</v>
      </c>
      <c r="F48" s="35">
        <v>17.229034256165377</v>
      </c>
      <c r="G48" s="35">
        <v>0.43204811008838456</v>
      </c>
      <c r="H48" s="35">
        <v>0.79141083286039704</v>
      </c>
      <c r="I48" s="35">
        <v>9.9625096055047777</v>
      </c>
      <c r="J48" t="s">
        <v>2253</v>
      </c>
      <c r="K48" t="s">
        <v>36</v>
      </c>
    </row>
    <row r="49" spans="1:11">
      <c r="A49" s="1">
        <v>26999</v>
      </c>
      <c r="B49" t="s">
        <v>22</v>
      </c>
      <c r="C49" t="s">
        <v>2237</v>
      </c>
      <c r="D49" s="35">
        <v>1.7042791457570001E-2</v>
      </c>
      <c r="E49" s="35">
        <v>3.8106203107286527</v>
      </c>
      <c r="F49" s="35">
        <v>21.371597013539034</v>
      </c>
      <c r="G49" s="35">
        <v>9.0732441503875105E-2</v>
      </c>
      <c r="H49" s="35">
        <v>3.7198878692247774</v>
      </c>
      <c r="I49" s="35">
        <v>56.265538534850215</v>
      </c>
      <c r="J49" t="s">
        <v>2253</v>
      </c>
      <c r="K49" t="s">
        <v>36</v>
      </c>
    </row>
    <row r="50" spans="1:11">
      <c r="A50" s="1">
        <v>27030</v>
      </c>
      <c r="B50" t="s">
        <v>22</v>
      </c>
      <c r="C50" t="s">
        <v>2237</v>
      </c>
      <c r="D50" s="35">
        <v>1.7652744212393E-2</v>
      </c>
      <c r="E50" s="35">
        <v>3.5163924832332696</v>
      </c>
      <c r="F50" s="35">
        <v>23.91698680456118</v>
      </c>
      <c r="G50" s="35">
        <v>0.17355366550716039</v>
      </c>
      <c r="H50" s="35">
        <v>3.342838817726109</v>
      </c>
      <c r="I50" s="35">
        <v>49.352733048327899</v>
      </c>
      <c r="J50" t="s">
        <v>2254</v>
      </c>
      <c r="K50" t="s">
        <v>36</v>
      </c>
    </row>
    <row r="51" spans="1:11">
      <c r="A51" s="1">
        <v>27061</v>
      </c>
      <c r="B51" t="s">
        <v>22</v>
      </c>
      <c r="C51" t="s">
        <v>2237</v>
      </c>
      <c r="D51" s="35">
        <v>1.8051724256265E-2</v>
      </c>
      <c r="E51" s="35">
        <v>2.2349956130067778</v>
      </c>
      <c r="F51" s="35">
        <v>25.679438927380318</v>
      </c>
      <c r="G51" s="35">
        <v>-2.3713097848198361E-2</v>
      </c>
      <c r="H51" s="35">
        <v>2.2587087108549762</v>
      </c>
      <c r="I51" s="35">
        <v>31.133413849728207</v>
      </c>
      <c r="J51" t="s">
        <v>2254</v>
      </c>
      <c r="K51" t="s">
        <v>36</v>
      </c>
    </row>
    <row r="52" spans="1:11">
      <c r="A52" s="1">
        <v>27089</v>
      </c>
      <c r="B52" t="s">
        <v>22</v>
      </c>
      <c r="C52" t="s">
        <v>2237</v>
      </c>
      <c r="D52" s="35">
        <v>1.8190941171344E-2</v>
      </c>
      <c r="E52" s="35">
        <v>0.76825254525212805</v>
      </c>
      <c r="F52" s="35">
        <v>25.544777047914625</v>
      </c>
      <c r="G52" s="35">
        <v>4.9988579633774066E-2</v>
      </c>
      <c r="H52" s="35">
        <v>0.71826396561835404</v>
      </c>
      <c r="I52" s="35">
        <v>9.0015237906643684</v>
      </c>
      <c r="J52" t="s">
        <v>2254</v>
      </c>
      <c r="K52" t="s">
        <v>36</v>
      </c>
    </row>
    <row r="53" spans="1:11">
      <c r="A53" s="1">
        <v>27120</v>
      </c>
      <c r="B53" t="s">
        <v>22</v>
      </c>
      <c r="C53" t="s">
        <v>2237</v>
      </c>
      <c r="D53" s="35">
        <v>1.8437789189555E-2</v>
      </c>
      <c r="E53" s="35">
        <v>1.347858650234171</v>
      </c>
      <c r="F53" s="35">
        <v>25.263255702711017</v>
      </c>
      <c r="G53" s="35">
        <v>-0.20981878280513042</v>
      </c>
      <c r="H53" s="35">
        <v>1.5576774330393013</v>
      </c>
      <c r="I53" s="35">
        <v>20.553239622933916</v>
      </c>
      <c r="J53" t="s">
        <v>2255</v>
      </c>
      <c r="K53" t="s">
        <v>36</v>
      </c>
    </row>
    <row r="54" spans="1:11">
      <c r="A54" s="1">
        <v>27150</v>
      </c>
      <c r="B54" t="s">
        <v>22</v>
      </c>
      <c r="C54" t="s">
        <v>2237</v>
      </c>
      <c r="D54" s="35">
        <v>1.8582746153615E-2</v>
      </c>
      <c r="E54" s="35">
        <v>0.7831205223778418</v>
      </c>
      <c r="F54" s="35">
        <v>24.920405954185121</v>
      </c>
      <c r="G54" s="35">
        <v>-0.60748395632500474</v>
      </c>
      <c r="H54" s="35">
        <v>1.3906044787028464</v>
      </c>
      <c r="I54" s="35">
        <v>18.160364548894247</v>
      </c>
      <c r="J54" t="s">
        <v>2255</v>
      </c>
      <c r="K54" t="s">
        <v>36</v>
      </c>
    </row>
    <row r="55" spans="1:11">
      <c r="A55" s="1">
        <v>27181</v>
      </c>
      <c r="B55" t="s">
        <v>22</v>
      </c>
      <c r="C55" t="s">
        <v>2237</v>
      </c>
      <c r="D55" s="35">
        <v>1.8766448450177001E-2</v>
      </c>
      <c r="E55" s="35">
        <v>0.98370944750079026</v>
      </c>
      <c r="F55" s="35">
        <v>25.129214476688212</v>
      </c>
      <c r="G55" s="35">
        <v>-0.18319094864445387</v>
      </c>
      <c r="H55" s="35">
        <v>1.1669003961452442</v>
      </c>
      <c r="I55" s="35">
        <v>15.030606165709859</v>
      </c>
      <c r="J55" t="s">
        <v>2255</v>
      </c>
      <c r="K55" t="s">
        <v>36</v>
      </c>
    </row>
    <row r="56" spans="1:11">
      <c r="A56" s="1">
        <v>27211</v>
      </c>
      <c r="B56" t="s">
        <v>22</v>
      </c>
      <c r="C56" t="s">
        <v>2237</v>
      </c>
      <c r="D56" s="35">
        <v>1.9037696858284998E-2</v>
      </c>
      <c r="E56" s="35">
        <v>1.4350440188159304</v>
      </c>
      <c r="F56" s="35">
        <v>23.76377373636349</v>
      </c>
      <c r="G56" s="35">
        <v>1.857230697938933E-2</v>
      </c>
      <c r="H56" s="35">
        <v>1.4164717118365411</v>
      </c>
      <c r="I56" s="35">
        <v>18.527712193601296</v>
      </c>
      <c r="J56" t="s">
        <v>2256</v>
      </c>
      <c r="K56" t="s">
        <v>36</v>
      </c>
    </row>
    <row r="57" spans="1:11">
      <c r="A57" s="1">
        <v>27242</v>
      </c>
      <c r="B57" t="s">
        <v>22</v>
      </c>
      <c r="C57" t="s">
        <v>2237</v>
      </c>
      <c r="D57" s="35">
        <v>1.9238624482391001E-2</v>
      </c>
      <c r="E57" s="35">
        <v>1.0498891361423921</v>
      </c>
      <c r="F57" s="35">
        <v>23.094592835040228</v>
      </c>
      <c r="G57" s="35">
        <v>-2.7232588788898948E-2</v>
      </c>
      <c r="H57" s="35">
        <v>1.077121724931291</v>
      </c>
      <c r="I57" s="35">
        <v>13.79798249041464</v>
      </c>
      <c r="J57" t="s">
        <v>2256</v>
      </c>
      <c r="K57" t="s">
        <v>36</v>
      </c>
    </row>
    <row r="58" spans="1:11">
      <c r="A58" s="1">
        <v>27273</v>
      </c>
      <c r="B58" t="s">
        <v>22</v>
      </c>
      <c r="C58" t="s">
        <v>2237</v>
      </c>
      <c r="D58" s="35">
        <v>1.9456772254943001E-2</v>
      </c>
      <c r="E58" s="35">
        <v>1.1275247293295263</v>
      </c>
      <c r="F58" s="35">
        <v>21.598380387707472</v>
      </c>
      <c r="G58" s="35">
        <v>0.11528589899523589</v>
      </c>
      <c r="H58" s="35">
        <v>1.0122388303342904</v>
      </c>
      <c r="I58" s="35">
        <v>12.915397727860034</v>
      </c>
      <c r="J58" t="s">
        <v>2256</v>
      </c>
      <c r="K58" t="s">
        <v>36</v>
      </c>
    </row>
    <row r="59" spans="1:11">
      <c r="A59" s="1">
        <v>27303</v>
      </c>
      <c r="B59" t="s">
        <v>22</v>
      </c>
      <c r="C59" t="s">
        <v>2237</v>
      </c>
      <c r="D59" s="35">
        <v>1.9842832007633E-2</v>
      </c>
      <c r="E59" s="35">
        <v>1.9647636614305055</v>
      </c>
      <c r="F59" s="35">
        <v>22.440657813224529</v>
      </c>
      <c r="G59" s="35">
        <v>0.17125837170386743</v>
      </c>
      <c r="H59" s="35">
        <v>1.7935052897266381</v>
      </c>
      <c r="I59" s="35">
        <v>24.013548378732729</v>
      </c>
      <c r="J59" t="s">
        <v>2257</v>
      </c>
      <c r="K59" t="s">
        <v>36</v>
      </c>
    </row>
    <row r="60" spans="1:11">
      <c r="A60" s="1">
        <v>27334</v>
      </c>
      <c r="B60" t="s">
        <v>22</v>
      </c>
      <c r="C60" t="s">
        <v>2237</v>
      </c>
      <c r="D60" s="35">
        <v>2.0393944077167998E-2</v>
      </c>
      <c r="E60" s="35">
        <v>2.7395163826250979</v>
      </c>
      <c r="F60" s="35">
        <v>24.311070959036108</v>
      </c>
      <c r="G60" s="35">
        <v>0.43204811008838456</v>
      </c>
      <c r="H60" s="35">
        <v>2.3074682725367133</v>
      </c>
      <c r="I60" s="35">
        <v>31.902943904893522</v>
      </c>
      <c r="J60" t="s">
        <v>2257</v>
      </c>
      <c r="K60" t="s">
        <v>36</v>
      </c>
    </row>
    <row r="61" spans="1:11">
      <c r="A61" s="1">
        <v>27364</v>
      </c>
      <c r="B61" t="s">
        <v>22</v>
      </c>
      <c r="C61" t="s">
        <v>2237</v>
      </c>
      <c r="D61" s="35">
        <v>2.0553251164433E-2</v>
      </c>
      <c r="E61" s="35">
        <v>0.77811381272685542</v>
      </c>
      <c r="F61" s="35">
        <v>20.597915051666817</v>
      </c>
      <c r="G61" s="35">
        <v>9.0732441503875105E-2</v>
      </c>
      <c r="H61" s="35">
        <v>0.68738137122298038</v>
      </c>
      <c r="I61" s="35">
        <v>8.5983213865756802</v>
      </c>
      <c r="J61" t="s">
        <v>2257</v>
      </c>
      <c r="K61" t="s">
        <v>36</v>
      </c>
    </row>
    <row r="62" spans="1:11">
      <c r="A62" s="1">
        <v>27395</v>
      </c>
      <c r="B62" t="s">
        <v>22</v>
      </c>
      <c r="C62" t="s">
        <v>2237</v>
      </c>
      <c r="D62" s="35">
        <v>2.0815889498316999E-2</v>
      </c>
      <c r="E62" s="35">
        <v>1.2697477314863181</v>
      </c>
      <c r="F62" s="35">
        <v>17.918717044023857</v>
      </c>
      <c r="G62" s="35">
        <v>0.17355366550716039</v>
      </c>
      <c r="H62" s="35">
        <v>1.0961940659791578</v>
      </c>
      <c r="I62" s="35">
        <v>14.058728030183554</v>
      </c>
      <c r="J62" t="s">
        <v>2258</v>
      </c>
      <c r="K62" t="s">
        <v>36</v>
      </c>
    </row>
    <row r="63" spans="1:11">
      <c r="A63" s="1">
        <v>27426</v>
      </c>
      <c r="B63" t="s">
        <v>22</v>
      </c>
      <c r="C63" t="s">
        <v>2237</v>
      </c>
      <c r="D63" s="35">
        <v>2.0930700842899001E-2</v>
      </c>
      <c r="E63" s="35">
        <v>0.55004077270320006</v>
      </c>
      <c r="F63" s="35">
        <v>15.948485284638814</v>
      </c>
      <c r="G63" s="35">
        <v>-2.3713097848198361E-2</v>
      </c>
      <c r="H63" s="35">
        <v>0.57375387055139848</v>
      </c>
      <c r="I63" s="35">
        <v>7.1276003341373073</v>
      </c>
      <c r="J63" t="s">
        <v>2258</v>
      </c>
      <c r="K63" t="s">
        <v>36</v>
      </c>
    </row>
    <row r="64" spans="1:11">
      <c r="A64" s="1">
        <v>27454</v>
      </c>
      <c r="B64" t="s">
        <v>22</v>
      </c>
      <c r="C64" t="s">
        <v>2237</v>
      </c>
      <c r="D64" s="35">
        <v>2.1062737516527E-2</v>
      </c>
      <c r="E64" s="35">
        <v>0.62884638124172676</v>
      </c>
      <c r="F64" s="35">
        <v>15.786958564337006</v>
      </c>
      <c r="G64" s="35">
        <v>4.9988579633774066E-2</v>
      </c>
      <c r="H64" s="35">
        <v>0.57885780160795264</v>
      </c>
      <c r="I64" s="35">
        <v>7.1932330575424697</v>
      </c>
      <c r="J64" t="s">
        <v>2258</v>
      </c>
      <c r="K64" t="s">
        <v>36</v>
      </c>
    </row>
    <row r="65" spans="1:11">
      <c r="A65" s="1">
        <v>27485</v>
      </c>
      <c r="B65" t="s">
        <v>22</v>
      </c>
      <c r="C65" t="s">
        <v>2237</v>
      </c>
      <c r="D65" s="35">
        <v>2.1240699763357001E-2</v>
      </c>
      <c r="E65" s="35">
        <v>0.84136565771055805</v>
      </c>
      <c r="F65" s="35">
        <v>15.20198839994249</v>
      </c>
      <c r="G65" s="35">
        <v>-0.20981878280513042</v>
      </c>
      <c r="H65" s="35">
        <v>1.0511844405156885</v>
      </c>
      <c r="I65" s="35">
        <v>13.444339851157094</v>
      </c>
      <c r="J65" t="s">
        <v>2259</v>
      </c>
      <c r="K65" t="s">
        <v>36</v>
      </c>
    </row>
    <row r="66" spans="1:11">
      <c r="A66" s="1">
        <v>27515</v>
      </c>
      <c r="B66" t="s">
        <v>22</v>
      </c>
      <c r="C66" t="s">
        <v>2237</v>
      </c>
      <c r="D66" s="35">
        <v>2.1524868462647999E-2</v>
      </c>
      <c r="E66" s="35">
        <v>1.3289798009300355</v>
      </c>
      <c r="F66" s="35">
        <v>15.832548562585046</v>
      </c>
      <c r="G66" s="35">
        <v>-0.60748395632500474</v>
      </c>
      <c r="H66" s="35">
        <v>1.9364637572550403</v>
      </c>
      <c r="I66" s="35">
        <v>26.159355854410137</v>
      </c>
      <c r="J66" t="s">
        <v>2259</v>
      </c>
      <c r="K66" t="s">
        <v>36</v>
      </c>
    </row>
    <row r="67" spans="1:11">
      <c r="A67" s="1">
        <v>27546</v>
      </c>
      <c r="B67" t="s">
        <v>22</v>
      </c>
      <c r="C67" t="s">
        <v>2237</v>
      </c>
      <c r="D67" s="35">
        <v>2.1890838043151999E-2</v>
      </c>
      <c r="E67" s="35">
        <v>1.685925570949155</v>
      </c>
      <c r="F67" s="35">
        <v>16.648805986225533</v>
      </c>
      <c r="G67" s="35">
        <v>-0.18319094864445387</v>
      </c>
      <c r="H67" s="35">
        <v>1.8691165195936088</v>
      </c>
      <c r="I67" s="35">
        <v>25.143886629580759</v>
      </c>
      <c r="J67" t="s">
        <v>2259</v>
      </c>
      <c r="K67" t="s">
        <v>36</v>
      </c>
    </row>
    <row r="68" spans="1:11">
      <c r="A68" s="1">
        <v>27576</v>
      </c>
      <c r="B68" t="s">
        <v>22</v>
      </c>
      <c r="C68" t="s">
        <v>2237</v>
      </c>
      <c r="D68" s="35">
        <v>2.2065930265491002E-2</v>
      </c>
      <c r="E68" s="35">
        <v>0.7966606969568194</v>
      </c>
      <c r="F68" s="35">
        <v>15.906511327225736</v>
      </c>
      <c r="G68" s="35">
        <v>1.857230697938933E-2</v>
      </c>
      <c r="H68" s="35">
        <v>0.77808838997743002</v>
      </c>
      <c r="I68" s="35">
        <v>9.7868537424105728</v>
      </c>
      <c r="J68" t="s">
        <v>2260</v>
      </c>
      <c r="K68" t="s">
        <v>36</v>
      </c>
    </row>
    <row r="69" spans="1:11">
      <c r="A69" s="1">
        <v>27607</v>
      </c>
      <c r="B69" t="s">
        <v>22</v>
      </c>
      <c r="C69" t="s">
        <v>2237</v>
      </c>
      <c r="D69" s="35">
        <v>2.2256812804255E-2</v>
      </c>
      <c r="E69" s="35">
        <v>0.86133531307441624</v>
      </c>
      <c r="F69" s="35">
        <v>15.688171078065016</v>
      </c>
      <c r="G69" s="35">
        <v>-2.7232588788898948E-2</v>
      </c>
      <c r="H69" s="35">
        <v>0.88856790186331525</v>
      </c>
      <c r="I69" s="35">
        <v>11.252048483503497</v>
      </c>
      <c r="J69" t="s">
        <v>2260</v>
      </c>
      <c r="K69" t="s">
        <v>36</v>
      </c>
    </row>
    <row r="70" spans="1:11">
      <c r="A70" s="1">
        <v>27638</v>
      </c>
      <c r="B70" t="s">
        <v>22</v>
      </c>
      <c r="C70" t="s">
        <v>2237</v>
      </c>
      <c r="D70" s="35">
        <v>2.2418984735410999E-2</v>
      </c>
      <c r="E70" s="35">
        <v>0.72599775444301651</v>
      </c>
      <c r="F70" s="35">
        <v>15.22458320246538</v>
      </c>
      <c r="G70" s="35">
        <v>0.11528589899523589</v>
      </c>
      <c r="H70" s="35">
        <v>0.61071185544778062</v>
      </c>
      <c r="I70" s="35">
        <v>7.6037618601202173</v>
      </c>
      <c r="J70" t="s">
        <v>2260</v>
      </c>
      <c r="K70" t="s">
        <v>36</v>
      </c>
    </row>
    <row r="71" spans="1:11">
      <c r="A71" s="1">
        <v>27668</v>
      </c>
      <c r="B71" t="s">
        <v>22</v>
      </c>
      <c r="C71" t="s">
        <v>2237</v>
      </c>
      <c r="D71" s="35">
        <v>2.2533801260593001E-2</v>
      </c>
      <c r="E71" s="35">
        <v>0.51083274291514502</v>
      </c>
      <c r="F71" s="35">
        <v>13.561417301345191</v>
      </c>
      <c r="G71" s="35">
        <v>0.17125837170386743</v>
      </c>
      <c r="H71" s="35">
        <v>0.33957437121127759</v>
      </c>
      <c r="I71" s="35">
        <v>4.1590554890253983</v>
      </c>
      <c r="J71" t="s">
        <v>2261</v>
      </c>
      <c r="K71" t="s">
        <v>36</v>
      </c>
    </row>
    <row r="72" spans="1:11">
      <c r="A72" s="1">
        <v>27699</v>
      </c>
      <c r="B72" t="s">
        <v>22</v>
      </c>
      <c r="C72" t="s">
        <v>2237</v>
      </c>
      <c r="D72" s="35">
        <v>2.2691673335988E-2</v>
      </c>
      <c r="E72" s="35">
        <v>0.6981583634422831</v>
      </c>
      <c r="F72" s="35">
        <v>11.266723347507956</v>
      </c>
      <c r="G72" s="35">
        <v>0.43204811008838456</v>
      </c>
      <c r="H72" s="35">
        <v>0.26611025335389854</v>
      </c>
      <c r="I72" s="35">
        <v>3.2448566828366943</v>
      </c>
      <c r="J72" t="s">
        <v>2261</v>
      </c>
      <c r="K72" t="s">
        <v>36</v>
      </c>
    </row>
    <row r="73" spans="1:11">
      <c r="A73" s="1">
        <v>27729</v>
      </c>
      <c r="B73" t="s">
        <v>22</v>
      </c>
      <c r="C73" t="s">
        <v>2237</v>
      </c>
      <c r="D73" s="35">
        <v>2.2876810644420001E-2</v>
      </c>
      <c r="E73" s="35">
        <v>0.81257180812412655</v>
      </c>
      <c r="F73" s="35">
        <v>11.305070236322878</v>
      </c>
      <c r="G73" s="35">
        <v>9.0732441503875105E-2</v>
      </c>
      <c r="H73" s="35">
        <v>0.72183936662025139</v>
      </c>
      <c r="I73" s="35">
        <v>9.0483007236086941</v>
      </c>
      <c r="J73" t="s">
        <v>2261</v>
      </c>
      <c r="K73" t="s">
        <v>36</v>
      </c>
    </row>
    <row r="74" spans="1:11">
      <c r="A74" s="1">
        <v>27760</v>
      </c>
      <c r="B74" t="s">
        <v>22</v>
      </c>
      <c r="C74" t="s">
        <v>2237</v>
      </c>
      <c r="D74" s="35">
        <v>2.3318846237755E-2</v>
      </c>
      <c r="E74" s="35">
        <v>1.9138123149927941</v>
      </c>
      <c r="F74" s="35">
        <v>12.024260311529655</v>
      </c>
      <c r="G74" s="35">
        <v>0.17355366550716039</v>
      </c>
      <c r="H74" s="35">
        <v>1.7402586494856338</v>
      </c>
      <c r="I74" s="35">
        <v>23.223677967338084</v>
      </c>
      <c r="J74" t="s">
        <v>2262</v>
      </c>
      <c r="K74" t="s">
        <v>36</v>
      </c>
    </row>
    <row r="75" spans="1:11">
      <c r="A75" s="1">
        <v>27791</v>
      </c>
      <c r="B75" t="s">
        <v>22</v>
      </c>
      <c r="C75" t="s">
        <v>2237</v>
      </c>
      <c r="D75" s="35">
        <v>2.3755141782108E-2</v>
      </c>
      <c r="E75" s="35">
        <v>1.8537118104073607</v>
      </c>
      <c r="F75" s="35">
        <v>13.494249238993961</v>
      </c>
      <c r="G75" s="35">
        <v>-2.3713097848198361E-2</v>
      </c>
      <c r="H75" s="35">
        <v>1.877424908255559</v>
      </c>
      <c r="I75" s="35">
        <v>25.268718134013945</v>
      </c>
      <c r="J75" t="s">
        <v>2262</v>
      </c>
      <c r="K75" t="s">
        <v>36</v>
      </c>
    </row>
    <row r="76" spans="1:11">
      <c r="A76" s="1">
        <v>27820</v>
      </c>
      <c r="B76" t="s">
        <v>22</v>
      </c>
      <c r="C76" t="s">
        <v>2237</v>
      </c>
      <c r="D76" s="35">
        <v>2.3987639677113998E-2</v>
      </c>
      <c r="E76" s="35">
        <v>0.97396810918702237</v>
      </c>
      <c r="F76" s="35">
        <v>13.886619240694408</v>
      </c>
      <c r="G76" s="35">
        <v>4.9988579633774066E-2</v>
      </c>
      <c r="H76" s="35">
        <v>0.92397952955324825</v>
      </c>
      <c r="I76" s="35">
        <v>11.725808301453489</v>
      </c>
      <c r="J76" t="s">
        <v>2262</v>
      </c>
      <c r="K76" t="s">
        <v>36</v>
      </c>
    </row>
    <row r="77" spans="1:11">
      <c r="A77" s="1">
        <v>27851</v>
      </c>
      <c r="B77" t="s">
        <v>22</v>
      </c>
      <c r="C77" t="s">
        <v>2237</v>
      </c>
      <c r="D77" s="35">
        <v>2.4155556838601999E-2</v>
      </c>
      <c r="E77" s="35">
        <v>0.69757662375043772</v>
      </c>
      <c r="F77" s="35">
        <v>13.722980446592947</v>
      </c>
      <c r="G77" s="35">
        <v>-0.20981878280513042</v>
      </c>
      <c r="H77" s="35">
        <v>0.90739540655556816</v>
      </c>
      <c r="I77" s="35">
        <v>11.503684452890317</v>
      </c>
      <c r="J77" t="s">
        <v>2263</v>
      </c>
      <c r="K77" t="s">
        <v>36</v>
      </c>
    </row>
    <row r="78" spans="1:11">
      <c r="A78" s="1">
        <v>27881</v>
      </c>
      <c r="B78" t="s">
        <v>22</v>
      </c>
      <c r="C78" t="s">
        <v>2237</v>
      </c>
      <c r="D78" s="35">
        <v>2.4324909011960001E-2</v>
      </c>
      <c r="E78" s="35">
        <v>0.69864370826677447</v>
      </c>
      <c r="F78" s="35">
        <v>13.008397956860463</v>
      </c>
      <c r="G78" s="35">
        <v>-0.60748395632500474</v>
      </c>
      <c r="H78" s="35">
        <v>1.3061276645917792</v>
      </c>
      <c r="I78" s="35">
        <v>16.968598014929004</v>
      </c>
      <c r="J78" t="s">
        <v>2263</v>
      </c>
      <c r="K78" t="s">
        <v>36</v>
      </c>
    </row>
    <row r="79" spans="1:11">
      <c r="A79" s="1">
        <v>27912</v>
      </c>
      <c r="B79" t="s">
        <v>22</v>
      </c>
      <c r="C79" t="s">
        <v>2237</v>
      </c>
      <c r="D79" s="35">
        <v>2.4422500208846998E-2</v>
      </c>
      <c r="E79" s="35">
        <v>0.40039595468240552</v>
      </c>
      <c r="F79" s="35">
        <v>11.564939454142852</v>
      </c>
      <c r="G79" s="35">
        <v>-0.18319094864445387</v>
      </c>
      <c r="H79" s="35">
        <v>0.58358690332685936</v>
      </c>
      <c r="I79" s="35">
        <v>7.2540816457841828</v>
      </c>
      <c r="J79" t="s">
        <v>2263</v>
      </c>
      <c r="K79" t="s">
        <v>36</v>
      </c>
    </row>
    <row r="80" spans="1:11">
      <c r="A80" s="1">
        <v>27942</v>
      </c>
      <c r="B80" t="s">
        <v>22</v>
      </c>
      <c r="C80" t="s">
        <v>2237</v>
      </c>
      <c r="D80" s="35">
        <v>2.4629167882684998E-2</v>
      </c>
      <c r="E80" s="35">
        <v>0.8426579759099585</v>
      </c>
      <c r="F80" s="35">
        <v>11.616268094541461</v>
      </c>
      <c r="G80" s="35">
        <v>1.857230697938933E-2</v>
      </c>
      <c r="H80" s="35">
        <v>0.82408566893056912</v>
      </c>
      <c r="I80" s="35">
        <v>10.39451683497974</v>
      </c>
      <c r="J80" t="s">
        <v>2264</v>
      </c>
      <c r="K80" t="s">
        <v>36</v>
      </c>
    </row>
    <row r="81" spans="1:11">
      <c r="A81" s="1">
        <v>27973</v>
      </c>
      <c r="B81" t="s">
        <v>22</v>
      </c>
      <c r="C81" t="s">
        <v>2237</v>
      </c>
      <c r="D81" s="35">
        <v>2.4864535802933001E-2</v>
      </c>
      <c r="E81" s="35">
        <v>0.95110964433362255</v>
      </c>
      <c r="F81" s="35">
        <v>11.716515844440512</v>
      </c>
      <c r="G81" s="35">
        <v>-2.7232588788898948E-2</v>
      </c>
      <c r="H81" s="35">
        <v>0.97834223312252155</v>
      </c>
      <c r="I81" s="35">
        <v>12.457036841602264</v>
      </c>
      <c r="J81" t="s">
        <v>2264</v>
      </c>
      <c r="K81" t="s">
        <v>36</v>
      </c>
    </row>
    <row r="82" spans="1:11">
      <c r="A82" s="1">
        <v>28004</v>
      </c>
      <c r="B82" t="s">
        <v>22</v>
      </c>
      <c r="C82" t="s">
        <v>2237</v>
      </c>
      <c r="D82" s="35">
        <v>2.5712731681591001E-2</v>
      </c>
      <c r="E82" s="35">
        <v>3.3543742105044281</v>
      </c>
      <c r="F82" s="35">
        <v>14.691775676074649</v>
      </c>
      <c r="G82" s="35">
        <v>0.11528589899523589</v>
      </c>
      <c r="H82" s="35">
        <v>3.2390883115091924</v>
      </c>
      <c r="I82" s="35">
        <v>47.504809697840585</v>
      </c>
      <c r="J82" t="s">
        <v>2264</v>
      </c>
      <c r="K82" t="s">
        <v>36</v>
      </c>
    </row>
    <row r="83" spans="1:11">
      <c r="A83" s="1">
        <v>28034</v>
      </c>
      <c r="B83" t="s">
        <v>22</v>
      </c>
      <c r="C83" t="s">
        <v>2237</v>
      </c>
      <c r="D83" s="35">
        <v>2.7160830049132001E-2</v>
      </c>
      <c r="E83" s="35">
        <v>5.4789598275168094</v>
      </c>
      <c r="F83" s="35">
        <v>20.533725025039274</v>
      </c>
      <c r="G83" s="35">
        <v>0.17125837170386743</v>
      </c>
      <c r="H83" s="35">
        <v>5.3077014558129418</v>
      </c>
      <c r="I83" s="35">
        <v>89.065659725963542</v>
      </c>
      <c r="J83" t="s">
        <v>2265</v>
      </c>
      <c r="K83" t="s">
        <v>36</v>
      </c>
    </row>
    <row r="84" spans="1:11">
      <c r="A84" s="1">
        <v>28065</v>
      </c>
      <c r="B84" t="s">
        <v>22</v>
      </c>
      <c r="C84" t="s">
        <v>2237</v>
      </c>
      <c r="D84" s="35">
        <v>2.8387910619629E-2</v>
      </c>
      <c r="E84" s="35">
        <v>4.4187508452228021</v>
      </c>
      <c r="F84" s="35">
        <v>25.102764345752405</v>
      </c>
      <c r="G84" s="35">
        <v>0.43204811008838456</v>
      </c>
      <c r="H84" s="35">
        <v>3.9867027351344175</v>
      </c>
      <c r="I84" s="35">
        <v>61.349773417362627</v>
      </c>
      <c r="J84" t="s">
        <v>2265</v>
      </c>
      <c r="K84" t="s">
        <v>36</v>
      </c>
    </row>
    <row r="85" spans="1:11">
      <c r="A85" s="1">
        <v>28095</v>
      </c>
      <c r="B85" t="s">
        <v>22</v>
      </c>
      <c r="C85" t="s">
        <v>2237</v>
      </c>
      <c r="D85" s="35">
        <v>2.9099759608450002E-2</v>
      </c>
      <c r="E85" s="35">
        <v>2.4766541134064193</v>
      </c>
      <c r="F85" s="35">
        <v>27.201995333855123</v>
      </c>
      <c r="G85" s="35">
        <v>9.0732441503875105E-2</v>
      </c>
      <c r="H85" s="35">
        <v>2.385921671902544</v>
      </c>
      <c r="I85" s="35">
        <v>33.150595761894849</v>
      </c>
      <c r="J85" t="s">
        <v>2265</v>
      </c>
      <c r="K85" t="s">
        <v>36</v>
      </c>
    </row>
    <row r="86" spans="1:11">
      <c r="A86" s="1">
        <v>28126</v>
      </c>
      <c r="B86" t="s">
        <v>22</v>
      </c>
      <c r="C86" t="s">
        <v>2237</v>
      </c>
      <c r="D86" s="35">
        <v>3.0026891525181999E-2</v>
      </c>
      <c r="E86" s="35">
        <v>3.1363451057198968</v>
      </c>
      <c r="F86" s="35">
        <v>28.766626011565521</v>
      </c>
      <c r="G86" s="35">
        <v>0.17355366550716039</v>
      </c>
      <c r="H86" s="35">
        <v>2.9627914402127362</v>
      </c>
      <c r="I86" s="35">
        <v>42.694382629575792</v>
      </c>
      <c r="J86" t="s">
        <v>2266</v>
      </c>
      <c r="K86" t="s">
        <v>36</v>
      </c>
    </row>
    <row r="87" spans="1:11">
      <c r="A87" s="1">
        <v>28157</v>
      </c>
      <c r="B87" t="s">
        <v>22</v>
      </c>
      <c r="C87" t="s">
        <v>2237</v>
      </c>
      <c r="D87" s="35">
        <v>3.068994491556E-2</v>
      </c>
      <c r="E87" s="35">
        <v>2.1841709441436161</v>
      </c>
      <c r="F87" s="35">
        <v>29.192850950168548</v>
      </c>
      <c r="G87" s="35">
        <v>-2.3713097848198361E-2</v>
      </c>
      <c r="H87" s="35">
        <v>2.2078840419918144</v>
      </c>
      <c r="I87" s="35">
        <v>30.336070324255427</v>
      </c>
      <c r="J87" t="s">
        <v>2266</v>
      </c>
      <c r="K87" t="s">
        <v>36</v>
      </c>
    </row>
    <row r="88" spans="1:11">
      <c r="A88" s="1">
        <v>28185</v>
      </c>
      <c r="B88" t="s">
        <v>22</v>
      </c>
      <c r="C88" t="s">
        <v>2237</v>
      </c>
      <c r="D88" s="35">
        <v>3.1225266669420999E-2</v>
      </c>
      <c r="E88" s="35">
        <v>1.7292522464894635</v>
      </c>
      <c r="F88" s="35">
        <v>30.172318284454789</v>
      </c>
      <c r="G88" s="35">
        <v>4.9988579633774066E-2</v>
      </c>
      <c r="H88" s="35">
        <v>1.6792636668556895</v>
      </c>
      <c r="I88" s="35">
        <v>22.325047564322411</v>
      </c>
      <c r="J88" t="s">
        <v>2266</v>
      </c>
      <c r="K88" t="s">
        <v>36</v>
      </c>
    </row>
    <row r="89" spans="1:11">
      <c r="A89" s="1">
        <v>28216</v>
      </c>
      <c r="B89" t="s">
        <v>22</v>
      </c>
      <c r="C89" t="s">
        <v>2237</v>
      </c>
      <c r="D89" s="35">
        <v>3.1697442701634999E-2</v>
      </c>
      <c r="E89" s="35">
        <v>1.5008409527522815</v>
      </c>
      <c r="F89" s="35">
        <v>31.222156928217125</v>
      </c>
      <c r="G89" s="35">
        <v>-0.20981878280513042</v>
      </c>
      <c r="H89" s="35">
        <v>1.7106597355574118</v>
      </c>
      <c r="I89" s="35">
        <v>22.786779884611285</v>
      </c>
      <c r="J89" t="s">
        <v>2267</v>
      </c>
      <c r="K89" t="s">
        <v>36</v>
      </c>
    </row>
    <row r="90" spans="1:11">
      <c r="A90" s="1">
        <v>28246</v>
      </c>
      <c r="B90" t="s">
        <v>22</v>
      </c>
      <c r="C90" t="s">
        <v>2237</v>
      </c>
      <c r="D90" s="35">
        <v>3.1975866170592997E-2</v>
      </c>
      <c r="E90" s="35">
        <v>0.87454303359426455</v>
      </c>
      <c r="F90" s="35">
        <v>31.453178940448232</v>
      </c>
      <c r="G90" s="35">
        <v>-0.60748395632500474</v>
      </c>
      <c r="H90" s="35">
        <v>1.4820269899192693</v>
      </c>
      <c r="I90" s="35">
        <v>19.463803365217601</v>
      </c>
      <c r="J90" t="s">
        <v>2267</v>
      </c>
      <c r="K90" t="s">
        <v>36</v>
      </c>
    </row>
    <row r="91" spans="1:11">
      <c r="A91" s="1">
        <v>28277</v>
      </c>
      <c r="B91" t="s">
        <v>22</v>
      </c>
      <c r="C91" t="s">
        <v>2237</v>
      </c>
      <c r="D91" s="35">
        <v>3.2367671152864E-2</v>
      </c>
      <c r="E91" s="35">
        <v>1.2178684644293547</v>
      </c>
      <c r="F91" s="35">
        <v>32.532176788103293</v>
      </c>
      <c r="G91" s="35">
        <v>-0.18319094864445387</v>
      </c>
      <c r="H91" s="35">
        <v>1.4010594130738085</v>
      </c>
      <c r="I91" s="35">
        <v>18.308700642878062</v>
      </c>
      <c r="J91" t="s">
        <v>2267</v>
      </c>
      <c r="K91" t="s">
        <v>36</v>
      </c>
    </row>
    <row r="92" spans="1:11">
      <c r="A92" s="1">
        <v>28307</v>
      </c>
      <c r="B92" t="s">
        <v>22</v>
      </c>
      <c r="C92" t="s">
        <v>2237</v>
      </c>
      <c r="D92" s="35">
        <v>3.2733645913966998E-2</v>
      </c>
      <c r="E92" s="35">
        <v>1.1243355216635909</v>
      </c>
      <c r="F92" s="35">
        <v>32.906016435007857</v>
      </c>
      <c r="G92" s="35">
        <v>1.857230697938933E-2</v>
      </c>
      <c r="H92" s="35">
        <v>1.1057632146842016</v>
      </c>
      <c r="I92" s="35">
        <v>14.189776648762219</v>
      </c>
      <c r="J92" t="s">
        <v>2268</v>
      </c>
      <c r="K92" t="s">
        <v>36</v>
      </c>
    </row>
    <row r="93" spans="1:11">
      <c r="A93" s="1">
        <v>28338</v>
      </c>
      <c r="B93" t="s">
        <v>22</v>
      </c>
      <c r="C93" t="s">
        <v>2237</v>
      </c>
      <c r="D93" s="35">
        <v>3.3405309377817001E-2</v>
      </c>
      <c r="E93" s="35">
        <v>2.0311374803762061</v>
      </c>
      <c r="F93" s="35">
        <v>34.349217868272184</v>
      </c>
      <c r="G93" s="35">
        <v>-2.7232588788898948E-2</v>
      </c>
      <c r="H93" s="35">
        <v>2.0583700691651052</v>
      </c>
      <c r="I93" s="35">
        <v>28.01847562040518</v>
      </c>
      <c r="J93" t="s">
        <v>2268</v>
      </c>
      <c r="K93" t="s">
        <v>36</v>
      </c>
    </row>
    <row r="94" spans="1:11">
      <c r="A94" s="1">
        <v>28369</v>
      </c>
      <c r="B94" t="s">
        <v>22</v>
      </c>
      <c r="C94" t="s">
        <v>2237</v>
      </c>
      <c r="D94" s="35">
        <v>3.3998041984945E-2</v>
      </c>
      <c r="E94" s="35">
        <v>1.7588083522775941</v>
      </c>
      <c r="F94" s="35">
        <v>32.222598539718184</v>
      </c>
      <c r="G94" s="35">
        <v>0.11528589899523589</v>
      </c>
      <c r="H94" s="35">
        <v>1.6435224532823582</v>
      </c>
      <c r="I94" s="35">
        <v>21.801525567486379</v>
      </c>
      <c r="J94" t="s">
        <v>2268</v>
      </c>
      <c r="K94" t="s">
        <v>36</v>
      </c>
    </row>
    <row r="95" spans="1:11">
      <c r="A95" s="1">
        <v>28399</v>
      </c>
      <c r="B95" t="s">
        <v>22</v>
      </c>
      <c r="C95" t="s">
        <v>2237</v>
      </c>
      <c r="D95" s="35">
        <v>3.4257810294338997E-2</v>
      </c>
      <c r="E95" s="35">
        <v>0.76116422227074598</v>
      </c>
      <c r="F95" s="35">
        <v>26.129467443995892</v>
      </c>
      <c r="G95" s="35">
        <v>0.17125837170386743</v>
      </c>
      <c r="H95" s="35">
        <v>0.58990585056687861</v>
      </c>
      <c r="I95" s="35">
        <v>7.3354404339828427</v>
      </c>
      <c r="J95" t="s">
        <v>2269</v>
      </c>
      <c r="K95" t="s">
        <v>36</v>
      </c>
    </row>
    <row r="96" spans="1:11">
      <c r="A96" s="1">
        <v>28430</v>
      </c>
      <c r="B96" t="s">
        <v>22</v>
      </c>
      <c r="C96" t="s">
        <v>2237</v>
      </c>
      <c r="D96" s="35">
        <v>3.4632389948314003E-2</v>
      </c>
      <c r="E96" s="35">
        <v>1.0874793342626408</v>
      </c>
      <c r="F96" s="35">
        <v>21.996966991882871</v>
      </c>
      <c r="G96" s="35">
        <v>0.43204811008838456</v>
      </c>
      <c r="H96" s="35">
        <v>0.65543122417425614</v>
      </c>
      <c r="I96" s="35">
        <v>8.1827506678678219</v>
      </c>
      <c r="J96" t="s">
        <v>2269</v>
      </c>
      <c r="K96" t="s">
        <v>36</v>
      </c>
    </row>
    <row r="97" spans="1:11">
      <c r="A97" s="1">
        <v>28460</v>
      </c>
      <c r="B97" t="s">
        <v>22</v>
      </c>
      <c r="C97" t="s">
        <v>2237</v>
      </c>
      <c r="D97" s="35">
        <v>3.5111741042130003E-2</v>
      </c>
      <c r="E97" s="35">
        <v>1.3746207317961039</v>
      </c>
      <c r="F97" s="35">
        <v>20.659900681565226</v>
      </c>
      <c r="G97" s="35">
        <v>9.0732441503875105E-2</v>
      </c>
      <c r="H97" s="35">
        <v>1.2838882902922288</v>
      </c>
      <c r="I97" s="35">
        <v>16.656857163332852</v>
      </c>
      <c r="J97" t="s">
        <v>2269</v>
      </c>
      <c r="K97" t="s">
        <v>36</v>
      </c>
    </row>
    <row r="98" spans="1:11">
      <c r="A98" s="1">
        <v>28491</v>
      </c>
      <c r="B98" t="s">
        <v>22</v>
      </c>
      <c r="C98" t="s">
        <v>2237</v>
      </c>
      <c r="D98" s="35">
        <v>3.5892480982931997E-2</v>
      </c>
      <c r="E98" s="35">
        <v>2.199225302246274</v>
      </c>
      <c r="F98" s="35">
        <v>19.53445448334481</v>
      </c>
      <c r="G98" s="35">
        <v>0.17355366550716039</v>
      </c>
      <c r="H98" s="35">
        <v>2.0256716367391134</v>
      </c>
      <c r="I98" s="35">
        <v>27.517139421179593</v>
      </c>
      <c r="J98" t="s">
        <v>2270</v>
      </c>
      <c r="K98" t="s">
        <v>36</v>
      </c>
    </row>
    <row r="99" spans="1:11">
      <c r="A99" s="1">
        <v>28522</v>
      </c>
      <c r="B99" t="s">
        <v>22</v>
      </c>
      <c r="C99" t="s">
        <v>2237</v>
      </c>
      <c r="D99" s="35">
        <v>3.6407712564607002E-2</v>
      </c>
      <c r="E99" s="35">
        <v>1.4252805656036356</v>
      </c>
      <c r="F99" s="35">
        <v>18.630752400432151</v>
      </c>
      <c r="G99" s="35">
        <v>-2.3713097848198361E-2</v>
      </c>
      <c r="H99" s="35">
        <v>1.4489936634518339</v>
      </c>
      <c r="I99" s="35">
        <v>18.991186292811758</v>
      </c>
      <c r="J99" t="s">
        <v>2270</v>
      </c>
      <c r="K99" t="s">
        <v>36</v>
      </c>
    </row>
    <row r="100" spans="1:11">
      <c r="A100" s="1">
        <v>28550</v>
      </c>
      <c r="B100" t="s">
        <v>22</v>
      </c>
      <c r="C100" t="s">
        <v>2237</v>
      </c>
      <c r="D100" s="35">
        <v>3.6786597255693998E-2</v>
      </c>
      <c r="E100" s="35">
        <v>1.0352937986242436</v>
      </c>
      <c r="F100" s="35">
        <v>17.810354176155773</v>
      </c>
      <c r="G100" s="35">
        <v>4.9988579633774066E-2</v>
      </c>
      <c r="H100" s="35">
        <v>0.98530521899046963</v>
      </c>
      <c r="I100" s="35">
        <v>12.551040519903701</v>
      </c>
      <c r="J100" t="s">
        <v>2270</v>
      </c>
      <c r="K100" t="s">
        <v>36</v>
      </c>
    </row>
    <row r="101" spans="1:11">
      <c r="A101" s="1">
        <v>28581</v>
      </c>
      <c r="B101" t="s">
        <v>22</v>
      </c>
      <c r="C101" t="s">
        <v>2237</v>
      </c>
      <c r="D101" s="35">
        <v>3.7195627566259999E-2</v>
      </c>
      <c r="E101" s="35">
        <v>1.1057642001689181</v>
      </c>
      <c r="F101" s="35">
        <v>17.345831070281868</v>
      </c>
      <c r="G101" s="35">
        <v>-0.20981878280513042</v>
      </c>
      <c r="H101" s="35">
        <v>1.3155829829740484</v>
      </c>
      <c r="I101" s="35">
        <v>17.101390376521074</v>
      </c>
      <c r="J101" t="s">
        <v>2271</v>
      </c>
      <c r="K101" t="s">
        <v>36</v>
      </c>
    </row>
    <row r="102" spans="1:11">
      <c r="A102" s="1">
        <v>28611</v>
      </c>
      <c r="B102" t="s">
        <v>22</v>
      </c>
      <c r="C102" t="s">
        <v>2237</v>
      </c>
      <c r="D102" s="35">
        <v>3.7560162134143003E-2</v>
      </c>
      <c r="E102" s="35">
        <v>0.9752755171712133</v>
      </c>
      <c r="F102" s="35">
        <v>17.464095995891029</v>
      </c>
      <c r="G102" s="35">
        <v>-0.60748395632500474</v>
      </c>
      <c r="H102" s="35">
        <v>1.582759473496218</v>
      </c>
      <c r="I102" s="35">
        <v>20.916632775114241</v>
      </c>
      <c r="J102" t="s">
        <v>2271</v>
      </c>
      <c r="K102" t="s">
        <v>36</v>
      </c>
    </row>
    <row r="103" spans="1:11">
      <c r="A103" s="1">
        <v>28642</v>
      </c>
      <c r="B103" t="s">
        <v>22</v>
      </c>
      <c r="C103" t="s">
        <v>2237</v>
      </c>
      <c r="D103" s="35">
        <v>3.8076828728438997E-2</v>
      </c>
      <c r="E103" s="35">
        <v>1.3661956263888422</v>
      </c>
      <c r="F103" s="35">
        <v>17.638456435781702</v>
      </c>
      <c r="G103" s="35">
        <v>-0.18319094864445387</v>
      </c>
      <c r="H103" s="35">
        <v>1.549386575033296</v>
      </c>
      <c r="I103" s="35">
        <v>20.433360491848163</v>
      </c>
      <c r="J103" t="s">
        <v>2271</v>
      </c>
      <c r="K103" t="s">
        <v>36</v>
      </c>
    </row>
    <row r="104" spans="1:11">
      <c r="A104" s="1">
        <v>28672</v>
      </c>
      <c r="B104" t="s">
        <v>22</v>
      </c>
      <c r="C104" t="s">
        <v>2237</v>
      </c>
      <c r="D104" s="35">
        <v>3.8722661971122001E-2</v>
      </c>
      <c r="E104" s="35">
        <v>1.6819082034330695</v>
      </c>
      <c r="F104" s="35">
        <v>18.296208350563159</v>
      </c>
      <c r="G104" s="35">
        <v>1.857230697938933E-2</v>
      </c>
      <c r="H104" s="35">
        <v>1.6633358964536802</v>
      </c>
      <c r="I104" s="35">
        <v>22.091467027818968</v>
      </c>
      <c r="J104" t="s">
        <v>2272</v>
      </c>
      <c r="K104" t="s">
        <v>36</v>
      </c>
    </row>
    <row r="105" spans="1:11">
      <c r="A105" s="1">
        <v>28703</v>
      </c>
      <c r="B105" t="s">
        <v>22</v>
      </c>
      <c r="C105" t="s">
        <v>2237</v>
      </c>
      <c r="D105" s="35">
        <v>3.9108726903659997E-2</v>
      </c>
      <c r="E105" s="35">
        <v>0.99206272547096941</v>
      </c>
      <c r="F105" s="35">
        <v>17.073386333103045</v>
      </c>
      <c r="G105" s="35">
        <v>-2.7232588788898948E-2</v>
      </c>
      <c r="H105" s="35">
        <v>1.0192953142598684</v>
      </c>
      <c r="I105" s="35">
        <v>13.011052504009847</v>
      </c>
      <c r="J105" t="s">
        <v>2272</v>
      </c>
      <c r="K105" t="s">
        <v>36</v>
      </c>
    </row>
    <row r="106" spans="1:11">
      <c r="A106" s="1">
        <v>28734</v>
      </c>
      <c r="B106" t="s">
        <v>22</v>
      </c>
      <c r="C106" t="s">
        <v>2237</v>
      </c>
      <c r="D106" s="35">
        <v>3.9555067534107001E-2</v>
      </c>
      <c r="E106" s="35">
        <v>1.1348179264663405</v>
      </c>
      <c r="F106" s="35">
        <v>16.345134086318147</v>
      </c>
      <c r="G106" s="35">
        <v>0.11528589899523589</v>
      </c>
      <c r="H106" s="35">
        <v>1.0195320274711046</v>
      </c>
      <c r="I106" s="35">
        <v>13.014262694700518</v>
      </c>
      <c r="J106" t="s">
        <v>2272</v>
      </c>
      <c r="K106" t="s">
        <v>36</v>
      </c>
    </row>
    <row r="107" spans="1:11">
      <c r="A107" s="1">
        <v>28764</v>
      </c>
      <c r="B107" t="s">
        <v>22</v>
      </c>
      <c r="C107" t="s">
        <v>2237</v>
      </c>
      <c r="D107" s="35">
        <v>4.0034418627922001E-2</v>
      </c>
      <c r="E107" s="35">
        <v>1.2045734004792383</v>
      </c>
      <c r="F107" s="35">
        <v>16.86216452234126</v>
      </c>
      <c r="G107" s="35">
        <v>0.17125837170386743</v>
      </c>
      <c r="H107" s="35">
        <v>1.033315028775371</v>
      </c>
      <c r="I107" s="35">
        <v>13.201338447589105</v>
      </c>
      <c r="J107" t="s">
        <v>2273</v>
      </c>
      <c r="K107" t="s">
        <v>36</v>
      </c>
    </row>
    <row r="108" spans="1:11">
      <c r="A108" s="1">
        <v>28795</v>
      </c>
      <c r="B108" t="s">
        <v>22</v>
      </c>
      <c r="C108" t="s">
        <v>2237</v>
      </c>
      <c r="D108" s="35">
        <v>4.0446313782378999E-2</v>
      </c>
      <c r="E108" s="35">
        <v>1.0235959302797306</v>
      </c>
      <c r="F108" s="35">
        <v>16.787532834845642</v>
      </c>
      <c r="G108" s="35">
        <v>0.43204811008838456</v>
      </c>
      <c r="H108" s="35">
        <v>0.591547820191346</v>
      </c>
      <c r="I108" s="35">
        <v>7.3565915016176264</v>
      </c>
      <c r="J108" t="s">
        <v>2273</v>
      </c>
      <c r="K108" t="s">
        <v>36</v>
      </c>
    </row>
    <row r="109" spans="1:11">
      <c r="A109" s="1">
        <v>28825</v>
      </c>
      <c r="B109" t="s">
        <v>22</v>
      </c>
      <c r="C109" t="s">
        <v>2237</v>
      </c>
      <c r="D109" s="35">
        <v>4.0789323166206003E-2</v>
      </c>
      <c r="E109" s="35">
        <v>0.84448509348763401</v>
      </c>
      <c r="F109" s="35">
        <v>16.170038726543233</v>
      </c>
      <c r="G109" s="35">
        <v>9.0732441503875105E-2</v>
      </c>
      <c r="H109" s="35">
        <v>0.75375265198375896</v>
      </c>
      <c r="I109" s="35">
        <v>9.4667121299319312</v>
      </c>
      <c r="J109" t="s">
        <v>2273</v>
      </c>
      <c r="K109" t="s">
        <v>36</v>
      </c>
    </row>
    <row r="110" spans="1:11">
      <c r="A110" s="1">
        <v>28856</v>
      </c>
      <c r="B110" t="s">
        <v>22</v>
      </c>
      <c r="C110" t="s">
        <v>2237</v>
      </c>
      <c r="D110" s="35">
        <v>4.2237421533746003E-2</v>
      </c>
      <c r="E110" s="35">
        <v>3.4886234238334701</v>
      </c>
      <c r="F110" s="35">
        <v>17.677631573674791</v>
      </c>
      <c r="G110" s="35">
        <v>0.17355366550716039</v>
      </c>
      <c r="H110" s="35">
        <v>3.3150697583263096</v>
      </c>
      <c r="I110" s="35">
        <v>48.855875154809205</v>
      </c>
      <c r="J110" t="s">
        <v>2274</v>
      </c>
      <c r="K110" t="s">
        <v>36</v>
      </c>
    </row>
    <row r="111" spans="1:11">
      <c r="A111" s="1">
        <v>28887</v>
      </c>
      <c r="B111" t="s">
        <v>22</v>
      </c>
      <c r="C111" t="s">
        <v>2237</v>
      </c>
      <c r="D111" s="35">
        <v>4.2844504263326998E-2</v>
      </c>
      <c r="E111" s="35">
        <v>1.427078728719579</v>
      </c>
      <c r="F111" s="35">
        <v>17.679747628466469</v>
      </c>
      <c r="G111" s="35">
        <v>-2.3713097848198361E-2</v>
      </c>
      <c r="H111" s="35">
        <v>1.4507918265677773</v>
      </c>
      <c r="I111" s="35">
        <v>19.016864930652577</v>
      </c>
      <c r="J111" t="s">
        <v>2274</v>
      </c>
      <c r="K111" t="s">
        <v>36</v>
      </c>
    </row>
    <row r="112" spans="1:11">
      <c r="A112" s="1">
        <v>28915</v>
      </c>
      <c r="B112" t="s">
        <v>22</v>
      </c>
      <c r="C112" t="s">
        <v>2237</v>
      </c>
      <c r="D112" s="35">
        <v>4.3425751591141003E-2</v>
      </c>
      <c r="E112" s="35">
        <v>1.3475238188878413</v>
      </c>
      <c r="F112" s="35">
        <v>18.047753341522686</v>
      </c>
      <c r="G112" s="35">
        <v>4.9988579633774066E-2</v>
      </c>
      <c r="H112" s="35">
        <v>1.2975352392540673</v>
      </c>
      <c r="I112" s="35">
        <v>16.848054897636722</v>
      </c>
      <c r="J112" t="s">
        <v>2274</v>
      </c>
      <c r="K112" t="s">
        <v>36</v>
      </c>
    </row>
    <row r="113" spans="1:11">
      <c r="A113" s="1">
        <v>28946</v>
      </c>
      <c r="B113" t="s">
        <v>22</v>
      </c>
      <c r="C113" t="s">
        <v>2237</v>
      </c>
      <c r="D113" s="35">
        <v>4.3814686549672001E-2</v>
      </c>
      <c r="E113" s="35">
        <v>0.89164507563381912</v>
      </c>
      <c r="F113" s="35">
        <v>17.795260939261915</v>
      </c>
      <c r="G113" s="35">
        <v>-0.20981878280513042</v>
      </c>
      <c r="H113" s="35">
        <v>1.1014638584389496</v>
      </c>
      <c r="I113" s="35">
        <v>14.130878739928733</v>
      </c>
      <c r="J113" t="s">
        <v>2275</v>
      </c>
      <c r="K113" t="s">
        <v>36</v>
      </c>
    </row>
    <row r="114" spans="1:11">
      <c r="A114" s="1">
        <v>28976</v>
      </c>
      <c r="B114" t="s">
        <v>22</v>
      </c>
      <c r="C114" t="s">
        <v>2237</v>
      </c>
      <c r="D114" s="35">
        <v>4.4388763996483997E-2</v>
      </c>
      <c r="E114" s="35">
        <v>1.3017303738021877</v>
      </c>
      <c r="F114" s="35">
        <v>18.180437661459514</v>
      </c>
      <c r="G114" s="35">
        <v>-0.60748395632500474</v>
      </c>
      <c r="H114" s="35">
        <v>1.9092143301271924</v>
      </c>
      <c r="I114" s="35">
        <v>25.747497175313285</v>
      </c>
      <c r="J114" t="s">
        <v>2275</v>
      </c>
      <c r="K114" t="s">
        <v>36</v>
      </c>
    </row>
    <row r="115" spans="1:11">
      <c r="A115" s="1">
        <v>29007</v>
      </c>
      <c r="B115" t="s">
        <v>22</v>
      </c>
      <c r="C115" t="s">
        <v>2237</v>
      </c>
      <c r="D115" s="35">
        <v>4.4881030200883E-2</v>
      </c>
      <c r="E115" s="35">
        <v>1.1028841246071408</v>
      </c>
      <c r="F115" s="35">
        <v>17.86966430679151</v>
      </c>
      <c r="G115" s="35">
        <v>-0.18319094864445387</v>
      </c>
      <c r="H115" s="35">
        <v>1.2860750732515946</v>
      </c>
      <c r="I115" s="35">
        <v>16.687473567523583</v>
      </c>
      <c r="J115" t="s">
        <v>2275</v>
      </c>
      <c r="K115" t="s">
        <v>36</v>
      </c>
    </row>
    <row r="116" spans="1:11">
      <c r="A116" s="1">
        <v>29037</v>
      </c>
      <c r="B116" t="s">
        <v>22</v>
      </c>
      <c r="C116" t="s">
        <v>2237</v>
      </c>
      <c r="D116" s="35">
        <v>4.5424962028216997E-2</v>
      </c>
      <c r="E116" s="35">
        <v>1.204656284319167</v>
      </c>
      <c r="F116" s="35">
        <v>17.308469294010152</v>
      </c>
      <c r="G116" s="35">
        <v>1.857230697938933E-2</v>
      </c>
      <c r="H116" s="35">
        <v>1.1860839773397778</v>
      </c>
      <c r="I116" s="35">
        <v>15.295715069714145</v>
      </c>
      <c r="J116" t="s">
        <v>2276</v>
      </c>
      <c r="K116" t="s">
        <v>36</v>
      </c>
    </row>
    <row r="117" spans="1:11">
      <c r="A117" s="1">
        <v>29068</v>
      </c>
      <c r="B117" t="s">
        <v>22</v>
      </c>
      <c r="C117" t="s">
        <v>2237</v>
      </c>
      <c r="D117" s="35">
        <v>4.6112415808491999E-2</v>
      </c>
      <c r="E117" s="35">
        <v>1.502045877687858</v>
      </c>
      <c r="F117" s="35">
        <v>17.90825081594911</v>
      </c>
      <c r="G117" s="35">
        <v>-2.7232588788898948E-2</v>
      </c>
      <c r="H117" s="35">
        <v>1.5292784664767569</v>
      </c>
      <c r="I117" s="35">
        <v>20.143108367560991</v>
      </c>
      <c r="J117" t="s">
        <v>2276</v>
      </c>
      <c r="K117" t="s">
        <v>36</v>
      </c>
    </row>
    <row r="118" spans="1:11">
      <c r="A118" s="1">
        <v>29099</v>
      </c>
      <c r="B118" t="s">
        <v>22</v>
      </c>
      <c r="C118" t="s">
        <v>2237</v>
      </c>
      <c r="D118" s="35">
        <v>4.6677878001232E-2</v>
      </c>
      <c r="E118" s="35">
        <v>1.2188110834848938</v>
      </c>
      <c r="F118" s="35">
        <v>18.00732728109551</v>
      </c>
      <c r="G118" s="35">
        <v>0.11528589899523589</v>
      </c>
      <c r="H118" s="35">
        <v>1.1035251844896579</v>
      </c>
      <c r="I118" s="35">
        <v>14.159113546277702</v>
      </c>
      <c r="J118" t="s">
        <v>2276</v>
      </c>
      <c r="K118" t="s">
        <v>36</v>
      </c>
    </row>
    <row r="119" spans="1:11">
      <c r="A119" s="1">
        <v>29129</v>
      </c>
      <c r="B119" t="s">
        <v>22</v>
      </c>
      <c r="C119" t="s">
        <v>2237</v>
      </c>
      <c r="D119" s="35">
        <v>4.7493063416521E-2</v>
      </c>
      <c r="E119" s="35">
        <v>1.7313319069252628</v>
      </c>
      <c r="F119" s="35">
        <v>18.630580995616029</v>
      </c>
      <c r="G119" s="35">
        <v>0.17125837170386743</v>
      </c>
      <c r="H119" s="35">
        <v>1.5600735352213955</v>
      </c>
      <c r="I119" s="35">
        <v>20.587907552431449</v>
      </c>
      <c r="J119" t="s">
        <v>2277</v>
      </c>
      <c r="K119" t="s">
        <v>36</v>
      </c>
    </row>
    <row r="120" spans="1:11">
      <c r="A120" s="1">
        <v>29160</v>
      </c>
      <c r="B120" t="s">
        <v>22</v>
      </c>
      <c r="C120" t="s">
        <v>2237</v>
      </c>
      <c r="D120" s="35">
        <v>4.8104451183965002E-2</v>
      </c>
      <c r="E120" s="35">
        <v>1.2791045997017592</v>
      </c>
      <c r="F120" s="35">
        <v>18.934079982642025</v>
      </c>
      <c r="G120" s="35">
        <v>0.43204811008838456</v>
      </c>
      <c r="H120" s="35">
        <v>0.84705648961337454</v>
      </c>
      <c r="I120" s="35">
        <v>10.699238943116661</v>
      </c>
      <c r="J120" t="s">
        <v>2277</v>
      </c>
      <c r="K120" t="s">
        <v>36</v>
      </c>
    </row>
    <row r="121" spans="1:11">
      <c r="A121" s="1">
        <v>29190</v>
      </c>
      <c r="B121" t="s">
        <v>22</v>
      </c>
      <c r="C121" t="s">
        <v>2237</v>
      </c>
      <c r="D121" s="35">
        <v>4.8955511907265999E-2</v>
      </c>
      <c r="E121" s="35">
        <v>1.7537252404200516</v>
      </c>
      <c r="F121" s="35">
        <v>20.020407565442746</v>
      </c>
      <c r="G121" s="35">
        <v>9.0732441503875105E-2</v>
      </c>
      <c r="H121" s="35">
        <v>1.6629927989161766</v>
      </c>
      <c r="I121" s="35">
        <v>22.086440417494234</v>
      </c>
      <c r="J121" t="s">
        <v>2277</v>
      </c>
      <c r="K121" t="s">
        <v>36</v>
      </c>
    </row>
    <row r="122" spans="1:11">
      <c r="A122" s="1">
        <v>29221</v>
      </c>
      <c r="B122" t="s">
        <v>22</v>
      </c>
      <c r="C122" t="s">
        <v>2237</v>
      </c>
      <c r="D122" s="35">
        <v>5.1342222289500999E-2</v>
      </c>
      <c r="E122" s="35">
        <v>4.7601494797078061</v>
      </c>
      <c r="F122" s="35">
        <v>21.556241894360497</v>
      </c>
      <c r="G122" s="35">
        <v>0.17355366550716039</v>
      </c>
      <c r="H122" s="35">
        <v>4.5865958142006455</v>
      </c>
      <c r="I122" s="35">
        <v>73.393171529004846</v>
      </c>
      <c r="J122" t="s">
        <v>2278</v>
      </c>
      <c r="K122" t="s">
        <v>36</v>
      </c>
    </row>
    <row r="123" spans="1:11">
      <c r="A123" s="1">
        <v>29252</v>
      </c>
      <c r="B123" t="s">
        <v>22</v>
      </c>
      <c r="C123" t="s">
        <v>2237</v>
      </c>
      <c r="D123" s="35">
        <v>5.2529117335026E-2</v>
      </c>
      <c r="E123" s="35">
        <v>2.2854171521690732</v>
      </c>
      <c r="F123" s="35">
        <v>22.604096460484911</v>
      </c>
      <c r="G123" s="35">
        <v>-2.3713097848198361E-2</v>
      </c>
      <c r="H123" s="35">
        <v>2.3091302500172715</v>
      </c>
      <c r="I123" s="35">
        <v>31.929252894989979</v>
      </c>
      <c r="J123" t="s">
        <v>2278</v>
      </c>
      <c r="K123" t="s">
        <v>36</v>
      </c>
    </row>
    <row r="124" spans="1:11">
      <c r="A124" s="1">
        <v>29281</v>
      </c>
      <c r="B124" t="s">
        <v>22</v>
      </c>
      <c r="C124" t="s">
        <v>2237</v>
      </c>
      <c r="D124" s="35">
        <v>5.3609811109441997E-2</v>
      </c>
      <c r="E124" s="35">
        <v>2.0364462652742255</v>
      </c>
      <c r="F124" s="35">
        <v>23.451659775944034</v>
      </c>
      <c r="G124" s="35">
        <v>4.9988579633774066E-2</v>
      </c>
      <c r="H124" s="35">
        <v>1.9864576856404514</v>
      </c>
      <c r="I124" s="35">
        <v>26.918494934443626</v>
      </c>
      <c r="J124" t="s">
        <v>2278</v>
      </c>
      <c r="K124" t="s">
        <v>36</v>
      </c>
    </row>
    <row r="125" spans="1:11">
      <c r="A125" s="1">
        <v>29312</v>
      </c>
      <c r="B125" t="s">
        <v>22</v>
      </c>
      <c r="C125" t="s">
        <v>2237</v>
      </c>
      <c r="D125" s="35">
        <v>5.4546982931667001E-2</v>
      </c>
      <c r="E125" s="35">
        <v>1.7330308026087398</v>
      </c>
      <c r="F125" s="35">
        <v>24.494746458651417</v>
      </c>
      <c r="G125" s="35">
        <v>-0.20981878280513042</v>
      </c>
      <c r="H125" s="35">
        <v>1.9428495854138701</v>
      </c>
      <c r="I125" s="35">
        <v>26.256068741243887</v>
      </c>
      <c r="J125" t="s">
        <v>2279</v>
      </c>
      <c r="K125" t="s">
        <v>36</v>
      </c>
    </row>
    <row r="126" spans="1:11">
      <c r="A126" s="1">
        <v>29342</v>
      </c>
      <c r="B126" t="s">
        <v>22</v>
      </c>
      <c r="C126" t="s">
        <v>2237</v>
      </c>
      <c r="D126" s="35">
        <v>5.5436799348668998E-2</v>
      </c>
      <c r="E126" s="35">
        <v>1.6181218969881843</v>
      </c>
      <c r="F126" s="35">
        <v>24.88926105953324</v>
      </c>
      <c r="G126" s="35">
        <v>-0.60748395632500474</v>
      </c>
      <c r="H126" s="35">
        <v>2.2256058533131888</v>
      </c>
      <c r="I126" s="35">
        <v>30.613540205415511</v>
      </c>
      <c r="J126" t="s">
        <v>2279</v>
      </c>
      <c r="K126" t="s">
        <v>36</v>
      </c>
    </row>
    <row r="127" spans="1:11">
      <c r="A127" s="1">
        <v>29373</v>
      </c>
      <c r="B127" t="s">
        <v>22</v>
      </c>
      <c r="C127" t="s">
        <v>2237</v>
      </c>
      <c r="D127" s="35">
        <v>5.6536148282649003E-2</v>
      </c>
      <c r="E127" s="35">
        <v>1.9636604776624396</v>
      </c>
      <c r="F127" s="35">
        <v>25.968918337210312</v>
      </c>
      <c r="G127" s="35">
        <v>-0.18319094864445387</v>
      </c>
      <c r="H127" s="35">
        <v>2.1468514263068936</v>
      </c>
      <c r="I127" s="35">
        <v>29.384987246052162</v>
      </c>
      <c r="J127" t="s">
        <v>2279</v>
      </c>
      <c r="K127" t="s">
        <v>36</v>
      </c>
    </row>
    <row r="128" spans="1:11">
      <c r="A128" s="1">
        <v>29403</v>
      </c>
      <c r="B128" t="s">
        <v>22</v>
      </c>
      <c r="C128" t="s">
        <v>2237</v>
      </c>
      <c r="D128" s="35">
        <v>5.8114848311197002E-2</v>
      </c>
      <c r="E128" s="35">
        <v>2.7540969757757905</v>
      </c>
      <c r="F128" s="35">
        <v>27.935931515137689</v>
      </c>
      <c r="G128" s="35">
        <v>1.857230697938933E-2</v>
      </c>
      <c r="H128" s="35">
        <v>2.7355246687964012</v>
      </c>
      <c r="I128" s="35">
        <v>38.855405881586201</v>
      </c>
      <c r="J128" t="s">
        <v>2280</v>
      </c>
      <c r="K128" t="s">
        <v>36</v>
      </c>
    </row>
    <row r="129" spans="1:11">
      <c r="A129" s="1">
        <v>29434</v>
      </c>
      <c r="B129" t="s">
        <v>22</v>
      </c>
      <c r="C129" t="s">
        <v>2237</v>
      </c>
      <c r="D129" s="35">
        <v>5.9318963504416997E-2</v>
      </c>
      <c r="E129" s="35">
        <v>2.0507848220520923</v>
      </c>
      <c r="F129" s="35">
        <v>28.63989549099464</v>
      </c>
      <c r="G129" s="35">
        <v>-2.7232588788898948E-2</v>
      </c>
      <c r="H129" s="35">
        <v>2.0780174108409915</v>
      </c>
      <c r="I129" s="35">
        <v>28.32065843352709</v>
      </c>
      <c r="J129" t="s">
        <v>2280</v>
      </c>
      <c r="K129" t="s">
        <v>36</v>
      </c>
    </row>
    <row r="130" spans="1:11">
      <c r="A130" s="1">
        <v>29465</v>
      </c>
      <c r="B130" t="s">
        <v>22</v>
      </c>
      <c r="C130" t="s">
        <v>2237</v>
      </c>
      <c r="D130" s="35">
        <v>5.9977717037531998E-2</v>
      </c>
      <c r="E130" s="35">
        <v>1.1044066370772345</v>
      </c>
      <c r="F130" s="35">
        <v>28.492809882979174</v>
      </c>
      <c r="G130" s="35">
        <v>0.11528589899523589</v>
      </c>
      <c r="H130" s="35">
        <v>0.98912073808199863</v>
      </c>
      <c r="I130" s="35">
        <v>12.602585196450079</v>
      </c>
      <c r="J130" t="s">
        <v>2280</v>
      </c>
      <c r="K130" t="s">
        <v>36</v>
      </c>
    </row>
    <row r="131" spans="1:11">
      <c r="A131" s="1">
        <v>29495</v>
      </c>
      <c r="B131" t="s">
        <v>22</v>
      </c>
      <c r="C131" t="s">
        <v>2237</v>
      </c>
      <c r="D131" s="35">
        <v>6.0886183433500003E-2</v>
      </c>
      <c r="E131" s="35">
        <v>1.5033165428476165</v>
      </c>
      <c r="F131" s="35">
        <v>28.200160304504717</v>
      </c>
      <c r="G131" s="35">
        <v>0.17125837170386743</v>
      </c>
      <c r="H131" s="35">
        <v>1.3320581711437491</v>
      </c>
      <c r="I131" s="35">
        <v>17.333131472695172</v>
      </c>
      <c r="J131" t="s">
        <v>2281</v>
      </c>
      <c r="K131" t="s">
        <v>36</v>
      </c>
    </row>
    <row r="132" spans="1:11">
      <c r="A132" s="1">
        <v>29526</v>
      </c>
      <c r="B132" t="s">
        <v>22</v>
      </c>
      <c r="C132" t="s">
        <v>2237</v>
      </c>
      <c r="D132" s="35">
        <v>6.1942481999368998E-2</v>
      </c>
      <c r="E132" s="35">
        <v>1.7199968805394414</v>
      </c>
      <c r="F132" s="35">
        <v>28.766632764364065</v>
      </c>
      <c r="G132" s="35">
        <v>0.43204811008838456</v>
      </c>
      <c r="H132" s="35">
        <v>1.2879487704510568</v>
      </c>
      <c r="I132" s="35">
        <v>16.713712956385486</v>
      </c>
      <c r="J132" t="s">
        <v>2281</v>
      </c>
      <c r="K132" t="s">
        <v>36</v>
      </c>
    </row>
    <row r="133" spans="1:11">
      <c r="A133" s="1">
        <v>29556</v>
      </c>
      <c r="B133" t="s">
        <v>22</v>
      </c>
      <c r="C133" t="s">
        <v>2237</v>
      </c>
      <c r="D133" s="35">
        <v>6.3567107601118E-2</v>
      </c>
      <c r="E133" s="35">
        <v>2.5889915712813805</v>
      </c>
      <c r="F133" s="35">
        <v>29.846681455461077</v>
      </c>
      <c r="G133" s="35">
        <v>9.0732441503875105E-2</v>
      </c>
      <c r="H133" s="35">
        <v>2.4982591297775052</v>
      </c>
      <c r="I133" s="35">
        <v>34.957684554826464</v>
      </c>
      <c r="J133" t="s">
        <v>2281</v>
      </c>
      <c r="K133" t="s">
        <v>36</v>
      </c>
    </row>
    <row r="134" spans="1:11">
      <c r="A134" s="1">
        <v>29587</v>
      </c>
      <c r="B134" t="s">
        <v>22</v>
      </c>
      <c r="C134" t="s">
        <v>2237</v>
      </c>
      <c r="D134" s="35">
        <v>6.5615113636636996E-2</v>
      </c>
      <c r="E134" s="35">
        <v>3.1709899735203417</v>
      </c>
      <c r="F134" s="35">
        <v>27.799519986992593</v>
      </c>
      <c r="G134" s="35">
        <v>0.17355366550716039</v>
      </c>
      <c r="H134" s="35">
        <v>2.9974363080131812</v>
      </c>
      <c r="I134" s="35">
        <v>43.288852856542135</v>
      </c>
      <c r="J134" t="s">
        <v>2282</v>
      </c>
      <c r="K134" t="s">
        <v>36</v>
      </c>
    </row>
    <row r="135" spans="1:11">
      <c r="A135" s="1">
        <v>29618</v>
      </c>
      <c r="B135" t="s">
        <v>22</v>
      </c>
      <c r="C135" t="s">
        <v>2237</v>
      </c>
      <c r="D135" s="35">
        <v>6.7226824128553006E-2</v>
      </c>
      <c r="E135" s="35">
        <v>2.4266276245627076</v>
      </c>
      <c r="F135" s="35">
        <v>27.98011377154188</v>
      </c>
      <c r="G135" s="35">
        <v>-2.3713097848198361E-2</v>
      </c>
      <c r="H135" s="35">
        <v>2.4503407224109059</v>
      </c>
      <c r="I135" s="35">
        <v>34.183876589011966</v>
      </c>
      <c r="J135" t="s">
        <v>2282</v>
      </c>
      <c r="K135" t="s">
        <v>36</v>
      </c>
    </row>
    <row r="136" spans="1:11">
      <c r="A136" s="1">
        <v>29646</v>
      </c>
      <c r="B136" t="s">
        <v>22</v>
      </c>
      <c r="C136" t="s">
        <v>2237</v>
      </c>
      <c r="D136" s="35">
        <v>6.8664872228650004E-2</v>
      </c>
      <c r="E136" s="35">
        <v>2.1165410725355209</v>
      </c>
      <c r="F136" s="35">
        <v>28.0826602587235</v>
      </c>
      <c r="G136" s="35">
        <v>4.9988579633774066E-2</v>
      </c>
      <c r="H136" s="35">
        <v>2.0665524929017467</v>
      </c>
      <c r="I136" s="35">
        <v>28.14423752216879</v>
      </c>
      <c r="J136" t="s">
        <v>2282</v>
      </c>
      <c r="K136" t="s">
        <v>36</v>
      </c>
    </row>
    <row r="137" spans="1:11">
      <c r="A137" s="1">
        <v>29677</v>
      </c>
      <c r="B137" t="s">
        <v>22</v>
      </c>
      <c r="C137" t="s">
        <v>2237</v>
      </c>
      <c r="D137" s="35">
        <v>7.0213436998917994E-2</v>
      </c>
      <c r="E137" s="35">
        <v>2.2301955768625978</v>
      </c>
      <c r="F137" s="35">
        <v>28.721027681543699</v>
      </c>
      <c r="G137" s="35">
        <v>-0.20981878280513042</v>
      </c>
      <c r="H137" s="35">
        <v>2.4400143596677282</v>
      </c>
      <c r="I137" s="35">
        <v>34.017703801830955</v>
      </c>
      <c r="J137" t="s">
        <v>2283</v>
      </c>
      <c r="K137" t="s">
        <v>36</v>
      </c>
    </row>
    <row r="138" spans="1:11">
      <c r="A138" s="1">
        <v>29707</v>
      </c>
      <c r="B138" t="s">
        <v>22</v>
      </c>
      <c r="C138" t="s">
        <v>2237</v>
      </c>
      <c r="D138" s="35">
        <v>7.1275470432417998E-2</v>
      </c>
      <c r="E138" s="35">
        <v>1.5012532065171884</v>
      </c>
      <c r="F138" s="35">
        <v>28.570680973358307</v>
      </c>
      <c r="G138" s="35">
        <v>-0.60748395632500474</v>
      </c>
      <c r="H138" s="35">
        <v>2.1087371628421931</v>
      </c>
      <c r="I138" s="35">
        <v>28.794568857937875</v>
      </c>
      <c r="J138" t="s">
        <v>2283</v>
      </c>
      <c r="K138" t="s">
        <v>36</v>
      </c>
    </row>
    <row r="139" spans="1:11">
      <c r="A139" s="1">
        <v>29738</v>
      </c>
      <c r="B139" t="s">
        <v>22</v>
      </c>
      <c r="C139" t="s">
        <v>2237</v>
      </c>
      <c r="D139" s="35">
        <v>7.2271488120529997E-2</v>
      </c>
      <c r="E139" s="35">
        <v>1.3877461185543405</v>
      </c>
      <c r="F139" s="35">
        <v>27.832352071833988</v>
      </c>
      <c r="G139" s="35">
        <v>-0.18319094864445387</v>
      </c>
      <c r="H139" s="35">
        <v>1.5709370671987943</v>
      </c>
      <c r="I139" s="35">
        <v>20.745211333407454</v>
      </c>
      <c r="J139" t="s">
        <v>2283</v>
      </c>
      <c r="K139" t="s">
        <v>36</v>
      </c>
    </row>
    <row r="140" spans="1:11">
      <c r="A140" s="1">
        <v>29768</v>
      </c>
      <c r="B140" t="s">
        <v>22</v>
      </c>
      <c r="C140" t="s">
        <v>2237</v>
      </c>
      <c r="D140" s="35">
        <v>7.3544494264979998E-2</v>
      </c>
      <c r="E140" s="35">
        <v>1.7460891002341932</v>
      </c>
      <c r="F140" s="35">
        <v>26.550264523034393</v>
      </c>
      <c r="G140" s="35">
        <v>1.857230697938933E-2</v>
      </c>
      <c r="H140" s="35">
        <v>1.7275167932548039</v>
      </c>
      <c r="I140" s="35">
        <v>23.035410130253055</v>
      </c>
      <c r="J140" t="s">
        <v>2284</v>
      </c>
      <c r="K140" t="s">
        <v>36</v>
      </c>
    </row>
    <row r="141" spans="1:11">
      <c r="A141" s="1">
        <v>29799</v>
      </c>
      <c r="B141" t="s">
        <v>22</v>
      </c>
      <c r="C141" t="s">
        <v>2237</v>
      </c>
      <c r="D141" s="35">
        <v>7.5060048571127996E-2</v>
      </c>
      <c r="E141" s="35">
        <v>2.0397853594810549</v>
      </c>
      <c r="F141" s="35">
        <v>26.536345439580877</v>
      </c>
      <c r="G141" s="35">
        <v>-2.7232588788898948E-2</v>
      </c>
      <c r="H141" s="35">
        <v>2.067017948269954</v>
      </c>
      <c r="I141" s="35">
        <v>28.151395172852077</v>
      </c>
      <c r="J141" t="s">
        <v>2284</v>
      </c>
      <c r="K141" t="s">
        <v>36</v>
      </c>
    </row>
    <row r="142" spans="1:11">
      <c r="A142" s="1">
        <v>29830</v>
      </c>
      <c r="B142" t="s">
        <v>22</v>
      </c>
      <c r="C142" t="s">
        <v>2237</v>
      </c>
      <c r="D142" s="35">
        <v>7.6456481314983005E-2</v>
      </c>
      <c r="E142" s="35">
        <v>1.8433266459997468</v>
      </c>
      <c r="F142" s="35">
        <v>27.474810798715723</v>
      </c>
      <c r="G142" s="35">
        <v>0.11528589899523589</v>
      </c>
      <c r="H142" s="35">
        <v>1.7280407470045109</v>
      </c>
      <c r="I142" s="35">
        <v>23.043146157187856</v>
      </c>
      <c r="J142" t="s">
        <v>2284</v>
      </c>
      <c r="K142" t="s">
        <v>36</v>
      </c>
    </row>
    <row r="143" spans="1:11">
      <c r="A143" s="1">
        <v>29860</v>
      </c>
      <c r="B143" t="s">
        <v>22</v>
      </c>
      <c r="C143" t="s">
        <v>2237</v>
      </c>
      <c r="D143" s="35">
        <v>7.8152867893202999E-2</v>
      </c>
      <c r="E143" s="35">
        <v>2.1945046219997191</v>
      </c>
      <c r="F143" s="35">
        <v>28.358953519498709</v>
      </c>
      <c r="G143" s="35">
        <v>0.17125837170386743</v>
      </c>
      <c r="H143" s="35">
        <v>2.0232462502958515</v>
      </c>
      <c r="I143" s="35">
        <v>27.480031420567762</v>
      </c>
      <c r="J143" t="s">
        <v>2285</v>
      </c>
      <c r="K143" t="s">
        <v>36</v>
      </c>
    </row>
    <row r="144" spans="1:11">
      <c r="A144" s="1">
        <v>29891</v>
      </c>
      <c r="B144" t="s">
        <v>22</v>
      </c>
      <c r="C144" t="s">
        <v>2237</v>
      </c>
      <c r="D144" s="35">
        <v>7.9656936920788998E-2</v>
      </c>
      <c r="E144" s="35">
        <v>1.9062371619424101</v>
      </c>
      <c r="F144" s="35">
        <v>28.598232343354368</v>
      </c>
      <c r="G144" s="35">
        <v>0.43204811008838456</v>
      </c>
      <c r="H144" s="35">
        <v>1.4741890518540255</v>
      </c>
      <c r="I144" s="35">
        <v>19.351494202814767</v>
      </c>
      <c r="J144" t="s">
        <v>2285</v>
      </c>
      <c r="K144" t="s">
        <v>36</v>
      </c>
    </row>
    <row r="145" spans="1:11">
      <c r="A145" s="1">
        <v>29921</v>
      </c>
      <c r="B145" t="s">
        <v>22</v>
      </c>
      <c r="C145" t="s">
        <v>2237</v>
      </c>
      <c r="D145" s="35">
        <v>8.1801099141324995E-2</v>
      </c>
      <c r="E145" s="35">
        <v>2.6561555350493595</v>
      </c>
      <c r="F145" s="35">
        <v>28.684633025345164</v>
      </c>
      <c r="G145" s="35">
        <v>9.0732441503875105E-2</v>
      </c>
      <c r="H145" s="35">
        <v>2.5654230935454843</v>
      </c>
      <c r="I145" s="35">
        <v>36.04979483461792</v>
      </c>
      <c r="J145" t="s">
        <v>2285</v>
      </c>
      <c r="K145" t="s">
        <v>36</v>
      </c>
    </row>
    <row r="146" spans="1:11">
      <c r="A146" s="1">
        <v>29952</v>
      </c>
      <c r="B146" t="s">
        <v>22</v>
      </c>
      <c r="C146" t="s">
        <v>2237</v>
      </c>
      <c r="D146" s="35">
        <v>8.5865535761614001E-2</v>
      </c>
      <c r="E146" s="35">
        <v>4.8491854543319546</v>
      </c>
      <c r="F146" s="35">
        <v>30.862435500942166</v>
      </c>
      <c r="G146" s="35">
        <v>0.17355366550716039</v>
      </c>
      <c r="H146" s="35">
        <v>4.675631788824794</v>
      </c>
      <c r="I146" s="35">
        <v>75.255691289258394</v>
      </c>
      <c r="J146" t="s">
        <v>2286</v>
      </c>
      <c r="K146" t="s">
        <v>36</v>
      </c>
    </row>
    <row r="147" spans="1:11">
      <c r="A147" s="1">
        <v>29983</v>
      </c>
      <c r="B147" t="s">
        <v>22</v>
      </c>
      <c r="C147" t="s">
        <v>2237</v>
      </c>
      <c r="D147" s="35">
        <v>8.9239653758488996E-2</v>
      </c>
      <c r="E147" s="35">
        <v>3.8542954668117755</v>
      </c>
      <c r="F147" s="35">
        <v>32.744116526823341</v>
      </c>
      <c r="G147" s="35">
        <v>-2.3713097848198361E-2</v>
      </c>
      <c r="H147" s="35">
        <v>3.8780085646599738</v>
      </c>
      <c r="I147" s="35">
        <v>59.25890539672065</v>
      </c>
      <c r="J147" t="s">
        <v>2286</v>
      </c>
      <c r="K147" t="s">
        <v>36</v>
      </c>
    </row>
    <row r="148" spans="1:11">
      <c r="A148" s="1">
        <v>30011</v>
      </c>
      <c r="B148" t="s">
        <v>22</v>
      </c>
      <c r="C148" t="s">
        <v>2237</v>
      </c>
      <c r="D148" s="35">
        <v>9.2498950048831005E-2</v>
      </c>
      <c r="E148" s="35">
        <v>3.5871803965132476</v>
      </c>
      <c r="F148" s="35">
        <v>34.710729149564166</v>
      </c>
      <c r="G148" s="35">
        <v>4.9988579633774066E-2</v>
      </c>
      <c r="H148" s="35">
        <v>3.5371918168794734</v>
      </c>
      <c r="I148" s="35">
        <v>52.876927766866388</v>
      </c>
      <c r="J148" t="s">
        <v>2286</v>
      </c>
      <c r="K148" t="s">
        <v>36</v>
      </c>
    </row>
    <row r="149" spans="1:11">
      <c r="A149" s="1">
        <v>30042</v>
      </c>
      <c r="B149" t="s">
        <v>22</v>
      </c>
      <c r="C149" t="s">
        <v>2237</v>
      </c>
      <c r="D149" s="35">
        <v>9.7512043769908005E-2</v>
      </c>
      <c r="E149" s="35">
        <v>5.2778602589812973</v>
      </c>
      <c r="F149" s="35">
        <v>38.879462304929888</v>
      </c>
      <c r="G149" s="35">
        <v>-0.20981878280513042</v>
      </c>
      <c r="H149" s="35">
        <v>5.4876790417864276</v>
      </c>
      <c r="I149" s="35">
        <v>93.193382863407166</v>
      </c>
      <c r="J149" t="s">
        <v>2287</v>
      </c>
      <c r="K149" t="s">
        <v>36</v>
      </c>
    </row>
    <row r="150" spans="1:11">
      <c r="A150" s="1">
        <v>30072</v>
      </c>
      <c r="B150" t="s">
        <v>22</v>
      </c>
      <c r="C150" t="s">
        <v>2237</v>
      </c>
      <c r="D150" s="35">
        <v>0.102993008486838</v>
      </c>
      <c r="E150" s="35">
        <v>5.4685210936881976</v>
      </c>
      <c r="F150" s="35">
        <v>44.499935057593135</v>
      </c>
      <c r="G150" s="35">
        <v>-0.60748395632500474</v>
      </c>
      <c r="H150" s="35">
        <v>6.0760050500132028</v>
      </c>
      <c r="I150" s="35">
        <v>107.32565963713495</v>
      </c>
      <c r="J150" t="s">
        <v>2287</v>
      </c>
      <c r="K150" t="s">
        <v>36</v>
      </c>
    </row>
    <row r="151" spans="1:11">
      <c r="A151" s="1">
        <v>30103</v>
      </c>
      <c r="B151" t="s">
        <v>22</v>
      </c>
      <c r="C151" t="s">
        <v>2237</v>
      </c>
      <c r="D151" s="35">
        <v>0.107954431404381</v>
      </c>
      <c r="E151" s="35">
        <v>4.7048099487981654</v>
      </c>
      <c r="F151" s="35">
        <v>49.373472460316805</v>
      </c>
      <c r="G151" s="35">
        <v>-0.18319094864445387</v>
      </c>
      <c r="H151" s="35">
        <v>4.8880008974426197</v>
      </c>
      <c r="I151" s="35">
        <v>79.779355046870421</v>
      </c>
      <c r="J151" t="s">
        <v>2287</v>
      </c>
      <c r="K151" t="s">
        <v>36</v>
      </c>
    </row>
    <row r="152" spans="1:11">
      <c r="A152" s="1">
        <v>30133</v>
      </c>
      <c r="B152" t="s">
        <v>22</v>
      </c>
      <c r="C152" t="s">
        <v>2237</v>
      </c>
      <c r="D152" s="35">
        <v>0.113517202183875</v>
      </c>
      <c r="E152" s="35">
        <v>5.0245179883458748</v>
      </c>
      <c r="F152" s="35">
        <v>54.351734033106247</v>
      </c>
      <c r="G152" s="35">
        <v>1.857230697938933E-2</v>
      </c>
      <c r="H152" s="35">
        <v>5.0059456813664855</v>
      </c>
      <c r="I152" s="35">
        <v>82.341931281717024</v>
      </c>
      <c r="J152" t="s">
        <v>2288</v>
      </c>
      <c r="K152" t="s">
        <v>36</v>
      </c>
    </row>
    <row r="153" spans="1:11">
      <c r="A153" s="1">
        <v>30164</v>
      </c>
      <c r="B153" t="s">
        <v>22</v>
      </c>
      <c r="C153" t="s">
        <v>2237</v>
      </c>
      <c r="D153" s="35">
        <v>0.12625587888394699</v>
      </c>
      <c r="E153" s="35">
        <v>10.635624596009048</v>
      </c>
      <c r="F153" s="35">
        <v>68.206497714033688</v>
      </c>
      <c r="G153" s="35">
        <v>-2.7232588788898948E-2</v>
      </c>
      <c r="H153" s="35">
        <v>10.662857184797947</v>
      </c>
      <c r="I153" s="35">
        <v>259.49959412571542</v>
      </c>
      <c r="J153" t="s">
        <v>2288</v>
      </c>
      <c r="K153" t="s">
        <v>36</v>
      </c>
    </row>
    <row r="154" spans="1:11">
      <c r="A154" s="1">
        <v>30195</v>
      </c>
      <c r="B154" t="s">
        <v>22</v>
      </c>
      <c r="C154" t="s">
        <v>2237</v>
      </c>
      <c r="D154" s="35">
        <v>0.13299549962287399</v>
      </c>
      <c r="E154" s="35">
        <v>5.2004657738519482</v>
      </c>
      <c r="F154" s="35">
        <v>73.949281127604237</v>
      </c>
      <c r="G154" s="35">
        <v>0.11528589899523589</v>
      </c>
      <c r="H154" s="35">
        <v>5.0851798748567125</v>
      </c>
      <c r="I154" s="35">
        <v>84.083925592733166</v>
      </c>
      <c r="J154" t="s">
        <v>2288</v>
      </c>
      <c r="K154" t="s">
        <v>36</v>
      </c>
    </row>
    <row r="155" spans="1:11">
      <c r="A155" s="1">
        <v>30225</v>
      </c>
      <c r="B155" t="s">
        <v>22</v>
      </c>
      <c r="C155" t="s">
        <v>2237</v>
      </c>
      <c r="D155" s="35">
        <v>0.139890117231354</v>
      </c>
      <c r="E155" s="35">
        <v>5.0541947285995539</v>
      </c>
      <c r="F155" s="35">
        <v>78.995500744151599</v>
      </c>
      <c r="G155" s="35">
        <v>0.17125837170386743</v>
      </c>
      <c r="H155" s="35">
        <v>4.8829363568956863</v>
      </c>
      <c r="I155" s="35">
        <v>79.670128261265049</v>
      </c>
      <c r="J155" t="s">
        <v>2289</v>
      </c>
      <c r="K155" t="s">
        <v>36</v>
      </c>
    </row>
    <row r="156" spans="1:11">
      <c r="A156" s="1">
        <v>30256</v>
      </c>
      <c r="B156" t="s">
        <v>22</v>
      </c>
      <c r="C156" t="s">
        <v>2237</v>
      </c>
      <c r="D156" s="35">
        <v>0.14696269708666401</v>
      </c>
      <c r="E156" s="35">
        <v>4.9321555747424162</v>
      </c>
      <c r="F156" s="35">
        <v>84.49453715852016</v>
      </c>
      <c r="G156" s="35">
        <v>0.43204811008838456</v>
      </c>
      <c r="H156" s="35">
        <v>4.5001074646540316</v>
      </c>
      <c r="I156" s="35">
        <v>71.60289915375968</v>
      </c>
      <c r="J156" t="s">
        <v>2289</v>
      </c>
      <c r="K156" t="s">
        <v>36</v>
      </c>
    </row>
    <row r="157" spans="1:11">
      <c r="A157" s="1">
        <v>30286</v>
      </c>
      <c r="B157" t="s">
        <v>22</v>
      </c>
      <c r="C157" t="s">
        <v>2237</v>
      </c>
      <c r="D157" s="35">
        <v>0.162656416386952</v>
      </c>
      <c r="E157" s="35">
        <v>10.146130792425669</v>
      </c>
      <c r="F157" s="35">
        <v>98.843802949317336</v>
      </c>
      <c r="G157" s="35">
        <v>9.0732441503875105E-2</v>
      </c>
      <c r="H157" s="35">
        <v>10.055398350921795</v>
      </c>
      <c r="I157" s="35">
        <v>234.22619292786547</v>
      </c>
      <c r="J157" t="s">
        <v>2289</v>
      </c>
      <c r="K157" t="s">
        <v>36</v>
      </c>
    </row>
    <row r="158" spans="1:11">
      <c r="A158" s="1">
        <v>30317</v>
      </c>
      <c r="B158" t="s">
        <v>22</v>
      </c>
      <c r="C158" t="s">
        <v>2237</v>
      </c>
      <c r="D158" s="35">
        <v>0.180355086174049</v>
      </c>
      <c r="E158" s="35">
        <v>10.32875074528393</v>
      </c>
      <c r="F158" s="35">
        <v>110.04362760253845</v>
      </c>
      <c r="G158" s="35">
        <v>0.17355366550716039</v>
      </c>
      <c r="H158" s="35">
        <v>10.155197079776769</v>
      </c>
      <c r="I158" s="35">
        <v>238.25289831106201</v>
      </c>
      <c r="J158" t="s">
        <v>2290</v>
      </c>
      <c r="K158" t="s">
        <v>36</v>
      </c>
    </row>
    <row r="159" spans="1:11">
      <c r="A159" s="1">
        <v>30348</v>
      </c>
      <c r="B159" t="s">
        <v>22</v>
      </c>
      <c r="C159" t="s">
        <v>2237</v>
      </c>
      <c r="D159" s="35">
        <v>0.19003395919601501</v>
      </c>
      <c r="E159" s="35">
        <v>5.2275180162550523</v>
      </c>
      <c r="F159" s="35">
        <v>112.94788941058376</v>
      </c>
      <c r="G159" s="35">
        <v>-2.3713097848198361E-2</v>
      </c>
      <c r="H159" s="35">
        <v>5.2512311141032511</v>
      </c>
      <c r="I159" s="35">
        <v>87.788798609875187</v>
      </c>
      <c r="J159" t="s">
        <v>2290</v>
      </c>
      <c r="K159" t="s">
        <v>36</v>
      </c>
    </row>
    <row r="160" spans="1:11">
      <c r="A160" s="1">
        <v>30376</v>
      </c>
      <c r="B160" t="s">
        <v>22</v>
      </c>
      <c r="C160" t="s">
        <v>2237</v>
      </c>
      <c r="D160" s="35">
        <v>0.199232046112296</v>
      </c>
      <c r="E160" s="35">
        <v>4.7267417469043842</v>
      </c>
      <c r="F160" s="35">
        <v>115.38844063323927</v>
      </c>
      <c r="G160" s="35">
        <v>4.9988579633774066E-2</v>
      </c>
      <c r="H160" s="35">
        <v>4.6767531672706104</v>
      </c>
      <c r="I160" s="35">
        <v>75.279276230647724</v>
      </c>
      <c r="J160" t="s">
        <v>2290</v>
      </c>
      <c r="K160" t="s">
        <v>36</v>
      </c>
    </row>
    <row r="161" spans="1:11">
      <c r="A161" s="1">
        <v>30407</v>
      </c>
      <c r="B161" t="s">
        <v>22</v>
      </c>
      <c r="C161" t="s">
        <v>2237</v>
      </c>
      <c r="D161" s="35">
        <v>0.21184586120184501</v>
      </c>
      <c r="E161" s="35">
        <v>6.1388734156593534</v>
      </c>
      <c r="F161" s="35">
        <v>117.25097025114364</v>
      </c>
      <c r="G161" s="35">
        <v>-0.20981878280513042</v>
      </c>
      <c r="H161" s="35">
        <v>6.3486921984644837</v>
      </c>
      <c r="I161" s="35">
        <v>114.22208339974583</v>
      </c>
      <c r="J161" t="s">
        <v>2291</v>
      </c>
      <c r="K161" t="s">
        <v>36</v>
      </c>
    </row>
    <row r="162" spans="1:11">
      <c r="A162" s="1">
        <v>30437</v>
      </c>
      <c r="B162" t="s">
        <v>22</v>
      </c>
      <c r="C162" t="s">
        <v>2237</v>
      </c>
      <c r="D162" s="35">
        <v>0.22103390303203299</v>
      </c>
      <c r="E162" s="35">
        <v>4.2457156710849233</v>
      </c>
      <c r="F162" s="35">
        <v>114.61058986375762</v>
      </c>
      <c r="G162" s="35">
        <v>-0.60748395632500474</v>
      </c>
      <c r="H162" s="35">
        <v>4.8531996274099285</v>
      </c>
      <c r="I162" s="35">
        <v>79.03013457942609</v>
      </c>
      <c r="J162" t="s">
        <v>2291</v>
      </c>
      <c r="K162" t="s">
        <v>36</v>
      </c>
    </row>
    <row r="163" spans="1:11">
      <c r="A163" s="1">
        <v>30468</v>
      </c>
      <c r="B163" t="s">
        <v>22</v>
      </c>
      <c r="C163" t="s">
        <v>2237</v>
      </c>
      <c r="D163" s="35">
        <v>0.22940388942168999</v>
      </c>
      <c r="E163" s="35">
        <v>3.7168062173624885</v>
      </c>
      <c r="F163" s="35">
        <v>112.5006694374385</v>
      </c>
      <c r="G163" s="35">
        <v>-0.18319094864445387</v>
      </c>
      <c r="H163" s="35">
        <v>3.8999971660069424</v>
      </c>
      <c r="I163" s="35">
        <v>59.67968596496145</v>
      </c>
      <c r="J163" t="s">
        <v>2291</v>
      </c>
      <c r="K163" t="s">
        <v>36</v>
      </c>
    </row>
    <row r="164" spans="1:11">
      <c r="A164" s="1">
        <v>30498</v>
      </c>
      <c r="B164" t="s">
        <v>22</v>
      </c>
      <c r="C164" t="s">
        <v>2237</v>
      </c>
      <c r="D164" s="35">
        <v>0.24074613337865899</v>
      </c>
      <c r="E164" s="35">
        <v>4.8258830506362029</v>
      </c>
      <c r="F164" s="35">
        <v>112.07898780723893</v>
      </c>
      <c r="G164" s="35">
        <v>1.857230697938933E-2</v>
      </c>
      <c r="H164" s="35">
        <v>4.8073107436568137</v>
      </c>
      <c r="I164" s="35">
        <v>78.046984838361126</v>
      </c>
      <c r="J164" t="s">
        <v>2292</v>
      </c>
      <c r="K164" t="s">
        <v>36</v>
      </c>
    </row>
    <row r="165" spans="1:11">
      <c r="A165" s="1">
        <v>30529</v>
      </c>
      <c r="B165" t="s">
        <v>22</v>
      </c>
      <c r="C165" t="s">
        <v>2237</v>
      </c>
      <c r="D165" s="35">
        <v>0.25009060709102099</v>
      </c>
      <c r="E165" s="35">
        <v>3.8080290748240659</v>
      </c>
      <c r="F165" s="35">
        <v>98.082346185955842</v>
      </c>
      <c r="G165" s="35">
        <v>-2.7232588788898948E-2</v>
      </c>
      <c r="H165" s="35">
        <v>3.8352616636129651</v>
      </c>
      <c r="I165" s="35">
        <v>58.444058154765301</v>
      </c>
      <c r="J165" t="s">
        <v>2292</v>
      </c>
      <c r="K165" t="s">
        <v>36</v>
      </c>
    </row>
    <row r="166" spans="1:11">
      <c r="A166" s="1">
        <v>30560</v>
      </c>
      <c r="B166" t="s">
        <v>22</v>
      </c>
      <c r="C166" t="s">
        <v>2237</v>
      </c>
      <c r="D166" s="35">
        <v>0.25778749500495801</v>
      </c>
      <c r="E166" s="35">
        <v>3.0312302188542661</v>
      </c>
      <c r="F166" s="35">
        <v>93.831742980738397</v>
      </c>
      <c r="G166" s="35">
        <v>0.11528589899523589</v>
      </c>
      <c r="H166" s="35">
        <v>2.9159443198590305</v>
      </c>
      <c r="I166" s="35">
        <v>41.89445468547035</v>
      </c>
      <c r="J166" t="s">
        <v>2292</v>
      </c>
      <c r="K166" t="s">
        <v>36</v>
      </c>
    </row>
    <row r="167" spans="1:11">
      <c r="A167" s="1">
        <v>30590</v>
      </c>
      <c r="B167" t="s">
        <v>22</v>
      </c>
      <c r="C167" t="s">
        <v>2237</v>
      </c>
      <c r="D167" s="35">
        <v>0.26634117851057798</v>
      </c>
      <c r="E167" s="35">
        <v>3.2642530145721786</v>
      </c>
      <c r="F167" s="35">
        <v>90.393134112609147</v>
      </c>
      <c r="G167" s="35">
        <v>0.17125837170386743</v>
      </c>
      <c r="H167" s="35">
        <v>3.0929946428683111</v>
      </c>
      <c r="I167" s="35">
        <v>44.941402946440022</v>
      </c>
      <c r="J167" t="s">
        <v>2293</v>
      </c>
      <c r="K167" t="s">
        <v>36</v>
      </c>
    </row>
    <row r="168" spans="1:11">
      <c r="A168" s="1">
        <v>30621</v>
      </c>
      <c r="B168" t="s">
        <v>22</v>
      </c>
      <c r="C168" t="s">
        <v>2237</v>
      </c>
      <c r="D168" s="35">
        <v>0.28198323736778103</v>
      </c>
      <c r="E168" s="35">
        <v>5.7069514313847245</v>
      </c>
      <c r="F168" s="35">
        <v>91.874021746821441</v>
      </c>
      <c r="G168" s="35">
        <v>0.43204811008838456</v>
      </c>
      <c r="H168" s="35">
        <v>5.2749033212963399</v>
      </c>
      <c r="I168" s="35">
        <v>88.323002039014753</v>
      </c>
      <c r="J168" t="s">
        <v>2293</v>
      </c>
      <c r="K168" t="s">
        <v>36</v>
      </c>
    </row>
    <row r="169" spans="1:11">
      <c r="A169" s="1">
        <v>30651</v>
      </c>
      <c r="B169" t="s">
        <v>22</v>
      </c>
      <c r="C169" t="s">
        <v>2237</v>
      </c>
      <c r="D169" s="35">
        <v>0.29404738058026297</v>
      </c>
      <c r="E169" s="35">
        <v>4.1893285577177402</v>
      </c>
      <c r="F169" s="35">
        <v>80.778223885578555</v>
      </c>
      <c r="G169" s="35">
        <v>9.0732441503875105E-2</v>
      </c>
      <c r="H169" s="35">
        <v>4.0985961162138649</v>
      </c>
      <c r="I169" s="35">
        <v>63.530860201044128</v>
      </c>
      <c r="J169" t="s">
        <v>2293</v>
      </c>
      <c r="K169" t="s">
        <v>36</v>
      </c>
    </row>
    <row r="170" spans="1:11">
      <c r="A170" s="1">
        <v>30682</v>
      </c>
      <c r="B170" t="s">
        <v>22</v>
      </c>
      <c r="C170" t="s">
        <v>2237</v>
      </c>
      <c r="D170" s="35">
        <v>0.31272771793151599</v>
      </c>
      <c r="E170" s="35">
        <v>6.1591988395955459</v>
      </c>
      <c r="F170" s="35">
        <v>73.395563477329802</v>
      </c>
      <c r="G170" s="35">
        <v>0.17355366550716039</v>
      </c>
      <c r="H170" s="35">
        <v>5.9856451740883854</v>
      </c>
      <c r="I170" s="35">
        <v>105.08973332022227</v>
      </c>
      <c r="J170" t="s">
        <v>2294</v>
      </c>
      <c r="K170" t="s">
        <v>36</v>
      </c>
    </row>
    <row r="171" spans="1:11">
      <c r="A171" s="1">
        <v>30713</v>
      </c>
      <c r="B171" t="s">
        <v>22</v>
      </c>
      <c r="C171" t="s">
        <v>2237</v>
      </c>
      <c r="D171" s="35">
        <v>0.32923231761073402</v>
      </c>
      <c r="E171" s="35">
        <v>5.1430732940224297</v>
      </c>
      <c r="F171" s="35">
        <v>73.249201881406663</v>
      </c>
      <c r="G171" s="35">
        <v>-2.3713097848198361E-2</v>
      </c>
      <c r="H171" s="35">
        <v>5.1667863918706285</v>
      </c>
      <c r="I171" s="35">
        <v>85.895474930287023</v>
      </c>
      <c r="J171" t="s">
        <v>2294</v>
      </c>
      <c r="K171" t="s">
        <v>36</v>
      </c>
    </row>
    <row r="172" spans="1:11">
      <c r="A172" s="1">
        <v>30742</v>
      </c>
      <c r="B172" t="s">
        <v>22</v>
      </c>
      <c r="C172" t="s">
        <v>2237</v>
      </c>
      <c r="D172" s="35">
        <v>0.34330428133376401</v>
      </c>
      <c r="E172" s="35">
        <v>4.18535373743335</v>
      </c>
      <c r="F172" s="35">
        <v>72.313785875723283</v>
      </c>
      <c r="G172" s="35">
        <v>4.9988579633774066E-2</v>
      </c>
      <c r="H172" s="35">
        <v>4.1353651577995763</v>
      </c>
      <c r="I172" s="35">
        <v>64.253999135302806</v>
      </c>
      <c r="J172" t="s">
        <v>2294</v>
      </c>
      <c r="K172" t="s">
        <v>36</v>
      </c>
    </row>
    <row r="173" spans="1:11">
      <c r="A173" s="1">
        <v>30773</v>
      </c>
      <c r="B173" t="s">
        <v>22</v>
      </c>
      <c r="C173" t="s">
        <v>2237</v>
      </c>
      <c r="D173" s="35">
        <v>0.358155549984224</v>
      </c>
      <c r="E173" s="35">
        <v>4.2350217695941126</v>
      </c>
      <c r="F173" s="35">
        <v>69.064218650453739</v>
      </c>
      <c r="G173" s="35">
        <v>-0.20981878280513042</v>
      </c>
      <c r="H173" s="35">
        <v>4.4448405523992429</v>
      </c>
      <c r="I173" s="35">
        <v>70.468589215409324</v>
      </c>
      <c r="J173" t="s">
        <v>2295</v>
      </c>
      <c r="K173" t="s">
        <v>36</v>
      </c>
    </row>
    <row r="174" spans="1:11">
      <c r="A174" s="1">
        <v>30803</v>
      </c>
      <c r="B174" t="s">
        <v>22</v>
      </c>
      <c r="C174" t="s">
        <v>2237</v>
      </c>
      <c r="D174" s="35">
        <v>0.37003168586303298</v>
      </c>
      <c r="E174" s="35">
        <v>3.2621250242469486</v>
      </c>
      <c r="F174" s="35">
        <v>67.409470125226306</v>
      </c>
      <c r="G174" s="35">
        <v>-0.60748395632500474</v>
      </c>
      <c r="H174" s="35">
        <v>3.8696089805719533</v>
      </c>
      <c r="I174" s="35">
        <v>59.09846124203704</v>
      </c>
      <c r="J174" t="s">
        <v>2295</v>
      </c>
      <c r="K174" t="s">
        <v>36</v>
      </c>
    </row>
    <row r="175" spans="1:11">
      <c r="A175" s="1">
        <v>30834</v>
      </c>
      <c r="B175" t="s">
        <v>22</v>
      </c>
      <c r="C175" t="s">
        <v>2237</v>
      </c>
      <c r="D175" s="35">
        <v>0.38342337604798998</v>
      </c>
      <c r="E175" s="35">
        <v>3.5551159704887403</v>
      </c>
      <c r="F175" s="35">
        <v>67.139004057242275</v>
      </c>
      <c r="G175" s="35">
        <v>-0.18319094864445387</v>
      </c>
      <c r="H175" s="35">
        <v>3.7383069191331941</v>
      </c>
      <c r="I175" s="35">
        <v>56.611312053651773</v>
      </c>
      <c r="J175" t="s">
        <v>2295</v>
      </c>
      <c r="K175" t="s">
        <v>36</v>
      </c>
    </row>
    <row r="176" spans="1:11">
      <c r="A176" s="1">
        <v>30864</v>
      </c>
      <c r="B176" t="s">
        <v>22</v>
      </c>
      <c r="C176" t="s">
        <v>2237</v>
      </c>
      <c r="D176" s="35">
        <v>0.395992705756055</v>
      </c>
      <c r="E176" s="35">
        <v>3.2255992132756233</v>
      </c>
      <c r="F176" s="35">
        <v>64.485593267334224</v>
      </c>
      <c r="G176" s="35">
        <v>1.857230697938933E-2</v>
      </c>
      <c r="H176" s="35">
        <v>3.207026906296234</v>
      </c>
      <c r="I176" s="35">
        <v>46.938394623368353</v>
      </c>
      <c r="J176" t="s">
        <v>2296</v>
      </c>
      <c r="K176" t="s">
        <v>36</v>
      </c>
    </row>
    <row r="177" spans="1:11">
      <c r="A177" s="1">
        <v>30895</v>
      </c>
      <c r="B177" t="s">
        <v>22</v>
      </c>
      <c r="C177" t="s">
        <v>2237</v>
      </c>
      <c r="D177" s="35">
        <v>0.40724883861334799</v>
      </c>
      <c r="E177" s="35">
        <v>2.8028604423045271</v>
      </c>
      <c r="F177" s="35">
        <v>62.840517423002986</v>
      </c>
      <c r="G177" s="35">
        <v>-2.7232588788898948E-2</v>
      </c>
      <c r="H177" s="35">
        <v>2.8300930310934262</v>
      </c>
      <c r="I177" s="35">
        <v>40.440140218044341</v>
      </c>
      <c r="J177" t="s">
        <v>2296</v>
      </c>
      <c r="K177" t="s">
        <v>36</v>
      </c>
    </row>
    <row r="178" spans="1:11">
      <c r="A178" s="1">
        <v>30926</v>
      </c>
      <c r="B178" t="s">
        <v>22</v>
      </c>
      <c r="C178" t="s">
        <v>2237</v>
      </c>
      <c r="D178" s="35">
        <v>0.41938043776519002</v>
      </c>
      <c r="E178" s="35">
        <v>2.9354078297094142</v>
      </c>
      <c r="F178" s="35">
        <v>62.684554484353129</v>
      </c>
      <c r="G178" s="35">
        <v>0.11528589899523589</v>
      </c>
      <c r="H178" s="35">
        <v>2.820121930714178</v>
      </c>
      <c r="I178" s="35">
        <v>40.272199583009893</v>
      </c>
      <c r="J178" t="s">
        <v>2296</v>
      </c>
      <c r="K178" t="s">
        <v>36</v>
      </c>
    </row>
    <row r="179" spans="1:11">
      <c r="A179" s="1">
        <v>30956</v>
      </c>
      <c r="B179" t="s">
        <v>22</v>
      </c>
      <c r="C179" t="s">
        <v>2237</v>
      </c>
      <c r="D179" s="35">
        <v>0.43403365399663402</v>
      </c>
      <c r="E179" s="35">
        <v>3.4343600868056852</v>
      </c>
      <c r="F179" s="35">
        <v>62.961527925880212</v>
      </c>
      <c r="G179" s="35">
        <v>0.17125837170386743</v>
      </c>
      <c r="H179" s="35">
        <v>3.2631017151018176</v>
      </c>
      <c r="I179" s="35">
        <v>47.93047380518847</v>
      </c>
      <c r="J179" t="s">
        <v>2297</v>
      </c>
      <c r="K179" t="s">
        <v>36</v>
      </c>
    </row>
    <row r="180" spans="1:11">
      <c r="A180" s="1">
        <v>30987</v>
      </c>
      <c r="B180" t="s">
        <v>22</v>
      </c>
      <c r="C180" t="s">
        <v>2237</v>
      </c>
      <c r="D180" s="35">
        <v>0.44892941320917701</v>
      </c>
      <c r="E180" s="35">
        <v>3.3743591630306402</v>
      </c>
      <c r="F180" s="35">
        <v>59.204290793943137</v>
      </c>
      <c r="G180" s="35">
        <v>0.43204811008838456</v>
      </c>
      <c r="H180" s="35">
        <v>2.9423110529422556</v>
      </c>
      <c r="I180" s="35">
        <v>42.344120869555347</v>
      </c>
      <c r="J180" t="s">
        <v>2297</v>
      </c>
      <c r="K180" t="s">
        <v>36</v>
      </c>
    </row>
    <row r="181" spans="1:11">
      <c r="A181" s="1">
        <v>31017</v>
      </c>
      <c r="B181" t="s">
        <v>22</v>
      </c>
      <c r="C181" t="s">
        <v>2237</v>
      </c>
      <c r="D181" s="35">
        <v>0.46799581549371999</v>
      </c>
      <c r="E181" s="35">
        <v>4.159368812954388</v>
      </c>
      <c r="F181" s="35">
        <v>59.156600739035035</v>
      </c>
      <c r="G181" s="35">
        <v>9.0732441503875105E-2</v>
      </c>
      <c r="H181" s="35">
        <v>4.0686363714505127</v>
      </c>
      <c r="I181" s="35">
        <v>62.943994633808707</v>
      </c>
      <c r="J181" t="s">
        <v>2297</v>
      </c>
      <c r="K181" t="s">
        <v>36</v>
      </c>
    </row>
    <row r="182" spans="1:11">
      <c r="A182" s="1">
        <v>31048</v>
      </c>
      <c r="B182" t="s">
        <v>22</v>
      </c>
      <c r="C182" t="s">
        <v>2237</v>
      </c>
      <c r="D182" s="35">
        <v>0.50271144651646704</v>
      </c>
      <c r="E182" s="35">
        <v>7.155698588888856</v>
      </c>
      <c r="F182" s="35">
        <v>60.750524399169322</v>
      </c>
      <c r="G182" s="35">
        <v>0.17355366550716039</v>
      </c>
      <c r="H182" s="35">
        <v>6.9821449233816955</v>
      </c>
      <c r="I182" s="35">
        <v>131.14092207629824</v>
      </c>
      <c r="J182" t="s">
        <v>2298</v>
      </c>
      <c r="K182" t="s">
        <v>36</v>
      </c>
    </row>
    <row r="183" spans="1:11">
      <c r="A183" s="1">
        <v>31079</v>
      </c>
      <c r="B183" t="s">
        <v>22</v>
      </c>
      <c r="C183" t="s">
        <v>2237</v>
      </c>
      <c r="D183" s="35">
        <v>0.52359622178541398</v>
      </c>
      <c r="E183" s="35">
        <v>4.0704477654428199</v>
      </c>
      <c r="F183" s="35">
        <v>59.035487641430471</v>
      </c>
      <c r="G183" s="35">
        <v>-2.3713097848198361E-2</v>
      </c>
      <c r="H183" s="35">
        <v>4.0941608632910187</v>
      </c>
      <c r="I183" s="35">
        <v>63.443847271477274</v>
      </c>
      <c r="J183" t="s">
        <v>2298</v>
      </c>
      <c r="K183" t="s">
        <v>36</v>
      </c>
    </row>
    <row r="184" spans="1:11">
      <c r="A184" s="1">
        <v>31107</v>
      </c>
      <c r="B184" t="s">
        <v>22</v>
      </c>
      <c r="C184" t="s">
        <v>2237</v>
      </c>
      <c r="D184" s="35">
        <v>0.54388539960334203</v>
      </c>
      <c r="E184" s="35">
        <v>3.8017744001370977</v>
      </c>
      <c r="F184" s="35">
        <v>58.426628846661835</v>
      </c>
      <c r="G184" s="35">
        <v>4.9988579633774066E-2</v>
      </c>
      <c r="H184" s="35">
        <v>3.7517858205033234</v>
      </c>
      <c r="I184" s="35">
        <v>56.864830839096768</v>
      </c>
      <c r="J184" t="s">
        <v>2298</v>
      </c>
      <c r="K184" t="s">
        <v>36</v>
      </c>
    </row>
    <row r="185" spans="1:11">
      <c r="A185" s="1">
        <v>31138</v>
      </c>
      <c r="B185" t="s">
        <v>22</v>
      </c>
      <c r="C185" t="s">
        <v>2237</v>
      </c>
      <c r="D185" s="35">
        <v>0.56062106216569496</v>
      </c>
      <c r="E185" s="35">
        <v>3.0306646611086911</v>
      </c>
      <c r="F185" s="35">
        <v>56.530050194779655</v>
      </c>
      <c r="G185" s="35">
        <v>-0.20981878280513042</v>
      </c>
      <c r="H185" s="35">
        <v>3.2404834439138215</v>
      </c>
      <c r="I185" s="35">
        <v>47.529506413876007</v>
      </c>
      <c r="J185" t="s">
        <v>2299</v>
      </c>
      <c r="K185" t="s">
        <v>36</v>
      </c>
    </row>
    <row r="186" spans="1:11">
      <c r="A186" s="1">
        <v>31168</v>
      </c>
      <c r="B186" t="s">
        <v>22</v>
      </c>
      <c r="C186" t="s">
        <v>2237</v>
      </c>
      <c r="D186" s="35">
        <v>0.57390224086258201</v>
      </c>
      <c r="E186" s="35">
        <v>2.341386094800896</v>
      </c>
      <c r="F186" s="35">
        <v>55.09543176662217</v>
      </c>
      <c r="G186" s="35">
        <v>-0.60748395632500474</v>
      </c>
      <c r="H186" s="35">
        <v>2.9488700511259007</v>
      </c>
      <c r="I186" s="35">
        <v>42.456201151459474</v>
      </c>
      <c r="J186" t="s">
        <v>2299</v>
      </c>
      <c r="K186" t="s">
        <v>36</v>
      </c>
    </row>
    <row r="187" spans="1:11">
      <c r="A187" s="1">
        <v>31199</v>
      </c>
      <c r="B187" t="s">
        <v>22</v>
      </c>
      <c r="C187" t="s">
        <v>2237</v>
      </c>
      <c r="D187" s="35">
        <v>0.58827559343184699</v>
      </c>
      <c r="E187" s="35">
        <v>2.4736464678761374</v>
      </c>
      <c r="F187" s="35">
        <v>53.42715916157843</v>
      </c>
      <c r="G187" s="35">
        <v>-0.18319094864445387</v>
      </c>
      <c r="H187" s="35">
        <v>2.6568374165205912</v>
      </c>
      <c r="I187" s="35">
        <v>37.550438592626321</v>
      </c>
      <c r="J187" t="s">
        <v>2299</v>
      </c>
      <c r="K187" t="s">
        <v>36</v>
      </c>
    </row>
    <row r="188" spans="1:11">
      <c r="A188" s="1">
        <v>31229</v>
      </c>
      <c r="B188" t="s">
        <v>22</v>
      </c>
      <c r="C188" t="s">
        <v>2237</v>
      </c>
      <c r="D188" s="35">
        <v>0.60876282366954104</v>
      </c>
      <c r="E188" s="35">
        <v>3.4233205343687962</v>
      </c>
      <c r="F188" s="35">
        <v>53.730817467269134</v>
      </c>
      <c r="G188" s="35">
        <v>1.857230697938933E-2</v>
      </c>
      <c r="H188" s="35">
        <v>3.404748227389407</v>
      </c>
      <c r="I188" s="35">
        <v>50.466425552978464</v>
      </c>
      <c r="J188" t="s">
        <v>2300</v>
      </c>
      <c r="K188" t="s">
        <v>36</v>
      </c>
    </row>
    <row r="189" spans="1:11">
      <c r="A189" s="1">
        <v>31260</v>
      </c>
      <c r="B189" t="s">
        <v>22</v>
      </c>
      <c r="C189" t="s">
        <v>2237</v>
      </c>
      <c r="D189" s="35">
        <v>0.63537685186609805</v>
      </c>
      <c r="E189" s="35">
        <v>4.2789550614988991</v>
      </c>
      <c r="F189" s="35">
        <v>56.016860362207296</v>
      </c>
      <c r="G189" s="35">
        <v>-2.7232588788898948E-2</v>
      </c>
      <c r="H189" s="35">
        <v>4.3061876502877983</v>
      </c>
      <c r="I189" s="35">
        <v>67.65573894388146</v>
      </c>
      <c r="J189" t="s">
        <v>2300</v>
      </c>
      <c r="K189" t="s">
        <v>36</v>
      </c>
    </row>
    <row r="190" spans="1:11">
      <c r="A190" s="1">
        <v>31291</v>
      </c>
      <c r="B190" t="s">
        <v>22</v>
      </c>
      <c r="C190" t="s">
        <v>2237</v>
      </c>
      <c r="D190" s="35">
        <v>0.66075231421359504</v>
      </c>
      <c r="E190" s="35">
        <v>3.9160765516334641</v>
      </c>
      <c r="F190" s="35">
        <v>57.554395654369664</v>
      </c>
      <c r="G190" s="35">
        <v>0.11528589899523589</v>
      </c>
      <c r="H190" s="35">
        <v>3.800790652638228</v>
      </c>
      <c r="I190" s="35">
        <v>57.790004616478051</v>
      </c>
      <c r="J190" t="s">
        <v>2300</v>
      </c>
      <c r="K190" t="s">
        <v>36</v>
      </c>
    </row>
    <row r="191" spans="1:11">
      <c r="A191" s="1">
        <v>31321</v>
      </c>
      <c r="B191" t="s">
        <v>22</v>
      </c>
      <c r="C191" t="s">
        <v>2237</v>
      </c>
      <c r="D191" s="35">
        <v>0.68585222311662397</v>
      </c>
      <c r="E191" s="35">
        <v>3.7283130440216139</v>
      </c>
      <c r="F191" s="35">
        <v>58.018212827787494</v>
      </c>
      <c r="G191" s="35">
        <v>0.17125837170386743</v>
      </c>
      <c r="H191" s="35">
        <v>3.5570546723177463</v>
      </c>
      <c r="I191" s="35">
        <v>53.241751058011829</v>
      </c>
      <c r="J191" t="s">
        <v>2301</v>
      </c>
      <c r="K191" t="s">
        <v>36</v>
      </c>
    </row>
    <row r="192" spans="1:11">
      <c r="A192" s="1">
        <v>31352</v>
      </c>
      <c r="B192" t="s">
        <v>22</v>
      </c>
      <c r="C192" t="s">
        <v>2237</v>
      </c>
      <c r="D192" s="35">
        <v>0.71749512498948298</v>
      </c>
      <c r="E192" s="35">
        <v>4.51039668482374</v>
      </c>
      <c r="F192" s="35">
        <v>59.823594506864872</v>
      </c>
      <c r="G192" s="35">
        <v>0.43204811008838456</v>
      </c>
      <c r="H192" s="35">
        <v>4.0783485747353554</v>
      </c>
      <c r="I192" s="35">
        <v>63.134010764809226</v>
      </c>
      <c r="J192" t="s">
        <v>2301</v>
      </c>
      <c r="K192" t="s">
        <v>36</v>
      </c>
    </row>
    <row r="193" spans="1:11">
      <c r="A193" s="1">
        <v>31382</v>
      </c>
      <c r="B193" t="s">
        <v>22</v>
      </c>
      <c r="C193" t="s">
        <v>2237</v>
      </c>
      <c r="D193" s="35">
        <v>0.76634013058852701</v>
      </c>
      <c r="E193" s="35">
        <v>6.5859952726274322</v>
      </c>
      <c r="F193" s="35">
        <v>63.749355275765396</v>
      </c>
      <c r="G193" s="35">
        <v>9.0732441503875105E-2</v>
      </c>
      <c r="H193" s="35">
        <v>6.495262831123557</v>
      </c>
      <c r="I193" s="35">
        <v>118.02325375970982</v>
      </c>
      <c r="J193" t="s">
        <v>2301</v>
      </c>
      <c r="K193" t="s">
        <v>36</v>
      </c>
    </row>
    <row r="194" spans="1:11">
      <c r="A194" s="1">
        <v>31413</v>
      </c>
      <c r="B194" t="s">
        <v>22</v>
      </c>
      <c r="C194" t="s">
        <v>2237</v>
      </c>
      <c r="D194" s="35">
        <v>0.834092231384849</v>
      </c>
      <c r="E194" s="35">
        <v>8.4717879537456362</v>
      </c>
      <c r="F194" s="35">
        <v>65.918686985283742</v>
      </c>
      <c r="G194" s="35">
        <v>0.17355366550716039</v>
      </c>
      <c r="H194" s="35">
        <v>8.2982342882384756</v>
      </c>
      <c r="I194" s="35">
        <v>170.68568141971326</v>
      </c>
      <c r="J194" t="s">
        <v>2302</v>
      </c>
      <c r="K194" t="s">
        <v>36</v>
      </c>
    </row>
    <row r="195" spans="1:11">
      <c r="A195" s="1">
        <v>31444</v>
      </c>
      <c r="B195" t="s">
        <v>22</v>
      </c>
      <c r="C195" t="s">
        <v>2237</v>
      </c>
      <c r="D195" s="35">
        <v>0.87117447743779697</v>
      </c>
      <c r="E195" s="35">
        <v>4.3498289884641617</v>
      </c>
      <c r="F195" s="35">
        <v>66.382880775413881</v>
      </c>
      <c r="G195" s="35">
        <v>-2.3713097848198361E-2</v>
      </c>
      <c r="H195" s="35">
        <v>4.3735420863123604</v>
      </c>
      <c r="I195" s="35">
        <v>69.016312907662567</v>
      </c>
      <c r="J195" t="s">
        <v>2302</v>
      </c>
      <c r="K195" t="s">
        <v>36</v>
      </c>
    </row>
    <row r="196" spans="1:11">
      <c r="A196" s="1">
        <v>31472</v>
      </c>
      <c r="B196" t="s">
        <v>22</v>
      </c>
      <c r="C196" t="s">
        <v>2237</v>
      </c>
      <c r="D196" s="35">
        <v>0.91166671679412803</v>
      </c>
      <c r="E196" s="35">
        <v>4.5432205853067735</v>
      </c>
      <c r="F196" s="35">
        <v>67.6211050083364</v>
      </c>
      <c r="G196" s="35">
        <v>4.9988579633774066E-2</v>
      </c>
      <c r="H196" s="35">
        <v>4.4932320056729997</v>
      </c>
      <c r="I196" s="35">
        <v>71.461375700810592</v>
      </c>
      <c r="J196" t="s">
        <v>2302</v>
      </c>
      <c r="K196" t="s">
        <v>36</v>
      </c>
    </row>
    <row r="197" spans="1:11">
      <c r="A197" s="1">
        <v>31503</v>
      </c>
      <c r="B197" t="s">
        <v>22</v>
      </c>
      <c r="C197" t="s">
        <v>2237</v>
      </c>
      <c r="D197" s="35">
        <v>0.95926311145802001</v>
      </c>
      <c r="E197" s="35">
        <v>5.0890916308505973</v>
      </c>
      <c r="F197" s="35">
        <v>71.107219509798568</v>
      </c>
      <c r="G197" s="35">
        <v>-0.20981878280513042</v>
      </c>
      <c r="H197" s="35">
        <v>5.2989104136557277</v>
      </c>
      <c r="I197" s="35">
        <v>88.866314789219246</v>
      </c>
      <c r="J197" t="s">
        <v>2303</v>
      </c>
      <c r="K197" t="s">
        <v>36</v>
      </c>
    </row>
    <row r="198" spans="1:11">
      <c r="A198" s="1">
        <v>31533</v>
      </c>
      <c r="B198" t="s">
        <v>22</v>
      </c>
      <c r="C198" t="s">
        <v>2237</v>
      </c>
      <c r="D198" s="35">
        <v>1.0125700987086099</v>
      </c>
      <c r="E198" s="35">
        <v>5.4081632395740087</v>
      </c>
      <c r="F198" s="35">
        <v>76.435989723041459</v>
      </c>
      <c r="G198" s="35">
        <v>-0.60748395632500474</v>
      </c>
      <c r="H198" s="35">
        <v>6.0156471958990139</v>
      </c>
      <c r="I198" s="35">
        <v>105.8294368756322</v>
      </c>
      <c r="J198" t="s">
        <v>2303</v>
      </c>
      <c r="K198" t="s">
        <v>36</v>
      </c>
    </row>
    <row r="199" spans="1:11">
      <c r="A199" s="1">
        <v>31564</v>
      </c>
      <c r="B199" t="s">
        <v>22</v>
      </c>
      <c r="C199" t="s">
        <v>2237</v>
      </c>
      <c r="D199" s="35">
        <v>1.0775666443363501</v>
      </c>
      <c r="E199" s="35">
        <v>6.2213641080784781</v>
      </c>
      <c r="F199" s="35">
        <v>83.173780515031439</v>
      </c>
      <c r="G199" s="35">
        <v>-0.18319094864445387</v>
      </c>
      <c r="H199" s="35">
        <v>6.4045550567229323</v>
      </c>
      <c r="I199" s="35">
        <v>115.66295442009888</v>
      </c>
      <c r="J199" t="s">
        <v>2303</v>
      </c>
      <c r="K199" t="s">
        <v>36</v>
      </c>
    </row>
    <row r="200" spans="1:11">
      <c r="A200" s="1">
        <v>31594</v>
      </c>
      <c r="B200" t="s">
        <v>22</v>
      </c>
      <c r="C200" t="s">
        <v>2237</v>
      </c>
      <c r="D200" s="35">
        <v>1.13133289250856</v>
      </c>
      <c r="E200" s="35">
        <v>4.8691096517912342</v>
      </c>
      <c r="F200" s="35">
        <v>85.841324161195701</v>
      </c>
      <c r="G200" s="35">
        <v>1.857230697938933E-2</v>
      </c>
      <c r="H200" s="35">
        <v>4.850537344811845</v>
      </c>
      <c r="I200" s="35">
        <v>78.972948257262715</v>
      </c>
      <c r="J200" t="s">
        <v>2304</v>
      </c>
      <c r="K200" t="s">
        <v>36</v>
      </c>
    </row>
    <row r="201" spans="1:11">
      <c r="A201" s="1">
        <v>31625</v>
      </c>
      <c r="B201" t="s">
        <v>22</v>
      </c>
      <c r="C201" t="s">
        <v>2237</v>
      </c>
      <c r="D201" s="35">
        <v>1.2215312432740899</v>
      </c>
      <c r="E201" s="35">
        <v>7.670870068830828</v>
      </c>
      <c r="F201" s="35">
        <v>92.253028999476427</v>
      </c>
      <c r="G201" s="35">
        <v>-2.7232588788898948E-2</v>
      </c>
      <c r="H201" s="35">
        <v>7.6981026576197271</v>
      </c>
      <c r="I201" s="35">
        <v>151.87741100979494</v>
      </c>
      <c r="J201" t="s">
        <v>2304</v>
      </c>
      <c r="K201" t="s">
        <v>36</v>
      </c>
    </row>
    <row r="202" spans="1:11">
      <c r="A202" s="1">
        <v>31656</v>
      </c>
      <c r="B202" t="s">
        <v>22</v>
      </c>
      <c r="C202" t="s">
        <v>2237</v>
      </c>
      <c r="D202" s="35">
        <v>1.2948116693731599</v>
      </c>
      <c r="E202" s="35">
        <v>5.8260066338692624</v>
      </c>
      <c r="F202" s="35">
        <v>95.960217091967493</v>
      </c>
      <c r="G202" s="35">
        <v>0.11528589899523589</v>
      </c>
      <c r="H202" s="35">
        <v>5.7107207348740268</v>
      </c>
      <c r="I202" s="35">
        <v>98.434024414683321</v>
      </c>
      <c r="J202" t="s">
        <v>2304</v>
      </c>
      <c r="K202" t="s">
        <v>36</v>
      </c>
    </row>
    <row r="203" spans="1:11">
      <c r="A203" s="1">
        <v>31686</v>
      </c>
      <c r="B203" t="s">
        <v>22</v>
      </c>
      <c r="C203" t="s">
        <v>2237</v>
      </c>
      <c r="D203" s="35">
        <v>1.36882402945339</v>
      </c>
      <c r="E203" s="35">
        <v>5.5586743045312401</v>
      </c>
      <c r="F203" s="35">
        <v>99.580023701495207</v>
      </c>
      <c r="G203" s="35">
        <v>0.17125837170386743</v>
      </c>
      <c r="H203" s="35">
        <v>5.3874159328273725</v>
      </c>
      <c r="I203" s="35">
        <v>90.882889864480347</v>
      </c>
      <c r="J203" t="s">
        <v>2305</v>
      </c>
      <c r="K203" t="s">
        <v>36</v>
      </c>
    </row>
    <row r="204" spans="1:11">
      <c r="A204" s="1">
        <v>31717</v>
      </c>
      <c r="B204" t="s">
        <v>22</v>
      </c>
      <c r="C204" t="s">
        <v>2237</v>
      </c>
      <c r="D204" s="35">
        <v>1.4613043243419099</v>
      </c>
      <c r="E204" s="35">
        <v>6.5377411171661057</v>
      </c>
      <c r="F204" s="35">
        <v>103.66749172871796</v>
      </c>
      <c r="G204" s="35">
        <v>0.43204811008838456</v>
      </c>
      <c r="H204" s="35">
        <v>6.1056930070777211</v>
      </c>
      <c r="I204" s="35">
        <v>108.06558590230533</v>
      </c>
      <c r="J204" t="s">
        <v>2305</v>
      </c>
      <c r="K204" t="s">
        <v>36</v>
      </c>
    </row>
    <row r="205" spans="1:11">
      <c r="A205" s="1">
        <v>31747</v>
      </c>
      <c r="B205" t="s">
        <v>22</v>
      </c>
      <c r="C205" t="s">
        <v>2237</v>
      </c>
      <c r="D205" s="35">
        <v>1.5767346258639301</v>
      </c>
      <c r="E205" s="35">
        <v>7.6026606254596718</v>
      </c>
      <c r="F205" s="35">
        <v>105.74866993498611</v>
      </c>
      <c r="G205" s="35">
        <v>9.0732441503875105E-2</v>
      </c>
      <c r="H205" s="35">
        <v>7.5119281839557965</v>
      </c>
      <c r="I205" s="35">
        <v>146.3126263848394</v>
      </c>
      <c r="J205" t="s">
        <v>2305</v>
      </c>
      <c r="K205" t="s">
        <v>36</v>
      </c>
    </row>
    <row r="206" spans="1:11">
      <c r="A206" s="1">
        <v>31778</v>
      </c>
      <c r="B206" t="s">
        <v>22</v>
      </c>
      <c r="C206" t="s">
        <v>2237</v>
      </c>
      <c r="D206" s="35">
        <v>1.7044012927955401</v>
      </c>
      <c r="E206" s="35">
        <v>7.7857885156342386</v>
      </c>
      <c r="F206" s="35">
        <v>104.3420653811523</v>
      </c>
      <c r="G206" s="35">
        <v>0.17355366550716039</v>
      </c>
      <c r="H206" s="35">
        <v>7.612234850127078</v>
      </c>
      <c r="I206" s="35">
        <v>149.29535744745363</v>
      </c>
      <c r="J206" t="s">
        <v>2306</v>
      </c>
      <c r="K206" t="s">
        <v>36</v>
      </c>
    </row>
    <row r="207" spans="1:11">
      <c r="A207" s="1">
        <v>31809</v>
      </c>
      <c r="B207" t="s">
        <v>22</v>
      </c>
      <c r="C207" t="s">
        <v>2237</v>
      </c>
      <c r="D207" s="35">
        <v>1.82738639011058</v>
      </c>
      <c r="E207" s="35">
        <v>6.9672842727094588</v>
      </c>
      <c r="F207" s="35">
        <v>109.76124042167635</v>
      </c>
      <c r="G207" s="35">
        <v>-2.3713097848198361E-2</v>
      </c>
      <c r="H207" s="35">
        <v>6.9909973705576576</v>
      </c>
      <c r="I207" s="35">
        <v>131.38659207638361</v>
      </c>
      <c r="J207" t="s">
        <v>2306</v>
      </c>
      <c r="K207" t="s">
        <v>36</v>
      </c>
    </row>
    <row r="208" spans="1:11">
      <c r="A208" s="1">
        <v>31837</v>
      </c>
      <c r="B208" t="s">
        <v>22</v>
      </c>
      <c r="C208" t="s">
        <v>2237</v>
      </c>
      <c r="D208" s="35">
        <v>1.94815269938473</v>
      </c>
      <c r="E208" s="35">
        <v>6.3994846047481619</v>
      </c>
      <c r="F208" s="35">
        <v>113.69132639122776</v>
      </c>
      <c r="G208" s="35">
        <v>4.9988579633774066E-2</v>
      </c>
      <c r="H208" s="35">
        <v>6.3494960251143882</v>
      </c>
      <c r="I208" s="35">
        <v>114.24274808673553</v>
      </c>
      <c r="J208" t="s">
        <v>2306</v>
      </c>
      <c r="K208" t="s">
        <v>36</v>
      </c>
    </row>
    <row r="209" spans="1:11">
      <c r="A209" s="1">
        <v>31868</v>
      </c>
      <c r="B209" t="s">
        <v>22</v>
      </c>
      <c r="C209" t="s">
        <v>2237</v>
      </c>
      <c r="D209" s="35">
        <v>2.1186064597271499</v>
      </c>
      <c r="E209" s="35">
        <v>8.3876952307561101</v>
      </c>
      <c r="F209" s="35">
        <v>120.85770154415721</v>
      </c>
      <c r="G209" s="35">
        <v>-0.20981878280513042</v>
      </c>
      <c r="H209" s="35">
        <v>8.5975140135612413</v>
      </c>
      <c r="I209" s="35">
        <v>180.58364148200647</v>
      </c>
      <c r="J209" t="s">
        <v>2307</v>
      </c>
      <c r="K209" t="s">
        <v>36</v>
      </c>
    </row>
    <row r="210" spans="1:11">
      <c r="A210" s="1">
        <v>31898</v>
      </c>
      <c r="B210" t="s">
        <v>22</v>
      </c>
      <c r="C210" t="s">
        <v>2237</v>
      </c>
      <c r="D210" s="35">
        <v>2.2783250588421802</v>
      </c>
      <c r="E210" s="35">
        <v>7.2682007453338731</v>
      </c>
      <c r="F210" s="35">
        <v>125.00418111771836</v>
      </c>
      <c r="G210" s="35">
        <v>-0.60748395632500474</v>
      </c>
      <c r="H210" s="35">
        <v>7.8756847016588782</v>
      </c>
      <c r="I210" s="35">
        <v>157.30247804236348</v>
      </c>
      <c r="J210" t="s">
        <v>2307</v>
      </c>
      <c r="K210" t="s">
        <v>36</v>
      </c>
    </row>
    <row r="211" spans="1:11">
      <c r="A211" s="1">
        <v>31929</v>
      </c>
      <c r="B211" t="s">
        <v>22</v>
      </c>
      <c r="C211" t="s">
        <v>2237</v>
      </c>
      <c r="D211" s="35">
        <v>2.4431457328031998</v>
      </c>
      <c r="E211" s="35">
        <v>6.9845894027409132</v>
      </c>
      <c r="F211" s="35">
        <v>126.72804003764244</v>
      </c>
      <c r="G211" s="35">
        <v>-0.18319094864445387</v>
      </c>
      <c r="H211" s="35">
        <v>7.1677803513853675</v>
      </c>
      <c r="I211" s="35">
        <v>136.34765327243201</v>
      </c>
      <c r="J211" t="s">
        <v>2307</v>
      </c>
      <c r="K211" t="s">
        <v>36</v>
      </c>
    </row>
    <row r="212" spans="1:11">
      <c r="A212" s="1">
        <v>31959</v>
      </c>
      <c r="B212" t="s">
        <v>22</v>
      </c>
      <c r="C212" t="s">
        <v>2237</v>
      </c>
      <c r="D212" s="35">
        <v>2.64102152651602</v>
      </c>
      <c r="E212" s="35">
        <v>7.7879340466663809</v>
      </c>
      <c r="F212" s="35">
        <v>133.4433608360801</v>
      </c>
      <c r="G212" s="35">
        <v>1.857230697938933E-2</v>
      </c>
      <c r="H212" s="35">
        <v>7.7693617396869916</v>
      </c>
      <c r="I212" s="35">
        <v>154.04047246803407</v>
      </c>
      <c r="J212" t="s">
        <v>2308</v>
      </c>
      <c r="K212" t="s">
        <v>36</v>
      </c>
    </row>
    <row r="213" spans="1:11">
      <c r="A213" s="1">
        <v>31990</v>
      </c>
      <c r="B213" t="s">
        <v>22</v>
      </c>
      <c r="C213" t="s">
        <v>2237</v>
      </c>
      <c r="D213" s="35">
        <v>2.8568715486409899</v>
      </c>
      <c r="E213" s="35">
        <v>7.8561377836573065</v>
      </c>
      <c r="F213" s="35">
        <v>133.87625690061523</v>
      </c>
      <c r="G213" s="35">
        <v>-2.7232588788898948E-2</v>
      </c>
      <c r="H213" s="35">
        <v>7.8833703724462056</v>
      </c>
      <c r="I213" s="35">
        <v>157.53989256360543</v>
      </c>
      <c r="J213" t="s">
        <v>2308</v>
      </c>
      <c r="K213" t="s">
        <v>36</v>
      </c>
    </row>
    <row r="214" spans="1:11">
      <c r="A214" s="1">
        <v>32021</v>
      </c>
      <c r="B214" t="s">
        <v>22</v>
      </c>
      <c r="C214" t="s">
        <v>2237</v>
      </c>
      <c r="D214" s="35">
        <v>3.0450813948028701</v>
      </c>
      <c r="E214" s="35">
        <v>6.3800469431709557</v>
      </c>
      <c r="F214" s="35">
        <v>135.1756218166496</v>
      </c>
      <c r="G214" s="35">
        <v>0.11528589899523589</v>
      </c>
      <c r="H214" s="35">
        <v>6.26476104417572</v>
      </c>
      <c r="I214" s="35">
        <v>112.07532354088686</v>
      </c>
      <c r="J214" t="s">
        <v>2308</v>
      </c>
      <c r="K214" t="s">
        <v>36</v>
      </c>
    </row>
    <row r="215" spans="1:11">
      <c r="A215" s="1">
        <v>32051</v>
      </c>
      <c r="B215" t="s">
        <v>22</v>
      </c>
      <c r="C215" t="s">
        <v>2237</v>
      </c>
      <c r="D215" s="35">
        <v>3.2988446335319099</v>
      </c>
      <c r="E215" s="35">
        <v>8.0044664672375294</v>
      </c>
      <c r="F215" s="35">
        <v>140.99844556712168</v>
      </c>
      <c r="G215" s="35">
        <v>0.17125837170386743</v>
      </c>
      <c r="H215" s="35">
        <v>7.8332080955336618</v>
      </c>
      <c r="I215" s="35">
        <v>155.99429458455609</v>
      </c>
      <c r="J215" t="s">
        <v>2309</v>
      </c>
      <c r="K215" t="s">
        <v>36</v>
      </c>
    </row>
    <row r="216" spans="1:11">
      <c r="A216" s="1">
        <v>32082</v>
      </c>
      <c r="B216" t="s">
        <v>22</v>
      </c>
      <c r="C216" t="s">
        <v>2237</v>
      </c>
      <c r="D216" s="35">
        <v>3.5605114226673802</v>
      </c>
      <c r="E216" s="35">
        <v>7.6331896480428885</v>
      </c>
      <c r="F216" s="35">
        <v>143.65297244096206</v>
      </c>
      <c r="G216" s="35">
        <v>0.43204811008838456</v>
      </c>
      <c r="H216" s="35">
        <v>7.2011415379545038</v>
      </c>
      <c r="I216" s="35">
        <v>137.29573032345888</v>
      </c>
      <c r="J216" t="s">
        <v>2309</v>
      </c>
      <c r="K216" t="s">
        <v>36</v>
      </c>
    </row>
    <row r="217" spans="1:11">
      <c r="A217" s="1">
        <v>32112</v>
      </c>
      <c r="B217" t="s">
        <v>22</v>
      </c>
      <c r="C217" t="s">
        <v>2237</v>
      </c>
      <c r="D217" s="35">
        <v>4.0863924586010301</v>
      </c>
      <c r="E217" s="35">
        <v>13.775834876841763</v>
      </c>
      <c r="F217" s="35">
        <v>159.1680547614028</v>
      </c>
      <c r="G217" s="35">
        <v>9.0732441503875105E-2</v>
      </c>
      <c r="H217" s="35">
        <v>13.685102435337889</v>
      </c>
      <c r="I217" s="35">
        <v>416.65868783639405</v>
      </c>
      <c r="J217" t="s">
        <v>2309</v>
      </c>
      <c r="K217" t="s">
        <v>36</v>
      </c>
    </row>
    <row r="218" spans="1:11">
      <c r="A218" s="1">
        <v>32143</v>
      </c>
      <c r="B218" t="s">
        <v>22</v>
      </c>
      <c r="C218" t="s">
        <v>2237</v>
      </c>
      <c r="D218" s="35">
        <v>4.7182459356504296</v>
      </c>
      <c r="E218" s="35">
        <v>14.377456535818943</v>
      </c>
      <c r="F218" s="35">
        <v>176.82717418687326</v>
      </c>
      <c r="G218" s="35">
        <v>0.17355366550716039</v>
      </c>
      <c r="H218" s="35">
        <v>14.203902870311783</v>
      </c>
      <c r="I218" s="35">
        <v>449.84616022861593</v>
      </c>
      <c r="J218" t="s">
        <v>2310</v>
      </c>
      <c r="K218" t="s">
        <v>36</v>
      </c>
    </row>
    <row r="219" spans="1:11">
      <c r="A219" s="1">
        <v>32174</v>
      </c>
      <c r="B219" t="s">
        <v>22</v>
      </c>
      <c r="C219" t="s">
        <v>2237</v>
      </c>
      <c r="D219" s="35">
        <v>5.1117830400722699</v>
      </c>
      <c r="E219" s="35">
        <v>8.011116814880836</v>
      </c>
      <c r="F219" s="35">
        <v>179.73192028440917</v>
      </c>
      <c r="G219" s="35">
        <v>-2.3713097848198361E-2</v>
      </c>
      <c r="H219" s="35">
        <v>8.0348299127290339</v>
      </c>
      <c r="I219" s="35">
        <v>162.26351362888579</v>
      </c>
      <c r="J219" t="s">
        <v>2310</v>
      </c>
      <c r="K219" t="s">
        <v>36</v>
      </c>
    </row>
    <row r="220" spans="1:11">
      <c r="A220" s="1">
        <v>32203</v>
      </c>
      <c r="B220" t="s">
        <v>22</v>
      </c>
      <c r="C220" t="s">
        <v>2237</v>
      </c>
      <c r="D220" s="35">
        <v>5.3735474255859703</v>
      </c>
      <c r="E220" s="35">
        <v>4.9940016213817504</v>
      </c>
      <c r="F220" s="35">
        <v>175.82783563542304</v>
      </c>
      <c r="G220" s="35">
        <v>4.9988579633774066E-2</v>
      </c>
      <c r="H220" s="35">
        <v>4.9440130417479766</v>
      </c>
      <c r="I220" s="35">
        <v>80.991804457045731</v>
      </c>
      <c r="J220" t="s">
        <v>2310</v>
      </c>
      <c r="K220" t="s">
        <v>36</v>
      </c>
    </row>
    <row r="221" spans="1:11">
      <c r="A221" s="1">
        <v>32234</v>
      </c>
      <c r="B221" t="s">
        <v>22</v>
      </c>
      <c r="C221" t="s">
        <v>2237</v>
      </c>
      <c r="D221" s="35">
        <v>5.5389407368005896</v>
      </c>
      <c r="E221" s="35">
        <v>3.0314988646064571</v>
      </c>
      <c r="F221" s="35">
        <v>161.44264364765206</v>
      </c>
      <c r="G221" s="35">
        <v>-0.20981878280513042</v>
      </c>
      <c r="H221" s="35">
        <v>3.2413176474115875</v>
      </c>
      <c r="I221" s="35">
        <v>47.5442755087224</v>
      </c>
      <c r="J221" t="s">
        <v>2311</v>
      </c>
      <c r="K221" t="s">
        <v>36</v>
      </c>
    </row>
    <row r="222" spans="1:11">
      <c r="A222" s="1">
        <v>32264</v>
      </c>
      <c r="B222" t="s">
        <v>22</v>
      </c>
      <c r="C222" t="s">
        <v>2237</v>
      </c>
      <c r="D222" s="35">
        <v>5.6461086882159401</v>
      </c>
      <c r="E222" s="35">
        <v>1.9163300393005727</v>
      </c>
      <c r="F222" s="35">
        <v>147.81839914824229</v>
      </c>
      <c r="G222" s="35">
        <v>-0.60748395632500474</v>
      </c>
      <c r="H222" s="35">
        <v>2.5238139956255772</v>
      </c>
      <c r="I222" s="35">
        <v>35.372178833620517</v>
      </c>
      <c r="J222" t="s">
        <v>2311</v>
      </c>
      <c r="K222" t="s">
        <v>36</v>
      </c>
    </row>
    <row r="223" spans="1:11">
      <c r="A223" s="1">
        <v>32295</v>
      </c>
      <c r="B223" t="s">
        <v>22</v>
      </c>
      <c r="C223" t="s">
        <v>2237</v>
      </c>
      <c r="D223" s="35">
        <v>5.7612921365391498</v>
      </c>
      <c r="E223" s="35">
        <v>2.0195198682975355</v>
      </c>
      <c r="F223" s="35">
        <v>135.81450992400676</v>
      </c>
      <c r="G223" s="35">
        <v>-0.18319094864445387</v>
      </c>
      <c r="H223" s="35">
        <v>2.2027108169419893</v>
      </c>
      <c r="I223" s="35">
        <v>30.255184494421439</v>
      </c>
      <c r="J223" t="s">
        <v>2311</v>
      </c>
      <c r="K223" t="s">
        <v>36</v>
      </c>
    </row>
    <row r="224" spans="1:11">
      <c r="A224" s="1">
        <v>32325</v>
      </c>
      <c r="B224" t="s">
        <v>22</v>
      </c>
      <c r="C224" t="s">
        <v>2237</v>
      </c>
      <c r="D224" s="35">
        <v>5.8574565431643997</v>
      </c>
      <c r="E224" s="35">
        <v>1.6553693554911788</v>
      </c>
      <c r="F224" s="35">
        <v>121.78753502594253</v>
      </c>
      <c r="G224" s="35">
        <v>1.857230697938933E-2</v>
      </c>
      <c r="H224" s="35">
        <v>1.6367970485117895</v>
      </c>
      <c r="I224" s="35">
        <v>21.703265475819332</v>
      </c>
      <c r="J224" t="s">
        <v>2312</v>
      </c>
      <c r="K224" t="s">
        <v>36</v>
      </c>
    </row>
    <row r="225" spans="1:11">
      <c r="A225" s="1">
        <v>32356</v>
      </c>
      <c r="B225" t="s">
        <v>22</v>
      </c>
      <c r="C225" t="s">
        <v>2237</v>
      </c>
      <c r="D225" s="35">
        <v>5.9113433427301798</v>
      </c>
      <c r="E225" s="35">
        <v>0.91576331786966703</v>
      </c>
      <c r="F225" s="35">
        <v>106.91666538323008</v>
      </c>
      <c r="G225" s="35">
        <v>-2.7232588788898948E-2</v>
      </c>
      <c r="H225" s="35">
        <v>0.94299590665856603</v>
      </c>
      <c r="I225" s="35">
        <v>11.981053833775078</v>
      </c>
      <c r="J225" t="s">
        <v>2312</v>
      </c>
      <c r="K225" t="s">
        <v>36</v>
      </c>
    </row>
    <row r="226" spans="1:11">
      <c r="A226" s="1">
        <v>32387</v>
      </c>
      <c r="B226" t="s">
        <v>22</v>
      </c>
      <c r="C226" t="s">
        <v>2237</v>
      </c>
      <c r="D226" s="35">
        <v>5.9451390220791502</v>
      </c>
      <c r="E226" s="35">
        <v>0.57008090320289728</v>
      </c>
      <c r="F226" s="35">
        <v>95.23744200157978</v>
      </c>
      <c r="G226" s="35">
        <v>0.11528589899523589</v>
      </c>
      <c r="H226" s="35">
        <v>0.45479500420766139</v>
      </c>
      <c r="I226" s="35">
        <v>5.6092103289563155</v>
      </c>
      <c r="J226" t="s">
        <v>2312</v>
      </c>
      <c r="K226" t="s">
        <v>36</v>
      </c>
    </row>
    <row r="227" spans="1:11">
      <c r="A227" s="1">
        <v>32417</v>
      </c>
      <c r="B227" t="s">
        <v>22</v>
      </c>
      <c r="C227" t="s">
        <v>2237</v>
      </c>
      <c r="D227" s="35">
        <v>5.99048648308192</v>
      </c>
      <c r="E227" s="35">
        <v>0.75987101273096613</v>
      </c>
      <c r="F227" s="35">
        <v>81.593471307807604</v>
      </c>
      <c r="G227" s="35">
        <v>0.17125837170386743</v>
      </c>
      <c r="H227" s="35">
        <v>0.58861264102709865</v>
      </c>
      <c r="I227" s="35">
        <v>7.3187848605019923</v>
      </c>
      <c r="J227" t="s">
        <v>2313</v>
      </c>
      <c r="K227" t="s">
        <v>36</v>
      </c>
    </row>
    <row r="228" spans="1:11">
      <c r="A228" s="1">
        <v>32448</v>
      </c>
      <c r="B228" t="s">
        <v>22</v>
      </c>
      <c r="C228" t="s">
        <v>2237</v>
      </c>
      <c r="D228" s="35">
        <v>6.0706543465480198</v>
      </c>
      <c r="E228" s="35">
        <v>1.3293774648708245</v>
      </c>
      <c r="F228" s="35">
        <v>70.499504871694811</v>
      </c>
      <c r="G228" s="35">
        <v>0.43204811008838456</v>
      </c>
      <c r="H228" s="35">
        <v>0.89732935478243991</v>
      </c>
      <c r="I228" s="35">
        <v>11.369077543592621</v>
      </c>
      <c r="J228" t="s">
        <v>2313</v>
      </c>
      <c r="K228" t="s">
        <v>36</v>
      </c>
    </row>
    <row r="229" spans="1:11">
      <c r="A229" s="1">
        <v>32478</v>
      </c>
      <c r="B229" t="s">
        <v>22</v>
      </c>
      <c r="C229" t="s">
        <v>2237</v>
      </c>
      <c r="D229" s="35">
        <v>6.1973163857180404</v>
      </c>
      <c r="E229" s="35">
        <v>2.0649957983437313</v>
      </c>
      <c r="F229" s="35">
        <v>51.657395820461204</v>
      </c>
      <c r="G229" s="35">
        <v>9.0732441503875105E-2</v>
      </c>
      <c r="H229" s="35">
        <v>1.9742633568398562</v>
      </c>
      <c r="I229" s="35">
        <v>26.732908450743366</v>
      </c>
      <c r="J229" t="s">
        <v>2313</v>
      </c>
      <c r="K229" t="s">
        <v>36</v>
      </c>
    </row>
    <row r="230" spans="1:11">
      <c r="A230" s="1">
        <v>32509</v>
      </c>
      <c r="B230" t="s">
        <v>22</v>
      </c>
      <c r="C230" t="s">
        <v>2237</v>
      </c>
      <c r="D230" s="35">
        <v>6.3490237929630702</v>
      </c>
      <c r="E230" s="35">
        <v>2.4184710359653372</v>
      </c>
      <c r="F230" s="35">
        <v>34.563222849209765</v>
      </c>
      <c r="G230" s="35">
        <v>0.17355366550716039</v>
      </c>
      <c r="H230" s="35">
        <v>2.2449173704581766</v>
      </c>
      <c r="I230" s="35">
        <v>30.916572665319975</v>
      </c>
      <c r="J230" t="s">
        <v>2314</v>
      </c>
      <c r="K230" t="s">
        <v>36</v>
      </c>
    </row>
    <row r="231" spans="1:11">
      <c r="A231" s="1">
        <v>32540</v>
      </c>
      <c r="B231" t="s">
        <v>22</v>
      </c>
      <c r="C231" t="s">
        <v>2237</v>
      </c>
      <c r="D231" s="35">
        <v>6.4351835425093196</v>
      </c>
      <c r="E231" s="35">
        <v>1.3479295481032254</v>
      </c>
      <c r="F231" s="35">
        <v>25.889215016808297</v>
      </c>
      <c r="G231" s="35">
        <v>-2.3713097848198361E-2</v>
      </c>
      <c r="H231" s="35">
        <v>1.3716426459514237</v>
      </c>
      <c r="I231" s="35">
        <v>17.891805758328427</v>
      </c>
      <c r="J231" t="s">
        <v>2314</v>
      </c>
      <c r="K231" t="s">
        <v>36</v>
      </c>
    </row>
    <row r="232" spans="1:11">
      <c r="A232" s="1">
        <v>32568</v>
      </c>
      <c r="B232" t="s">
        <v>22</v>
      </c>
      <c r="C232" t="s">
        <v>2237</v>
      </c>
      <c r="D232" s="35">
        <v>6.5049448988288097</v>
      </c>
      <c r="E232" s="35">
        <v>1.0782278165368264</v>
      </c>
      <c r="F232" s="35">
        <v>21.054945339380971</v>
      </c>
      <c r="G232" s="35">
        <v>4.9988579633774066E-2</v>
      </c>
      <c r="H232" s="35">
        <v>1.0282392369030524</v>
      </c>
      <c r="I232" s="35">
        <v>13.132409069955298</v>
      </c>
      <c r="J232" t="s">
        <v>2314</v>
      </c>
      <c r="K232" t="s">
        <v>36</v>
      </c>
    </row>
    <row r="233" spans="1:11">
      <c r="A233" s="1">
        <v>32599</v>
      </c>
      <c r="B233" t="s">
        <v>22</v>
      </c>
      <c r="C233" t="s">
        <v>2237</v>
      </c>
      <c r="D233" s="35">
        <v>6.6022244447037099</v>
      </c>
      <c r="E233" s="35">
        <v>1.484398798329335</v>
      </c>
      <c r="F233" s="35">
        <v>19.196517139796953</v>
      </c>
      <c r="G233" s="35">
        <v>-0.20981878280513042</v>
      </c>
      <c r="H233" s="35">
        <v>1.6942175811344653</v>
      </c>
      <c r="I233" s="35">
        <v>22.544753225994583</v>
      </c>
      <c r="J233" t="s">
        <v>2315</v>
      </c>
      <c r="K233" t="s">
        <v>36</v>
      </c>
    </row>
    <row r="234" spans="1:11">
      <c r="A234" s="1">
        <v>32629</v>
      </c>
      <c r="B234" t="s">
        <v>22</v>
      </c>
      <c r="C234" t="s">
        <v>2237</v>
      </c>
      <c r="D234" s="35">
        <v>6.6930987691500397</v>
      </c>
      <c r="E234" s="35">
        <v>1.3670331767189787</v>
      </c>
      <c r="F234" s="35">
        <v>18.54356936343229</v>
      </c>
      <c r="G234" s="35">
        <v>-0.60748395632500474</v>
      </c>
      <c r="H234" s="35">
        <v>1.9745171330439835</v>
      </c>
      <c r="I234" s="35">
        <v>26.736767925082994</v>
      </c>
      <c r="J234" t="s">
        <v>2315</v>
      </c>
      <c r="K234" t="s">
        <v>36</v>
      </c>
    </row>
    <row r="235" spans="1:11">
      <c r="A235" s="1">
        <v>32660</v>
      </c>
      <c r="B235" t="s">
        <v>22</v>
      </c>
      <c r="C235" t="s">
        <v>2237</v>
      </c>
      <c r="D235" s="35">
        <v>6.7743846367104403</v>
      </c>
      <c r="E235" s="35">
        <v>1.2071573019127151</v>
      </c>
      <c r="F235" s="35">
        <v>17.584466750888673</v>
      </c>
      <c r="G235" s="35">
        <v>-0.18319094864445387</v>
      </c>
      <c r="H235" s="35">
        <v>1.3903482505571689</v>
      </c>
      <c r="I235" s="35">
        <v>18.156731483416056</v>
      </c>
      <c r="J235" t="s">
        <v>2315</v>
      </c>
      <c r="K235" t="s">
        <v>36</v>
      </c>
    </row>
    <row r="236" spans="1:11">
      <c r="A236" s="1">
        <v>32690</v>
      </c>
      <c r="B236" t="s">
        <v>22</v>
      </c>
      <c r="C236" t="s">
        <v>2237</v>
      </c>
      <c r="D236" s="35">
        <v>6.8421482176047199</v>
      </c>
      <c r="E236" s="35">
        <v>0.9953215116269053</v>
      </c>
      <c r="F236" s="35">
        <v>16.810908748259457</v>
      </c>
      <c r="G236" s="35">
        <v>1.857230697938933E-2</v>
      </c>
      <c r="H236" s="35">
        <v>0.97674920464751591</v>
      </c>
      <c r="I236" s="35">
        <v>12.435541224827084</v>
      </c>
      <c r="J236" t="s">
        <v>2316</v>
      </c>
      <c r="K236" t="s">
        <v>36</v>
      </c>
    </row>
    <row r="237" spans="1:11">
      <c r="A237" s="1">
        <v>32721</v>
      </c>
      <c r="B237" t="s">
        <v>22</v>
      </c>
      <c r="C237" t="s">
        <v>2237</v>
      </c>
      <c r="D237" s="35">
        <v>6.90733277574674</v>
      </c>
      <c r="E237" s="35">
        <v>0.94818192105407972</v>
      </c>
      <c r="F237" s="35">
        <v>16.848783352119725</v>
      </c>
      <c r="G237" s="35">
        <v>-2.7232588788898948E-2</v>
      </c>
      <c r="H237" s="35">
        <v>0.97541450984297873</v>
      </c>
      <c r="I237" s="35">
        <v>12.417534610939462</v>
      </c>
      <c r="J237" t="s">
        <v>2316</v>
      </c>
      <c r="K237" t="s">
        <v>36</v>
      </c>
    </row>
    <row r="238" spans="1:11">
      <c r="A238" s="1">
        <v>32752</v>
      </c>
      <c r="B238" t="s">
        <v>22</v>
      </c>
      <c r="C238" t="s">
        <v>2237</v>
      </c>
      <c r="D238" s="35">
        <v>6.9733927950019501</v>
      </c>
      <c r="E238" s="35">
        <v>0.95183090625962219</v>
      </c>
      <c r="F238" s="35">
        <v>17.295706107192022</v>
      </c>
      <c r="G238" s="35">
        <v>0.11528589899523589</v>
      </c>
      <c r="H238" s="35">
        <v>0.8365450072643863</v>
      </c>
      <c r="I238" s="35">
        <v>10.559693399906166</v>
      </c>
      <c r="J238" t="s">
        <v>2316</v>
      </c>
      <c r="K238" t="s">
        <v>36</v>
      </c>
    </row>
    <row r="239" spans="1:11">
      <c r="A239" s="1">
        <v>32782</v>
      </c>
      <c r="B239" t="s">
        <v>22</v>
      </c>
      <c r="C239" t="s">
        <v>2237</v>
      </c>
      <c r="D239" s="35">
        <v>7.0765250152232699</v>
      </c>
      <c r="E239" s="35">
        <v>1.4681092656462607</v>
      </c>
      <c r="F239" s="35">
        <v>18.129387908786619</v>
      </c>
      <c r="G239" s="35">
        <v>0.17125837170386743</v>
      </c>
      <c r="H239" s="35">
        <v>1.2968508939423933</v>
      </c>
      <c r="I239" s="35">
        <v>16.838459561407817</v>
      </c>
      <c r="J239" t="s">
        <v>2317</v>
      </c>
      <c r="K239" t="s">
        <v>36</v>
      </c>
    </row>
    <row r="240" spans="1:11">
      <c r="A240" s="1">
        <v>32813</v>
      </c>
      <c r="B240" t="s">
        <v>22</v>
      </c>
      <c r="C240" t="s">
        <v>2237</v>
      </c>
      <c r="D240" s="35">
        <v>7.1758554371589298</v>
      </c>
      <c r="E240" s="35">
        <v>1.3939009073478015</v>
      </c>
      <c r="F240" s="35">
        <v>18.205633651986219</v>
      </c>
      <c r="G240" s="35">
        <v>0.43204811008838456</v>
      </c>
      <c r="H240" s="35">
        <v>0.96185279725941686</v>
      </c>
      <c r="I240" s="35">
        <v>12.234734481003983</v>
      </c>
      <c r="J240" t="s">
        <v>2317</v>
      </c>
      <c r="K240" t="s">
        <v>36</v>
      </c>
    </row>
    <row r="241" spans="1:11">
      <c r="A241" s="1">
        <v>32843</v>
      </c>
      <c r="B241" t="s">
        <v>22</v>
      </c>
      <c r="C241" t="s">
        <v>2237</v>
      </c>
      <c r="D241" s="35">
        <v>7.4180295787321997</v>
      </c>
      <c r="E241" s="35">
        <v>3.3191487256149741</v>
      </c>
      <c r="F241" s="35">
        <v>19.697448331463939</v>
      </c>
      <c r="G241" s="35">
        <v>9.0732441503875105E-2</v>
      </c>
      <c r="H241" s="35">
        <v>3.2284162841110988</v>
      </c>
      <c r="I241" s="35">
        <v>47.316029559196494</v>
      </c>
      <c r="J241" t="s">
        <v>2317</v>
      </c>
      <c r="K241" t="s">
        <v>36</v>
      </c>
    </row>
    <row r="242" spans="1:11">
      <c r="A242" s="1">
        <v>32874</v>
      </c>
      <c r="B242" t="s">
        <v>22</v>
      </c>
      <c r="C242" t="s">
        <v>2237</v>
      </c>
      <c r="D242" s="35">
        <v>7.7760373017278699</v>
      </c>
      <c r="E242" s="35">
        <v>4.7133397693261383</v>
      </c>
      <c r="F242" s="35">
        <v>22.476109009804436</v>
      </c>
      <c r="G242" s="35">
        <v>0.17355366550716039</v>
      </c>
      <c r="H242" s="35">
        <v>4.5397861038189777</v>
      </c>
      <c r="I242" s="35">
        <v>72.421923815261181</v>
      </c>
      <c r="J242" t="s">
        <v>2318</v>
      </c>
      <c r="K242" t="s">
        <v>36</v>
      </c>
    </row>
    <row r="243" spans="1:11">
      <c r="A243" s="1">
        <v>32905</v>
      </c>
      <c r="B243" t="s">
        <v>22</v>
      </c>
      <c r="C243" t="s">
        <v>2237</v>
      </c>
      <c r="D243" s="35">
        <v>7.9521198537757698</v>
      </c>
      <c r="E243" s="35">
        <v>2.2391677216052401</v>
      </c>
      <c r="F243" s="35">
        <v>23.572541501666944</v>
      </c>
      <c r="G243" s="35">
        <v>-2.3713097848198361E-2</v>
      </c>
      <c r="H243" s="35">
        <v>2.2628808194534384</v>
      </c>
      <c r="I243" s="35">
        <v>31.199082628209229</v>
      </c>
      <c r="J243" t="s">
        <v>2318</v>
      </c>
      <c r="K243" t="s">
        <v>36</v>
      </c>
    </row>
    <row r="244" spans="1:11">
      <c r="A244" s="1">
        <v>32933</v>
      </c>
      <c r="B244" t="s">
        <v>22</v>
      </c>
      <c r="C244" t="s">
        <v>2237</v>
      </c>
      <c r="D244" s="35">
        <v>8.0923099196601296</v>
      </c>
      <c r="E244" s="35">
        <v>1.7475676689616975</v>
      </c>
      <c r="F244" s="35">
        <v>24.402436077777057</v>
      </c>
      <c r="G244" s="35">
        <v>4.9988579633774066E-2</v>
      </c>
      <c r="H244" s="35">
        <v>1.6975790893279235</v>
      </c>
      <c r="I244" s="35">
        <v>22.594195420388807</v>
      </c>
      <c r="J244" t="s">
        <v>2318</v>
      </c>
      <c r="K244" t="s">
        <v>36</v>
      </c>
    </row>
    <row r="245" spans="1:11">
      <c r="A245" s="1">
        <v>32964</v>
      </c>
      <c r="B245" t="s">
        <v>22</v>
      </c>
      <c r="C245" t="s">
        <v>2237</v>
      </c>
      <c r="D245" s="35">
        <v>8.21547154939074</v>
      </c>
      <c r="E245" s="35">
        <v>1.510493277804158</v>
      </c>
      <c r="F245" s="35">
        <v>24.434902481710896</v>
      </c>
      <c r="G245" s="35">
        <v>-0.20981878280513042</v>
      </c>
      <c r="H245" s="35">
        <v>1.7203120606092883</v>
      </c>
      <c r="I245" s="35">
        <v>22.929083631805391</v>
      </c>
      <c r="J245" t="s">
        <v>2319</v>
      </c>
      <c r="K245" t="s">
        <v>36</v>
      </c>
    </row>
    <row r="246" spans="1:11">
      <c r="A246" s="1">
        <v>32994</v>
      </c>
      <c r="B246" t="s">
        <v>22</v>
      </c>
      <c r="C246" t="s">
        <v>2237</v>
      </c>
      <c r="D246" s="35">
        <v>8.3588376756723708</v>
      </c>
      <c r="E246" s="35">
        <v>1.7300232556755808</v>
      </c>
      <c r="F246" s="35">
        <v>24.887409613617038</v>
      </c>
      <c r="G246" s="35">
        <v>-0.60748395632500474</v>
      </c>
      <c r="H246" s="35">
        <v>2.3375072120005855</v>
      </c>
      <c r="I246" s="35">
        <v>32.379268832514228</v>
      </c>
      <c r="J246" t="s">
        <v>2319</v>
      </c>
      <c r="K246" t="s">
        <v>36</v>
      </c>
    </row>
    <row r="247" spans="1:11">
      <c r="A247" s="1">
        <v>33025</v>
      </c>
      <c r="B247" t="s">
        <v>22</v>
      </c>
      <c r="C247" t="s">
        <v>2237</v>
      </c>
      <c r="D247" s="35">
        <v>8.5429385894720191</v>
      </c>
      <c r="E247" s="35">
        <v>2.1785662320505756</v>
      </c>
      <c r="F247" s="35">
        <v>26.106488597912957</v>
      </c>
      <c r="G247" s="35">
        <v>-0.18319094864445387</v>
      </c>
      <c r="H247" s="35">
        <v>2.3617571806950295</v>
      </c>
      <c r="I247" s="35">
        <v>32.76505305058717</v>
      </c>
      <c r="J247" t="s">
        <v>2319</v>
      </c>
      <c r="K247" t="s">
        <v>36</v>
      </c>
    </row>
    <row r="248" spans="1:11">
      <c r="A248" s="1">
        <v>33055</v>
      </c>
      <c r="B248" t="s">
        <v>22</v>
      </c>
      <c r="C248" t="s">
        <v>2237</v>
      </c>
      <c r="D248" s="35">
        <v>8.6987348337264905</v>
      </c>
      <c r="E248" s="35">
        <v>1.8072547934561212</v>
      </c>
      <c r="F248" s="35">
        <v>27.134557116795687</v>
      </c>
      <c r="G248" s="35">
        <v>1.857230697938933E-2</v>
      </c>
      <c r="H248" s="35">
        <v>1.7886824864767319</v>
      </c>
      <c r="I248" s="35">
        <v>23.941797989717539</v>
      </c>
      <c r="J248" t="s">
        <v>2320</v>
      </c>
      <c r="K248" t="s">
        <v>36</v>
      </c>
    </row>
    <row r="249" spans="1:11">
      <c r="A249" s="1">
        <v>33086</v>
      </c>
      <c r="B249" t="s">
        <v>22</v>
      </c>
      <c r="C249" t="s">
        <v>2237</v>
      </c>
      <c r="D249" s="35">
        <v>8.8469504416048093</v>
      </c>
      <c r="E249" s="35">
        <v>1.6895223092934977</v>
      </c>
      <c r="F249" s="35">
        <v>28.0805591511172</v>
      </c>
      <c r="G249" s="35">
        <v>-2.7232588788898948E-2</v>
      </c>
      <c r="H249" s="35">
        <v>1.7167548980823966</v>
      </c>
      <c r="I249" s="35">
        <v>22.876621382035701</v>
      </c>
      <c r="J249" t="s">
        <v>2320</v>
      </c>
      <c r="K249" t="s">
        <v>36</v>
      </c>
    </row>
    <row r="250" spans="1:11">
      <c r="A250" s="1">
        <v>33117</v>
      </c>
      <c r="B250" t="s">
        <v>22</v>
      </c>
      <c r="C250" t="s">
        <v>2237</v>
      </c>
      <c r="D250" s="35">
        <v>8.9730613687053005</v>
      </c>
      <c r="E250" s="35">
        <v>1.4154090787348517</v>
      </c>
      <c r="F250" s="35">
        <v>28.675691051514775</v>
      </c>
      <c r="G250" s="35">
        <v>0.11528589899523589</v>
      </c>
      <c r="H250" s="35">
        <v>1.3001231797396158</v>
      </c>
      <c r="I250" s="35">
        <v>16.884348030244322</v>
      </c>
      <c r="J250" t="s">
        <v>2320</v>
      </c>
      <c r="K250" t="s">
        <v>36</v>
      </c>
    </row>
    <row r="251" spans="1:11">
      <c r="A251" s="1">
        <v>33147</v>
      </c>
      <c r="B251" t="s">
        <v>22</v>
      </c>
      <c r="C251" t="s">
        <v>2237</v>
      </c>
      <c r="D251" s="35">
        <v>9.1020598876472398</v>
      </c>
      <c r="E251" s="35">
        <v>1.4273841631517081</v>
      </c>
      <c r="F251" s="35">
        <v>28.623298413650321</v>
      </c>
      <c r="G251" s="35">
        <v>0.17125837170386743</v>
      </c>
      <c r="H251" s="35">
        <v>1.2561257914478408</v>
      </c>
      <c r="I251" s="35">
        <v>16.268861522442378</v>
      </c>
      <c r="J251" t="s">
        <v>2321</v>
      </c>
      <c r="K251" t="s">
        <v>36</v>
      </c>
    </row>
    <row r="252" spans="1:11">
      <c r="A252" s="1">
        <v>33178</v>
      </c>
      <c r="B252" t="s">
        <v>22</v>
      </c>
      <c r="C252" t="s">
        <v>2237</v>
      </c>
      <c r="D252" s="35">
        <v>9.3437231026759395</v>
      </c>
      <c r="E252" s="35">
        <v>2.6204042756566999</v>
      </c>
      <c r="F252" s="35">
        <v>30.210581644260557</v>
      </c>
      <c r="G252" s="35">
        <v>0.43204811008838456</v>
      </c>
      <c r="H252" s="35">
        <v>2.1883561655683152</v>
      </c>
      <c r="I252" s="35">
        <v>30.031005498969332</v>
      </c>
      <c r="J252" t="s">
        <v>2321</v>
      </c>
      <c r="K252" t="s">
        <v>36</v>
      </c>
    </row>
    <row r="253" spans="1:11">
      <c r="A253" s="1">
        <v>33208</v>
      </c>
      <c r="B253" t="s">
        <v>22</v>
      </c>
      <c r="C253" t="s">
        <v>2237</v>
      </c>
      <c r="D253" s="35">
        <v>9.6382139538614098</v>
      </c>
      <c r="E253" s="35">
        <v>3.1031025017871365</v>
      </c>
      <c r="F253" s="35">
        <v>29.929570266133364</v>
      </c>
      <c r="G253" s="35">
        <v>9.0732441503875105E-2</v>
      </c>
      <c r="H253" s="35">
        <v>3.0123700602832613</v>
      </c>
      <c r="I253" s="35">
        <v>43.545863903914309</v>
      </c>
      <c r="J253" t="s">
        <v>2321</v>
      </c>
      <c r="K253" t="s">
        <v>36</v>
      </c>
    </row>
    <row r="254" spans="1:11">
      <c r="A254" s="1">
        <v>33239</v>
      </c>
      <c r="B254" t="s">
        <v>22</v>
      </c>
      <c r="C254" t="s">
        <v>2237</v>
      </c>
      <c r="D254" s="35">
        <v>9.8838798948013693</v>
      </c>
      <c r="E254" s="35">
        <v>2.516931961422733</v>
      </c>
      <c r="F254" s="35">
        <v>27.106899199224866</v>
      </c>
      <c r="G254" s="35">
        <v>0.17355366550716039</v>
      </c>
      <c r="H254" s="35">
        <v>2.3433782959155725</v>
      </c>
      <c r="I254" s="35">
        <v>32.472566869801888</v>
      </c>
      <c r="J254" t="s">
        <v>2322</v>
      </c>
      <c r="K254" t="s">
        <v>36</v>
      </c>
    </row>
    <row r="255" spans="1:11">
      <c r="A255" s="1">
        <v>33270</v>
      </c>
      <c r="B255" t="s">
        <v>22</v>
      </c>
      <c r="C255" t="s">
        <v>2237</v>
      </c>
      <c r="D255" s="35">
        <v>10.0564247219094</v>
      </c>
      <c r="E255" s="35">
        <v>1.7306569491689276</v>
      </c>
      <c r="F255" s="35">
        <v>26.462187527700287</v>
      </c>
      <c r="G255" s="35">
        <v>-2.3713097848198361E-2</v>
      </c>
      <c r="H255" s="35">
        <v>1.754370047017126</v>
      </c>
      <c r="I255" s="35">
        <v>23.432517735304124</v>
      </c>
      <c r="J255" t="s">
        <v>2322</v>
      </c>
      <c r="K255" t="s">
        <v>36</v>
      </c>
    </row>
    <row r="256" spans="1:11">
      <c r="A256" s="1">
        <v>33298</v>
      </c>
      <c r="B256" t="s">
        <v>22</v>
      </c>
      <c r="C256" t="s">
        <v>2237</v>
      </c>
      <c r="D256" s="35">
        <v>10.199839643789399</v>
      </c>
      <c r="E256" s="35">
        <v>1.416029290230163</v>
      </c>
      <c r="F256" s="35">
        <v>26.043611095628737</v>
      </c>
      <c r="G256" s="35">
        <v>4.9988579633774066E-2</v>
      </c>
      <c r="H256" s="35">
        <v>1.366040710596389</v>
      </c>
      <c r="I256" s="35">
        <v>17.812581716819807</v>
      </c>
      <c r="J256" t="s">
        <v>2322</v>
      </c>
      <c r="K256" t="s">
        <v>36</v>
      </c>
    </row>
    <row r="257" spans="1:11">
      <c r="A257" s="1">
        <v>33329</v>
      </c>
      <c r="B257" t="s">
        <v>22</v>
      </c>
      <c r="C257" t="s">
        <v>2237</v>
      </c>
      <c r="D257" s="35">
        <v>10.3066875511982</v>
      </c>
      <c r="E257" s="35">
        <v>1.0420962392421536</v>
      </c>
      <c r="F257" s="35">
        <v>25.454607069542412</v>
      </c>
      <c r="G257" s="35">
        <v>-0.20981878280513042</v>
      </c>
      <c r="H257" s="35">
        <v>1.2519150220472839</v>
      </c>
      <c r="I257" s="35">
        <v>16.210126599124774</v>
      </c>
      <c r="J257" t="s">
        <v>2323</v>
      </c>
      <c r="K257" t="s">
        <v>36</v>
      </c>
    </row>
    <row r="258" spans="1:11">
      <c r="A258" s="1">
        <v>33359</v>
      </c>
      <c r="B258" t="s">
        <v>22</v>
      </c>
      <c r="C258" t="s">
        <v>2237</v>
      </c>
      <c r="D258" s="35">
        <v>10.407441671110799</v>
      </c>
      <c r="E258" s="35">
        <v>0.97281342040102647</v>
      </c>
      <c r="F258" s="35">
        <v>24.508239960212428</v>
      </c>
      <c r="G258" s="35">
        <v>-0.60748395632500474</v>
      </c>
      <c r="H258" s="35">
        <v>1.5802973767260311</v>
      </c>
      <c r="I258" s="35">
        <v>20.880913037978942</v>
      </c>
      <c r="J258" t="s">
        <v>2323</v>
      </c>
      <c r="K258" t="s">
        <v>36</v>
      </c>
    </row>
    <row r="259" spans="1:11">
      <c r="A259" s="1">
        <v>33390</v>
      </c>
      <c r="B259" t="s">
        <v>22</v>
      </c>
      <c r="C259" t="s">
        <v>2237</v>
      </c>
      <c r="D259" s="35">
        <v>10.516647583476299</v>
      </c>
      <c r="E259" s="35">
        <v>1.0438390185068533</v>
      </c>
      <c r="F259" s="35">
        <v>23.103396721552016</v>
      </c>
      <c r="G259" s="35">
        <v>-0.18319094864445387</v>
      </c>
      <c r="H259" s="35">
        <v>1.2270299671513072</v>
      </c>
      <c r="I259" s="35">
        <v>15.863616785979628</v>
      </c>
      <c r="J259" t="s">
        <v>2323</v>
      </c>
      <c r="K259" t="s">
        <v>36</v>
      </c>
    </row>
    <row r="260" spans="1:11">
      <c r="A260" s="1">
        <v>33420</v>
      </c>
      <c r="B260" t="s">
        <v>22</v>
      </c>
      <c r="C260" t="s">
        <v>2237</v>
      </c>
      <c r="D260" s="35">
        <v>10.609584269261999</v>
      </c>
      <c r="E260" s="35">
        <v>0.87982831912642701</v>
      </c>
      <c r="F260" s="35">
        <v>21.966981084729898</v>
      </c>
      <c r="G260" s="35">
        <v>1.857230697938933E-2</v>
      </c>
      <c r="H260" s="35">
        <v>0.86125601214703762</v>
      </c>
      <c r="I260" s="35">
        <v>10.88802489820484</v>
      </c>
      <c r="J260" t="s">
        <v>2324</v>
      </c>
      <c r="K260" t="s">
        <v>36</v>
      </c>
    </row>
    <row r="261" spans="1:11">
      <c r="A261" s="1">
        <v>33451</v>
      </c>
      <c r="B261" t="s">
        <v>22</v>
      </c>
      <c r="C261" t="s">
        <v>2237</v>
      </c>
      <c r="D261" s="35">
        <v>10.683422977311601</v>
      </c>
      <c r="E261" s="35">
        <v>0.69355167330784007</v>
      </c>
      <c r="F261" s="35">
        <v>20.758255037468707</v>
      </c>
      <c r="G261" s="35">
        <v>-2.7232588788898948E-2</v>
      </c>
      <c r="H261" s="35">
        <v>0.72078426209673907</v>
      </c>
      <c r="I261" s="35">
        <v>9.0344947149890942</v>
      </c>
      <c r="J261" t="s">
        <v>2324</v>
      </c>
      <c r="K261" t="s">
        <v>36</v>
      </c>
    </row>
    <row r="262" spans="1:11">
      <c r="A262" s="1">
        <v>33482</v>
      </c>
      <c r="B262" t="s">
        <v>22</v>
      </c>
      <c r="C262" t="s">
        <v>2237</v>
      </c>
      <c r="D262" s="35">
        <v>10.7898503743119</v>
      </c>
      <c r="E262" s="35">
        <v>0.99126264282638676</v>
      </c>
      <c r="F262" s="35">
        <v>20.247147890271687</v>
      </c>
      <c r="G262" s="35">
        <v>0.11528589899523589</v>
      </c>
      <c r="H262" s="35">
        <v>0.87597674383115087</v>
      </c>
      <c r="I262" s="35">
        <v>11.084080355390347</v>
      </c>
      <c r="J262" t="s">
        <v>2324</v>
      </c>
      <c r="K262" t="s">
        <v>36</v>
      </c>
    </row>
    <row r="263" spans="1:11">
      <c r="A263" s="1">
        <v>33512</v>
      </c>
      <c r="B263" t="s">
        <v>22</v>
      </c>
      <c r="C263" t="s">
        <v>2237</v>
      </c>
      <c r="D263" s="35">
        <v>10.915342738584</v>
      </c>
      <c r="E263" s="35">
        <v>1.1563478100104252</v>
      </c>
      <c r="F263" s="35">
        <v>19.921675679124419</v>
      </c>
      <c r="G263" s="35">
        <v>0.17125837170386743</v>
      </c>
      <c r="H263" s="35">
        <v>0.98508943830655782</v>
      </c>
      <c r="I263" s="35">
        <v>12.548126196775321</v>
      </c>
      <c r="J263" t="s">
        <v>2325</v>
      </c>
      <c r="K263" t="s">
        <v>36</v>
      </c>
    </row>
    <row r="264" spans="1:11">
      <c r="A264" s="1">
        <v>33543</v>
      </c>
      <c r="B264" t="s">
        <v>22</v>
      </c>
      <c r="C264" t="s">
        <v>2237</v>
      </c>
      <c r="D264" s="35">
        <v>11.1863740967847</v>
      </c>
      <c r="E264" s="35">
        <v>2.4527048939204512</v>
      </c>
      <c r="F264" s="35">
        <v>19.720736304579113</v>
      </c>
      <c r="G264" s="35">
        <v>0.43204811008838456</v>
      </c>
      <c r="H264" s="35">
        <v>2.0206567838320666</v>
      </c>
      <c r="I264" s="35">
        <v>27.440424942525365</v>
      </c>
      <c r="J264" t="s">
        <v>2325</v>
      </c>
      <c r="K264" t="s">
        <v>36</v>
      </c>
    </row>
    <row r="265" spans="1:11">
      <c r="A265" s="1">
        <v>33573</v>
      </c>
      <c r="B265" t="s">
        <v>22</v>
      </c>
      <c r="C265" t="s">
        <v>2237</v>
      </c>
      <c r="D265" s="35">
        <v>11.449679866825701</v>
      </c>
      <c r="E265" s="35">
        <v>2.3265331237241798</v>
      </c>
      <c r="F265" s="35">
        <v>18.794622340154142</v>
      </c>
      <c r="G265" s="35">
        <v>9.0732441503875105E-2</v>
      </c>
      <c r="H265" s="35">
        <v>2.2358006822203045</v>
      </c>
      <c r="I265" s="35">
        <v>30.773427910583617</v>
      </c>
      <c r="J265" t="s">
        <v>2325</v>
      </c>
      <c r="K265" t="s">
        <v>36</v>
      </c>
    </row>
    <row r="266" spans="1:11">
      <c r="A266" s="1">
        <v>33604</v>
      </c>
      <c r="B266" t="s">
        <v>22</v>
      </c>
      <c r="C266" t="s">
        <v>2237</v>
      </c>
      <c r="D266" s="35">
        <v>11.657778465389301</v>
      </c>
      <c r="E266" s="35">
        <v>1.8011866265336234</v>
      </c>
      <c r="F266" s="35">
        <v>17.947390998963364</v>
      </c>
      <c r="G266" s="35">
        <v>0.17355366550716039</v>
      </c>
      <c r="H266" s="35">
        <v>1.627632961026463</v>
      </c>
      <c r="I266" s="35">
        <v>21.569503113250565</v>
      </c>
      <c r="J266" t="s">
        <v>2326</v>
      </c>
      <c r="K266" t="s">
        <v>36</v>
      </c>
    </row>
    <row r="267" spans="1:11">
      <c r="A267" s="1">
        <v>33635</v>
      </c>
      <c r="B267" t="s">
        <v>22</v>
      </c>
      <c r="C267" t="s">
        <v>2237</v>
      </c>
      <c r="D267" s="35">
        <v>11.795900435066001</v>
      </c>
      <c r="E267" s="35">
        <v>1.1778413704405826</v>
      </c>
      <c r="F267" s="35">
        <v>17.297158396332414</v>
      </c>
      <c r="G267" s="35">
        <v>-2.3713097848198361E-2</v>
      </c>
      <c r="H267" s="35">
        <v>1.2015544682887809</v>
      </c>
      <c r="I267" s="35">
        <v>15.509955630556371</v>
      </c>
      <c r="J267" t="s">
        <v>2326</v>
      </c>
      <c r="K267" t="s">
        <v>36</v>
      </c>
    </row>
    <row r="268" spans="1:11">
      <c r="A268" s="1">
        <v>33664</v>
      </c>
      <c r="B268" t="s">
        <v>22</v>
      </c>
      <c r="C268" t="s">
        <v>2237</v>
      </c>
      <c r="D268" s="35">
        <v>11.915947720290401</v>
      </c>
      <c r="E268" s="35">
        <v>1.0125597137539526</v>
      </c>
      <c r="F268" s="35">
        <v>16.824853492142154</v>
      </c>
      <c r="G268" s="35">
        <v>4.9988579633774066E-2</v>
      </c>
      <c r="H268" s="35">
        <v>0.96257113412017858</v>
      </c>
      <c r="I268" s="35">
        <v>12.244409579617056</v>
      </c>
      <c r="J268" t="s">
        <v>2326</v>
      </c>
      <c r="K268" t="s">
        <v>36</v>
      </c>
    </row>
    <row r="269" spans="1:11">
      <c r="A269" s="1">
        <v>33695</v>
      </c>
      <c r="B269" t="s">
        <v>22</v>
      </c>
      <c r="C269" t="s">
        <v>2237</v>
      </c>
      <c r="D269" s="35">
        <v>12.0221713196406</v>
      </c>
      <c r="E269" s="35">
        <v>0.88749075387458742</v>
      </c>
      <c r="F269" s="35">
        <v>16.644375410826996</v>
      </c>
      <c r="G269" s="35">
        <v>-0.20981878280513042</v>
      </c>
      <c r="H269" s="35">
        <v>1.0973095366797179</v>
      </c>
      <c r="I269" s="35">
        <v>14.073996552367408</v>
      </c>
      <c r="J269" t="s">
        <v>2327</v>
      </c>
      <c r="K269" t="s">
        <v>36</v>
      </c>
    </row>
    <row r="270" spans="1:11">
      <c r="A270" s="1">
        <v>33725</v>
      </c>
      <c r="B270" t="s">
        <v>22</v>
      </c>
      <c r="C270" t="s">
        <v>2237</v>
      </c>
      <c r="D270" s="35">
        <v>12.101437891772299</v>
      </c>
      <c r="E270" s="35">
        <v>0.65717245470467545</v>
      </c>
      <c r="F270" s="35">
        <v>16.276778426380535</v>
      </c>
      <c r="G270" s="35">
        <v>-0.60748395632500474</v>
      </c>
      <c r="H270" s="35">
        <v>1.2646564110296801</v>
      </c>
      <c r="I270" s="35">
        <v>16.387943914061708</v>
      </c>
      <c r="J270" t="s">
        <v>2327</v>
      </c>
      <c r="K270" t="s">
        <v>36</v>
      </c>
    </row>
    <row r="271" spans="1:11">
      <c r="A271" s="1">
        <v>33756</v>
      </c>
      <c r="B271" t="s">
        <v>22</v>
      </c>
      <c r="C271" t="s">
        <v>2237</v>
      </c>
      <c r="D271" s="35">
        <v>12.1833451921855</v>
      </c>
      <c r="E271" s="35">
        <v>0.67455913207433027</v>
      </c>
      <c r="F271" s="35">
        <v>15.848183515514091</v>
      </c>
      <c r="G271" s="35">
        <v>-0.18319094864445387</v>
      </c>
      <c r="H271" s="35">
        <v>0.85775008071878411</v>
      </c>
      <c r="I271" s="35">
        <v>10.841382812949041</v>
      </c>
      <c r="J271" t="s">
        <v>2327</v>
      </c>
      <c r="K271" t="s">
        <v>36</v>
      </c>
    </row>
    <row r="272" spans="1:11">
      <c r="A272" s="1">
        <v>33786</v>
      </c>
      <c r="B272" t="s">
        <v>22</v>
      </c>
      <c r="C272" t="s">
        <v>2237</v>
      </c>
      <c r="D272" s="35">
        <v>12.260272414520101</v>
      </c>
      <c r="E272" s="35">
        <v>0.62942791486177452</v>
      </c>
      <c r="F272" s="35">
        <v>15.558462078862622</v>
      </c>
      <c r="G272" s="35">
        <v>1.857230697938933E-2</v>
      </c>
      <c r="H272" s="35">
        <v>0.61085560788238524</v>
      </c>
      <c r="I272" s="35">
        <v>7.605618072459075</v>
      </c>
      <c r="J272" t="s">
        <v>2328</v>
      </c>
      <c r="K272" t="s">
        <v>36</v>
      </c>
    </row>
    <row r="273" spans="1:11">
      <c r="A273" s="1">
        <v>33817</v>
      </c>
      <c r="B273" t="s">
        <v>22</v>
      </c>
      <c r="C273" t="s">
        <v>2237</v>
      </c>
      <c r="D273" s="35">
        <v>12.335592231401399</v>
      </c>
      <c r="E273" s="35">
        <v>0.61246110602774273</v>
      </c>
      <c r="F273" s="35">
        <v>15.464793049928961</v>
      </c>
      <c r="G273" s="35">
        <v>-2.7232588788898948E-2</v>
      </c>
      <c r="H273" s="35">
        <v>0.63969369481664162</v>
      </c>
      <c r="I273" s="35">
        <v>7.9786399546760034</v>
      </c>
      <c r="J273" t="s">
        <v>2328</v>
      </c>
      <c r="K273" t="s">
        <v>36</v>
      </c>
    </row>
    <row r="274" spans="1:11">
      <c r="A274" s="1">
        <v>33848</v>
      </c>
      <c r="B274" t="s">
        <v>22</v>
      </c>
      <c r="C274" t="s">
        <v>2237</v>
      </c>
      <c r="D274" s="35">
        <v>12.4428965245267</v>
      </c>
      <c r="E274" s="35">
        <v>0.86611386973828608</v>
      </c>
      <c r="F274" s="35">
        <v>15.320380662092536</v>
      </c>
      <c r="G274" s="35">
        <v>0.11528589899523589</v>
      </c>
      <c r="H274" s="35">
        <v>0.75082797074305019</v>
      </c>
      <c r="I274" s="35">
        <v>9.4283002421440507</v>
      </c>
      <c r="J274" t="s">
        <v>2328</v>
      </c>
      <c r="K274" t="s">
        <v>36</v>
      </c>
    </row>
    <row r="275" spans="1:11">
      <c r="A275" s="1">
        <v>33878</v>
      </c>
      <c r="B275" t="s">
        <v>22</v>
      </c>
      <c r="C275" t="s">
        <v>2237</v>
      </c>
      <c r="D275" s="35">
        <v>12.532493537791501</v>
      </c>
      <c r="E275" s="35">
        <v>0.71748547190811507</v>
      </c>
      <c r="F275" s="35">
        <v>14.81539185655738</v>
      </c>
      <c r="G275" s="35">
        <v>0.17125837170386743</v>
      </c>
      <c r="H275" s="35">
        <v>0.54622710020424758</v>
      </c>
      <c r="I275" s="35">
        <v>6.7743189148856686</v>
      </c>
      <c r="J275" t="s">
        <v>2329</v>
      </c>
      <c r="K275" t="s">
        <v>36</v>
      </c>
    </row>
    <row r="276" spans="1:11">
      <c r="A276" s="1">
        <v>33909</v>
      </c>
      <c r="B276" t="s">
        <v>22</v>
      </c>
      <c r="C276" t="s">
        <v>2237</v>
      </c>
      <c r="D276" s="35">
        <v>12.6366203406883</v>
      </c>
      <c r="E276" s="35">
        <v>0.82742203373463741</v>
      </c>
      <c r="F276" s="35">
        <v>12.964399646892222</v>
      </c>
      <c r="G276" s="35">
        <v>0.43204811008838456</v>
      </c>
      <c r="H276" s="35">
        <v>0.39537392364625285</v>
      </c>
      <c r="I276" s="35">
        <v>4.8588391728017655</v>
      </c>
      <c r="J276" t="s">
        <v>2329</v>
      </c>
      <c r="K276" t="s">
        <v>36</v>
      </c>
    </row>
    <row r="277" spans="1:11">
      <c r="A277" s="1">
        <v>33939</v>
      </c>
      <c r="B277" t="s">
        <v>22</v>
      </c>
      <c r="C277" t="s">
        <v>2237</v>
      </c>
      <c r="D277" s="35">
        <v>12.816553481441201</v>
      </c>
      <c r="E277" s="35">
        <v>1.4138601290924784</v>
      </c>
      <c r="F277" s="35">
        <v>11.938094606259497</v>
      </c>
      <c r="G277" s="35">
        <v>9.0732441503875105E-2</v>
      </c>
      <c r="H277" s="35">
        <v>1.3231276875886033</v>
      </c>
      <c r="I277" s="35">
        <v>17.20745783217459</v>
      </c>
      <c r="J277" t="s">
        <v>2329</v>
      </c>
      <c r="K277" t="s">
        <v>36</v>
      </c>
    </row>
    <row r="278" spans="1:11">
      <c r="A278" s="1">
        <v>33970</v>
      </c>
      <c r="B278" t="s">
        <v>22</v>
      </c>
      <c r="C278" t="s">
        <v>2237</v>
      </c>
      <c r="D278" s="35">
        <v>12.9773197638673</v>
      </c>
      <c r="E278" s="35">
        <v>1.2465624119731142</v>
      </c>
      <c r="F278" s="35">
        <v>11.318977302541612</v>
      </c>
      <c r="G278" s="35">
        <v>0.17355366550716039</v>
      </c>
      <c r="H278" s="35">
        <v>1.0730087464659539</v>
      </c>
      <c r="I278" s="35">
        <v>13.741830510501751</v>
      </c>
      <c r="J278" t="s">
        <v>2330</v>
      </c>
      <c r="K278" t="s">
        <v>36</v>
      </c>
    </row>
    <row r="279" spans="1:11">
      <c r="A279" s="1">
        <v>34001</v>
      </c>
      <c r="B279" t="s">
        <v>22</v>
      </c>
      <c r="C279" t="s">
        <v>2237</v>
      </c>
      <c r="D279" s="35">
        <v>13.083345310799199</v>
      </c>
      <c r="E279" s="35">
        <v>0.81368707676220142</v>
      </c>
      <c r="F279" s="35">
        <v>10.914341663193227</v>
      </c>
      <c r="G279" s="35">
        <v>-2.3713097848198361E-2</v>
      </c>
      <c r="H279" s="35">
        <v>0.83740017461039984</v>
      </c>
      <c r="I279" s="35">
        <v>10.571039626821266</v>
      </c>
      <c r="J279" t="s">
        <v>2330</v>
      </c>
      <c r="K279" t="s">
        <v>36</v>
      </c>
    </row>
    <row r="280" spans="1:11">
      <c r="A280" s="1">
        <v>34029</v>
      </c>
      <c r="B280" t="s">
        <v>22</v>
      </c>
      <c r="C280" t="s">
        <v>2237</v>
      </c>
      <c r="D280" s="35">
        <v>13.159593689428499</v>
      </c>
      <c r="E280" s="35">
        <v>0.58109797220641757</v>
      </c>
      <c r="F280" s="35">
        <v>10.43681961628975</v>
      </c>
      <c r="G280" s="35">
        <v>4.9988579633774066E-2</v>
      </c>
      <c r="H280" s="35">
        <v>0.53110939257264356</v>
      </c>
      <c r="I280" s="35">
        <v>6.5807925561454317</v>
      </c>
      <c r="J280" t="s">
        <v>2330</v>
      </c>
      <c r="K280" t="s">
        <v>36</v>
      </c>
    </row>
    <row r="281" spans="1:11">
      <c r="A281" s="1">
        <v>34060</v>
      </c>
      <c r="B281" t="s">
        <v>22</v>
      </c>
      <c r="C281" t="s">
        <v>2237</v>
      </c>
      <c r="D281" s="35">
        <v>13.2354804035143</v>
      </c>
      <c r="E281" s="35">
        <v>0.57500822242937577</v>
      </c>
      <c r="F281" s="35">
        <v>10.092262467525458</v>
      </c>
      <c r="G281" s="35">
        <v>-0.20981878280513042</v>
      </c>
      <c r="H281" s="35">
        <v>0.78482700523450621</v>
      </c>
      <c r="I281" s="35">
        <v>9.8756670103962385</v>
      </c>
      <c r="J281" t="s">
        <v>2331</v>
      </c>
      <c r="K281" t="s">
        <v>36</v>
      </c>
    </row>
    <row r="282" spans="1:11">
      <c r="A282" s="1">
        <v>34090</v>
      </c>
      <c r="B282" t="s">
        <v>22</v>
      </c>
      <c r="C282" t="s">
        <v>2237</v>
      </c>
      <c r="D282" s="35">
        <v>13.311137489729701</v>
      </c>
      <c r="E282" s="35">
        <v>0.56999570610476669</v>
      </c>
      <c r="F282" s="35">
        <v>9.9963294343713436</v>
      </c>
      <c r="G282" s="35">
        <v>-0.60748395632500474</v>
      </c>
      <c r="H282" s="35">
        <v>1.1774796624297714</v>
      </c>
      <c r="I282" s="35">
        <v>15.176731629715867</v>
      </c>
      <c r="J282" t="s">
        <v>2331</v>
      </c>
      <c r="K282" t="s">
        <v>36</v>
      </c>
    </row>
    <row r="283" spans="1:11">
      <c r="A283" s="1">
        <v>34121</v>
      </c>
      <c r="B283" t="s">
        <v>22</v>
      </c>
      <c r="C283" t="s">
        <v>2237</v>
      </c>
      <c r="D283" s="35">
        <v>13.3857971232443</v>
      </c>
      <c r="E283" s="35">
        <v>0.559313863029817</v>
      </c>
      <c r="F283" s="35">
        <v>9.8696368861818318</v>
      </c>
      <c r="G283" s="35">
        <v>-0.18319094864445387</v>
      </c>
      <c r="H283" s="35">
        <v>0.74250481167427085</v>
      </c>
      <c r="I283" s="35">
        <v>9.3190601066616594</v>
      </c>
      <c r="J283" t="s">
        <v>2331</v>
      </c>
      <c r="K283" t="s">
        <v>36</v>
      </c>
    </row>
    <row r="284" spans="1:11">
      <c r="A284" s="1">
        <v>34151</v>
      </c>
      <c r="B284" t="s">
        <v>22</v>
      </c>
      <c r="C284" t="s">
        <v>2237</v>
      </c>
      <c r="D284" s="35">
        <v>13.4501234404208</v>
      </c>
      <c r="E284" s="35">
        <v>0.47940550594962145</v>
      </c>
      <c r="F284" s="35">
        <v>9.704931388731076</v>
      </c>
      <c r="G284" s="35">
        <v>1.857230697938933E-2</v>
      </c>
      <c r="H284" s="35">
        <v>0.46083319897023212</v>
      </c>
      <c r="I284" s="35">
        <v>5.6857607368659302</v>
      </c>
      <c r="J284" t="s">
        <v>2332</v>
      </c>
      <c r="K284" t="s">
        <v>36</v>
      </c>
    </row>
    <row r="285" spans="1:11">
      <c r="A285" s="1">
        <v>34182</v>
      </c>
      <c r="B285" t="s">
        <v>22</v>
      </c>
      <c r="C285" t="s">
        <v>2237</v>
      </c>
      <c r="D285" s="35">
        <v>13.522112194854699</v>
      </c>
      <c r="E285" s="35">
        <v>0.53380021104787356</v>
      </c>
      <c r="F285" s="35">
        <v>9.6186704391290068</v>
      </c>
      <c r="G285" s="35">
        <v>-2.7232588788898948E-2</v>
      </c>
      <c r="H285" s="35">
        <v>0.56103279983677257</v>
      </c>
      <c r="I285" s="35">
        <v>6.9641917562735633</v>
      </c>
      <c r="J285" t="s">
        <v>2332</v>
      </c>
      <c r="K285" t="s">
        <v>36</v>
      </c>
    </row>
    <row r="286" spans="1:11">
      <c r="A286" s="1">
        <v>34213</v>
      </c>
      <c r="B286" t="s">
        <v>22</v>
      </c>
      <c r="C286" t="s">
        <v>2237</v>
      </c>
      <c r="D286" s="35">
        <v>13.622260672230899</v>
      </c>
      <c r="E286" s="35">
        <v>0.73789829136807938</v>
      </c>
      <c r="F286" s="35">
        <v>9.4782122906793109</v>
      </c>
      <c r="G286" s="35">
        <v>0.11528589899523589</v>
      </c>
      <c r="H286" s="35">
        <v>0.62261239237284349</v>
      </c>
      <c r="I286" s="35">
        <v>7.7575367391591987</v>
      </c>
      <c r="J286" t="s">
        <v>2332</v>
      </c>
      <c r="K286" t="s">
        <v>36</v>
      </c>
    </row>
    <row r="287" spans="1:11">
      <c r="A287" s="1">
        <v>34243</v>
      </c>
      <c r="B287" t="s">
        <v>22</v>
      </c>
      <c r="C287" t="s">
        <v>2237</v>
      </c>
      <c r="D287" s="35">
        <v>13.677973025024</v>
      </c>
      <c r="E287" s="35">
        <v>0.40814617743177167</v>
      </c>
      <c r="F287" s="35">
        <v>9.1400764243630093</v>
      </c>
      <c r="G287" s="35">
        <v>0.17125837170386743</v>
      </c>
      <c r="H287" s="35">
        <v>0.23688780572790424</v>
      </c>
      <c r="I287" s="35">
        <v>2.8834426473080432</v>
      </c>
      <c r="J287" t="s">
        <v>2333</v>
      </c>
      <c r="K287" t="s">
        <v>36</v>
      </c>
    </row>
    <row r="288" spans="1:11">
      <c r="A288" s="1">
        <v>34274</v>
      </c>
      <c r="B288" t="s">
        <v>22</v>
      </c>
      <c r="C288" t="s">
        <v>2237</v>
      </c>
      <c r="D288" s="35">
        <v>13.7383023563383</v>
      </c>
      <c r="E288" s="35">
        <v>0.44009937783579611</v>
      </c>
      <c r="F288" s="35">
        <v>8.7181697791673507</v>
      </c>
      <c r="G288" s="35">
        <v>0.43204811008838456</v>
      </c>
      <c r="H288" s="35">
        <v>8.0512677474115502E-3</v>
      </c>
      <c r="I288" s="35">
        <v>9.6661900500372155E-2</v>
      </c>
      <c r="J288" t="s">
        <v>2333</v>
      </c>
      <c r="K288" t="s">
        <v>36</v>
      </c>
    </row>
    <row r="289" spans="1:11">
      <c r="A289" s="1">
        <v>34304</v>
      </c>
      <c r="B289" t="s">
        <v>22</v>
      </c>
      <c r="C289" t="s">
        <v>2237</v>
      </c>
      <c r="D289" s="35">
        <v>13.8430548971257</v>
      </c>
      <c r="E289" s="35">
        <v>0.75959310844218453</v>
      </c>
      <c r="F289" s="35">
        <v>8.009184506356636</v>
      </c>
      <c r="G289" s="35">
        <v>9.0732441503875105E-2</v>
      </c>
      <c r="H289" s="35">
        <v>0.66886066693830948</v>
      </c>
      <c r="I289" s="35">
        <v>8.3572313077509897</v>
      </c>
      <c r="J289" t="s">
        <v>2333</v>
      </c>
      <c r="K289" t="s">
        <v>36</v>
      </c>
    </row>
    <row r="290" spans="1:11">
      <c r="A290" s="1">
        <v>34335</v>
      </c>
      <c r="B290" t="s">
        <v>22</v>
      </c>
      <c r="C290" t="s">
        <v>2237</v>
      </c>
      <c r="D290" s="35">
        <v>13.9503749805667</v>
      </c>
      <c r="E290" s="35">
        <v>0.77227328400234041</v>
      </c>
      <c r="F290" s="35">
        <v>7.4981216029574416</v>
      </c>
      <c r="G290" s="35">
        <v>0.17355366550716039</v>
      </c>
      <c r="H290" s="35">
        <v>0.59871961849517996</v>
      </c>
      <c r="I290" s="35">
        <v>7.4490240488680914</v>
      </c>
      <c r="J290" t="s">
        <v>2334</v>
      </c>
      <c r="K290" t="s">
        <v>36</v>
      </c>
    </row>
    <row r="291" spans="1:11">
      <c r="A291" s="1">
        <v>34366</v>
      </c>
      <c r="B291" t="s">
        <v>22</v>
      </c>
      <c r="C291" t="s">
        <v>2237</v>
      </c>
      <c r="D291" s="35">
        <v>14.022124062044</v>
      </c>
      <c r="E291" s="35">
        <v>0.51299841832567072</v>
      </c>
      <c r="F291" s="35">
        <v>7.1753724215313452</v>
      </c>
      <c r="G291" s="35">
        <v>-2.3713097848198361E-2</v>
      </c>
      <c r="H291" s="35">
        <v>0.53671151617386914</v>
      </c>
      <c r="I291" s="35">
        <v>6.6524660976984062</v>
      </c>
      <c r="J291" t="s">
        <v>2334</v>
      </c>
      <c r="K291" t="s">
        <v>36</v>
      </c>
    </row>
    <row r="292" spans="1:11">
      <c r="A292" s="1">
        <v>34394</v>
      </c>
      <c r="B292" t="s">
        <v>22</v>
      </c>
      <c r="C292" t="s">
        <v>2237</v>
      </c>
      <c r="D292" s="35">
        <v>14.0942247629785</v>
      </c>
      <c r="E292" s="35">
        <v>0.5128749783858606</v>
      </c>
      <c r="F292" s="35">
        <v>7.1022791098848126</v>
      </c>
      <c r="G292" s="35">
        <v>4.9988579633774066E-2</v>
      </c>
      <c r="H292" s="35">
        <v>0.46288639875208654</v>
      </c>
      <c r="I292" s="35">
        <v>5.7118032226665783</v>
      </c>
      <c r="J292" t="s">
        <v>2334</v>
      </c>
      <c r="K292" t="s">
        <v>36</v>
      </c>
    </row>
    <row r="293" spans="1:11">
      <c r="A293" s="1">
        <v>34425</v>
      </c>
      <c r="B293" t="s">
        <v>22</v>
      </c>
      <c r="C293" t="s">
        <v>2237</v>
      </c>
      <c r="D293" s="35">
        <v>14.163251304931901</v>
      </c>
      <c r="E293" s="35">
        <v>0.48855516384254255</v>
      </c>
      <c r="F293" s="35">
        <v>7.0097259270714307</v>
      </c>
      <c r="G293" s="35">
        <v>-0.20981878280513042</v>
      </c>
      <c r="H293" s="35">
        <v>0.69837394664767294</v>
      </c>
      <c r="I293" s="35">
        <v>8.7416689399776981</v>
      </c>
      <c r="J293" t="s">
        <v>2335</v>
      </c>
      <c r="K293" t="s">
        <v>36</v>
      </c>
    </row>
    <row r="294" spans="1:11">
      <c r="A294" s="1">
        <v>34455</v>
      </c>
      <c r="B294" t="s">
        <v>22</v>
      </c>
      <c r="C294" t="s">
        <v>2237</v>
      </c>
      <c r="D294" s="35">
        <v>14.231682244252999</v>
      </c>
      <c r="E294" s="35">
        <v>0.48199494240275981</v>
      </c>
      <c r="F294" s="35">
        <v>6.9155979737535622</v>
      </c>
      <c r="G294" s="35">
        <v>-0.60748395632500474</v>
      </c>
      <c r="H294" s="35">
        <v>1.0894788987277646</v>
      </c>
      <c r="I294" s="35">
        <v>13.966854239802684</v>
      </c>
      <c r="J294" t="s">
        <v>2335</v>
      </c>
      <c r="K294" t="s">
        <v>36</v>
      </c>
    </row>
    <row r="295" spans="1:11">
      <c r="A295" s="1">
        <v>34486</v>
      </c>
      <c r="B295" t="s">
        <v>22</v>
      </c>
      <c r="C295" t="s">
        <v>2237</v>
      </c>
      <c r="D295" s="35">
        <v>14.302894568964501</v>
      </c>
      <c r="E295" s="35">
        <v>0.49913109292911817</v>
      </c>
      <c r="F295" s="35">
        <v>6.8512725635716532</v>
      </c>
      <c r="G295" s="35">
        <v>-0.18319094864445387</v>
      </c>
      <c r="H295" s="35">
        <v>0.68232204157357201</v>
      </c>
      <c r="I295" s="35">
        <v>8.5324092320072644</v>
      </c>
      <c r="J295" t="s">
        <v>2335</v>
      </c>
      <c r="K295" t="s">
        <v>36</v>
      </c>
    </row>
    <row r="296" spans="1:11">
      <c r="A296" s="1">
        <v>34516</v>
      </c>
      <c r="B296" t="s">
        <v>22</v>
      </c>
      <c r="C296" t="s">
        <v>2237</v>
      </c>
      <c r="D296" s="35">
        <v>14.3663267698675</v>
      </c>
      <c r="E296" s="35">
        <v>0.44251152594752313</v>
      </c>
      <c r="F296" s="35">
        <v>6.8118581476605211</v>
      </c>
      <c r="G296" s="35">
        <v>1.857230697938933E-2</v>
      </c>
      <c r="H296" s="35">
        <v>0.4239392189681338</v>
      </c>
      <c r="I296" s="35">
        <v>5.2188947708849076</v>
      </c>
      <c r="J296" t="s">
        <v>2336</v>
      </c>
      <c r="K296" t="s">
        <v>36</v>
      </c>
    </row>
    <row r="297" spans="1:11">
      <c r="A297" s="1">
        <v>34547</v>
      </c>
      <c r="B297" t="s">
        <v>22</v>
      </c>
      <c r="C297" t="s">
        <v>2237</v>
      </c>
      <c r="D297" s="35">
        <v>14.433286645444401</v>
      </c>
      <c r="E297" s="35">
        <v>0.46500621565849093</v>
      </c>
      <c r="F297" s="35">
        <v>6.738403272059923</v>
      </c>
      <c r="G297" s="35">
        <v>-2.7232588788898948E-2</v>
      </c>
      <c r="H297" s="35">
        <v>0.49223880444738988</v>
      </c>
      <c r="I297" s="35">
        <v>6.0848072391364694</v>
      </c>
      <c r="J297" t="s">
        <v>2336</v>
      </c>
      <c r="K297" t="s">
        <v>36</v>
      </c>
    </row>
    <row r="298" spans="1:11">
      <c r="A298" s="1">
        <v>34578</v>
      </c>
      <c r="B298" t="s">
        <v>22</v>
      </c>
      <c r="C298" t="s">
        <v>2237</v>
      </c>
      <c r="D298" s="35">
        <v>14.535936644548199</v>
      </c>
      <c r="E298" s="35">
        <v>0.70868609556352169</v>
      </c>
      <c r="F298" s="35">
        <v>6.707227194527543</v>
      </c>
      <c r="G298" s="35">
        <v>0.11528589899523589</v>
      </c>
      <c r="H298" s="35">
        <v>0.5934001965682858</v>
      </c>
      <c r="I298" s="35">
        <v>7.3804579317768182</v>
      </c>
      <c r="J298" t="s">
        <v>2336</v>
      </c>
      <c r="K298" t="s">
        <v>36</v>
      </c>
    </row>
    <row r="299" spans="1:11">
      <c r="A299" s="1">
        <v>34608</v>
      </c>
      <c r="B299" t="s">
        <v>22</v>
      </c>
      <c r="C299" t="s">
        <v>2237</v>
      </c>
      <c r="D299" s="35">
        <v>14.6122453040552</v>
      </c>
      <c r="E299" s="35">
        <v>0.52359240774837057</v>
      </c>
      <c r="F299" s="35">
        <v>6.8304878019713744</v>
      </c>
      <c r="G299" s="35">
        <v>0.17125837170386743</v>
      </c>
      <c r="H299" s="35">
        <v>0.35233403604450314</v>
      </c>
      <c r="I299" s="35">
        <v>4.3186618057155846</v>
      </c>
      <c r="J299" t="s">
        <v>2337</v>
      </c>
      <c r="K299" t="s">
        <v>36</v>
      </c>
    </row>
    <row r="300" spans="1:11">
      <c r="A300" s="1">
        <v>34639</v>
      </c>
      <c r="B300" t="s">
        <v>22</v>
      </c>
      <c r="C300" t="s">
        <v>2237</v>
      </c>
      <c r="D300" s="35">
        <v>14.690360856448001</v>
      </c>
      <c r="E300" s="35">
        <v>0.53316580109851408</v>
      </c>
      <c r="F300" s="35">
        <v>6.9299573951395743</v>
      </c>
      <c r="G300" s="35">
        <v>0.43204811008838456</v>
      </c>
      <c r="H300" s="35">
        <v>0.10111769101012952</v>
      </c>
      <c r="I300" s="35">
        <v>1.220804006141174</v>
      </c>
      <c r="J300" t="s">
        <v>2337</v>
      </c>
      <c r="K300" t="s">
        <v>36</v>
      </c>
    </row>
    <row r="301" spans="1:11">
      <c r="A301" s="1">
        <v>34669</v>
      </c>
      <c r="B301" t="s">
        <v>22</v>
      </c>
      <c r="C301" t="s">
        <v>2237</v>
      </c>
      <c r="D301" s="35">
        <v>14.819204368159101</v>
      </c>
      <c r="E301" s="35">
        <v>0.87323774152508349</v>
      </c>
      <c r="F301" s="35">
        <v>7.0515466296105167</v>
      </c>
      <c r="G301" s="35">
        <v>9.0732441503875105E-2</v>
      </c>
      <c r="H301" s="35">
        <v>0.78250530002120833</v>
      </c>
      <c r="I301" s="35">
        <v>9.8450594052348794</v>
      </c>
      <c r="J301" t="s">
        <v>2337</v>
      </c>
      <c r="K301" t="s">
        <v>36</v>
      </c>
    </row>
    <row r="302" spans="1:11">
      <c r="A302" s="1">
        <v>34700</v>
      </c>
      <c r="B302" t="s">
        <v>22</v>
      </c>
      <c r="C302" t="s">
        <v>2237</v>
      </c>
      <c r="D302" s="35">
        <v>15.3769909442995</v>
      </c>
      <c r="E302" s="35">
        <v>3.6948365553596858</v>
      </c>
      <c r="F302" s="35">
        <v>10.226362844870618</v>
      </c>
      <c r="G302" s="35">
        <v>0.17355366550716039</v>
      </c>
      <c r="H302" s="35">
        <v>3.5212828898525252</v>
      </c>
      <c r="I302" s="35">
        <v>52.585353227152169</v>
      </c>
      <c r="J302" t="s">
        <v>2338</v>
      </c>
      <c r="K302" t="s">
        <v>36</v>
      </c>
    </row>
    <row r="303" spans="1:11">
      <c r="A303" s="1">
        <v>34731</v>
      </c>
      <c r="B303" t="s">
        <v>22</v>
      </c>
      <c r="C303" t="s">
        <v>2237</v>
      </c>
      <c r="D303" s="35">
        <v>16.0287073487094</v>
      </c>
      <c r="E303" s="35">
        <v>4.150902624199575</v>
      </c>
      <c r="F303" s="35">
        <v>14.31012361455959</v>
      </c>
      <c r="G303" s="35">
        <v>-2.3713097848198361E-2</v>
      </c>
      <c r="H303" s="35">
        <v>4.1746157220477738</v>
      </c>
      <c r="I303" s="35">
        <v>65.029471422686228</v>
      </c>
      <c r="J303" t="s">
        <v>2338</v>
      </c>
      <c r="K303" t="s">
        <v>36</v>
      </c>
    </row>
    <row r="304" spans="1:11">
      <c r="A304" s="1">
        <v>34759</v>
      </c>
      <c r="B304" t="s">
        <v>22</v>
      </c>
      <c r="C304" t="s">
        <v>2237</v>
      </c>
      <c r="D304" s="35">
        <v>16.973617202950098</v>
      </c>
      <c r="E304" s="35">
        <v>5.7278885465087894</v>
      </c>
      <c r="F304" s="35">
        <v>20.429590760713133</v>
      </c>
      <c r="G304" s="35">
        <v>4.9988579633774066E-2</v>
      </c>
      <c r="H304" s="35">
        <v>5.6778999668750156</v>
      </c>
      <c r="I304" s="35">
        <v>97.654030573340435</v>
      </c>
      <c r="J304" t="s">
        <v>2338</v>
      </c>
      <c r="K304" t="s">
        <v>36</v>
      </c>
    </row>
    <row r="305" spans="1:11">
      <c r="A305" s="1">
        <v>34790</v>
      </c>
      <c r="B305" t="s">
        <v>22</v>
      </c>
      <c r="C305" t="s">
        <v>2237</v>
      </c>
      <c r="D305" s="35">
        <v>18.326133255311301</v>
      </c>
      <c r="E305" s="35">
        <v>7.6667878568240715</v>
      </c>
      <c r="F305" s="35">
        <v>29.392135045501931</v>
      </c>
      <c r="G305" s="35">
        <v>-0.20981878280513042</v>
      </c>
      <c r="H305" s="35">
        <v>7.8766066396292018</v>
      </c>
      <c r="I305" s="35">
        <v>157.33094564798034</v>
      </c>
      <c r="J305" t="s">
        <v>2339</v>
      </c>
      <c r="K305" t="s">
        <v>36</v>
      </c>
    </row>
    <row r="306" spans="1:11">
      <c r="A306" s="1">
        <v>34820</v>
      </c>
      <c r="B306" t="s">
        <v>22</v>
      </c>
      <c r="C306" t="s">
        <v>2237</v>
      </c>
      <c r="D306" s="35">
        <v>19.092090190991801</v>
      </c>
      <c r="E306" s="35">
        <v>4.0946035255931923</v>
      </c>
      <c r="F306" s="35">
        <v>34.152026888469344</v>
      </c>
      <c r="G306" s="35">
        <v>-0.60748395632500474</v>
      </c>
      <c r="H306" s="35">
        <v>4.7020874819181966</v>
      </c>
      <c r="I306" s="35">
        <v>75.812956685552166</v>
      </c>
      <c r="J306" t="s">
        <v>2339</v>
      </c>
      <c r="K306" t="s">
        <v>36</v>
      </c>
    </row>
    <row r="307" spans="1:11">
      <c r="A307" s="1">
        <v>34851</v>
      </c>
      <c r="B307" t="s">
        <v>22</v>
      </c>
      <c r="C307" t="s">
        <v>2237</v>
      </c>
      <c r="D307" s="35">
        <v>19.698024268685</v>
      </c>
      <c r="E307" s="35">
        <v>3.1244216632181039</v>
      </c>
      <c r="F307" s="35">
        <v>37.720544423415234</v>
      </c>
      <c r="G307" s="35">
        <v>-0.18319094864445387</v>
      </c>
      <c r="H307" s="35">
        <v>3.3076126118625577</v>
      </c>
      <c r="I307" s="35">
        <v>48.722729929138708</v>
      </c>
      <c r="J307" t="s">
        <v>2339</v>
      </c>
      <c r="K307" t="s">
        <v>36</v>
      </c>
    </row>
    <row r="308" spans="1:11">
      <c r="A308" s="1">
        <v>34881</v>
      </c>
      <c r="B308" t="s">
        <v>22</v>
      </c>
      <c r="C308" t="s">
        <v>2237</v>
      </c>
      <c r="D308" s="35">
        <v>20.099588355293999</v>
      </c>
      <c r="E308" s="35">
        <v>2.0180995234420118</v>
      </c>
      <c r="F308" s="35">
        <v>39.907637333237254</v>
      </c>
      <c r="G308" s="35">
        <v>1.857230697938933E-2</v>
      </c>
      <c r="H308" s="35">
        <v>1.9995272164626225</v>
      </c>
      <c r="I308" s="35">
        <v>27.117702928686114</v>
      </c>
      <c r="J308" t="s">
        <v>2340</v>
      </c>
      <c r="K308" t="s">
        <v>36</v>
      </c>
    </row>
    <row r="309" spans="1:11">
      <c r="A309" s="1">
        <v>34912</v>
      </c>
      <c r="B309" t="s">
        <v>22</v>
      </c>
      <c r="C309" t="s">
        <v>2237</v>
      </c>
      <c r="D309" s="35">
        <v>20.432981265710101</v>
      </c>
      <c r="E309" s="35">
        <v>1.6450989043293607</v>
      </c>
      <c r="F309" s="35">
        <v>41.568457466750239</v>
      </c>
      <c r="G309" s="35">
        <v>-2.7232588788898948E-2</v>
      </c>
      <c r="H309" s="35">
        <v>1.6723314931182596</v>
      </c>
      <c r="I309" s="35">
        <v>22.223332458736312</v>
      </c>
      <c r="J309" t="s">
        <v>2340</v>
      </c>
      <c r="K309" t="s">
        <v>36</v>
      </c>
    </row>
    <row r="310" spans="1:11">
      <c r="A310" s="1">
        <v>34943</v>
      </c>
      <c r="B310" t="s">
        <v>22</v>
      </c>
      <c r="C310" t="s">
        <v>2237</v>
      </c>
      <c r="D310" s="35">
        <v>20.8556425301303</v>
      </c>
      <c r="E310" s="35">
        <v>2.047421251629288</v>
      </c>
      <c r="F310" s="35">
        <v>43.47642701065535</v>
      </c>
      <c r="G310" s="35">
        <v>0.11528589899523589</v>
      </c>
      <c r="H310" s="35">
        <v>1.9321353526340521</v>
      </c>
      <c r="I310" s="35">
        <v>26.093844620767225</v>
      </c>
      <c r="J310" t="s">
        <v>2340</v>
      </c>
      <c r="K310" t="s">
        <v>36</v>
      </c>
    </row>
    <row r="311" spans="1:11">
      <c r="A311" s="1">
        <v>34973</v>
      </c>
      <c r="B311" t="s">
        <v>22</v>
      </c>
      <c r="C311" t="s">
        <v>2237</v>
      </c>
      <c r="D311" s="35">
        <v>21.284762116614601</v>
      </c>
      <c r="E311" s="35">
        <v>2.0366886534327797</v>
      </c>
      <c r="F311" s="35">
        <v>45.663870772191586</v>
      </c>
      <c r="G311" s="35">
        <v>0.17125837170386743</v>
      </c>
      <c r="H311" s="35">
        <v>1.8654302817289123</v>
      </c>
      <c r="I311" s="35">
        <v>25.088541655356078</v>
      </c>
      <c r="J311" t="s">
        <v>2341</v>
      </c>
      <c r="K311" t="s">
        <v>36</v>
      </c>
    </row>
    <row r="312" spans="1:11">
      <c r="A312" s="1">
        <v>35004</v>
      </c>
      <c r="B312" t="s">
        <v>22</v>
      </c>
      <c r="C312" t="s">
        <v>2237</v>
      </c>
      <c r="D312" s="35">
        <v>21.809608384347801</v>
      </c>
      <c r="E312" s="35">
        <v>2.4359201155075656</v>
      </c>
      <c r="F312" s="35">
        <v>48.462033012449581</v>
      </c>
      <c r="G312" s="35">
        <v>0.43204811008838456</v>
      </c>
      <c r="H312" s="35">
        <v>2.003872005419181</v>
      </c>
      <c r="I312" s="35">
        <v>27.183996160014456</v>
      </c>
      <c r="J312" t="s">
        <v>2341</v>
      </c>
      <c r="K312" t="s">
        <v>36</v>
      </c>
    </row>
    <row r="313" spans="1:11">
      <c r="A313" s="1">
        <v>35034</v>
      </c>
      <c r="B313" t="s">
        <v>22</v>
      </c>
      <c r="C313" t="s">
        <v>2237</v>
      </c>
      <c r="D313" s="35">
        <v>22.520167271191902</v>
      </c>
      <c r="E313" s="35">
        <v>3.2060606648538652</v>
      </c>
      <c r="F313" s="35">
        <v>51.966102306944876</v>
      </c>
      <c r="G313" s="35">
        <v>9.0732441503875105E-2</v>
      </c>
      <c r="H313" s="35">
        <v>3.1153282233499899</v>
      </c>
      <c r="I313" s="35">
        <v>45.330371195385808</v>
      </c>
      <c r="J313" t="s">
        <v>2341</v>
      </c>
      <c r="K313" t="s">
        <v>36</v>
      </c>
    </row>
    <row r="314" spans="1:11">
      <c r="A314" s="1">
        <v>35065</v>
      </c>
      <c r="B314" t="s">
        <v>22</v>
      </c>
      <c r="C314" t="s">
        <v>2237</v>
      </c>
      <c r="D314" s="35">
        <v>23.3297537612935</v>
      </c>
      <c r="E314" s="35">
        <v>3.5318300465693313</v>
      </c>
      <c r="F314" s="35">
        <v>51.718589454864826</v>
      </c>
      <c r="G314" s="35">
        <v>0.17355366550716039</v>
      </c>
      <c r="H314" s="35">
        <v>3.3582763810621707</v>
      </c>
      <c r="I314" s="35">
        <v>49.629666552942631</v>
      </c>
      <c r="J314" t="s">
        <v>2342</v>
      </c>
      <c r="K314" t="s">
        <v>36</v>
      </c>
    </row>
    <row r="315" spans="1:11">
      <c r="A315" s="1">
        <v>35096</v>
      </c>
      <c r="B315" t="s">
        <v>22</v>
      </c>
      <c r="C315" t="s">
        <v>2237</v>
      </c>
      <c r="D315" s="35">
        <v>23.8742620287622</v>
      </c>
      <c r="E315" s="35">
        <v>2.3071444716593925</v>
      </c>
      <c r="F315" s="35">
        <v>48.946895775001529</v>
      </c>
      <c r="G315" s="35">
        <v>-2.3713097848198361E-2</v>
      </c>
      <c r="H315" s="35">
        <v>2.3308575695075908</v>
      </c>
      <c r="I315" s="35">
        <v>32.273677989252072</v>
      </c>
      <c r="J315" t="s">
        <v>2342</v>
      </c>
      <c r="K315" t="s">
        <v>36</v>
      </c>
    </row>
    <row r="316" spans="1:11">
      <c r="A316" s="1">
        <v>35125</v>
      </c>
      <c r="B316" t="s">
        <v>22</v>
      </c>
      <c r="C316" t="s">
        <v>2237</v>
      </c>
      <c r="D316" s="35">
        <v>24.399825880353401</v>
      </c>
      <c r="E316" s="35">
        <v>2.1775020123592697</v>
      </c>
      <c r="F316" s="35">
        <v>43.751479655807188</v>
      </c>
      <c r="G316" s="35">
        <v>4.9988579633774066E-2</v>
      </c>
      <c r="H316" s="35">
        <v>2.1275134327254954</v>
      </c>
      <c r="I316" s="35">
        <v>29.085089819154785</v>
      </c>
      <c r="J316" t="s">
        <v>2342</v>
      </c>
      <c r="K316" t="s">
        <v>36</v>
      </c>
    </row>
    <row r="317" spans="1:11">
      <c r="A317" s="1">
        <v>35156</v>
      </c>
      <c r="B317" t="s">
        <v>22</v>
      </c>
      <c r="C317" t="s">
        <v>2237</v>
      </c>
      <c r="D317" s="35">
        <v>25.0934496172036</v>
      </c>
      <c r="E317" s="35">
        <v>2.8030844430014183</v>
      </c>
      <c r="F317" s="35">
        <v>36.927137152246715</v>
      </c>
      <c r="G317" s="35">
        <v>-0.20981878280513042</v>
      </c>
      <c r="H317" s="35">
        <v>3.0129032258065487</v>
      </c>
      <c r="I317" s="35">
        <v>43.555048242394847</v>
      </c>
      <c r="J317" t="s">
        <v>2343</v>
      </c>
      <c r="K317" t="s">
        <v>36</v>
      </c>
    </row>
    <row r="318" spans="1:11">
      <c r="A318" s="1">
        <v>35186</v>
      </c>
      <c r="B318" t="s">
        <v>22</v>
      </c>
      <c r="C318" t="s">
        <v>2237</v>
      </c>
      <c r="D318" s="35">
        <v>25.550842302962199</v>
      </c>
      <c r="E318" s="35">
        <v>1.806344230153607</v>
      </c>
      <c r="F318" s="35">
        <v>33.829465749212858</v>
      </c>
      <c r="G318" s="35">
        <v>-0.60748395632500474</v>
      </c>
      <c r="H318" s="35">
        <v>2.4138281864786117</v>
      </c>
      <c r="I318" s="35">
        <v>33.597235478936895</v>
      </c>
      <c r="J318" t="s">
        <v>2343</v>
      </c>
      <c r="K318" t="s">
        <v>36</v>
      </c>
    </row>
    <row r="319" spans="1:11">
      <c r="A319" s="1">
        <v>35217</v>
      </c>
      <c r="B319" t="s">
        <v>22</v>
      </c>
      <c r="C319" t="s">
        <v>2237</v>
      </c>
      <c r="D319" s="35">
        <v>25.966901728547398</v>
      </c>
      <c r="E319" s="35">
        <v>1.6152433660733514</v>
      </c>
      <c r="F319" s="35">
        <v>31.824904743509563</v>
      </c>
      <c r="G319" s="35">
        <v>-0.18319094864445387</v>
      </c>
      <c r="H319" s="35">
        <v>1.7984343147178052</v>
      </c>
      <c r="I319" s="35">
        <v>24.086921981717204</v>
      </c>
      <c r="J319" t="s">
        <v>2343</v>
      </c>
      <c r="K319" t="s">
        <v>36</v>
      </c>
    </row>
    <row r="320" spans="1:11">
      <c r="A320" s="1">
        <v>35247</v>
      </c>
      <c r="B320" t="s">
        <v>22</v>
      </c>
      <c r="C320" t="s">
        <v>2237</v>
      </c>
      <c r="D320" s="35">
        <v>26.336030688063399</v>
      </c>
      <c r="E320" s="35">
        <v>1.4115273130588464</v>
      </c>
      <c r="F320" s="35">
        <v>31.027711724886121</v>
      </c>
      <c r="G320" s="35">
        <v>1.857230697938933E-2</v>
      </c>
      <c r="H320" s="35">
        <v>1.3929550060794571</v>
      </c>
      <c r="I320" s="35">
        <v>18.193697950341914</v>
      </c>
      <c r="J320" t="s">
        <v>2344</v>
      </c>
      <c r="K320" t="s">
        <v>36</v>
      </c>
    </row>
    <row r="321" spans="1:11">
      <c r="A321" s="1">
        <v>35278</v>
      </c>
      <c r="B321" t="s">
        <v>22</v>
      </c>
      <c r="C321" t="s">
        <v>2237</v>
      </c>
      <c r="D321" s="35">
        <v>26.6860717149303</v>
      </c>
      <c r="E321" s="35">
        <v>1.3203780932690656</v>
      </c>
      <c r="F321" s="35">
        <v>30.60292753125513</v>
      </c>
      <c r="G321" s="35">
        <v>-2.7232588788898948E-2</v>
      </c>
      <c r="H321" s="35">
        <v>1.3476106820579645</v>
      </c>
      <c r="I321" s="35">
        <v>17.552314917189847</v>
      </c>
      <c r="J321" t="s">
        <v>2344</v>
      </c>
      <c r="K321" t="s">
        <v>36</v>
      </c>
    </row>
    <row r="322" spans="1:11">
      <c r="A322" s="1">
        <v>35309</v>
      </c>
      <c r="B322" t="s">
        <v>22</v>
      </c>
      <c r="C322" t="s">
        <v>2237</v>
      </c>
      <c r="D322" s="35">
        <v>27.1127514903968</v>
      </c>
      <c r="E322" s="35">
        <v>1.5862381241738375</v>
      </c>
      <c r="F322" s="35">
        <v>30.001995628889432</v>
      </c>
      <c r="G322" s="35">
        <v>0.11528589899523589</v>
      </c>
      <c r="H322" s="35">
        <v>1.4709522251786016</v>
      </c>
      <c r="I322" s="35">
        <v>19.305144792875396</v>
      </c>
      <c r="J322" t="s">
        <v>2344</v>
      </c>
      <c r="K322" t="s">
        <v>36</v>
      </c>
    </row>
    <row r="323" spans="1:11">
      <c r="A323" s="1">
        <v>35339</v>
      </c>
      <c r="B323" t="s">
        <v>22</v>
      </c>
      <c r="C323" t="s">
        <v>2237</v>
      </c>
      <c r="D323" s="35">
        <v>27.451167539620801</v>
      </c>
      <c r="E323" s="35">
        <v>1.2404548450637365</v>
      </c>
      <c r="F323" s="35">
        <v>28.97098585937583</v>
      </c>
      <c r="G323" s="35">
        <v>0.17125837170386743</v>
      </c>
      <c r="H323" s="35">
        <v>1.0691964733598691</v>
      </c>
      <c r="I323" s="35">
        <v>13.689808620129185</v>
      </c>
      <c r="J323" t="s">
        <v>2345</v>
      </c>
      <c r="K323" t="s">
        <v>36</v>
      </c>
    </row>
    <row r="324" spans="1:11">
      <c r="A324" s="1">
        <v>35370</v>
      </c>
      <c r="B324" t="s">
        <v>22</v>
      </c>
      <c r="C324" t="s">
        <v>2237</v>
      </c>
      <c r="D324" s="35">
        <v>27.8670834484337</v>
      </c>
      <c r="E324" s="35">
        <v>1.5037487223665227</v>
      </c>
      <c r="F324" s="35">
        <v>27.774341278100145</v>
      </c>
      <c r="G324" s="35">
        <v>0.43204811008838456</v>
      </c>
      <c r="H324" s="35">
        <v>1.0717006122781381</v>
      </c>
      <c r="I324" s="35">
        <v>13.723977162563838</v>
      </c>
      <c r="J324" t="s">
        <v>2345</v>
      </c>
      <c r="K324" t="s">
        <v>36</v>
      </c>
    </row>
    <row r="325" spans="1:11">
      <c r="A325" s="1">
        <v>35400</v>
      </c>
      <c r="B325" t="s">
        <v>22</v>
      </c>
      <c r="C325" t="s">
        <v>2237</v>
      </c>
      <c r="D325" s="35">
        <v>28.7593364537036</v>
      </c>
      <c r="E325" s="35">
        <v>3.1516273146289424</v>
      </c>
      <c r="F325" s="35">
        <v>27.704808349682764</v>
      </c>
      <c r="G325" s="35">
        <v>9.0732441503875105E-2</v>
      </c>
      <c r="H325" s="35">
        <v>3.0608948731250671</v>
      </c>
      <c r="I325" s="35">
        <v>44.384166585679452</v>
      </c>
      <c r="J325" t="s">
        <v>2345</v>
      </c>
      <c r="K325" t="s">
        <v>36</v>
      </c>
    </row>
    <row r="326" spans="1:11">
      <c r="A326" s="1">
        <v>35431</v>
      </c>
      <c r="B326" t="s">
        <v>22</v>
      </c>
      <c r="C326" t="s">
        <v>2237</v>
      </c>
      <c r="D326" s="35">
        <v>29.4988860288599</v>
      </c>
      <c r="E326" s="35">
        <v>2.5390040158721652</v>
      </c>
      <c r="F326" s="35">
        <v>26.443194946196293</v>
      </c>
      <c r="G326" s="35">
        <v>0.17355366550716039</v>
      </c>
      <c r="H326" s="35">
        <v>2.3654503503650046</v>
      </c>
      <c r="I326" s="35">
        <v>32.823904954687052</v>
      </c>
      <c r="J326" t="s">
        <v>2346</v>
      </c>
      <c r="K326" t="s">
        <v>36</v>
      </c>
    </row>
    <row r="327" spans="1:11">
      <c r="A327" s="1">
        <v>35462</v>
      </c>
      <c r="B327" t="s">
        <v>22</v>
      </c>
      <c r="C327" t="s">
        <v>2237</v>
      </c>
      <c r="D327" s="35">
        <v>29.994598091509399</v>
      </c>
      <c r="E327" s="35">
        <v>1.6664800933183586</v>
      </c>
      <c r="F327" s="35">
        <v>25.635707840409072</v>
      </c>
      <c r="G327" s="35">
        <v>-2.3713097848198361E-2</v>
      </c>
      <c r="H327" s="35">
        <v>1.6901931911665569</v>
      </c>
      <c r="I327" s="35">
        <v>22.485587368473169</v>
      </c>
      <c r="J327" t="s">
        <v>2346</v>
      </c>
      <c r="K327" t="s">
        <v>36</v>
      </c>
    </row>
    <row r="328" spans="1:11">
      <c r="A328" s="1">
        <v>35490</v>
      </c>
      <c r="B328" t="s">
        <v>22</v>
      </c>
      <c r="C328" t="s">
        <v>2237</v>
      </c>
      <c r="D328" s="35">
        <v>30.367889073662798</v>
      </c>
      <c r="E328" s="35">
        <v>1.2368467850785219</v>
      </c>
      <c r="F328" s="35">
        <v>24.459449926299868</v>
      </c>
      <c r="G328" s="35">
        <v>4.9988579633774066E-2</v>
      </c>
      <c r="H328" s="35">
        <v>1.1868582054447478</v>
      </c>
      <c r="I328" s="35">
        <v>15.306427389291933</v>
      </c>
      <c r="J328" t="s">
        <v>2346</v>
      </c>
      <c r="K328" t="s">
        <v>36</v>
      </c>
    </row>
    <row r="329" spans="1:11">
      <c r="A329" s="1">
        <v>35521</v>
      </c>
      <c r="B329" t="s">
        <v>22</v>
      </c>
      <c r="C329" t="s">
        <v>2237</v>
      </c>
      <c r="D329" s="35">
        <v>30.695971811728501</v>
      </c>
      <c r="E329" s="35">
        <v>1.0745664956653438</v>
      </c>
      <c r="F329" s="35">
        <v>22.326632168914372</v>
      </c>
      <c r="G329" s="35">
        <v>-0.20981878280513042</v>
      </c>
      <c r="H329" s="35">
        <v>1.2843852784704741</v>
      </c>
      <c r="I329" s="35">
        <v>16.663814620267804</v>
      </c>
      <c r="J329" t="s">
        <v>2347</v>
      </c>
      <c r="K329" t="s">
        <v>36</v>
      </c>
    </row>
    <row r="330" spans="1:11">
      <c r="A330" s="1">
        <v>35551</v>
      </c>
      <c r="B330" t="s">
        <v>22</v>
      </c>
      <c r="C330" t="s">
        <v>2237</v>
      </c>
      <c r="D330" s="35">
        <v>30.976119445603</v>
      </c>
      <c r="E330" s="35">
        <v>0.90851325162021068</v>
      </c>
      <c r="F330" s="35">
        <v>21.233261425639306</v>
      </c>
      <c r="G330" s="35">
        <v>-0.60748395632500474</v>
      </c>
      <c r="H330" s="35">
        <v>1.5159972079452153</v>
      </c>
      <c r="I330" s="35">
        <v>19.951782668861529</v>
      </c>
      <c r="J330" t="s">
        <v>2347</v>
      </c>
      <c r="K330" t="s">
        <v>36</v>
      </c>
    </row>
    <row r="331" spans="1:11">
      <c r="A331" s="1">
        <v>35582</v>
      </c>
      <c r="B331" t="s">
        <v>22</v>
      </c>
      <c r="C331" t="s">
        <v>2237</v>
      </c>
      <c r="D331" s="35">
        <v>31.2509569123077</v>
      </c>
      <c r="E331" s="35">
        <v>0.88334297513940374</v>
      </c>
      <c r="F331" s="35">
        <v>20.349193904604856</v>
      </c>
      <c r="G331" s="35">
        <v>-0.18319094864445387</v>
      </c>
      <c r="H331" s="35">
        <v>1.0665339237838576</v>
      </c>
      <c r="I331" s="35">
        <v>13.653489852260758</v>
      </c>
      <c r="J331" t="s">
        <v>2347</v>
      </c>
      <c r="K331" t="s">
        <v>36</v>
      </c>
    </row>
    <row r="332" spans="1:11">
      <c r="A332" s="1">
        <v>35612</v>
      </c>
      <c r="B332" t="s">
        <v>22</v>
      </c>
      <c r="C332" t="s">
        <v>2237</v>
      </c>
      <c r="D332" s="35">
        <v>31.523211040861099</v>
      </c>
      <c r="E332" s="35">
        <v>0.86741360172921822</v>
      </c>
      <c r="F332" s="35">
        <v>19.696135739805133</v>
      </c>
      <c r="G332" s="35">
        <v>1.857230697938933E-2</v>
      </c>
      <c r="H332" s="35">
        <v>0.84884129474982895</v>
      </c>
      <c r="I332" s="35">
        <v>10.722950670706876</v>
      </c>
      <c r="J332" t="s">
        <v>2348</v>
      </c>
      <c r="K332" t="s">
        <v>36</v>
      </c>
    </row>
    <row r="333" spans="1:11">
      <c r="A333" s="1">
        <v>35643</v>
      </c>
      <c r="B333" t="s">
        <v>22</v>
      </c>
      <c r="C333" t="s">
        <v>2237</v>
      </c>
      <c r="D333" s="35">
        <v>31.803502196687798</v>
      </c>
      <c r="E333" s="35">
        <v>0.88522827686352423</v>
      </c>
      <c r="F333" s="35">
        <v>19.176409838149411</v>
      </c>
      <c r="G333" s="35">
        <v>-2.7232588788898948E-2</v>
      </c>
      <c r="H333" s="35">
        <v>0.91246086565242313</v>
      </c>
      <c r="I333" s="35">
        <v>11.571483139020412</v>
      </c>
      <c r="J333" t="s">
        <v>2348</v>
      </c>
      <c r="K333" t="s">
        <v>36</v>
      </c>
    </row>
    <row r="334" spans="1:11">
      <c r="A334" s="1">
        <v>35674</v>
      </c>
      <c r="B334" t="s">
        <v>22</v>
      </c>
      <c r="C334" t="s">
        <v>2237</v>
      </c>
      <c r="D334" s="35">
        <v>32.199612588994199</v>
      </c>
      <c r="E334" s="35">
        <v>1.2378005386923763</v>
      </c>
      <c r="F334" s="35">
        <v>18.761877046669873</v>
      </c>
      <c r="G334" s="35">
        <v>0.11528589899523589</v>
      </c>
      <c r="H334" s="35">
        <v>1.1225146396971404</v>
      </c>
      <c r="I334" s="35">
        <v>14.419548489429301</v>
      </c>
      <c r="J334" t="s">
        <v>2348</v>
      </c>
      <c r="K334" t="s">
        <v>36</v>
      </c>
    </row>
    <row r="335" spans="1:11">
      <c r="A335" s="1">
        <v>35704</v>
      </c>
      <c r="B335" t="s">
        <v>22</v>
      </c>
      <c r="C335" t="s">
        <v>2237</v>
      </c>
      <c r="D335" s="35">
        <v>32.456940823077602</v>
      </c>
      <c r="E335" s="35">
        <v>0.79598920509256121</v>
      </c>
      <c r="F335" s="35">
        <v>18.235192642469112</v>
      </c>
      <c r="G335" s="35">
        <v>0.17125837170386743</v>
      </c>
      <c r="H335" s="35">
        <v>0.62473083338869384</v>
      </c>
      <c r="I335" s="35">
        <v>7.7849335795985297</v>
      </c>
      <c r="J335" t="s">
        <v>2349</v>
      </c>
      <c r="K335" t="s">
        <v>36</v>
      </c>
    </row>
    <row r="336" spans="1:11">
      <c r="A336" s="1">
        <v>35735</v>
      </c>
      <c r="B336" t="s">
        <v>22</v>
      </c>
      <c r="C336" t="s">
        <v>2237</v>
      </c>
      <c r="D336" s="35">
        <v>32.820042010844297</v>
      </c>
      <c r="E336" s="35">
        <v>1.1125052567823481</v>
      </c>
      <c r="F336" s="35">
        <v>17.773508919854276</v>
      </c>
      <c r="G336" s="35">
        <v>0.43204811008838456</v>
      </c>
      <c r="H336" s="35">
        <v>0.68045714669396351</v>
      </c>
      <c r="I336" s="35">
        <v>8.5081237653893638</v>
      </c>
      <c r="J336" t="s">
        <v>2349</v>
      </c>
      <c r="K336" t="s">
        <v>36</v>
      </c>
    </row>
    <row r="337" spans="1:11">
      <c r="A337" s="1">
        <v>35765</v>
      </c>
      <c r="B337" t="s">
        <v>22</v>
      </c>
      <c r="C337" t="s">
        <v>2237</v>
      </c>
      <c r="D337" s="35">
        <v>33.2798745076214</v>
      </c>
      <c r="E337" s="35">
        <v>1.3913479442214534</v>
      </c>
      <c r="F337" s="35">
        <v>15.718506096950136</v>
      </c>
      <c r="G337" s="35">
        <v>9.0732441503875105E-2</v>
      </c>
      <c r="H337" s="35">
        <v>1.3006155027175783</v>
      </c>
      <c r="I337" s="35">
        <v>16.891253616264979</v>
      </c>
      <c r="J337" t="s">
        <v>2349</v>
      </c>
      <c r="K337" t="s">
        <v>36</v>
      </c>
    </row>
    <row r="338" spans="1:11">
      <c r="A338" s="1">
        <v>35796</v>
      </c>
      <c r="B338" t="s">
        <v>22</v>
      </c>
      <c r="C338" t="s">
        <v>2237</v>
      </c>
      <c r="D338" s="35">
        <v>34.003924110859998</v>
      </c>
      <c r="E338" s="35">
        <v>2.1523087840400925</v>
      </c>
      <c r="F338" s="35">
        <v>15.271892225328942</v>
      </c>
      <c r="G338" s="35">
        <v>0.17355366550716039</v>
      </c>
      <c r="H338" s="35">
        <v>1.9787551185329322</v>
      </c>
      <c r="I338" s="35">
        <v>26.801237346927898</v>
      </c>
      <c r="J338" t="s">
        <v>2350</v>
      </c>
      <c r="K338" t="s">
        <v>36</v>
      </c>
    </row>
    <row r="339" spans="1:11">
      <c r="A339" s="1">
        <v>35827</v>
      </c>
      <c r="B339" t="s">
        <v>22</v>
      </c>
      <c r="C339" t="s">
        <v>2237</v>
      </c>
      <c r="D339" s="35">
        <v>34.599237843852499</v>
      </c>
      <c r="E339" s="35">
        <v>1.7355721205092038</v>
      </c>
      <c r="F339" s="35">
        <v>15.351563432505344</v>
      </c>
      <c r="G339" s="35">
        <v>-2.3713097848198361E-2</v>
      </c>
      <c r="H339" s="35">
        <v>1.7592852183574021</v>
      </c>
      <c r="I339" s="35">
        <v>23.505342246725647</v>
      </c>
      <c r="J339" t="s">
        <v>2350</v>
      </c>
      <c r="K339" t="s">
        <v>36</v>
      </c>
    </row>
    <row r="340" spans="1:11">
      <c r="A340" s="1">
        <v>35855</v>
      </c>
      <c r="B340" t="s">
        <v>22</v>
      </c>
      <c r="C340" t="s">
        <v>2237</v>
      </c>
      <c r="D340" s="35">
        <v>35.004533397603502</v>
      </c>
      <c r="E340" s="35">
        <v>1.164592456076003</v>
      </c>
      <c r="F340" s="35">
        <v>15.268247037828964</v>
      </c>
      <c r="G340" s="35">
        <v>4.9988579633774066E-2</v>
      </c>
      <c r="H340" s="35">
        <v>1.114603876442229</v>
      </c>
      <c r="I340" s="35">
        <v>14.310982512786463</v>
      </c>
      <c r="J340" t="s">
        <v>2350</v>
      </c>
      <c r="K340" t="s">
        <v>36</v>
      </c>
    </row>
    <row r="341" spans="1:11">
      <c r="A341" s="1">
        <v>35886</v>
      </c>
      <c r="B341" t="s">
        <v>22</v>
      </c>
      <c r="C341" t="s">
        <v>2237</v>
      </c>
      <c r="D341" s="35">
        <v>35.332042063402199</v>
      </c>
      <c r="E341" s="35">
        <v>0.9312680653243709</v>
      </c>
      <c r="F341" s="35">
        <v>15.103187741077861</v>
      </c>
      <c r="G341" s="35">
        <v>-0.20981878280513042</v>
      </c>
      <c r="H341" s="35">
        <v>1.1410868481295013</v>
      </c>
      <c r="I341" s="35">
        <v>14.674835702997079</v>
      </c>
      <c r="J341" t="s">
        <v>2351</v>
      </c>
      <c r="K341" t="s">
        <v>36</v>
      </c>
    </row>
    <row r="342" spans="1:11">
      <c r="A342" s="1">
        <v>35916</v>
      </c>
      <c r="B342" t="s">
        <v>22</v>
      </c>
      <c r="C342" t="s">
        <v>2237</v>
      </c>
      <c r="D342" s="35">
        <v>35.613481363762098</v>
      </c>
      <c r="E342" s="35">
        <v>0.79339967655940413</v>
      </c>
      <c r="F342" s="35">
        <v>14.970764579800711</v>
      </c>
      <c r="G342" s="35">
        <v>-0.60748395632500474</v>
      </c>
      <c r="H342" s="35">
        <v>1.4008836328844088</v>
      </c>
      <c r="I342" s="35">
        <v>18.30620511010126</v>
      </c>
      <c r="J342" t="s">
        <v>2351</v>
      </c>
      <c r="K342" t="s">
        <v>36</v>
      </c>
    </row>
    <row r="343" spans="1:11">
      <c r="A343" s="1">
        <v>35947</v>
      </c>
      <c r="B343" t="s">
        <v>22</v>
      </c>
      <c r="C343" t="s">
        <v>2237</v>
      </c>
      <c r="D343" s="35">
        <v>36.034420411382101</v>
      </c>
      <c r="E343" s="35">
        <v>1.1750348034148084</v>
      </c>
      <c r="F343" s="35">
        <v>15.306614490228654</v>
      </c>
      <c r="G343" s="35">
        <v>-0.18319094864445387</v>
      </c>
      <c r="H343" s="35">
        <v>1.3582257520592622</v>
      </c>
      <c r="I343" s="35">
        <v>17.702149453374538</v>
      </c>
      <c r="J343" t="s">
        <v>2351</v>
      </c>
      <c r="K343" t="s">
        <v>36</v>
      </c>
    </row>
    <row r="344" spans="1:11">
      <c r="A344" s="1">
        <v>35977</v>
      </c>
      <c r="B344" t="s">
        <v>22</v>
      </c>
      <c r="C344" t="s">
        <v>2237</v>
      </c>
      <c r="D344" s="35">
        <v>36.381878110459603</v>
      </c>
      <c r="E344" s="35">
        <v>0.95961923634462032</v>
      </c>
      <c r="F344" s="35">
        <v>15.412982717086109</v>
      </c>
      <c r="G344" s="35">
        <v>1.857230697938933E-2</v>
      </c>
      <c r="H344" s="35">
        <v>0.94104692936523104</v>
      </c>
      <c r="I344" s="35">
        <v>11.954867072393949</v>
      </c>
      <c r="J344" t="s">
        <v>2352</v>
      </c>
      <c r="K344" t="s">
        <v>36</v>
      </c>
    </row>
    <row r="345" spans="1:11">
      <c r="A345" s="1">
        <v>36008</v>
      </c>
      <c r="B345" t="s">
        <v>22</v>
      </c>
      <c r="C345" t="s">
        <v>2237</v>
      </c>
      <c r="D345" s="35">
        <v>36.731632103784001</v>
      </c>
      <c r="E345" s="35">
        <v>0.95674974501501719</v>
      </c>
      <c r="F345" s="35">
        <v>15.495557302520746</v>
      </c>
      <c r="G345" s="35">
        <v>-2.7232588788898948E-2</v>
      </c>
      <c r="H345" s="35">
        <v>0.9839823338039162</v>
      </c>
      <c r="I345" s="35">
        <v>12.533174885484</v>
      </c>
      <c r="J345" t="s">
        <v>2352</v>
      </c>
      <c r="K345" t="s">
        <v>36</v>
      </c>
    </row>
    <row r="346" spans="1:11">
      <c r="A346" s="1">
        <v>36039</v>
      </c>
      <c r="B346" t="s">
        <v>22</v>
      </c>
      <c r="C346" t="s">
        <v>2237</v>
      </c>
      <c r="D346" s="35">
        <v>37.327376387090602</v>
      </c>
      <c r="E346" s="35">
        <v>1.6088714821603436</v>
      </c>
      <c r="F346" s="35">
        <v>15.924923891317455</v>
      </c>
      <c r="G346" s="35">
        <v>0.11528589899523589</v>
      </c>
      <c r="H346" s="35">
        <v>1.4935855831651077</v>
      </c>
      <c r="I346" s="35">
        <v>19.629618355199252</v>
      </c>
      <c r="J346" t="s">
        <v>2352</v>
      </c>
      <c r="K346" t="s">
        <v>36</v>
      </c>
    </row>
    <row r="347" spans="1:11">
      <c r="A347" s="1">
        <v>36069</v>
      </c>
      <c r="B347" t="s">
        <v>22</v>
      </c>
      <c r="C347" t="s">
        <v>2237</v>
      </c>
      <c r="D347" s="35">
        <v>37.862268927258199</v>
      </c>
      <c r="E347" s="35">
        <v>1.4228064554391362</v>
      </c>
      <c r="F347" s="35">
        <v>16.653843421796832</v>
      </c>
      <c r="G347" s="35">
        <v>0.17125837170386743</v>
      </c>
      <c r="H347" s="35">
        <v>1.2515480837352688</v>
      </c>
      <c r="I347" s="35">
        <v>16.205009678058069</v>
      </c>
      <c r="J347" t="s">
        <v>2353</v>
      </c>
      <c r="K347" t="s">
        <v>36</v>
      </c>
    </row>
    <row r="348" spans="1:11">
      <c r="A348" s="1">
        <v>36100</v>
      </c>
      <c r="B348" t="s">
        <v>22</v>
      </c>
      <c r="C348" t="s">
        <v>2237</v>
      </c>
      <c r="D348" s="35">
        <v>38.532786225593497</v>
      </c>
      <c r="E348" s="35">
        <v>1.7554395781541043</v>
      </c>
      <c r="F348" s="35">
        <v>17.40626722190548</v>
      </c>
      <c r="G348" s="35">
        <v>0.43204811008838456</v>
      </c>
      <c r="H348" s="35">
        <v>1.3233914680657197</v>
      </c>
      <c r="I348" s="35">
        <v>17.211167935591277</v>
      </c>
      <c r="J348" t="s">
        <v>2353</v>
      </c>
      <c r="K348" t="s">
        <v>36</v>
      </c>
    </row>
    <row r="349" spans="1:11">
      <c r="A349" s="1">
        <v>36130</v>
      </c>
      <c r="B349" t="s">
        <v>22</v>
      </c>
      <c r="C349" t="s">
        <v>2237</v>
      </c>
      <c r="D349" s="35">
        <v>39.472974324693503</v>
      </c>
      <c r="E349" s="35">
        <v>2.4106774256150354</v>
      </c>
      <c r="F349" s="35">
        <v>18.609144141014799</v>
      </c>
      <c r="G349" s="35">
        <v>9.0732441503875105E-2</v>
      </c>
      <c r="H349" s="35">
        <v>2.3199449841111601</v>
      </c>
      <c r="I349" s="35">
        <v>32.100577615534064</v>
      </c>
      <c r="J349" t="s">
        <v>2353</v>
      </c>
      <c r="K349" t="s">
        <v>36</v>
      </c>
    </row>
    <row r="350" spans="1:11">
      <c r="A350" s="1">
        <v>36161</v>
      </c>
      <c r="B350" t="s">
        <v>22</v>
      </c>
      <c r="C350" t="s">
        <v>2237</v>
      </c>
      <c r="D350" s="35">
        <v>40.469770280540402</v>
      </c>
      <c r="E350" s="35">
        <v>2.4939039153808169</v>
      </c>
      <c r="F350" s="35">
        <v>19.015000000001116</v>
      </c>
      <c r="G350" s="35">
        <v>0.17355366550716039</v>
      </c>
      <c r="H350" s="35">
        <v>2.3203502498736563</v>
      </c>
      <c r="I350" s="35">
        <v>32.107002072707182</v>
      </c>
      <c r="J350" t="s">
        <v>2354</v>
      </c>
      <c r="K350" t="s">
        <v>36</v>
      </c>
    </row>
    <row r="351" spans="1:11">
      <c r="A351" s="1">
        <v>36192</v>
      </c>
      <c r="B351" t="s">
        <v>22</v>
      </c>
      <c r="C351" t="s">
        <v>2237</v>
      </c>
      <c r="D351" s="35">
        <v>41.013642812363997</v>
      </c>
      <c r="E351" s="35">
        <v>1.3349480294289036</v>
      </c>
      <c r="F351" s="35">
        <v>18.539151057199344</v>
      </c>
      <c r="G351" s="35">
        <v>-2.3713097848198361E-2</v>
      </c>
      <c r="H351" s="35">
        <v>1.3586611272771019</v>
      </c>
      <c r="I351" s="35">
        <v>17.708298965888879</v>
      </c>
      <c r="J351" t="s">
        <v>2354</v>
      </c>
      <c r="K351" t="s">
        <v>36</v>
      </c>
    </row>
    <row r="352" spans="1:11">
      <c r="A352" s="1">
        <v>36220</v>
      </c>
      <c r="B352" t="s">
        <v>22</v>
      </c>
      <c r="C352" t="s">
        <v>2237</v>
      </c>
      <c r="D352" s="35">
        <v>41.394683783066903</v>
      </c>
      <c r="E352" s="35">
        <v>0.92476986729625676</v>
      </c>
      <c r="F352" s="35">
        <v>18.255208012288172</v>
      </c>
      <c r="G352" s="35">
        <v>4.9988579633774066E-2</v>
      </c>
      <c r="H352" s="35">
        <v>0.87478128766248275</v>
      </c>
      <c r="I352" s="35">
        <v>11.068145960457709</v>
      </c>
      <c r="J352" t="s">
        <v>2354</v>
      </c>
      <c r="K352" t="s">
        <v>36</v>
      </c>
    </row>
    <row r="353" spans="1:11">
      <c r="A353" s="1">
        <v>36251</v>
      </c>
      <c r="B353" t="s">
        <v>22</v>
      </c>
      <c r="C353" t="s">
        <v>2237</v>
      </c>
      <c r="D353" s="35">
        <v>41.774576609236597</v>
      </c>
      <c r="E353" s="35">
        <v>0.91354778540125481</v>
      </c>
      <c r="F353" s="35">
        <v>18.234254714951035</v>
      </c>
      <c r="G353" s="35">
        <v>-0.20981878280513042</v>
      </c>
      <c r="H353" s="35">
        <v>1.1233665682063851</v>
      </c>
      <c r="I353" s="35">
        <v>14.431246360408867</v>
      </c>
      <c r="J353" t="s">
        <v>2355</v>
      </c>
      <c r="K353" t="s">
        <v>36</v>
      </c>
    </row>
    <row r="354" spans="1:11">
      <c r="A354" s="1">
        <v>36281</v>
      </c>
      <c r="B354" t="s">
        <v>22</v>
      </c>
      <c r="C354" t="s">
        <v>2237</v>
      </c>
      <c r="D354" s="35">
        <v>42.025877076750398</v>
      </c>
      <c r="E354" s="35">
        <v>0.59976100309893887</v>
      </c>
      <c r="F354" s="35">
        <v>18.005528994739418</v>
      </c>
      <c r="G354" s="35">
        <v>-0.60748395632500474</v>
      </c>
      <c r="H354" s="35">
        <v>1.2072449594239436</v>
      </c>
      <c r="I354" s="35">
        <v>15.588859573046099</v>
      </c>
      <c r="J354" t="s">
        <v>2355</v>
      </c>
      <c r="K354" t="s">
        <v>36</v>
      </c>
    </row>
    <row r="355" spans="1:11">
      <c r="A355" s="1">
        <v>36312</v>
      </c>
      <c r="B355" t="s">
        <v>22</v>
      </c>
      <c r="C355" t="s">
        <v>2237</v>
      </c>
      <c r="D355" s="35">
        <v>42.302006204759103</v>
      </c>
      <c r="E355" s="35">
        <v>0.65489635022130599</v>
      </c>
      <c r="F355" s="35">
        <v>17.393330381962446</v>
      </c>
      <c r="G355" s="35">
        <v>-0.18319094864445387</v>
      </c>
      <c r="H355" s="35">
        <v>0.83808729886575983</v>
      </c>
      <c r="I355" s="35">
        <v>10.580157127899636</v>
      </c>
      <c r="J355" t="s">
        <v>2355</v>
      </c>
      <c r="K355" t="s">
        <v>36</v>
      </c>
    </row>
    <row r="356" spans="1:11">
      <c r="A356" s="1">
        <v>36342</v>
      </c>
      <c r="B356" t="s">
        <v>22</v>
      </c>
      <c r="C356" t="s">
        <v>2237</v>
      </c>
      <c r="D356" s="35">
        <v>42.581579771548</v>
      </c>
      <c r="E356" s="35">
        <v>0.65872470986351694</v>
      </c>
      <c r="F356" s="35">
        <v>17.040631168807117</v>
      </c>
      <c r="G356" s="35">
        <v>1.857230697938933E-2</v>
      </c>
      <c r="H356" s="35">
        <v>0.64015240288412767</v>
      </c>
      <c r="I356" s="35">
        <v>7.9845837990554669</v>
      </c>
      <c r="J356" t="s">
        <v>2356</v>
      </c>
      <c r="K356" t="s">
        <v>36</v>
      </c>
    </row>
    <row r="357" spans="1:11">
      <c r="A357" s="1">
        <v>36373</v>
      </c>
      <c r="B357" t="s">
        <v>22</v>
      </c>
      <c r="C357" t="s">
        <v>2237</v>
      </c>
      <c r="D357" s="35">
        <v>42.821255256238402</v>
      </c>
      <c r="E357" s="35">
        <v>0.56128374155029237</v>
      </c>
      <c r="F357" s="35">
        <v>16.578689275903603</v>
      </c>
      <c r="G357" s="35">
        <v>-2.7232588788898948E-2</v>
      </c>
      <c r="H357" s="35">
        <v>0.58851633033919137</v>
      </c>
      <c r="I357" s="35">
        <v>7.3175445541498574</v>
      </c>
      <c r="J357" t="s">
        <v>2356</v>
      </c>
      <c r="K357" t="s">
        <v>36</v>
      </c>
    </row>
    <row r="358" spans="1:11">
      <c r="A358" s="1">
        <v>36404</v>
      </c>
      <c r="B358" t="s">
        <v>22</v>
      </c>
      <c r="C358" t="s">
        <v>2237</v>
      </c>
      <c r="D358" s="35">
        <v>43.235018392756501</v>
      </c>
      <c r="E358" s="35">
        <v>0.96161803757042597</v>
      </c>
      <c r="F358" s="35">
        <v>15.826566390315634</v>
      </c>
      <c r="G358" s="35">
        <v>0.11528589899523589</v>
      </c>
      <c r="H358" s="35">
        <v>0.84633213857519007</v>
      </c>
      <c r="I358" s="35">
        <v>10.689617148257579</v>
      </c>
      <c r="J358" t="s">
        <v>2356</v>
      </c>
      <c r="K358" t="s">
        <v>36</v>
      </c>
    </row>
    <row r="359" spans="1:11">
      <c r="A359" s="1">
        <v>36434</v>
      </c>
      <c r="B359" t="s">
        <v>22</v>
      </c>
      <c r="C359" t="s">
        <v>2237</v>
      </c>
      <c r="D359" s="35">
        <v>43.508851226518999</v>
      </c>
      <c r="E359" s="35">
        <v>0.63136160419182985</v>
      </c>
      <c r="F359" s="35">
        <v>14.913481043909794</v>
      </c>
      <c r="G359" s="35">
        <v>0.17125837170386743</v>
      </c>
      <c r="H359" s="35">
        <v>0.46010323248796242</v>
      </c>
      <c r="I359" s="35">
        <v>5.6765034947615201</v>
      </c>
      <c r="J359" t="s">
        <v>2357</v>
      </c>
      <c r="K359" t="s">
        <v>36</v>
      </c>
    </row>
    <row r="360" spans="1:11">
      <c r="A360" s="1">
        <v>36465</v>
      </c>
      <c r="B360" t="s">
        <v>22</v>
      </c>
      <c r="C360" t="s">
        <v>2237</v>
      </c>
      <c r="D360" s="35">
        <v>43.895776447019799</v>
      </c>
      <c r="E360" s="35">
        <v>0.88537130888491888</v>
      </c>
      <c r="F360" s="35">
        <v>13.917992304081551</v>
      </c>
      <c r="G360" s="35">
        <v>0.43204811008838456</v>
      </c>
      <c r="H360" s="35">
        <v>0.45332319879653432</v>
      </c>
      <c r="I360" s="35">
        <v>5.5905596311494277</v>
      </c>
      <c r="J360" t="s">
        <v>2357</v>
      </c>
      <c r="K360" t="s">
        <v>36</v>
      </c>
    </row>
    <row r="361" spans="1:11">
      <c r="A361" s="1">
        <v>36495</v>
      </c>
      <c r="B361" t="s">
        <v>22</v>
      </c>
      <c r="C361" t="s">
        <v>2237</v>
      </c>
      <c r="D361" s="35">
        <v>44.335516388565999</v>
      </c>
      <c r="E361" s="35">
        <v>0.9967973231998184</v>
      </c>
      <c r="F361" s="35">
        <v>12.318661431172128</v>
      </c>
      <c r="G361" s="35">
        <v>9.0732441503875105E-2</v>
      </c>
      <c r="H361" s="35">
        <v>0.90606488169594335</v>
      </c>
      <c r="I361" s="35">
        <v>11.485882863163077</v>
      </c>
      <c r="J361" t="s">
        <v>2357</v>
      </c>
      <c r="K361" t="s">
        <v>36</v>
      </c>
    </row>
    <row r="362" spans="1:11">
      <c r="A362" s="1">
        <v>36526</v>
      </c>
      <c r="B362" t="s">
        <v>22</v>
      </c>
      <c r="C362" t="s">
        <v>2237</v>
      </c>
      <c r="D362" s="35">
        <v>44.930830116377898</v>
      </c>
      <c r="E362" s="35">
        <v>1.3338118493443822</v>
      </c>
      <c r="F362" s="35">
        <v>11.023190408329464</v>
      </c>
      <c r="G362" s="35">
        <v>0.17355366550716039</v>
      </c>
      <c r="H362" s="35">
        <v>1.1602581838372219</v>
      </c>
      <c r="I362" s="35">
        <v>14.938955771275975</v>
      </c>
      <c r="J362" t="s">
        <v>2208</v>
      </c>
      <c r="K362" t="s">
        <v>40</v>
      </c>
    </row>
    <row r="363" spans="1:11">
      <c r="A363" s="1">
        <v>36557</v>
      </c>
      <c r="B363" t="s">
        <v>22</v>
      </c>
      <c r="C363" t="s">
        <v>2237</v>
      </c>
      <c r="D363" s="35">
        <v>45.3293803145216</v>
      </c>
      <c r="E363" s="35">
        <v>0.88311956394154356</v>
      </c>
      <c r="F363" s="35">
        <v>10.522687589351554</v>
      </c>
      <c r="G363" s="35">
        <v>-2.3713097848198361E-2</v>
      </c>
      <c r="H363" s="35">
        <v>0.90683266178974198</v>
      </c>
      <c r="I363" s="35">
        <v>11.496154933349501</v>
      </c>
      <c r="J363" t="s">
        <v>2208</v>
      </c>
      <c r="K363" t="s">
        <v>40</v>
      </c>
    </row>
    <row r="364" spans="1:11">
      <c r="A364" s="1">
        <v>36586</v>
      </c>
      <c r="B364" t="s">
        <v>22</v>
      </c>
      <c r="C364" t="s">
        <v>2237</v>
      </c>
      <c r="D364" s="35">
        <v>45.580680782035401</v>
      </c>
      <c r="E364" s="35">
        <v>0.55285653659507106</v>
      </c>
      <c r="F364" s="35">
        <v>10.11240240632263</v>
      </c>
      <c r="G364" s="35">
        <v>4.9988579633774066E-2</v>
      </c>
      <c r="H364" s="35">
        <v>0.50286795696129705</v>
      </c>
      <c r="I364" s="35">
        <v>6.2202045617739454</v>
      </c>
      <c r="J364" t="s">
        <v>2208</v>
      </c>
      <c r="K364" t="s">
        <v>40</v>
      </c>
    </row>
    <row r="365" spans="1:11">
      <c r="A365" s="1">
        <v>36617</v>
      </c>
      <c r="B365" t="s">
        <v>22</v>
      </c>
      <c r="C365" t="s">
        <v>2237</v>
      </c>
      <c r="D365" s="35">
        <v>45.840018271641902</v>
      </c>
      <c r="E365" s="35">
        <v>0.56735113149646121</v>
      </c>
      <c r="F365" s="35">
        <v>9.7318560531057798</v>
      </c>
      <c r="G365" s="35">
        <v>-0.20981878280513042</v>
      </c>
      <c r="H365" s="35">
        <v>0.77716991430159166</v>
      </c>
      <c r="I365" s="35">
        <v>9.7747540226580156</v>
      </c>
      <c r="J365" t="s">
        <v>2358</v>
      </c>
      <c r="K365" t="s">
        <v>40</v>
      </c>
    </row>
    <row r="366" spans="1:11">
      <c r="A366" s="1">
        <v>36647</v>
      </c>
      <c r="B366" t="s">
        <v>22</v>
      </c>
      <c r="C366" t="s">
        <v>2237</v>
      </c>
      <c r="D366" s="35">
        <v>46.011379073728897</v>
      </c>
      <c r="E366" s="35">
        <v>0.37312660634796113</v>
      </c>
      <c r="F366" s="35">
        <v>9.4834475190129108</v>
      </c>
      <c r="G366" s="35">
        <v>-0.60748395632500474</v>
      </c>
      <c r="H366" s="35">
        <v>0.98061056267296587</v>
      </c>
      <c r="I366" s="35">
        <v>12.487651762475792</v>
      </c>
      <c r="J366" t="s">
        <v>2358</v>
      </c>
      <c r="K366" t="s">
        <v>40</v>
      </c>
    </row>
    <row r="367" spans="1:11">
      <c r="A367" s="1">
        <v>36678</v>
      </c>
      <c r="B367" t="s">
        <v>22</v>
      </c>
      <c r="C367" t="s">
        <v>2237</v>
      </c>
      <c r="D367" s="35">
        <v>46.283920241006101</v>
      </c>
      <c r="E367" s="35">
        <v>0.59058686947303507</v>
      </c>
      <c r="F367" s="35">
        <v>9.4130619171414622</v>
      </c>
      <c r="G367" s="35">
        <v>-0.18319094864445387</v>
      </c>
      <c r="H367" s="35">
        <v>0.77377781811748891</v>
      </c>
      <c r="I367" s="35">
        <v>9.7300791328585277</v>
      </c>
      <c r="J367" t="s">
        <v>2358</v>
      </c>
      <c r="K367" t="s">
        <v>40</v>
      </c>
    </row>
    <row r="368" spans="1:11">
      <c r="A368" s="1">
        <v>36708</v>
      </c>
      <c r="B368" t="s">
        <v>22</v>
      </c>
      <c r="C368" t="s">
        <v>2237</v>
      </c>
      <c r="D368" s="35">
        <v>46.464466209718097</v>
      </c>
      <c r="E368" s="35">
        <v>0.38932471748840408</v>
      </c>
      <c r="F368" s="35">
        <v>9.1186998204433767</v>
      </c>
      <c r="G368" s="35">
        <v>1.857230697938933E-2</v>
      </c>
      <c r="H368" s="35">
        <v>0.37075241050901475</v>
      </c>
      <c r="I368" s="35">
        <v>4.5494824133883505</v>
      </c>
      <c r="J368" t="s">
        <v>2359</v>
      </c>
      <c r="K368" t="s">
        <v>40</v>
      </c>
    </row>
    <row r="369" spans="1:11">
      <c r="A369" s="1">
        <v>36739</v>
      </c>
      <c r="B369" t="s">
        <v>22</v>
      </c>
      <c r="C369" t="s">
        <v>2237</v>
      </c>
      <c r="D369" s="35">
        <v>46.719785188278301</v>
      </c>
      <c r="E369" s="35">
        <v>0.5479887720242862</v>
      </c>
      <c r="F369" s="35">
        <v>9.1041934868827603</v>
      </c>
      <c r="G369" s="35">
        <v>-2.7232588788898948E-2</v>
      </c>
      <c r="H369" s="35">
        <v>0.57522136081318509</v>
      </c>
      <c r="I369" s="35">
        <v>7.1464670405220865</v>
      </c>
      <c r="J369" t="s">
        <v>2359</v>
      </c>
      <c r="K369" t="s">
        <v>40</v>
      </c>
    </row>
    <row r="370" spans="1:11">
      <c r="A370" s="1">
        <v>36770</v>
      </c>
      <c r="B370" t="s">
        <v>22</v>
      </c>
      <c r="C370" t="s">
        <v>2237</v>
      </c>
      <c r="D370" s="35">
        <v>47.0610716040147</v>
      </c>
      <c r="E370" s="35">
        <v>0.72784134002285938</v>
      </c>
      <c r="F370" s="35">
        <v>8.8494312099083317</v>
      </c>
      <c r="G370" s="35">
        <v>0.11528589899523589</v>
      </c>
      <c r="H370" s="35">
        <v>0.61255544102762349</v>
      </c>
      <c r="I370" s="35">
        <v>7.6275697027750944</v>
      </c>
      <c r="J370" t="s">
        <v>2359</v>
      </c>
      <c r="K370" t="s">
        <v>40</v>
      </c>
    </row>
    <row r="371" spans="1:11">
      <c r="A371" s="1">
        <v>36800</v>
      </c>
      <c r="B371" t="s">
        <v>22</v>
      </c>
      <c r="C371" t="s">
        <v>2237</v>
      </c>
      <c r="D371" s="35">
        <v>47.385135825853403</v>
      </c>
      <c r="E371" s="35">
        <v>0.68624352934841981</v>
      </c>
      <c r="F371" s="35">
        <v>8.9091862691418999</v>
      </c>
      <c r="G371" s="35">
        <v>0.17125837170386743</v>
      </c>
      <c r="H371" s="35">
        <v>0.51498515764455233</v>
      </c>
      <c r="I371" s="35">
        <v>6.3747678912690287</v>
      </c>
      <c r="J371" t="s">
        <v>2360</v>
      </c>
      <c r="K371" t="s">
        <v>40</v>
      </c>
    </row>
    <row r="372" spans="1:11">
      <c r="A372" s="1">
        <v>36831</v>
      </c>
      <c r="B372" t="s">
        <v>22</v>
      </c>
      <c r="C372" t="s">
        <v>2237</v>
      </c>
      <c r="D372" s="35">
        <v>47.790287862832798</v>
      </c>
      <c r="E372" s="35">
        <v>0.85138467175849741</v>
      </c>
      <c r="F372" s="35">
        <v>8.8721779884985086</v>
      </c>
      <c r="G372" s="35">
        <v>0.43204811008838456</v>
      </c>
      <c r="H372" s="35">
        <v>0.41933656167011285</v>
      </c>
      <c r="I372" s="35">
        <v>5.1607964350967706</v>
      </c>
      <c r="J372" t="s">
        <v>2360</v>
      </c>
      <c r="K372" t="s">
        <v>40</v>
      </c>
    </row>
    <row r="373" spans="1:11">
      <c r="A373" s="1">
        <v>36861</v>
      </c>
      <c r="B373" t="s">
        <v>22</v>
      </c>
      <c r="C373" t="s">
        <v>2237</v>
      </c>
      <c r="D373" s="35">
        <v>48.307671180741004</v>
      </c>
      <c r="E373" s="35">
        <v>1.0767935598150802</v>
      </c>
      <c r="F373" s="35">
        <v>8.9593064787205421</v>
      </c>
      <c r="G373" s="35">
        <v>9.0732441503875105E-2</v>
      </c>
      <c r="H373" s="35">
        <v>0.98606111831120513</v>
      </c>
      <c r="I373" s="35">
        <v>12.561250253557787</v>
      </c>
      <c r="J373" t="s">
        <v>2360</v>
      </c>
      <c r="K373" t="s">
        <v>40</v>
      </c>
    </row>
    <row r="374" spans="1:11">
      <c r="A374" s="1">
        <v>36892</v>
      </c>
      <c r="B374" t="s">
        <v>22</v>
      </c>
      <c r="C374" t="s">
        <v>2237</v>
      </c>
      <c r="D374" s="35">
        <v>48.575476247934098</v>
      </c>
      <c r="E374" s="35">
        <v>0.55284279338384679</v>
      </c>
      <c r="F374" s="35">
        <v>8.1116821614824364</v>
      </c>
      <c r="G374" s="35">
        <v>0.17355366550716039</v>
      </c>
      <c r="H374" s="35">
        <v>0.37928912787668639</v>
      </c>
      <c r="I374" s="35">
        <v>4.6566384155237062</v>
      </c>
      <c r="J374" t="s">
        <v>2361</v>
      </c>
      <c r="K374" t="s">
        <v>40</v>
      </c>
    </row>
    <row r="375" spans="1:11">
      <c r="A375" s="1">
        <v>36923</v>
      </c>
      <c r="B375" t="s">
        <v>22</v>
      </c>
      <c r="C375" t="s">
        <v>2237</v>
      </c>
      <c r="D375" s="35">
        <v>48.543328159564901</v>
      </c>
      <c r="E375" s="35">
        <v>-6.6203635309380587E-2</v>
      </c>
      <c r="F375" s="35">
        <v>7.0902090934026996</v>
      </c>
      <c r="G375" s="35">
        <v>-2.3713097848198361E-2</v>
      </c>
      <c r="H375" s="35">
        <v>-4.2490537461182226E-2</v>
      </c>
      <c r="I375" s="35">
        <v>-0.50858873513723868</v>
      </c>
      <c r="J375" t="s">
        <v>2361</v>
      </c>
      <c r="K375" t="s">
        <v>40</v>
      </c>
    </row>
    <row r="376" spans="1:11">
      <c r="A376" s="1">
        <v>36951</v>
      </c>
      <c r="B376" t="s">
        <v>22</v>
      </c>
      <c r="C376" t="s">
        <v>2237</v>
      </c>
      <c r="D376" s="35">
        <v>48.850887781724403</v>
      </c>
      <c r="E376" s="35">
        <v>0.63157887056214779</v>
      </c>
      <c r="F376" s="35">
        <v>7.1745461971640445</v>
      </c>
      <c r="G376" s="35">
        <v>4.9988579633774066E-2</v>
      </c>
      <c r="H376" s="35">
        <v>0.58159029092837367</v>
      </c>
      <c r="I376" s="35">
        <v>7.2283873444964675</v>
      </c>
      <c r="J376" t="s">
        <v>2361</v>
      </c>
      <c r="K376" t="s">
        <v>40</v>
      </c>
    </row>
    <row r="377" spans="1:11">
      <c r="A377" s="1">
        <v>36982</v>
      </c>
      <c r="B377" t="s">
        <v>22</v>
      </c>
      <c r="C377" t="s">
        <v>2237</v>
      </c>
      <c r="D377" s="35">
        <v>49.0973086323825</v>
      </c>
      <c r="E377" s="35">
        <v>0.5031667342118965</v>
      </c>
      <c r="F377" s="35">
        <v>7.1057789319330711</v>
      </c>
      <c r="G377" s="35">
        <v>-0.20981878280513042</v>
      </c>
      <c r="H377" s="35">
        <v>0.71298551701702695</v>
      </c>
      <c r="I377" s="35">
        <v>8.9325025795714996</v>
      </c>
      <c r="J377" t="s">
        <v>2362</v>
      </c>
      <c r="K377" t="s">
        <v>40</v>
      </c>
    </row>
    <row r="378" spans="1:11">
      <c r="A378" s="1">
        <v>37012</v>
      </c>
      <c r="B378" t="s">
        <v>22</v>
      </c>
      <c r="C378" t="s">
        <v>2237</v>
      </c>
      <c r="D378" s="35">
        <v>49.209970463625403</v>
      </c>
      <c r="E378" s="35">
        <v>0.22920353731809848</v>
      </c>
      <c r="F378" s="35">
        <v>6.9517398832385835</v>
      </c>
      <c r="G378" s="35">
        <v>-0.60748395632500474</v>
      </c>
      <c r="H378" s="35">
        <v>0.83668749364310324</v>
      </c>
      <c r="I378" s="35">
        <v>10.561583806108899</v>
      </c>
      <c r="J378" t="s">
        <v>2362</v>
      </c>
      <c r="K378" t="s">
        <v>40</v>
      </c>
    </row>
    <row r="379" spans="1:11">
      <c r="A379" s="1">
        <v>37043</v>
      </c>
      <c r="B379" t="s">
        <v>22</v>
      </c>
      <c r="C379" t="s">
        <v>2237</v>
      </c>
      <c r="D379" s="35">
        <v>49.326363767191502</v>
      </c>
      <c r="E379" s="35">
        <v>0.2362445459508897</v>
      </c>
      <c r="F379" s="35">
        <v>6.5734352456382705</v>
      </c>
      <c r="G379" s="35">
        <v>-0.18319094864445387</v>
      </c>
      <c r="H379" s="35">
        <v>0.41943549459534357</v>
      </c>
      <c r="I379" s="35">
        <v>5.1620449063329632</v>
      </c>
      <c r="J379" t="s">
        <v>2362</v>
      </c>
      <c r="K379" t="s">
        <v>40</v>
      </c>
    </row>
    <row r="380" spans="1:11">
      <c r="A380" s="1">
        <v>37073</v>
      </c>
      <c r="B380" t="s">
        <v>22</v>
      </c>
      <c r="C380" t="s">
        <v>2237</v>
      </c>
      <c r="D380" s="35">
        <v>49.198201964030297</v>
      </c>
      <c r="E380" s="35">
        <v>-0.26016227424699739</v>
      </c>
      <c r="F380" s="35">
        <v>5.8834976000228689</v>
      </c>
      <c r="G380" s="35">
        <v>1.857230697938933E-2</v>
      </c>
      <c r="H380" s="35">
        <v>-0.27873458122638672</v>
      </c>
      <c r="I380" s="35">
        <v>-3.2894945426984568</v>
      </c>
      <c r="J380" t="s">
        <v>2363</v>
      </c>
      <c r="K380" t="s">
        <v>40</v>
      </c>
    </row>
    <row r="381" spans="1:11">
      <c r="A381" s="1">
        <v>37104</v>
      </c>
      <c r="B381" t="s">
        <v>22</v>
      </c>
      <c r="C381" t="s">
        <v>2237</v>
      </c>
      <c r="D381" s="35">
        <v>49.489687547185802</v>
      </c>
      <c r="E381" s="35">
        <v>0.59072381064324053</v>
      </c>
      <c r="F381" s="35">
        <v>5.9287566236551292</v>
      </c>
      <c r="G381" s="35">
        <v>-2.7232588788898948E-2</v>
      </c>
      <c r="H381" s="35">
        <v>0.61795639943213954</v>
      </c>
      <c r="I381" s="35">
        <v>7.6973473555618455</v>
      </c>
      <c r="J381" t="s">
        <v>2363</v>
      </c>
      <c r="K381" t="s">
        <v>40</v>
      </c>
    </row>
    <row r="382" spans="1:11">
      <c r="A382" s="1">
        <v>37135</v>
      </c>
      <c r="B382" t="s">
        <v>22</v>
      </c>
      <c r="C382" t="s">
        <v>2237</v>
      </c>
      <c r="D382" s="35">
        <v>49.950381149772397</v>
      </c>
      <c r="E382" s="35">
        <v>0.92658202011684421</v>
      </c>
      <c r="F382" s="35">
        <v>6.1394894915890896</v>
      </c>
      <c r="G382" s="35">
        <v>0.11528589899523589</v>
      </c>
      <c r="H382" s="35">
        <v>0.81129612112160832</v>
      </c>
      <c r="I382" s="35">
        <v>10.22521926846094</v>
      </c>
      <c r="J382" t="s">
        <v>2363</v>
      </c>
      <c r="K382" t="s">
        <v>40</v>
      </c>
    </row>
    <row r="383" spans="1:11">
      <c r="A383" s="1">
        <v>37165</v>
      </c>
      <c r="B383" t="s">
        <v>22</v>
      </c>
      <c r="C383" t="s">
        <v>2237</v>
      </c>
      <c r="D383" s="35">
        <v>50.176135367753503</v>
      </c>
      <c r="E383" s="35">
        <v>0.45093868913877777</v>
      </c>
      <c r="F383" s="35">
        <v>5.8900317436197502</v>
      </c>
      <c r="G383" s="35">
        <v>0.17125837170386743</v>
      </c>
      <c r="H383" s="35">
        <v>0.27968031743491034</v>
      </c>
      <c r="I383" s="35">
        <v>3.4131183635087714</v>
      </c>
      <c r="J383" t="s">
        <v>2364</v>
      </c>
      <c r="K383" t="s">
        <v>40</v>
      </c>
    </row>
    <row r="384" spans="1:11">
      <c r="A384" s="1">
        <v>37196</v>
      </c>
      <c r="B384" t="s">
        <v>22</v>
      </c>
      <c r="C384" t="s">
        <v>2237</v>
      </c>
      <c r="D384" s="35">
        <v>50.3651489088722</v>
      </c>
      <c r="E384" s="35">
        <v>0.37599234016682148</v>
      </c>
      <c r="F384" s="35">
        <v>5.3878333050215943</v>
      </c>
      <c r="G384" s="35">
        <v>0.43204811008838456</v>
      </c>
      <c r="H384" s="35">
        <v>-5.6055769921563081E-2</v>
      </c>
      <c r="I384" s="35">
        <v>-0.67041188388017314</v>
      </c>
      <c r="J384" t="s">
        <v>2364</v>
      </c>
      <c r="K384" t="s">
        <v>40</v>
      </c>
    </row>
    <row r="385" spans="1:11">
      <c r="A385" s="1">
        <v>37226</v>
      </c>
      <c r="B385" t="s">
        <v>22</v>
      </c>
      <c r="C385" t="s">
        <v>2237</v>
      </c>
      <c r="D385" s="35">
        <v>50.434898785092997</v>
      </c>
      <c r="E385" s="35">
        <v>0.1383925681561842</v>
      </c>
      <c r="F385" s="35">
        <v>4.4034985590447162</v>
      </c>
      <c r="G385" s="35">
        <v>9.0732441503875105E-2</v>
      </c>
      <c r="H385" s="35">
        <v>4.7660126652309093E-2</v>
      </c>
      <c r="I385" s="35">
        <v>0.57356011328539847</v>
      </c>
      <c r="J385" t="s">
        <v>2364</v>
      </c>
      <c r="K385" t="s">
        <v>40</v>
      </c>
    </row>
    <row r="386" spans="1:11">
      <c r="A386" s="1">
        <v>37257</v>
      </c>
      <c r="B386" t="s">
        <v>22</v>
      </c>
      <c r="C386" t="s">
        <v>2237</v>
      </c>
      <c r="D386" s="35">
        <v>50.900472009715898</v>
      </c>
      <c r="E386" s="35">
        <v>0.91888251227008233</v>
      </c>
      <c r="F386" s="35">
        <v>4.7863571113843317</v>
      </c>
      <c r="G386" s="35">
        <v>0.17355366550716039</v>
      </c>
      <c r="H386" s="35">
        <v>0.74532884676292199</v>
      </c>
      <c r="I386" s="35">
        <v>9.3561128880002897</v>
      </c>
      <c r="J386" t="s">
        <v>2365</v>
      </c>
      <c r="K386" t="s">
        <v>40</v>
      </c>
    </row>
    <row r="387" spans="1:11">
      <c r="A387" s="1">
        <v>37288</v>
      </c>
      <c r="B387" t="s">
        <v>22</v>
      </c>
      <c r="C387" t="s">
        <v>2237</v>
      </c>
      <c r="D387" s="35">
        <v>50.867749849080496</v>
      </c>
      <c r="E387" s="35">
        <v>-6.4307229045372533E-2</v>
      </c>
      <c r="F387" s="35">
        <v>4.7883443052670005</v>
      </c>
      <c r="G387" s="35">
        <v>-2.3713097848198361E-2</v>
      </c>
      <c r="H387" s="35">
        <v>-4.0594131197174171E-2</v>
      </c>
      <c r="I387" s="35">
        <v>-0.48594502246973592</v>
      </c>
      <c r="J387" t="s">
        <v>2365</v>
      </c>
      <c r="K387" t="s">
        <v>40</v>
      </c>
    </row>
    <row r="388" spans="1:11">
      <c r="A388" s="1">
        <v>37316</v>
      </c>
      <c r="B388" t="s">
        <v>22</v>
      </c>
      <c r="C388" t="s">
        <v>2237</v>
      </c>
      <c r="D388" s="35">
        <v>51.127948444496397</v>
      </c>
      <c r="E388" s="35">
        <v>0.51021594876458809</v>
      </c>
      <c r="F388" s="35">
        <v>4.6612472488654744</v>
      </c>
      <c r="G388" s="35">
        <v>4.9988579633774066E-2</v>
      </c>
      <c r="H388" s="35">
        <v>0.46022736913081402</v>
      </c>
      <c r="I388" s="35">
        <v>5.6780777056511855</v>
      </c>
      <c r="J388" t="s">
        <v>2365</v>
      </c>
      <c r="K388" t="s">
        <v>40</v>
      </c>
    </row>
    <row r="389" spans="1:11">
      <c r="A389" s="1">
        <v>37347</v>
      </c>
      <c r="B389" t="s">
        <v>22</v>
      </c>
      <c r="C389" t="s">
        <v>2237</v>
      </c>
      <c r="D389" s="35">
        <v>51.407234972561497</v>
      </c>
      <c r="E389" s="35">
        <v>0.5447636790617133</v>
      </c>
      <c r="F389" s="35">
        <v>4.7047921862166442</v>
      </c>
      <c r="G389" s="35">
        <v>-0.20981878280513042</v>
      </c>
      <c r="H389" s="35">
        <v>0.75458246186684375</v>
      </c>
      <c r="I389" s="35">
        <v>9.4776130598162034</v>
      </c>
      <c r="J389" t="s">
        <v>2366</v>
      </c>
      <c r="K389" t="s">
        <v>40</v>
      </c>
    </row>
    <row r="390" spans="1:11">
      <c r="A390" s="1">
        <v>37377</v>
      </c>
      <c r="B390" t="s">
        <v>22</v>
      </c>
      <c r="C390" t="s">
        <v>2237</v>
      </c>
      <c r="D390" s="35">
        <v>51.511429231397599</v>
      </c>
      <c r="E390" s="35">
        <v>0.20247890941787933</v>
      </c>
      <c r="F390" s="35">
        <v>4.6768139588162727</v>
      </c>
      <c r="G390" s="35">
        <v>-0.60748395632500474</v>
      </c>
      <c r="H390" s="35">
        <v>0.80996286574288412</v>
      </c>
      <c r="I390" s="35">
        <v>10.20758567512825</v>
      </c>
      <c r="J390" t="s">
        <v>2366</v>
      </c>
      <c r="K390" t="s">
        <v>40</v>
      </c>
    </row>
    <row r="391" spans="1:11">
      <c r="A391" s="1">
        <v>37408</v>
      </c>
      <c r="B391" t="s">
        <v>22</v>
      </c>
      <c r="C391" t="s">
        <v>2237</v>
      </c>
      <c r="D391" s="35">
        <v>51.762586176959203</v>
      </c>
      <c r="E391" s="35">
        <v>0.48639038525815187</v>
      </c>
      <c r="F391" s="35">
        <v>4.9389864237025183</v>
      </c>
      <c r="G391" s="35">
        <v>-0.18319094864445387</v>
      </c>
      <c r="H391" s="35">
        <v>0.66958133390260577</v>
      </c>
      <c r="I391" s="35">
        <v>8.3666024501870329</v>
      </c>
      <c r="J391" t="s">
        <v>2366</v>
      </c>
      <c r="K391" t="s">
        <v>40</v>
      </c>
    </row>
    <row r="392" spans="1:11">
      <c r="A392" s="1">
        <v>37438</v>
      </c>
      <c r="B392" t="s">
        <v>22</v>
      </c>
      <c r="C392" t="s">
        <v>2237</v>
      </c>
      <c r="D392" s="35">
        <v>51.911181353361798</v>
      </c>
      <c r="E392" s="35">
        <v>0.28665935790190111</v>
      </c>
      <c r="F392" s="35">
        <v>5.514387276419197</v>
      </c>
      <c r="G392" s="35">
        <v>1.857230697938933E-2</v>
      </c>
      <c r="H392" s="35">
        <v>0.26808705092251178</v>
      </c>
      <c r="I392" s="35">
        <v>3.2693508897266632</v>
      </c>
      <c r="J392" t="s">
        <v>2367</v>
      </c>
      <c r="K392" t="s">
        <v>40</v>
      </c>
    </row>
    <row r="393" spans="1:11">
      <c r="A393" s="1">
        <v>37469</v>
      </c>
      <c r="B393" t="s">
        <v>22</v>
      </c>
      <c r="C393" t="s">
        <v>2237</v>
      </c>
      <c r="D393" s="35">
        <v>52.108560301264298</v>
      </c>
      <c r="E393" s="35">
        <v>0.37950331668768261</v>
      </c>
      <c r="F393" s="35">
        <v>5.2917544722454357</v>
      </c>
      <c r="G393" s="35">
        <v>-2.7232588788898948E-2</v>
      </c>
      <c r="H393" s="35">
        <v>0.40673590547658156</v>
      </c>
      <c r="I393" s="35">
        <v>5.0019051884988563</v>
      </c>
      <c r="J393" t="s">
        <v>2367</v>
      </c>
      <c r="K393" t="s">
        <v>40</v>
      </c>
    </row>
    <row r="394" spans="1:11">
      <c r="A394" s="1">
        <v>37500</v>
      </c>
      <c r="B394" t="s">
        <v>22</v>
      </c>
      <c r="C394" t="s">
        <v>2237</v>
      </c>
      <c r="D394" s="35">
        <v>52.4219835649941</v>
      </c>
      <c r="E394" s="35">
        <v>0.59967965611329388</v>
      </c>
      <c r="F394" s="35">
        <v>4.9481152262097705</v>
      </c>
      <c r="G394" s="35">
        <v>0.11528589899523589</v>
      </c>
      <c r="H394" s="35">
        <v>0.48439375711805799</v>
      </c>
      <c r="I394" s="35">
        <v>5.9849853928894969</v>
      </c>
      <c r="J394" t="s">
        <v>2367</v>
      </c>
      <c r="K394" t="s">
        <v>40</v>
      </c>
    </row>
    <row r="395" spans="1:11">
      <c r="A395" s="1">
        <v>37530</v>
      </c>
      <c r="B395" t="s">
        <v>22</v>
      </c>
      <c r="C395" t="s">
        <v>2237</v>
      </c>
      <c r="D395" s="35">
        <v>52.653036086685702</v>
      </c>
      <c r="E395" s="35">
        <v>0.43978653510710886</v>
      </c>
      <c r="F395" s="35">
        <v>4.9364119033448395</v>
      </c>
      <c r="G395" s="35">
        <v>0.17125837170386743</v>
      </c>
      <c r="H395" s="35">
        <v>0.26852816340324143</v>
      </c>
      <c r="I395" s="35">
        <v>3.2748174423537835</v>
      </c>
      <c r="J395" t="s">
        <v>2368</v>
      </c>
      <c r="K395" t="s">
        <v>40</v>
      </c>
    </row>
    <row r="396" spans="1:11">
      <c r="A396" s="1">
        <v>37561</v>
      </c>
      <c r="B396" t="s">
        <v>22</v>
      </c>
      <c r="C396" t="s">
        <v>2237</v>
      </c>
      <c r="D396" s="35">
        <v>53.0788772813736</v>
      </c>
      <c r="E396" s="35">
        <v>0.80551554151983717</v>
      </c>
      <c r="F396" s="35">
        <v>5.3881075134146084</v>
      </c>
      <c r="G396" s="35">
        <v>0.43204811008838456</v>
      </c>
      <c r="H396" s="35">
        <v>0.37346743143145261</v>
      </c>
      <c r="I396" s="35">
        <v>4.5835504466742893</v>
      </c>
      <c r="J396" t="s">
        <v>2368</v>
      </c>
      <c r="K396" t="s">
        <v>40</v>
      </c>
    </row>
    <row r="397" spans="1:11">
      <c r="A397" s="1">
        <v>37591</v>
      </c>
      <c r="B397" t="s">
        <v>22</v>
      </c>
      <c r="C397" t="s">
        <v>2237</v>
      </c>
      <c r="D397" s="35">
        <v>53.309929803065103</v>
      </c>
      <c r="E397" s="35">
        <v>0.43435562684774842</v>
      </c>
      <c r="F397" s="35">
        <v>5.7004794045941054</v>
      </c>
      <c r="G397" s="35">
        <v>9.0732441503875105E-2</v>
      </c>
      <c r="H397" s="35">
        <v>0.34362318534387332</v>
      </c>
      <c r="I397" s="35">
        <v>4.2096742634984308</v>
      </c>
      <c r="J397" t="s">
        <v>2368</v>
      </c>
      <c r="K397" t="s">
        <v>40</v>
      </c>
    </row>
    <row r="398" spans="1:11">
      <c r="A398" s="1">
        <v>37622</v>
      </c>
      <c r="B398" t="s">
        <v>22</v>
      </c>
      <c r="C398" t="s">
        <v>2237</v>
      </c>
      <c r="D398" s="35">
        <v>53.525440675315501</v>
      </c>
      <c r="E398" s="35">
        <v>0.40344534512218649</v>
      </c>
      <c r="F398" s="35">
        <v>5.1570615398194075</v>
      </c>
      <c r="G398" s="35">
        <v>0.17355366550716039</v>
      </c>
      <c r="H398" s="35">
        <v>0.2298916796150261</v>
      </c>
      <c r="I398" s="35">
        <v>2.7971046295162338</v>
      </c>
      <c r="J398" t="s">
        <v>2369</v>
      </c>
      <c r="K398" t="s">
        <v>40</v>
      </c>
    </row>
    <row r="399" spans="1:11">
      <c r="A399" s="1">
        <v>37653</v>
      </c>
      <c r="B399" t="s">
        <v>22</v>
      </c>
      <c r="C399" t="s">
        <v>2237</v>
      </c>
      <c r="D399" s="35">
        <v>53.674122454969499</v>
      </c>
      <c r="E399" s="35">
        <v>0.2773926882731646</v>
      </c>
      <c r="F399" s="35">
        <v>5.516997732778095</v>
      </c>
      <c r="G399" s="35">
        <v>-2.3713097848198361E-2</v>
      </c>
      <c r="H399" s="35">
        <v>0.30110578612136296</v>
      </c>
      <c r="I399" s="35">
        <v>3.6793413975656275</v>
      </c>
      <c r="J399" t="s">
        <v>2369</v>
      </c>
      <c r="K399" t="s">
        <v>40</v>
      </c>
    </row>
    <row r="400" spans="1:11">
      <c r="A400" s="1">
        <v>37681</v>
      </c>
      <c r="B400" t="s">
        <v>22</v>
      </c>
      <c r="C400" t="s">
        <v>2237</v>
      </c>
      <c r="D400" s="35">
        <v>54.012930412786197</v>
      </c>
      <c r="E400" s="35">
        <v>0.62924755896915585</v>
      </c>
      <c r="F400" s="35">
        <v>5.642671094893803</v>
      </c>
      <c r="G400" s="35">
        <v>4.9988579633774066E-2</v>
      </c>
      <c r="H400" s="35">
        <v>0.57925897933538173</v>
      </c>
      <c r="I400" s="35">
        <v>7.1983936062753662</v>
      </c>
      <c r="J400" t="s">
        <v>2369</v>
      </c>
      <c r="K400" t="s">
        <v>40</v>
      </c>
    </row>
    <row r="401" spans="1:11">
      <c r="A401" s="1">
        <v>37712</v>
      </c>
      <c r="B401" t="s">
        <v>22</v>
      </c>
      <c r="C401" t="s">
        <v>2237</v>
      </c>
      <c r="D401" s="35">
        <v>54.105144199470402</v>
      </c>
      <c r="E401" s="35">
        <v>0.17057982095003332</v>
      </c>
      <c r="F401" s="35">
        <v>5.2481119211116978</v>
      </c>
      <c r="G401" s="35">
        <v>-0.20981878280513042</v>
      </c>
      <c r="H401" s="35">
        <v>0.38039860375516377</v>
      </c>
      <c r="I401" s="35">
        <v>4.6705730250112598</v>
      </c>
      <c r="J401" t="s">
        <v>2370</v>
      </c>
      <c r="K401" t="s">
        <v>40</v>
      </c>
    </row>
    <row r="402" spans="1:11">
      <c r="A402" s="1">
        <v>37742</v>
      </c>
      <c r="B402" t="s">
        <v>22</v>
      </c>
      <c r="C402" t="s">
        <v>2237</v>
      </c>
      <c r="D402" s="35">
        <v>53.9305596707487</v>
      </c>
      <c r="E402" s="35">
        <v>-0.32319811773134566</v>
      </c>
      <c r="F402" s="35">
        <v>4.6962984243438033</v>
      </c>
      <c r="G402" s="35">
        <v>-0.60748395632500474</v>
      </c>
      <c r="H402" s="35">
        <v>0.28428583859365908</v>
      </c>
      <c r="I402" s="35">
        <v>3.4702867160229411</v>
      </c>
      <c r="J402" t="s">
        <v>2370</v>
      </c>
      <c r="K402" t="s">
        <v>40</v>
      </c>
    </row>
    <row r="403" spans="1:11">
      <c r="A403" s="1">
        <v>37773</v>
      </c>
      <c r="B403" t="s">
        <v>22</v>
      </c>
      <c r="C403" t="s">
        <v>2237</v>
      </c>
      <c r="D403" s="35">
        <v>53.975112399146603</v>
      </c>
      <c r="E403" s="35">
        <v>8.2577180744966894E-2</v>
      </c>
      <c r="F403" s="35">
        <v>4.2743734144648382</v>
      </c>
      <c r="G403" s="35">
        <v>-0.18319094864445387</v>
      </c>
      <c r="H403" s="35">
        <v>0.26576812938942074</v>
      </c>
      <c r="I403" s="35">
        <v>3.2406180650836225</v>
      </c>
      <c r="J403" t="s">
        <v>2370</v>
      </c>
      <c r="K403" t="s">
        <v>40</v>
      </c>
    </row>
    <row r="404" spans="1:11">
      <c r="A404" s="1">
        <v>37803</v>
      </c>
      <c r="B404" t="s">
        <v>22</v>
      </c>
      <c r="C404" t="s">
        <v>2237</v>
      </c>
      <c r="D404" s="35">
        <v>54.053338701333502</v>
      </c>
      <c r="E404" s="35">
        <v>0.14482539564886412</v>
      </c>
      <c r="F404" s="35">
        <v>4.1265817731828136</v>
      </c>
      <c r="G404" s="35">
        <v>1.857230697938933E-2</v>
      </c>
      <c r="H404" s="35">
        <v>0.12625308866947479</v>
      </c>
      <c r="I404" s="35">
        <v>1.5265719294362823</v>
      </c>
      <c r="J404" t="s">
        <v>2371</v>
      </c>
      <c r="K404" t="s">
        <v>40</v>
      </c>
    </row>
    <row r="405" spans="1:11">
      <c r="A405" s="1">
        <v>37834</v>
      </c>
      <c r="B405" t="s">
        <v>22</v>
      </c>
      <c r="C405" t="s">
        <v>2237</v>
      </c>
      <c r="D405" s="35">
        <v>54.215489910502399</v>
      </c>
      <c r="E405" s="35">
        <v>0.29953465366589838</v>
      </c>
      <c r="F405" s="35">
        <v>4.0433464234224559</v>
      </c>
      <c r="G405" s="35">
        <v>-2.7232588788898948E-2</v>
      </c>
      <c r="H405" s="35">
        <v>0.32676724245479732</v>
      </c>
      <c r="I405" s="35">
        <v>3.9991010217800271</v>
      </c>
      <c r="J405" t="s">
        <v>2371</v>
      </c>
      <c r="K405" t="s">
        <v>40</v>
      </c>
    </row>
    <row r="406" spans="1:11">
      <c r="A406" s="1">
        <v>37865</v>
      </c>
      <c r="B406" t="s">
        <v>22</v>
      </c>
      <c r="C406" t="s">
        <v>2237</v>
      </c>
      <c r="D406" s="35">
        <v>54.538238163897297</v>
      </c>
      <c r="E406" s="35">
        <v>0.5935414015149626</v>
      </c>
      <c r="F406" s="35">
        <v>4.0369601739304928</v>
      </c>
      <c r="G406" s="35">
        <v>0.11528589899523589</v>
      </c>
      <c r="H406" s="35">
        <v>0.47825550251972671</v>
      </c>
      <c r="I406" s="35">
        <v>5.9069465988640601</v>
      </c>
      <c r="J406" t="s">
        <v>2371</v>
      </c>
      <c r="K406" t="s">
        <v>40</v>
      </c>
    </row>
    <row r="407" spans="1:11">
      <c r="A407" s="1">
        <v>37895</v>
      </c>
      <c r="B407" t="s">
        <v>22</v>
      </c>
      <c r="C407" t="s">
        <v>2237</v>
      </c>
      <c r="D407" s="35">
        <v>54.738207386706698</v>
      </c>
      <c r="E407" s="35">
        <v>0.36598819629064561</v>
      </c>
      <c r="F407" s="35">
        <v>3.9602109488768189</v>
      </c>
      <c r="G407" s="35">
        <v>0.17125837170386743</v>
      </c>
      <c r="H407" s="35">
        <v>0.19472982458677818</v>
      </c>
      <c r="I407" s="35">
        <v>2.3642739925251677</v>
      </c>
      <c r="J407" t="s">
        <v>2372</v>
      </c>
      <c r="K407" t="s">
        <v>40</v>
      </c>
    </row>
    <row r="408" spans="1:11">
      <c r="A408" s="1">
        <v>37926</v>
      </c>
      <c r="B408" t="s">
        <v>22</v>
      </c>
      <c r="C408" t="s">
        <v>2237</v>
      </c>
      <c r="D408" s="35">
        <v>55.192541605369897</v>
      </c>
      <c r="E408" s="35">
        <v>0.82658730096608801</v>
      </c>
      <c r="F408" s="35">
        <v>3.982119502625614</v>
      </c>
      <c r="G408" s="35">
        <v>0.43204811008838456</v>
      </c>
      <c r="H408" s="35">
        <v>0.39453919087770345</v>
      </c>
      <c r="I408" s="35">
        <v>4.8483362057452517</v>
      </c>
      <c r="J408" t="s">
        <v>2372</v>
      </c>
      <c r="K408" t="s">
        <v>40</v>
      </c>
    </row>
    <row r="409" spans="1:11">
      <c r="A409" s="1">
        <v>37956</v>
      </c>
      <c r="B409" t="s">
        <v>22</v>
      </c>
      <c r="C409" t="s">
        <v>2237</v>
      </c>
      <c r="D409" s="35">
        <v>55.429810786838097</v>
      </c>
      <c r="E409" s="35">
        <v>0.42897215650131959</v>
      </c>
      <c r="F409" s="35">
        <v>3.9765218067331132</v>
      </c>
      <c r="G409" s="35">
        <v>9.0732441503875105E-2</v>
      </c>
      <c r="H409" s="35">
        <v>0.33823971499744448</v>
      </c>
      <c r="I409" s="35">
        <v>4.1423748411606232</v>
      </c>
      <c r="J409" t="s">
        <v>2372</v>
      </c>
      <c r="K409" t="s">
        <v>40</v>
      </c>
    </row>
    <row r="410" spans="1:11">
      <c r="A410" s="1">
        <v>37987</v>
      </c>
      <c r="B410" t="s">
        <v>22</v>
      </c>
      <c r="C410" t="s">
        <v>2237</v>
      </c>
      <c r="D410" s="35">
        <v>55.774317349450101</v>
      </c>
      <c r="E410" s="35">
        <v>0.61959510049394229</v>
      </c>
      <c r="F410" s="35">
        <v>4.2015098722423483</v>
      </c>
      <c r="G410" s="35">
        <v>0.17355366550716039</v>
      </c>
      <c r="H410" s="35">
        <v>0.44604143498678189</v>
      </c>
      <c r="I410" s="35">
        <v>5.4983336691851736</v>
      </c>
      <c r="J410" t="s">
        <v>2373</v>
      </c>
      <c r="K410" t="s">
        <v>40</v>
      </c>
    </row>
    <row r="411" spans="1:11">
      <c r="A411" s="1">
        <v>38018</v>
      </c>
      <c r="B411" t="s">
        <v>22</v>
      </c>
      <c r="C411" t="s">
        <v>2237</v>
      </c>
      <c r="D411" s="35">
        <v>56.107944757453097</v>
      </c>
      <c r="E411" s="35">
        <v>0.59639194024262099</v>
      </c>
      <c r="F411" s="35">
        <v>4.5344426534881466</v>
      </c>
      <c r="G411" s="35">
        <v>-2.3713097848198361E-2</v>
      </c>
      <c r="H411" s="35">
        <v>0.62010503809081929</v>
      </c>
      <c r="I411" s="35">
        <v>7.7251192577908245</v>
      </c>
      <c r="J411" t="s">
        <v>2373</v>
      </c>
      <c r="K411" t="s">
        <v>40</v>
      </c>
    </row>
    <row r="412" spans="1:11">
      <c r="A412" s="1">
        <v>38047</v>
      </c>
      <c r="B412" t="s">
        <v>22</v>
      </c>
      <c r="C412" t="s">
        <v>2237</v>
      </c>
      <c r="D412" s="35">
        <v>56.2980709356166</v>
      </c>
      <c r="E412" s="35">
        <v>0.33828502558880241</v>
      </c>
      <c r="F412" s="35">
        <v>4.2307286521329868</v>
      </c>
      <c r="G412" s="35">
        <v>4.9988579633774066E-2</v>
      </c>
      <c r="H412" s="35">
        <v>0.28829644595502835</v>
      </c>
      <c r="I412" s="35">
        <v>3.5200961442554579</v>
      </c>
      <c r="J412" t="s">
        <v>2373</v>
      </c>
      <c r="K412" t="s">
        <v>40</v>
      </c>
    </row>
    <row r="413" spans="1:11">
      <c r="A413" s="1">
        <v>38078</v>
      </c>
      <c r="B413" t="s">
        <v>22</v>
      </c>
      <c r="C413" t="s">
        <v>2237</v>
      </c>
      <c r="D413" s="35">
        <v>56.383031952561801</v>
      </c>
      <c r="E413" s="35">
        <v>0.15079907964670497</v>
      </c>
      <c r="F413" s="35">
        <v>4.2101130803634312</v>
      </c>
      <c r="G413" s="35">
        <v>-0.20981878280513042</v>
      </c>
      <c r="H413" s="35">
        <v>0.36061786245183536</v>
      </c>
      <c r="I413" s="35">
        <v>4.4224122864837234</v>
      </c>
      <c r="J413" t="s">
        <v>2374</v>
      </c>
      <c r="K413" t="s">
        <v>40</v>
      </c>
    </row>
    <row r="414" spans="1:11">
      <c r="A414" s="1">
        <v>38108</v>
      </c>
      <c r="B414" t="s">
        <v>22</v>
      </c>
      <c r="C414" t="s">
        <v>2237</v>
      </c>
      <c r="D414" s="35">
        <v>56.2416029426468</v>
      </c>
      <c r="E414" s="35">
        <v>-0.251151241267067</v>
      </c>
      <c r="F414" s="35">
        <v>4.2852202647390314</v>
      </c>
      <c r="G414" s="35">
        <v>-0.60748395632500474</v>
      </c>
      <c r="H414" s="35">
        <v>0.35633271505793773</v>
      </c>
      <c r="I414" s="35">
        <v>4.3687302384510351</v>
      </c>
      <c r="J414" t="s">
        <v>2374</v>
      </c>
      <c r="K414" t="s">
        <v>40</v>
      </c>
    </row>
    <row r="415" spans="1:11">
      <c r="A415" s="1">
        <v>38139</v>
      </c>
      <c r="B415" t="s">
        <v>22</v>
      </c>
      <c r="C415" t="s">
        <v>2237</v>
      </c>
      <c r="D415" s="35">
        <v>56.331744509405603</v>
      </c>
      <c r="E415" s="35">
        <v>0.16014729607790659</v>
      </c>
      <c r="F415" s="35">
        <v>4.366145813336475</v>
      </c>
      <c r="G415" s="35">
        <v>-0.18319094864445387</v>
      </c>
      <c r="H415" s="35">
        <v>0.34333824472236046</v>
      </c>
      <c r="I415" s="35">
        <v>4.2061110960939674</v>
      </c>
      <c r="J415" t="s">
        <v>2374</v>
      </c>
      <c r="K415" t="s">
        <v>40</v>
      </c>
    </row>
    <row r="416" spans="1:11">
      <c r="A416" s="1">
        <v>38169</v>
      </c>
      <c r="B416" t="s">
        <v>22</v>
      </c>
      <c r="C416" t="s">
        <v>2237</v>
      </c>
      <c r="D416" s="35">
        <v>56.479390179096498</v>
      </c>
      <c r="E416" s="35">
        <v>0.26175741322076473</v>
      </c>
      <c r="F416" s="35">
        <v>4.4882546315370364</v>
      </c>
      <c r="G416" s="35">
        <v>1.857230697938933E-2</v>
      </c>
      <c r="H416" s="35">
        <v>0.2431851062413754</v>
      </c>
      <c r="I416" s="35">
        <v>2.9612185850593331</v>
      </c>
      <c r="J416" t="s">
        <v>2375</v>
      </c>
      <c r="K416" t="s">
        <v>40</v>
      </c>
    </row>
    <row r="417" spans="1:11">
      <c r="A417" s="1">
        <v>38200</v>
      </c>
      <c r="B417" t="s">
        <v>22</v>
      </c>
      <c r="C417" t="s">
        <v>2237</v>
      </c>
      <c r="D417" s="35">
        <v>56.828041181559897</v>
      </c>
      <c r="E417" s="35">
        <v>0.61540906654160665</v>
      </c>
      <c r="F417" s="35">
        <v>4.8188281160425506</v>
      </c>
      <c r="G417" s="35">
        <v>-2.7232588788898948E-2</v>
      </c>
      <c r="H417" s="35">
        <v>0.64264165533050566</v>
      </c>
      <c r="I417" s="35">
        <v>8.0168447238778917</v>
      </c>
      <c r="J417" t="s">
        <v>2375</v>
      </c>
      <c r="K417" t="s">
        <v>40</v>
      </c>
    </row>
    <row r="418" spans="1:11">
      <c r="A418" s="1">
        <v>38231</v>
      </c>
      <c r="B418" t="s">
        <v>22</v>
      </c>
      <c r="C418" t="s">
        <v>2237</v>
      </c>
      <c r="D418" s="35">
        <v>57.2979170496642</v>
      </c>
      <c r="E418" s="35">
        <v>0.82343847163558714</v>
      </c>
      <c r="F418" s="35">
        <v>5.0600807409171722</v>
      </c>
      <c r="G418" s="35">
        <v>0.11528589899523589</v>
      </c>
      <c r="H418" s="35">
        <v>0.70815257264035125</v>
      </c>
      <c r="I418" s="35">
        <v>8.8693451284351355</v>
      </c>
      <c r="J418" t="s">
        <v>2375</v>
      </c>
      <c r="K418" t="s">
        <v>40</v>
      </c>
    </row>
    <row r="419" spans="1:11">
      <c r="A419" s="1">
        <v>38261</v>
      </c>
      <c r="B419" t="s">
        <v>22</v>
      </c>
      <c r="C419" t="s">
        <v>2237</v>
      </c>
      <c r="D419" s="35">
        <v>57.694747165394602</v>
      </c>
      <c r="E419" s="35">
        <v>0.69018609788859175</v>
      </c>
      <c r="F419" s="35">
        <v>5.4012360284306782</v>
      </c>
      <c r="G419" s="35">
        <v>0.17125837170386743</v>
      </c>
      <c r="H419" s="35">
        <v>0.51892772618472427</v>
      </c>
      <c r="I419" s="35">
        <v>6.4251065757556569</v>
      </c>
      <c r="J419" t="s">
        <v>2376</v>
      </c>
      <c r="K419" t="s">
        <v>40</v>
      </c>
    </row>
    <row r="420" spans="1:11">
      <c r="A420" s="1">
        <v>38292</v>
      </c>
      <c r="B420" t="s">
        <v>22</v>
      </c>
      <c r="C420" t="s">
        <v>2237</v>
      </c>
      <c r="D420" s="35">
        <v>58.186899397697402</v>
      </c>
      <c r="E420" s="35">
        <v>0.84941007648910971</v>
      </c>
      <c r="F420" s="35">
        <v>5.4252942612017296</v>
      </c>
      <c r="G420" s="35">
        <v>0.43204811008838456</v>
      </c>
      <c r="H420" s="35">
        <v>0.41736196640072515</v>
      </c>
      <c r="I420" s="35">
        <v>5.1358813857017571</v>
      </c>
      <c r="J420" t="s">
        <v>2376</v>
      </c>
      <c r="K420" t="s">
        <v>40</v>
      </c>
    </row>
    <row r="421" spans="1:11">
      <c r="A421" s="1">
        <v>38322</v>
      </c>
      <c r="B421" t="s">
        <v>22</v>
      </c>
      <c r="C421" t="s">
        <v>2237</v>
      </c>
      <c r="D421" s="35">
        <v>58.3070881533761</v>
      </c>
      <c r="E421" s="35">
        <v>0.20634335015881686</v>
      </c>
      <c r="F421" s="35">
        <v>5.1908482560095948</v>
      </c>
      <c r="G421" s="35">
        <v>9.0732441503875105E-2</v>
      </c>
      <c r="H421" s="35">
        <v>0.11561090865494175</v>
      </c>
      <c r="I421" s="35">
        <v>1.396998996786869</v>
      </c>
      <c r="J421" t="s">
        <v>2376</v>
      </c>
      <c r="K421" t="s">
        <v>40</v>
      </c>
    </row>
    <row r="422" spans="1:11">
      <c r="A422" s="1">
        <v>38353</v>
      </c>
      <c r="B422" t="s">
        <v>22</v>
      </c>
      <c r="C422" t="s">
        <v>2237</v>
      </c>
      <c r="D422" s="35">
        <v>58.309160373301403</v>
      </c>
      <c r="E422" s="35">
        <v>3.5539128581197621E-3</v>
      </c>
      <c r="F422" s="35">
        <v>4.5448212444617164</v>
      </c>
      <c r="G422" s="35">
        <v>0.17355366550716039</v>
      </c>
      <c r="H422" s="35">
        <v>-0.16999975264904063</v>
      </c>
      <c r="I422" s="35">
        <v>-2.0193298674393012</v>
      </c>
      <c r="J422" t="s">
        <v>2377</v>
      </c>
      <c r="K422" t="s">
        <v>40</v>
      </c>
    </row>
    <row r="423" spans="1:11">
      <c r="A423" s="1">
        <v>38384</v>
      </c>
      <c r="B423" t="s">
        <v>22</v>
      </c>
      <c r="C423" t="s">
        <v>2237</v>
      </c>
      <c r="D423" s="35">
        <v>58.503430991315597</v>
      </c>
      <c r="E423" s="35">
        <v>0.33261961720973932</v>
      </c>
      <c r="F423" s="35">
        <v>4.2694243109738794</v>
      </c>
      <c r="G423" s="35">
        <v>-2.3713097848198361E-2</v>
      </c>
      <c r="H423" s="35">
        <v>0.35633271505793768</v>
      </c>
      <c r="I423" s="35">
        <v>4.3687302384510351</v>
      </c>
      <c r="J423" t="s">
        <v>2377</v>
      </c>
      <c r="K423" t="s">
        <v>40</v>
      </c>
    </row>
    <row r="424" spans="1:11">
      <c r="A424" s="1">
        <v>38412</v>
      </c>
      <c r="B424" t="s">
        <v>22</v>
      </c>
      <c r="C424" t="s">
        <v>2237</v>
      </c>
      <c r="D424" s="35">
        <v>58.767120976833802</v>
      </c>
      <c r="E424" s="35">
        <v>0.44971295095295649</v>
      </c>
      <c r="F424" s="35">
        <v>4.3856743227327355</v>
      </c>
      <c r="G424" s="35">
        <v>4.9988579633774066E-2</v>
      </c>
      <c r="H424" s="35">
        <v>0.39972437131918243</v>
      </c>
      <c r="I424" s="35">
        <v>4.9135954115510971</v>
      </c>
      <c r="J424" t="s">
        <v>2377</v>
      </c>
      <c r="K424" t="s">
        <v>40</v>
      </c>
    </row>
    <row r="425" spans="1:11">
      <c r="A425" s="1">
        <v>38443</v>
      </c>
      <c r="B425" t="s">
        <v>22</v>
      </c>
      <c r="C425" t="s">
        <v>2237</v>
      </c>
      <c r="D425" s="35">
        <v>58.976415189308199</v>
      </c>
      <c r="E425" s="35">
        <v>0.35550899815394083</v>
      </c>
      <c r="F425" s="35">
        <v>4.5995810209858101</v>
      </c>
      <c r="G425" s="35">
        <v>-0.20981878280513042</v>
      </c>
      <c r="H425" s="35">
        <v>0.56532778095907121</v>
      </c>
      <c r="I425" s="35">
        <v>7.0193350675443522</v>
      </c>
      <c r="J425" t="s">
        <v>2378</v>
      </c>
      <c r="K425" t="s">
        <v>40</v>
      </c>
    </row>
    <row r="426" spans="1:11">
      <c r="A426" s="1">
        <v>38473</v>
      </c>
      <c r="B426" t="s">
        <v>22</v>
      </c>
      <c r="C426" t="s">
        <v>2237</v>
      </c>
      <c r="D426" s="35">
        <v>58.828251464635798</v>
      </c>
      <c r="E426" s="35">
        <v>-0.25154148303954954</v>
      </c>
      <c r="F426" s="35">
        <v>4.5991728305232904</v>
      </c>
      <c r="G426" s="35">
        <v>-0.60748395632500474</v>
      </c>
      <c r="H426" s="35">
        <v>0.3559424732854552</v>
      </c>
      <c r="I426" s="35">
        <v>4.363842868293677</v>
      </c>
      <c r="J426" t="s">
        <v>2378</v>
      </c>
      <c r="K426" t="s">
        <v>40</v>
      </c>
    </row>
    <row r="427" spans="1:11">
      <c r="A427" s="1">
        <v>38504</v>
      </c>
      <c r="B427" t="s">
        <v>22</v>
      </c>
      <c r="C427" t="s">
        <v>2237</v>
      </c>
      <c r="D427" s="35">
        <v>58.771783471665998</v>
      </c>
      <c r="E427" s="35">
        <v>-9.6033980500432228E-2</v>
      </c>
      <c r="F427" s="35">
        <v>4.3315522775137616</v>
      </c>
      <c r="G427" s="35">
        <v>-0.18319094864445387</v>
      </c>
      <c r="H427" s="35">
        <v>8.7156968144021643E-2</v>
      </c>
      <c r="I427" s="35">
        <v>1.0513720981212948</v>
      </c>
      <c r="J427" t="s">
        <v>2378</v>
      </c>
      <c r="K427" t="s">
        <v>40</v>
      </c>
    </row>
    <row r="428" spans="1:11">
      <c r="A428" s="1">
        <v>38534</v>
      </c>
      <c r="B428" t="s">
        <v>22</v>
      </c>
      <c r="C428" t="s">
        <v>2237</v>
      </c>
      <c r="D428" s="35">
        <v>59.001799883395201</v>
      </c>
      <c r="E428" s="35">
        <v>0.39060831407613633</v>
      </c>
      <c r="F428" s="35">
        <v>4.4660710682252969</v>
      </c>
      <c r="G428" s="35">
        <v>1.857230697938933E-2</v>
      </c>
      <c r="H428" s="35">
        <v>0.372036007096747</v>
      </c>
      <c r="I428" s="35">
        <v>4.5655875767734777</v>
      </c>
      <c r="J428" t="s">
        <v>2379</v>
      </c>
      <c r="K428" t="s">
        <v>40</v>
      </c>
    </row>
    <row r="429" spans="1:11">
      <c r="A429" s="1">
        <v>38565</v>
      </c>
      <c r="B429" t="s">
        <v>22</v>
      </c>
      <c r="C429" t="s">
        <v>2237</v>
      </c>
      <c r="D429" s="35">
        <v>59.072255360861497</v>
      </c>
      <c r="E429" s="35">
        <v>0.11934118072360525</v>
      </c>
      <c r="F429" s="35">
        <v>3.9491316833032419</v>
      </c>
      <c r="G429" s="35">
        <v>-2.7232588788898948E-2</v>
      </c>
      <c r="H429" s="35">
        <v>0.1465737695125042</v>
      </c>
      <c r="I429" s="35">
        <v>1.7744447110642492</v>
      </c>
      <c r="J429" t="s">
        <v>2379</v>
      </c>
      <c r="K429" t="s">
        <v>40</v>
      </c>
    </row>
    <row r="430" spans="1:11">
      <c r="A430" s="1">
        <v>38596</v>
      </c>
      <c r="B430" t="s">
        <v>22</v>
      </c>
      <c r="C430" t="s">
        <v>2237</v>
      </c>
      <c r="D430" s="35">
        <v>59.309006487348199</v>
      </c>
      <c r="E430" s="35">
        <v>0.39998127816682338</v>
      </c>
      <c r="F430" s="35">
        <v>3.5098822806086449</v>
      </c>
      <c r="G430" s="35">
        <v>0.11528589899523589</v>
      </c>
      <c r="H430" s="35">
        <v>0.28469537917158749</v>
      </c>
      <c r="I430" s="35">
        <v>3.4753718746990625</v>
      </c>
      <c r="J430" t="s">
        <v>2379</v>
      </c>
      <c r="K430" t="s">
        <v>40</v>
      </c>
    </row>
    <row r="431" spans="1:11">
      <c r="A431" s="1">
        <v>38626</v>
      </c>
      <c r="B431" t="s">
        <v>22</v>
      </c>
      <c r="C431" t="s">
        <v>2237</v>
      </c>
      <c r="D431" s="35">
        <v>59.454579937113898</v>
      </c>
      <c r="E431" s="35">
        <v>0.24514841131642201</v>
      </c>
      <c r="F431" s="35">
        <v>3.0502478270237443</v>
      </c>
      <c r="G431" s="35">
        <v>0.17125837170386743</v>
      </c>
      <c r="H431" s="35">
        <v>7.3890039612554581E-2</v>
      </c>
      <c r="I431" s="35">
        <v>0.89062313098129398</v>
      </c>
      <c r="J431" t="s">
        <v>2380</v>
      </c>
      <c r="K431" t="s">
        <v>40</v>
      </c>
    </row>
    <row r="432" spans="1:11">
      <c r="A432" s="1">
        <v>38657</v>
      </c>
      <c r="B432" t="s">
        <v>22</v>
      </c>
      <c r="C432" t="s">
        <v>2237</v>
      </c>
      <c r="D432" s="35">
        <v>59.882493351727099</v>
      </c>
      <c r="E432" s="35">
        <v>0.71715391842437948</v>
      </c>
      <c r="F432" s="35">
        <v>2.9140476148086236</v>
      </c>
      <c r="G432" s="35">
        <v>0.43204811008838456</v>
      </c>
      <c r="H432" s="35">
        <v>0.28510580833599491</v>
      </c>
      <c r="I432" s="35">
        <v>3.4804683174515905</v>
      </c>
      <c r="J432" t="s">
        <v>2380</v>
      </c>
      <c r="K432" t="s">
        <v>40</v>
      </c>
    </row>
    <row r="433" spans="1:11">
      <c r="A433" s="1">
        <v>38687</v>
      </c>
      <c r="B433" t="s">
        <v>22</v>
      </c>
      <c r="C433" t="s">
        <v>2237</v>
      </c>
      <c r="D433" s="35">
        <v>60.250312388500703</v>
      </c>
      <c r="E433" s="35">
        <v>0.612355940376207</v>
      </c>
      <c r="F433" s="35">
        <v>3.332741003997608</v>
      </c>
      <c r="G433" s="35">
        <v>9.0732441503875105E-2</v>
      </c>
      <c r="H433" s="35">
        <v>0.52162349887233184</v>
      </c>
      <c r="I433" s="35">
        <v>6.4595398923889658</v>
      </c>
      <c r="J433" t="s">
        <v>2380</v>
      </c>
      <c r="K433" t="s">
        <v>40</v>
      </c>
    </row>
    <row r="434" spans="1:11">
      <c r="A434" s="1">
        <v>38718</v>
      </c>
      <c r="B434" t="s">
        <v>22</v>
      </c>
      <c r="C434" t="s">
        <v>2237</v>
      </c>
      <c r="D434" s="35">
        <v>60.603625885796198</v>
      </c>
      <c r="E434" s="35">
        <v>0.58469671555834768</v>
      </c>
      <c r="F434" s="35">
        <v>3.9350000888460412</v>
      </c>
      <c r="G434" s="35">
        <v>0.17355366550716039</v>
      </c>
      <c r="H434" s="35">
        <v>0.41114305005118729</v>
      </c>
      <c r="I434" s="35">
        <v>5.0574509042971894</v>
      </c>
      <c r="J434" t="s">
        <v>2381</v>
      </c>
      <c r="K434" t="s">
        <v>40</v>
      </c>
    </row>
    <row r="435" spans="1:11">
      <c r="A435" s="1">
        <v>38749</v>
      </c>
      <c r="B435" t="s">
        <v>22</v>
      </c>
      <c r="C435" t="s">
        <v>2237</v>
      </c>
      <c r="D435" s="35">
        <v>60.696357727461802</v>
      </c>
      <c r="E435" s="35">
        <v>0.15289673909028917</v>
      </c>
      <c r="F435" s="35">
        <v>3.748372871450445</v>
      </c>
      <c r="G435" s="35">
        <v>-2.3713097848198361E-2</v>
      </c>
      <c r="H435" s="35">
        <v>0.17660983693848753</v>
      </c>
      <c r="I435" s="35">
        <v>2.1419350811819893</v>
      </c>
      <c r="J435" t="s">
        <v>2381</v>
      </c>
      <c r="K435" t="s">
        <v>40</v>
      </c>
    </row>
    <row r="436" spans="1:11">
      <c r="A436" s="1">
        <v>38777</v>
      </c>
      <c r="B436" t="s">
        <v>22</v>
      </c>
      <c r="C436" t="s">
        <v>2237</v>
      </c>
      <c r="D436" s="35">
        <v>60.772511809723397</v>
      </c>
      <c r="E436" s="35">
        <v>0.12538865724099699</v>
      </c>
      <c r="F436" s="35">
        <v>3.4124367495901753</v>
      </c>
      <c r="G436" s="35">
        <v>4.9988579633774066E-2</v>
      </c>
      <c r="H436" s="35">
        <v>7.5400077607222921E-2</v>
      </c>
      <c r="I436" s="35">
        <v>0.90890662836582425</v>
      </c>
      <c r="J436" t="s">
        <v>2381</v>
      </c>
      <c r="K436" t="s">
        <v>40</v>
      </c>
    </row>
    <row r="437" spans="1:11">
      <c r="A437" s="1">
        <v>38808</v>
      </c>
      <c r="B437" t="s">
        <v>22</v>
      </c>
      <c r="C437" t="s">
        <v>2237</v>
      </c>
      <c r="D437" s="35">
        <v>60.861617266519197</v>
      </c>
      <c r="E437" s="35">
        <v>0.14651393225280726</v>
      </c>
      <c r="F437" s="35">
        <v>3.1965355492694636</v>
      </c>
      <c r="G437" s="35">
        <v>-0.20981878280513042</v>
      </c>
      <c r="H437" s="35">
        <v>0.35633271505793768</v>
      </c>
      <c r="I437" s="35">
        <v>4.3687302384510351</v>
      </c>
      <c r="J437" t="s">
        <v>2382</v>
      </c>
      <c r="K437" t="s">
        <v>40</v>
      </c>
    </row>
    <row r="438" spans="1:11">
      <c r="A438" s="1">
        <v>38838</v>
      </c>
      <c r="B438" t="s">
        <v>22</v>
      </c>
      <c r="C438" t="s">
        <v>2237</v>
      </c>
      <c r="D438" s="35">
        <v>60.590674511261902</v>
      </c>
      <c r="E438" s="35">
        <v>-0.44617223892914881</v>
      </c>
      <c r="F438" s="35">
        <v>2.9958786854060726</v>
      </c>
      <c r="G438" s="35">
        <v>-0.60748395632500474</v>
      </c>
      <c r="H438" s="35">
        <v>0.16131171739585592</v>
      </c>
      <c r="I438" s="35">
        <v>1.9545975445329766</v>
      </c>
      <c r="J438" t="s">
        <v>2382</v>
      </c>
      <c r="K438" t="s">
        <v>40</v>
      </c>
    </row>
    <row r="439" spans="1:11">
      <c r="A439" s="1">
        <v>38869</v>
      </c>
      <c r="B439" t="s">
        <v>22</v>
      </c>
      <c r="C439" t="s">
        <v>2237</v>
      </c>
      <c r="D439" s="35">
        <v>60.6429980643804</v>
      </c>
      <c r="E439" s="35">
        <v>8.6318520681064145E-2</v>
      </c>
      <c r="F439" s="35">
        <v>3.1838655936254234</v>
      </c>
      <c r="G439" s="35">
        <v>-0.18319094864445387</v>
      </c>
      <c r="H439" s="35">
        <v>0.269509469325518</v>
      </c>
      <c r="I439" s="35">
        <v>3.2869794612167658</v>
      </c>
      <c r="J439" t="s">
        <v>2382</v>
      </c>
      <c r="K439" t="s">
        <v>40</v>
      </c>
    </row>
    <row r="440" spans="1:11">
      <c r="A440" s="1">
        <v>38899</v>
      </c>
      <c r="B440" t="s">
        <v>22</v>
      </c>
      <c r="C440" t="s">
        <v>2237</v>
      </c>
      <c r="D440" s="35">
        <v>60.809293713400699</v>
      </c>
      <c r="E440" s="35">
        <v>0.27384539313145773</v>
      </c>
      <c r="F440" s="35">
        <v>3.063455409119098</v>
      </c>
      <c r="G440" s="35">
        <v>1.857230697938933E-2</v>
      </c>
      <c r="H440" s="35">
        <v>0.2552730861520684</v>
      </c>
      <c r="I440" s="35">
        <v>3.1106781357157942</v>
      </c>
      <c r="J440" t="s">
        <v>2383</v>
      </c>
      <c r="K440" t="s">
        <v>40</v>
      </c>
    </row>
    <row r="441" spans="1:11">
      <c r="A441" s="1">
        <v>38930</v>
      </c>
      <c r="B441" t="s">
        <v>22</v>
      </c>
      <c r="C441" t="s">
        <v>2237</v>
      </c>
      <c r="D441" s="35">
        <v>61.119608647242202</v>
      </c>
      <c r="E441" s="35">
        <v>0.50901073959341392</v>
      </c>
      <c r="F441" s="35">
        <v>3.4658458084489974</v>
      </c>
      <c r="G441" s="35">
        <v>-2.7232588788898948E-2</v>
      </c>
      <c r="H441" s="35">
        <v>0.53624332838231292</v>
      </c>
      <c r="I441" s="35">
        <v>6.6464742601103577</v>
      </c>
      <c r="J441" t="s">
        <v>2383</v>
      </c>
      <c r="K441" t="s">
        <v>40</v>
      </c>
    </row>
    <row r="442" spans="1:11">
      <c r="A442" s="1">
        <v>38961</v>
      </c>
      <c r="B442" t="s">
        <v>22</v>
      </c>
      <c r="C442" t="s">
        <v>2237</v>
      </c>
      <c r="D442" s="35">
        <v>61.736612130055903</v>
      </c>
      <c r="E442" s="35">
        <v>1.0044402576592326</v>
      </c>
      <c r="F442" s="35">
        <v>4.0931483875481289</v>
      </c>
      <c r="G442" s="35">
        <v>0.11528589899523589</v>
      </c>
      <c r="H442" s="35">
        <v>0.88915435866399672</v>
      </c>
      <c r="I442" s="35">
        <v>11.259878101454991</v>
      </c>
      <c r="J442" t="s">
        <v>2383</v>
      </c>
      <c r="K442" t="s">
        <v>40</v>
      </c>
    </row>
    <row r="443" spans="1:11">
      <c r="A443" s="1">
        <v>38991</v>
      </c>
      <c r="B443" t="s">
        <v>22</v>
      </c>
      <c r="C443" t="s">
        <v>2237</v>
      </c>
      <c r="D443" s="35">
        <v>62.006518775350798</v>
      </c>
      <c r="E443" s="35">
        <v>0.43623766645353235</v>
      </c>
      <c r="F443" s="35">
        <v>4.292249379166635</v>
      </c>
      <c r="G443" s="35">
        <v>0.17125837170386743</v>
      </c>
      <c r="H443" s="35">
        <v>0.26497929474966492</v>
      </c>
      <c r="I443" s="35">
        <v>3.2308457545240143</v>
      </c>
      <c r="J443" t="s">
        <v>2384</v>
      </c>
      <c r="K443" t="s">
        <v>40</v>
      </c>
    </row>
    <row r="444" spans="1:11">
      <c r="A444" s="1">
        <v>39022</v>
      </c>
      <c r="B444" t="s">
        <v>22</v>
      </c>
      <c r="C444" t="s">
        <v>2237</v>
      </c>
      <c r="D444" s="35">
        <v>62.331857303651802</v>
      </c>
      <c r="E444" s="35">
        <v>0.52331272295274922</v>
      </c>
      <c r="F444" s="35">
        <v>4.0902838456275736</v>
      </c>
      <c r="G444" s="35">
        <v>0.43204811008838456</v>
      </c>
      <c r="H444" s="35">
        <v>9.1264612864364658E-2</v>
      </c>
      <c r="I444" s="35">
        <v>1.1011943524495971</v>
      </c>
      <c r="J444" t="s">
        <v>2384</v>
      </c>
      <c r="K444" t="s">
        <v>40</v>
      </c>
    </row>
    <row r="445" spans="1:11">
      <c r="A445" s="1">
        <v>39052</v>
      </c>
      <c r="B445" t="s">
        <v>22</v>
      </c>
      <c r="C445" t="s">
        <v>2237</v>
      </c>
      <c r="D445" s="35">
        <v>62.692423570686302</v>
      </c>
      <c r="E445" s="35">
        <v>0.57679558588420943</v>
      </c>
      <c r="F445" s="35">
        <v>4.0532755522304953</v>
      </c>
      <c r="G445" s="35">
        <v>9.0732441503875105E-2</v>
      </c>
      <c r="H445" s="35">
        <v>0.48606314438033432</v>
      </c>
      <c r="I445" s="35">
        <v>6.0062191178099855</v>
      </c>
      <c r="J445" t="s">
        <v>2384</v>
      </c>
      <c r="K445" t="s">
        <v>40</v>
      </c>
    </row>
    <row r="446" spans="1:11">
      <c r="A446" s="1">
        <v>39083</v>
      </c>
      <c r="B446" t="s">
        <v>22</v>
      </c>
      <c r="C446" t="s">
        <v>2237</v>
      </c>
      <c r="D446" s="35">
        <v>63.0162079340435</v>
      </c>
      <c r="E446" s="35">
        <v>0.51513579535394194</v>
      </c>
      <c r="F446" s="35">
        <v>3.980920304659108</v>
      </c>
      <c r="G446" s="35">
        <v>0.17355366550716039</v>
      </c>
      <c r="H446" s="35">
        <v>0.34158212984678155</v>
      </c>
      <c r="I446" s="35">
        <v>4.1841536615432329</v>
      </c>
      <c r="J446" t="s">
        <v>2385</v>
      </c>
      <c r="K446" t="s">
        <v>40</v>
      </c>
    </row>
    <row r="447" spans="1:11">
      <c r="A447" s="1">
        <v>39114</v>
      </c>
      <c r="B447" t="s">
        <v>22</v>
      </c>
      <c r="C447" t="s">
        <v>2237</v>
      </c>
      <c r="D447" s="35">
        <v>63.192346627710499</v>
      </c>
      <c r="E447" s="35">
        <v>0.27912340591567442</v>
      </c>
      <c r="F447" s="35">
        <v>4.112254826650652</v>
      </c>
      <c r="G447" s="35">
        <v>-2.3713097848198361E-2</v>
      </c>
      <c r="H447" s="35">
        <v>0.30283650376387278</v>
      </c>
      <c r="I447" s="35">
        <v>3.7008763935865385</v>
      </c>
      <c r="J447" t="s">
        <v>2385</v>
      </c>
      <c r="K447" t="s">
        <v>40</v>
      </c>
    </row>
    <row r="448" spans="1:11">
      <c r="A448" s="1">
        <v>39142</v>
      </c>
      <c r="B448" t="s">
        <v>22</v>
      </c>
      <c r="C448" t="s">
        <v>2237</v>
      </c>
      <c r="D448" s="35">
        <v>63.329113142792501</v>
      </c>
      <c r="E448" s="35">
        <v>0.21619505276175782</v>
      </c>
      <c r="F448" s="35">
        <v>4.2068383499989759</v>
      </c>
      <c r="G448" s="35">
        <v>4.9988579633774066E-2</v>
      </c>
      <c r="H448" s="35">
        <v>0.16620647312798376</v>
      </c>
      <c r="I448" s="35">
        <v>2.0145002774552223</v>
      </c>
      <c r="J448" t="s">
        <v>2385</v>
      </c>
      <c r="K448" t="s">
        <v>40</v>
      </c>
    </row>
    <row r="449" spans="1:11">
      <c r="A449" s="1">
        <v>39173</v>
      </c>
      <c r="B449" t="s">
        <v>22</v>
      </c>
      <c r="C449" t="s">
        <v>2237</v>
      </c>
      <c r="D449" s="35">
        <v>63.291295129152097</v>
      </c>
      <c r="E449" s="35">
        <v>-5.9734469792113512E-2</v>
      </c>
      <c r="F449" s="35">
        <v>3.9921348984091054</v>
      </c>
      <c r="G449" s="35">
        <v>-0.20981878280513042</v>
      </c>
      <c r="H449" s="35">
        <v>0.15008431301301689</v>
      </c>
      <c r="I449" s="35">
        <v>1.8173277768499974</v>
      </c>
      <c r="J449" t="s">
        <v>2386</v>
      </c>
      <c r="K449" t="s">
        <v>40</v>
      </c>
    </row>
    <row r="450" spans="1:11">
      <c r="A450" s="1">
        <v>39203</v>
      </c>
      <c r="B450" t="s">
        <v>22</v>
      </c>
      <c r="C450" t="s">
        <v>2237</v>
      </c>
      <c r="D450" s="35">
        <v>62.982534360254498</v>
      </c>
      <c r="E450" s="35">
        <v>-0.48903464081652198</v>
      </c>
      <c r="F450" s="35">
        <v>3.947570922895105</v>
      </c>
      <c r="G450" s="35">
        <v>-0.60748395632500474</v>
      </c>
      <c r="H450" s="35">
        <v>0.11844931550848276</v>
      </c>
      <c r="I450" s="35">
        <v>1.4315415916348995</v>
      </c>
      <c r="J450" t="s">
        <v>2386</v>
      </c>
      <c r="K450" t="s">
        <v>40</v>
      </c>
    </row>
    <row r="451" spans="1:11">
      <c r="A451" s="1">
        <v>39234</v>
      </c>
      <c r="B451" t="s">
        <v>22</v>
      </c>
      <c r="C451" t="s">
        <v>2237</v>
      </c>
      <c r="D451" s="35">
        <v>63.058170387534602</v>
      </c>
      <c r="E451" s="35">
        <v>0.12001842819042141</v>
      </c>
      <c r="F451" s="35">
        <v>3.9826070613959264</v>
      </c>
      <c r="G451" s="35">
        <v>-0.18319094864445387</v>
      </c>
      <c r="H451" s="35">
        <v>0.30320937683487525</v>
      </c>
      <c r="I451" s="35">
        <v>3.7055165691071368</v>
      </c>
      <c r="J451" t="s">
        <v>2386</v>
      </c>
      <c r="K451" t="s">
        <v>40</v>
      </c>
    </row>
    <row r="452" spans="1:11">
      <c r="A452" s="1">
        <v>39264</v>
      </c>
      <c r="B452" t="s">
        <v>22</v>
      </c>
      <c r="C452" t="s">
        <v>2237</v>
      </c>
      <c r="D452" s="35">
        <v>63.326004812904202</v>
      </c>
      <c r="E452" s="35">
        <v>0.42384234560703299</v>
      </c>
      <c r="F452" s="35">
        <v>4.1386948372809096</v>
      </c>
      <c r="G452" s="35">
        <v>1.857230697938933E-2</v>
      </c>
      <c r="H452" s="35">
        <v>0.40527003862764366</v>
      </c>
      <c r="I452" s="35">
        <v>4.9834365554729532</v>
      </c>
      <c r="J452" t="s">
        <v>2387</v>
      </c>
      <c r="K452" t="s">
        <v>40</v>
      </c>
    </row>
    <row r="453" spans="1:11">
      <c r="A453" s="1">
        <v>39295</v>
      </c>
      <c r="B453" t="s">
        <v>22</v>
      </c>
      <c r="C453" t="s">
        <v>2237</v>
      </c>
      <c r="D453" s="35">
        <v>63.5839961936272</v>
      </c>
      <c r="E453" s="35">
        <v>0.40657431891202978</v>
      </c>
      <c r="F453" s="35">
        <v>4.0320735046071032</v>
      </c>
      <c r="G453" s="35">
        <v>-2.7232588788898948E-2</v>
      </c>
      <c r="H453" s="35">
        <v>0.43380690770092872</v>
      </c>
      <c r="I453" s="35">
        <v>5.3435606424481641</v>
      </c>
      <c r="J453" t="s">
        <v>2387</v>
      </c>
      <c r="K453" t="s">
        <v>40</v>
      </c>
    </row>
    <row r="454" spans="1:11">
      <c r="A454" s="1">
        <v>39326</v>
      </c>
      <c r="B454" t="s">
        <v>22</v>
      </c>
      <c r="C454" t="s">
        <v>2237</v>
      </c>
      <c r="D454" s="35">
        <v>64.077702590874594</v>
      </c>
      <c r="E454" s="35">
        <v>0.77346434093511196</v>
      </c>
      <c r="F454" s="35">
        <v>3.7920617605107454</v>
      </c>
      <c r="G454" s="35">
        <v>0.11528589899523589</v>
      </c>
      <c r="H454" s="35">
        <v>0.65817844193987607</v>
      </c>
      <c r="I454" s="35">
        <v>8.2184207360996844</v>
      </c>
      <c r="J454" t="s">
        <v>2387</v>
      </c>
      <c r="K454" t="s">
        <v>40</v>
      </c>
    </row>
    <row r="455" spans="1:11">
      <c r="A455" s="1">
        <v>39356</v>
      </c>
      <c r="B455" t="s">
        <v>22</v>
      </c>
      <c r="C455" t="s">
        <v>2237</v>
      </c>
      <c r="D455" s="35">
        <v>64.3274050918955</v>
      </c>
      <c r="E455" s="35">
        <v>0.3889297245104949</v>
      </c>
      <c r="F455" s="35">
        <v>3.7429714849066986</v>
      </c>
      <c r="G455" s="35">
        <v>0.17125837170386743</v>
      </c>
      <c r="H455" s="35">
        <v>0.21767135280662747</v>
      </c>
      <c r="I455" s="35">
        <v>2.6464693995913668</v>
      </c>
      <c r="J455" t="s">
        <v>2388</v>
      </c>
      <c r="K455" t="s">
        <v>40</v>
      </c>
    </row>
    <row r="456" spans="1:11">
      <c r="A456" s="1">
        <v>39387</v>
      </c>
      <c r="B456" t="s">
        <v>22</v>
      </c>
      <c r="C456" t="s">
        <v>2237</v>
      </c>
      <c r="D456" s="35">
        <v>64.781221255577293</v>
      </c>
      <c r="E456" s="35">
        <v>0.70300187606229325</v>
      </c>
      <c r="F456" s="35">
        <v>3.9295539357881326</v>
      </c>
      <c r="G456" s="35">
        <v>0.43204811008838456</v>
      </c>
      <c r="H456" s="35">
        <v>0.27095376597390869</v>
      </c>
      <c r="I456" s="35">
        <v>3.304882257179842</v>
      </c>
      <c r="J456" t="s">
        <v>2388</v>
      </c>
      <c r="K456" t="s">
        <v>40</v>
      </c>
    </row>
    <row r="457" spans="1:11">
      <c r="A457" s="1">
        <v>39417</v>
      </c>
      <c r="B457" t="s">
        <v>22</v>
      </c>
      <c r="C457" t="s">
        <v>2237</v>
      </c>
      <c r="D457" s="35">
        <v>65.049055680946097</v>
      </c>
      <c r="E457" s="35">
        <v>0.41259221136885876</v>
      </c>
      <c r="F457" s="35">
        <v>3.7590381357687885</v>
      </c>
      <c r="G457" s="35">
        <v>9.0732441503875105E-2</v>
      </c>
      <c r="H457" s="35">
        <v>0.32185976986498366</v>
      </c>
      <c r="I457" s="35">
        <v>3.937874323134638</v>
      </c>
      <c r="J457" t="s">
        <v>2388</v>
      </c>
      <c r="K457" t="s">
        <v>40</v>
      </c>
    </row>
    <row r="458" spans="1:11">
      <c r="A458" s="1">
        <v>39448</v>
      </c>
      <c r="B458" t="s">
        <v>22</v>
      </c>
      <c r="C458" t="s">
        <v>2237</v>
      </c>
      <c r="D458" s="35">
        <v>65.350563680104003</v>
      </c>
      <c r="E458" s="35">
        <v>0.46243775548447913</v>
      </c>
      <c r="F458" s="35">
        <v>3.7043735613285111</v>
      </c>
      <c r="G458" s="35">
        <v>0.17355366550716039</v>
      </c>
      <c r="H458" s="35">
        <v>0.28888408997731874</v>
      </c>
      <c r="I458" s="35">
        <v>3.5273963575303657</v>
      </c>
      <c r="J458" t="s">
        <v>2389</v>
      </c>
      <c r="K458" t="s">
        <v>40</v>
      </c>
    </row>
    <row r="459" spans="1:11">
      <c r="A459" s="1">
        <v>39479</v>
      </c>
      <c r="B459" t="s">
        <v>22</v>
      </c>
      <c r="C459" t="s">
        <v>2237</v>
      </c>
      <c r="D459" s="35">
        <v>65.5448342981189</v>
      </c>
      <c r="E459" s="35">
        <v>0.29683359943746557</v>
      </c>
      <c r="F459" s="35">
        <v>3.7227414330215813</v>
      </c>
      <c r="G459" s="35">
        <v>-2.3713097848198361E-2</v>
      </c>
      <c r="H459" s="35">
        <v>0.32054669728566393</v>
      </c>
      <c r="I459" s="35">
        <v>3.9214982566191825</v>
      </c>
      <c r="J459" t="s">
        <v>2389</v>
      </c>
      <c r="K459" t="s">
        <v>40</v>
      </c>
    </row>
    <row r="460" spans="1:11">
      <c r="A460" s="1">
        <v>39508</v>
      </c>
      <c r="B460" t="s">
        <v>22</v>
      </c>
      <c r="C460" t="s">
        <v>2237</v>
      </c>
      <c r="D460" s="35">
        <v>66.019890716036102</v>
      </c>
      <c r="E460" s="35">
        <v>0.72216695239504569</v>
      </c>
      <c r="F460" s="35">
        <v>4.2488792905981843</v>
      </c>
      <c r="G460" s="35">
        <v>4.9988579633774066E-2</v>
      </c>
      <c r="H460" s="35">
        <v>0.67217837276127157</v>
      </c>
      <c r="I460" s="35">
        <v>8.4003795864511677</v>
      </c>
      <c r="J460" t="s">
        <v>2389</v>
      </c>
      <c r="K460" t="s">
        <v>40</v>
      </c>
    </row>
    <row r="461" spans="1:11">
      <c r="A461" s="1">
        <v>39539</v>
      </c>
      <c r="B461" t="s">
        <v>22</v>
      </c>
      <c r="C461" t="s">
        <v>2237</v>
      </c>
      <c r="D461" s="35">
        <v>66.170126660633898</v>
      </c>
      <c r="E461" s="35">
        <v>0.22730310845585966</v>
      </c>
      <c r="F461" s="35">
        <v>4.5485426164960874</v>
      </c>
      <c r="G461" s="35">
        <v>-0.20981878280513042</v>
      </c>
      <c r="H461" s="35">
        <v>0.4371218912609901</v>
      </c>
      <c r="I461" s="35">
        <v>5.3854744391108156</v>
      </c>
      <c r="J461" t="s">
        <v>2390</v>
      </c>
      <c r="K461" t="s">
        <v>40</v>
      </c>
    </row>
    <row r="462" spans="1:11">
      <c r="A462" s="1">
        <v>39569</v>
      </c>
      <c r="B462" t="s">
        <v>22</v>
      </c>
      <c r="C462" t="s">
        <v>2237</v>
      </c>
      <c r="D462" s="35">
        <v>66.098635073205301</v>
      </c>
      <c r="E462" s="35">
        <v>-0.10810049697807869</v>
      </c>
      <c r="F462" s="35">
        <v>4.9475632325733043</v>
      </c>
      <c r="G462" s="35">
        <v>-0.60748395632500474</v>
      </c>
      <c r="H462" s="35">
        <v>0.49938345934692607</v>
      </c>
      <c r="I462" s="35">
        <v>6.1757989603664631</v>
      </c>
      <c r="J462" t="s">
        <v>2390</v>
      </c>
      <c r="K462" t="s">
        <v>40</v>
      </c>
    </row>
    <row r="463" spans="1:11">
      <c r="A463" s="1">
        <v>39600</v>
      </c>
      <c r="B463" t="s">
        <v>22</v>
      </c>
      <c r="C463" t="s">
        <v>2237</v>
      </c>
      <c r="D463" s="35">
        <v>66.372168103369305</v>
      </c>
      <c r="E463" s="35">
        <v>0.4129716320176699</v>
      </c>
      <c r="F463" s="35">
        <v>5.2554612597669248</v>
      </c>
      <c r="G463" s="35">
        <v>-0.18319094864445387</v>
      </c>
      <c r="H463" s="35">
        <v>0.5961625806621238</v>
      </c>
      <c r="I463" s="35">
        <v>7.4160589603512905</v>
      </c>
      <c r="J463" t="s">
        <v>2390</v>
      </c>
      <c r="K463" t="s">
        <v>40</v>
      </c>
    </row>
    <row r="464" spans="1:11">
      <c r="A464" s="1">
        <v>39630</v>
      </c>
      <c r="B464" t="s">
        <v>22</v>
      </c>
      <c r="C464" t="s">
        <v>2237</v>
      </c>
      <c r="D464" s="35">
        <v>66.742059360068197</v>
      </c>
      <c r="E464" s="35">
        <v>0.55575157634878258</v>
      </c>
      <c r="F464" s="35">
        <v>5.3943945417947559</v>
      </c>
      <c r="G464" s="35">
        <v>1.857230697938933E-2</v>
      </c>
      <c r="H464" s="35">
        <v>0.53717926936939331</v>
      </c>
      <c r="I464" s="35">
        <v>6.6584527095315815</v>
      </c>
      <c r="J464" t="s">
        <v>2391</v>
      </c>
      <c r="K464" t="s">
        <v>40</v>
      </c>
    </row>
    <row r="465" spans="1:11">
      <c r="A465" s="1">
        <v>39661</v>
      </c>
      <c r="B465" t="s">
        <v>22</v>
      </c>
      <c r="C465" t="s">
        <v>2237</v>
      </c>
      <c r="D465" s="35">
        <v>67.127492266208904</v>
      </c>
      <c r="E465" s="35">
        <v>0.57583515667726404</v>
      </c>
      <c r="F465" s="35">
        <v>5.572937035588299</v>
      </c>
      <c r="G465" s="35">
        <v>-2.7232588788898948E-2</v>
      </c>
      <c r="H465" s="35">
        <v>0.60306774546616304</v>
      </c>
      <c r="I465" s="35">
        <v>7.5051029178150763</v>
      </c>
      <c r="J465" t="s">
        <v>2391</v>
      </c>
      <c r="K465" t="s">
        <v>40</v>
      </c>
    </row>
    <row r="466" spans="1:11">
      <c r="A466" s="1">
        <v>39692</v>
      </c>
      <c r="B466" t="s">
        <v>22</v>
      </c>
      <c r="C466" t="s">
        <v>2237</v>
      </c>
      <c r="D466" s="35">
        <v>67.584934814759706</v>
      </c>
      <c r="E466" s="35">
        <v>0.67914195697406621</v>
      </c>
      <c r="F466" s="35">
        <v>5.4734050723981298</v>
      </c>
      <c r="G466" s="35">
        <v>0.11528589899523589</v>
      </c>
      <c r="H466" s="35">
        <v>0.56385605797883032</v>
      </c>
      <c r="I466" s="35">
        <v>7.0004363986399198</v>
      </c>
      <c r="J466" t="s">
        <v>2391</v>
      </c>
      <c r="K466" t="s">
        <v>40</v>
      </c>
    </row>
    <row r="467" spans="1:11">
      <c r="A467" s="1">
        <v>39722</v>
      </c>
      <c r="B467" t="s">
        <v>22</v>
      </c>
      <c r="C467" t="s">
        <v>2237</v>
      </c>
      <c r="D467" s="35">
        <v>68.045485693199694</v>
      </c>
      <c r="E467" s="35">
        <v>0.67912883676927138</v>
      </c>
      <c r="F467" s="35">
        <v>5.7799325124225032</v>
      </c>
      <c r="G467" s="35">
        <v>0.17125837170386743</v>
      </c>
      <c r="H467" s="35">
        <v>0.50787046506540401</v>
      </c>
      <c r="I467" s="35">
        <v>6.2839877965242819</v>
      </c>
      <c r="J467" t="s">
        <v>2392</v>
      </c>
      <c r="K467" t="s">
        <v>40</v>
      </c>
    </row>
    <row r="468" spans="1:11">
      <c r="A468" s="1">
        <v>39753</v>
      </c>
      <c r="B468" t="s">
        <v>22</v>
      </c>
      <c r="C468" t="s">
        <v>2237</v>
      </c>
      <c r="D468" s="35">
        <v>68.818941780387206</v>
      </c>
      <c r="E468" s="35">
        <v>1.1302634811738526</v>
      </c>
      <c r="F468" s="35">
        <v>6.2328564459755098</v>
      </c>
      <c r="G468" s="35">
        <v>0.43204811008838456</v>
      </c>
      <c r="H468" s="35">
        <v>0.69821537108546794</v>
      </c>
      <c r="I468" s="35">
        <v>8.7395997071110898</v>
      </c>
      <c r="J468" t="s">
        <v>2392</v>
      </c>
      <c r="K468" t="s">
        <v>40</v>
      </c>
    </row>
    <row r="469" spans="1:11">
      <c r="A469" s="1">
        <v>39783</v>
      </c>
      <c r="B469" t="s">
        <v>22</v>
      </c>
      <c r="C469" t="s">
        <v>2237</v>
      </c>
      <c r="D469" s="35">
        <v>69.295552363249001</v>
      </c>
      <c r="E469" s="35">
        <v>0.69017010517315047</v>
      </c>
      <c r="F469" s="35">
        <v>6.5281450097157467</v>
      </c>
      <c r="G469" s="35">
        <v>9.0732441503875105E-2</v>
      </c>
      <c r="H469" s="35">
        <v>0.59943766366927531</v>
      </c>
      <c r="I469" s="35">
        <v>7.4582828381376309</v>
      </c>
      <c r="J469" t="s">
        <v>2392</v>
      </c>
      <c r="K469" t="s">
        <v>40</v>
      </c>
    </row>
    <row r="470" spans="1:11">
      <c r="A470" s="1">
        <v>39814</v>
      </c>
      <c r="B470" t="s">
        <v>22</v>
      </c>
      <c r="C470" t="s">
        <v>2237</v>
      </c>
      <c r="D470" s="35">
        <v>69.4561494074742</v>
      </c>
      <c r="E470" s="35">
        <v>0.23148849908366165</v>
      </c>
      <c r="F470" s="35">
        <v>6.2824029299385353</v>
      </c>
      <c r="G470" s="35">
        <v>0.17355366550716039</v>
      </c>
      <c r="H470" s="35">
        <v>5.7934833576501255E-2</v>
      </c>
      <c r="I470" s="35">
        <v>0.69764025332932356</v>
      </c>
      <c r="J470" t="s">
        <v>2393</v>
      </c>
      <c r="K470" t="s">
        <v>40</v>
      </c>
    </row>
    <row r="471" spans="1:11">
      <c r="A471" s="1">
        <v>39845</v>
      </c>
      <c r="B471" t="s">
        <v>22</v>
      </c>
      <c r="C471" t="s">
        <v>2237</v>
      </c>
      <c r="D471" s="35">
        <v>69.609493681960302</v>
      </c>
      <c r="E471" s="35">
        <v>0.22053518500987751</v>
      </c>
      <c r="F471" s="35">
        <v>6.2013420696954258</v>
      </c>
      <c r="G471" s="35">
        <v>-2.3713097848198361E-2</v>
      </c>
      <c r="H471" s="35">
        <v>0.24424828285807587</v>
      </c>
      <c r="I471" s="35">
        <v>2.9743553382460375</v>
      </c>
      <c r="J471" t="s">
        <v>2393</v>
      </c>
      <c r="K471" t="s">
        <v>40</v>
      </c>
    </row>
    <row r="472" spans="1:11">
      <c r="A472" s="1">
        <v>39873</v>
      </c>
      <c r="B472" t="s">
        <v>22</v>
      </c>
      <c r="C472" t="s">
        <v>2237</v>
      </c>
      <c r="D472" s="35">
        <v>70.009950182560502</v>
      </c>
      <c r="E472" s="35">
        <v>0.57364158980928792</v>
      </c>
      <c r="F472" s="35">
        <v>6.0437232222731119</v>
      </c>
      <c r="G472" s="35">
        <v>4.9988579633774066E-2</v>
      </c>
      <c r="H472" s="35">
        <v>0.52365301017551391</v>
      </c>
      <c r="I472" s="35">
        <v>6.4854703505754507</v>
      </c>
      <c r="J472" t="s">
        <v>2393</v>
      </c>
      <c r="K472" t="s">
        <v>40</v>
      </c>
    </row>
    <row r="473" spans="1:11">
      <c r="A473" s="1">
        <v>39904</v>
      </c>
      <c r="B473" t="s">
        <v>22</v>
      </c>
      <c r="C473" t="s">
        <v>2237</v>
      </c>
      <c r="D473" s="35">
        <v>70.254990188749304</v>
      </c>
      <c r="E473" s="35">
        <v>0.34939629935022282</v>
      </c>
      <c r="F473" s="35">
        <v>6.1732744582240429</v>
      </c>
      <c r="G473" s="35">
        <v>-0.20981878280513042</v>
      </c>
      <c r="H473" s="35">
        <v>0.5592150821553532</v>
      </c>
      <c r="I473" s="35">
        <v>6.9408626163973697</v>
      </c>
      <c r="J473" t="s">
        <v>2394</v>
      </c>
      <c r="K473" t="s">
        <v>40</v>
      </c>
    </row>
    <row r="474" spans="1:11">
      <c r="A474" s="1">
        <v>39934</v>
      </c>
      <c r="B474" t="s">
        <v>22</v>
      </c>
      <c r="C474" t="s">
        <v>2237</v>
      </c>
      <c r="D474" s="35">
        <v>70.050358471107799</v>
      </c>
      <c r="E474" s="35">
        <v>-0.29169502758113114</v>
      </c>
      <c r="F474" s="35">
        <v>5.9785249627710257</v>
      </c>
      <c r="G474" s="35">
        <v>-0.60748395632500474</v>
      </c>
      <c r="H474" s="35">
        <v>0.3157889287438736</v>
      </c>
      <c r="I474" s="35">
        <v>3.8621830584828931</v>
      </c>
      <c r="J474" t="s">
        <v>2394</v>
      </c>
      <c r="K474" t="s">
        <v>40</v>
      </c>
    </row>
    <row r="475" spans="1:11">
      <c r="A475" s="1">
        <v>39965</v>
      </c>
      <c r="B475" t="s">
        <v>22</v>
      </c>
      <c r="C475" t="s">
        <v>2237</v>
      </c>
      <c r="D475" s="35">
        <v>70.179354161469305</v>
      </c>
      <c r="E475" s="35">
        <v>0.18397773813410384</v>
      </c>
      <c r="F475" s="35">
        <v>5.7361182659734888</v>
      </c>
      <c r="G475" s="35">
        <v>-0.18319094864445387</v>
      </c>
      <c r="H475" s="35">
        <v>0.36716868677855774</v>
      </c>
      <c r="I475" s="35">
        <v>4.5045309043726833</v>
      </c>
      <c r="J475" t="s">
        <v>2394</v>
      </c>
      <c r="K475" t="s">
        <v>40</v>
      </c>
    </row>
    <row r="476" spans="1:11">
      <c r="A476" s="1">
        <v>39995</v>
      </c>
      <c r="B476" t="s">
        <v>22</v>
      </c>
      <c r="C476" t="s">
        <v>2237</v>
      </c>
      <c r="D476" s="35">
        <v>70.370516449595101</v>
      </c>
      <c r="E476" s="35">
        <v>0.27202074988837865</v>
      </c>
      <c r="F476" s="35">
        <v>5.436537506209782</v>
      </c>
      <c r="G476" s="35">
        <v>1.857230697938933E-2</v>
      </c>
      <c r="H476" s="35">
        <v>0.25344844290898932</v>
      </c>
      <c r="I476" s="35">
        <v>3.0881037829564306</v>
      </c>
      <c r="J476" t="s">
        <v>2395</v>
      </c>
      <c r="K476" t="s">
        <v>40</v>
      </c>
    </row>
    <row r="477" spans="1:11">
      <c r="A477" s="1">
        <v>40026</v>
      </c>
      <c r="B477" t="s">
        <v>22</v>
      </c>
      <c r="C477" t="s">
        <v>2237</v>
      </c>
      <c r="D477" s="35">
        <v>70.538884318540795</v>
      </c>
      <c r="E477" s="35">
        <v>0.23897333769711893</v>
      </c>
      <c r="F477" s="35">
        <v>5.0819596221519214</v>
      </c>
      <c r="G477" s="35">
        <v>-2.7232588788898948E-2</v>
      </c>
      <c r="H477" s="35">
        <v>0.26620592648601787</v>
      </c>
      <c r="I477" s="35">
        <v>3.2460420206986695</v>
      </c>
      <c r="J477" t="s">
        <v>2395</v>
      </c>
      <c r="K477" t="s">
        <v>40</v>
      </c>
    </row>
    <row r="478" spans="1:11">
      <c r="A478" s="1">
        <v>40057</v>
      </c>
      <c r="B478" t="s">
        <v>22</v>
      </c>
      <c r="C478" t="s">
        <v>2237</v>
      </c>
      <c r="D478" s="35">
        <v>70.892715870817796</v>
      </c>
      <c r="E478" s="35">
        <v>0.5003581802207322</v>
      </c>
      <c r="F478" s="35">
        <v>4.8942579661047647</v>
      </c>
      <c r="G478" s="35">
        <v>0.11528589899523589</v>
      </c>
      <c r="H478" s="35">
        <v>0.3850722812254963</v>
      </c>
      <c r="I478" s="35">
        <v>4.7292930696595237</v>
      </c>
      <c r="J478" t="s">
        <v>2395</v>
      </c>
      <c r="K478" t="s">
        <v>40</v>
      </c>
    </row>
    <row r="479" spans="1:11">
      <c r="A479" s="1">
        <v>40087</v>
      </c>
      <c r="B479" t="s">
        <v>22</v>
      </c>
      <c r="C479" t="s">
        <v>2237</v>
      </c>
      <c r="D479" s="35">
        <v>71.107190633106001</v>
      </c>
      <c r="E479" s="35">
        <v>0.30207755858480645</v>
      </c>
      <c r="F479" s="35">
        <v>4.4994975180437047</v>
      </c>
      <c r="G479" s="35">
        <v>0.17125837170386743</v>
      </c>
      <c r="H479" s="35">
        <v>0.13081918688093902</v>
      </c>
      <c r="I479" s="35">
        <v>1.5822168086634836</v>
      </c>
      <c r="J479" t="s">
        <v>2396</v>
      </c>
      <c r="K479" t="s">
        <v>40</v>
      </c>
    </row>
    <row r="480" spans="1:11">
      <c r="A480" s="1">
        <v>40118</v>
      </c>
      <c r="B480" t="s">
        <v>22</v>
      </c>
      <c r="C480" t="s">
        <v>2237</v>
      </c>
      <c r="D480" s="35">
        <v>71.476045779842494</v>
      </c>
      <c r="E480" s="35">
        <v>0.51739037329756221</v>
      </c>
      <c r="F480" s="35">
        <v>3.8610067674893278</v>
      </c>
      <c r="G480" s="35">
        <v>0.43204811008838456</v>
      </c>
      <c r="H480" s="35">
        <v>8.5342263209177649E-2</v>
      </c>
      <c r="I480" s="35">
        <v>1.02936908311273</v>
      </c>
      <c r="J480" t="s">
        <v>2396</v>
      </c>
      <c r="K480" t="s">
        <v>40</v>
      </c>
    </row>
    <row r="481" spans="1:11">
      <c r="A481" s="1">
        <v>40148</v>
      </c>
      <c r="B481" t="s">
        <v>22</v>
      </c>
      <c r="C481" t="s">
        <v>2237</v>
      </c>
      <c r="D481" s="35">
        <v>71.7718551742052</v>
      </c>
      <c r="E481" s="35">
        <v>0.4130040480406808</v>
      </c>
      <c r="F481" s="35">
        <v>3.5735378772584925</v>
      </c>
      <c r="G481" s="35">
        <v>9.0732441503875105E-2</v>
      </c>
      <c r="H481" s="35">
        <v>0.3222716065368057</v>
      </c>
      <c r="I481" s="35">
        <v>3.9430111014529201</v>
      </c>
      <c r="J481" t="s">
        <v>2396</v>
      </c>
      <c r="K481" t="s">
        <v>40</v>
      </c>
    </row>
    <row r="482" spans="1:11">
      <c r="A482" s="1">
        <v>40179</v>
      </c>
      <c r="B482" t="s">
        <v>22</v>
      </c>
      <c r="C482" t="s">
        <v>2237</v>
      </c>
      <c r="D482" s="35">
        <v>72.552045976150893</v>
      </c>
      <c r="E482" s="35">
        <v>1.0811769855231361</v>
      </c>
      <c r="F482" s="35">
        <v>4.4573397677348581</v>
      </c>
      <c r="G482" s="35">
        <v>0.17355366550716039</v>
      </c>
      <c r="H482" s="35">
        <v>0.90762332001597579</v>
      </c>
      <c r="I482" s="35">
        <v>11.506734077461767</v>
      </c>
      <c r="J482" t="s">
        <v>2397</v>
      </c>
      <c r="K482" t="s">
        <v>40</v>
      </c>
    </row>
    <row r="483" spans="1:11">
      <c r="A483" s="1">
        <v>40210</v>
      </c>
      <c r="B483" t="s">
        <v>22</v>
      </c>
      <c r="C483" t="s">
        <v>2237</v>
      </c>
      <c r="D483" s="35">
        <v>72.971670511062101</v>
      </c>
      <c r="E483" s="35">
        <v>0.57671107924409482</v>
      </c>
      <c r="F483" s="35">
        <v>4.8300549986231678</v>
      </c>
      <c r="G483" s="35">
        <v>-2.3713097848198361E-2</v>
      </c>
      <c r="H483" s="35">
        <v>0.60042417709229312</v>
      </c>
      <c r="I483" s="35">
        <v>7.4710046757507032</v>
      </c>
      <c r="J483" t="s">
        <v>2397</v>
      </c>
      <c r="K483" t="s">
        <v>40</v>
      </c>
    </row>
    <row r="484" spans="1:11">
      <c r="A484" s="1">
        <v>40238</v>
      </c>
      <c r="B484" t="s">
        <v>22</v>
      </c>
      <c r="C484" t="s">
        <v>2237</v>
      </c>
      <c r="D484" s="35">
        <v>73.489725492434204</v>
      </c>
      <c r="E484" s="35">
        <v>0.70743165919886231</v>
      </c>
      <c r="F484" s="35">
        <v>4.9704010655624131</v>
      </c>
      <c r="G484" s="35">
        <v>4.9988579633774066E-2</v>
      </c>
      <c r="H484" s="35">
        <v>0.6574430795650883</v>
      </c>
      <c r="I484" s="35">
        <v>8.2088715868468007</v>
      </c>
      <c r="J484" t="s">
        <v>2397</v>
      </c>
      <c r="K484" t="s">
        <v>40</v>
      </c>
    </row>
    <row r="485" spans="1:11">
      <c r="A485" s="1">
        <v>40269</v>
      </c>
      <c r="B485" t="s">
        <v>22</v>
      </c>
      <c r="C485" t="s">
        <v>2237</v>
      </c>
      <c r="D485" s="35">
        <v>73.255564640853606</v>
      </c>
      <c r="E485" s="35">
        <v>-0.319139442379199</v>
      </c>
      <c r="F485" s="35">
        <v>4.2709769712341528</v>
      </c>
      <c r="G485" s="35">
        <v>-0.20981878280513042</v>
      </c>
      <c r="H485" s="35">
        <v>-0.10932065957406858</v>
      </c>
      <c r="I485" s="35">
        <v>-1.303280694018194</v>
      </c>
      <c r="J485" t="s">
        <v>2398</v>
      </c>
      <c r="K485" t="s">
        <v>40</v>
      </c>
    </row>
    <row r="486" spans="1:11">
      <c r="A486" s="1">
        <v>40299</v>
      </c>
      <c r="B486" t="s">
        <v>22</v>
      </c>
      <c r="C486" t="s">
        <v>2237</v>
      </c>
      <c r="D486" s="35">
        <v>72.793977652452099</v>
      </c>
      <c r="E486" s="35">
        <v>-0.6320985578447077</v>
      </c>
      <c r="F486" s="35">
        <v>3.9166383173840691</v>
      </c>
      <c r="G486" s="35">
        <v>-0.60748395632500474</v>
      </c>
      <c r="H486" s="35">
        <v>-2.4614601519702961E-2</v>
      </c>
      <c r="I486" s="35">
        <v>-0.29493941482937602</v>
      </c>
      <c r="J486" t="s">
        <v>2398</v>
      </c>
      <c r="K486" t="s">
        <v>40</v>
      </c>
    </row>
    <row r="487" spans="1:11">
      <c r="A487" s="1">
        <v>40330</v>
      </c>
      <c r="B487" t="s">
        <v>22</v>
      </c>
      <c r="C487" t="s">
        <v>2237</v>
      </c>
      <c r="D487" s="35">
        <v>72.771183233271202</v>
      </c>
      <c r="E487" s="35">
        <v>-3.13185094956972E-2</v>
      </c>
      <c r="F487" s="35">
        <v>3.6931503613421679</v>
      </c>
      <c r="G487" s="35">
        <v>-0.18319094864445387</v>
      </c>
      <c r="H487" s="35">
        <v>0.15187243914875667</v>
      </c>
      <c r="I487" s="35">
        <v>1.8391775879635253</v>
      </c>
      <c r="J487" t="s">
        <v>2398</v>
      </c>
      <c r="K487" t="s">
        <v>40</v>
      </c>
    </row>
    <row r="488" spans="1:11">
      <c r="A488" s="1">
        <v>40360</v>
      </c>
      <c r="B488" t="s">
        <v>22</v>
      </c>
      <c r="C488" t="s">
        <v>2237</v>
      </c>
      <c r="D488" s="35">
        <v>72.929190002589607</v>
      </c>
      <c r="E488" s="35">
        <v>0.21689282978645821</v>
      </c>
      <c r="F488" s="35">
        <v>3.6360022379929857</v>
      </c>
      <c r="G488" s="35">
        <v>1.857230697938933E-2</v>
      </c>
      <c r="H488" s="35">
        <v>0.19832052280706888</v>
      </c>
      <c r="I488" s="35">
        <v>2.4083906023821156</v>
      </c>
      <c r="J488" t="s">
        <v>2399</v>
      </c>
      <c r="K488" t="s">
        <v>40</v>
      </c>
    </row>
    <row r="489" spans="1:11">
      <c r="A489" s="1">
        <v>40391</v>
      </c>
      <c r="B489" t="s">
        <v>22</v>
      </c>
      <c r="C489" t="s">
        <v>2237</v>
      </c>
      <c r="D489" s="35">
        <v>73.131749500305801</v>
      </c>
      <c r="E489" s="35">
        <v>0.27736317219873302</v>
      </c>
      <c r="F489" s="35">
        <v>3.6757955655438268</v>
      </c>
      <c r="G489" s="35">
        <v>-2.7232588788898948E-2</v>
      </c>
      <c r="H489" s="35">
        <v>0.30459576098763197</v>
      </c>
      <c r="I489" s="35">
        <v>3.7227710865177066</v>
      </c>
      <c r="J489" t="s">
        <v>2399</v>
      </c>
      <c r="K489" t="s">
        <v>40</v>
      </c>
    </row>
    <row r="490" spans="1:11">
      <c r="A490" s="1">
        <v>40422</v>
      </c>
      <c r="B490" t="s">
        <v>22</v>
      </c>
      <c r="C490" t="s">
        <v>2237</v>
      </c>
      <c r="D490" s="35">
        <v>73.515110186521099</v>
      </c>
      <c r="E490" s="35">
        <v>0.52283637075138334</v>
      </c>
      <c r="F490" s="35">
        <v>3.6991026278100136</v>
      </c>
      <c r="G490" s="35">
        <v>0.11528589899523589</v>
      </c>
      <c r="H490" s="35">
        <v>0.40755047175614745</v>
      </c>
      <c r="I490" s="35">
        <v>5.0121694114948712</v>
      </c>
      <c r="J490" t="s">
        <v>2399</v>
      </c>
      <c r="K490" t="s">
        <v>40</v>
      </c>
    </row>
    <row r="491" spans="1:11">
      <c r="A491" s="1">
        <v>40452</v>
      </c>
      <c r="B491" t="s">
        <v>22</v>
      </c>
      <c r="C491" t="s">
        <v>2237</v>
      </c>
      <c r="D491" s="35">
        <v>73.968926350202807</v>
      </c>
      <c r="E491" s="35">
        <v>0.61541249701155432</v>
      </c>
      <c r="F491" s="35">
        <v>4.0245377318625764</v>
      </c>
      <c r="G491" s="35">
        <v>0.17125837170386743</v>
      </c>
      <c r="H491" s="35">
        <v>0.44415412530768689</v>
      </c>
      <c r="I491" s="35">
        <v>5.474443411434704</v>
      </c>
      <c r="J491" t="s">
        <v>2400</v>
      </c>
      <c r="K491" t="s">
        <v>40</v>
      </c>
    </row>
    <row r="492" spans="1:11">
      <c r="A492" s="1">
        <v>40483</v>
      </c>
      <c r="B492" t="s">
        <v>22</v>
      </c>
      <c r="C492" t="s">
        <v>2237</v>
      </c>
      <c r="D492" s="35">
        <v>74.561581248891898</v>
      </c>
      <c r="E492" s="35">
        <v>0.79802870606684295</v>
      </c>
      <c r="F492" s="35">
        <v>4.3168804812640849</v>
      </c>
      <c r="G492" s="35">
        <v>0.43204811008838456</v>
      </c>
      <c r="H492" s="35">
        <v>0.36598059597845839</v>
      </c>
      <c r="I492" s="35">
        <v>4.4896326618174776</v>
      </c>
      <c r="J492" t="s">
        <v>2400</v>
      </c>
      <c r="K492" t="s">
        <v>40</v>
      </c>
    </row>
    <row r="493" spans="1:11">
      <c r="A493" s="1">
        <v>40513</v>
      </c>
      <c r="B493" t="s">
        <v>22</v>
      </c>
      <c r="C493" t="s">
        <v>2237</v>
      </c>
      <c r="D493" s="35">
        <v>74.930954450610002</v>
      </c>
      <c r="E493" s="35">
        <v>0.49417043021913143</v>
      </c>
      <c r="F493" s="35">
        <v>4.4015850903352138</v>
      </c>
      <c r="G493" s="35">
        <v>9.0732441503875105E-2</v>
      </c>
      <c r="H493" s="35">
        <v>0.40343798871525632</v>
      </c>
      <c r="I493" s="35">
        <v>4.9603589048411445</v>
      </c>
      <c r="J493" t="s">
        <v>2400</v>
      </c>
      <c r="K493" t="s">
        <v>40</v>
      </c>
    </row>
    <row r="494" spans="1:11">
      <c r="A494" s="1">
        <v>40544</v>
      </c>
      <c r="B494" t="s">
        <v>22</v>
      </c>
      <c r="C494" t="s">
        <v>2237</v>
      </c>
      <c r="D494" s="35">
        <v>75.295991345633695</v>
      </c>
      <c r="E494" s="35">
        <v>0.485981541508618</v>
      </c>
      <c r="F494" s="35">
        <v>3.782037201796884</v>
      </c>
      <c r="G494" s="35">
        <v>0.17355366550716039</v>
      </c>
      <c r="H494" s="35">
        <v>0.31242787600145761</v>
      </c>
      <c r="I494" s="35">
        <v>3.8203011520641983</v>
      </c>
      <c r="J494" t="s">
        <v>2401</v>
      </c>
      <c r="K494" t="s">
        <v>40</v>
      </c>
    </row>
    <row r="495" spans="1:11">
      <c r="A495" s="1">
        <v>40575</v>
      </c>
      <c r="B495" t="s">
        <v>22</v>
      </c>
      <c r="C495" t="s">
        <v>2237</v>
      </c>
      <c r="D495" s="35">
        <v>75.578460244005001</v>
      </c>
      <c r="E495" s="35">
        <v>0.37444275744539635</v>
      </c>
      <c r="F495" s="35">
        <v>3.572331172749732</v>
      </c>
      <c r="G495" s="35">
        <v>-2.3713097848198361E-2</v>
      </c>
      <c r="H495" s="35">
        <v>0.39815585529359471</v>
      </c>
      <c r="I495" s="35">
        <v>4.8938502311627108</v>
      </c>
      <c r="J495" t="s">
        <v>2401</v>
      </c>
      <c r="K495" t="s">
        <v>40</v>
      </c>
    </row>
    <row r="496" spans="1:11">
      <c r="A496" s="1">
        <v>40603</v>
      </c>
      <c r="B496" t="s">
        <v>22</v>
      </c>
      <c r="C496" t="s">
        <v>2237</v>
      </c>
      <c r="D496" s="35">
        <v>75.723450928541396</v>
      </c>
      <c r="E496" s="35">
        <v>0.1916574983027389</v>
      </c>
      <c r="F496" s="35">
        <v>3.0395071163208387</v>
      </c>
      <c r="G496" s="35">
        <v>4.9988579633774066E-2</v>
      </c>
      <c r="H496" s="35">
        <v>0.14166891866896483</v>
      </c>
      <c r="I496" s="35">
        <v>1.714559719891029</v>
      </c>
      <c r="J496" t="s">
        <v>2401</v>
      </c>
      <c r="K496" t="s">
        <v>40</v>
      </c>
    </row>
    <row r="497" spans="1:11">
      <c r="A497" s="1">
        <v>40634</v>
      </c>
      <c r="B497" t="s">
        <v>22</v>
      </c>
      <c r="C497" t="s">
        <v>2237</v>
      </c>
      <c r="D497" s="35">
        <v>75.717440951980294</v>
      </c>
      <c r="E497" s="35">
        <v>-7.9370591253551462E-3</v>
      </c>
      <c r="F497" s="35">
        <v>3.3606679891096336</v>
      </c>
      <c r="G497" s="35">
        <v>-0.20981878280513042</v>
      </c>
      <c r="H497" s="35">
        <v>0.20188172367977528</v>
      </c>
      <c r="I497" s="35">
        <v>2.4521635767754901</v>
      </c>
      <c r="J497" t="s">
        <v>2402</v>
      </c>
      <c r="K497" t="s">
        <v>40</v>
      </c>
    </row>
    <row r="498" spans="1:11">
      <c r="A498" s="1">
        <v>40664</v>
      </c>
      <c r="B498" t="s">
        <v>22</v>
      </c>
      <c r="C498" t="s">
        <v>2237</v>
      </c>
      <c r="D498" s="35">
        <v>75.159264378868897</v>
      </c>
      <c r="E498" s="35">
        <v>-0.73991424778335546</v>
      </c>
      <c r="F498" s="35">
        <v>3.249289024580615</v>
      </c>
      <c r="G498" s="35">
        <v>-0.60748395632500474</v>
      </c>
      <c r="H498" s="35">
        <v>-0.13243029145835072</v>
      </c>
      <c r="I498" s="35">
        <v>-1.5766029184574148</v>
      </c>
      <c r="J498" t="s">
        <v>2402</v>
      </c>
      <c r="K498" t="s">
        <v>40</v>
      </c>
    </row>
    <row r="499" spans="1:11">
      <c r="A499" s="1">
        <v>40695</v>
      </c>
      <c r="B499" t="s">
        <v>22</v>
      </c>
      <c r="C499" t="s">
        <v>2237</v>
      </c>
      <c r="D499" s="35">
        <v>75.155508143518205</v>
      </c>
      <c r="E499" s="35">
        <v>-4.9978259467701042E-3</v>
      </c>
      <c r="F499" s="35">
        <v>3.2764685199688781</v>
      </c>
      <c r="G499" s="35">
        <v>-0.18319094864445387</v>
      </c>
      <c r="H499" s="35">
        <v>0.17819312269768378</v>
      </c>
      <c r="I499" s="35">
        <v>2.1613433093975898</v>
      </c>
      <c r="J499" t="s">
        <v>2402</v>
      </c>
      <c r="K499" t="s">
        <v>40</v>
      </c>
    </row>
    <row r="500" spans="1:11">
      <c r="A500" s="1">
        <v>40725</v>
      </c>
      <c r="B500" t="s">
        <v>22</v>
      </c>
      <c r="C500" t="s">
        <v>2237</v>
      </c>
      <c r="D500" s="35">
        <v>75.516106737183705</v>
      </c>
      <c r="E500" s="35">
        <v>0.47865589338511916</v>
      </c>
      <c r="F500" s="35">
        <v>3.5471623015451481</v>
      </c>
      <c r="G500" s="35">
        <v>1.857230697938933E-2</v>
      </c>
      <c r="H500" s="35">
        <v>0.46008358640572983</v>
      </c>
      <c r="I500" s="35">
        <v>5.6762543595418657</v>
      </c>
      <c r="J500" t="s">
        <v>2403</v>
      </c>
      <c r="K500" t="s">
        <v>40</v>
      </c>
    </row>
    <row r="501" spans="1:11">
      <c r="A501" s="1">
        <v>40756</v>
      </c>
      <c r="B501" t="s">
        <v>22</v>
      </c>
      <c r="C501" t="s">
        <v>2237</v>
      </c>
      <c r="D501" s="35">
        <v>75.635555021335406</v>
      </c>
      <c r="E501" s="35">
        <v>0.15805093722062194</v>
      </c>
      <c r="F501" s="35">
        <v>3.4236915404562307</v>
      </c>
      <c r="G501" s="35">
        <v>-2.7232588788898948E-2</v>
      </c>
      <c r="H501" s="35">
        <v>0.18528352600952089</v>
      </c>
      <c r="I501" s="35">
        <v>2.2483041146153626</v>
      </c>
      <c r="J501" t="s">
        <v>2403</v>
      </c>
      <c r="K501" t="s">
        <v>40</v>
      </c>
    </row>
    <row r="502" spans="1:11">
      <c r="A502" s="1">
        <v>40787</v>
      </c>
      <c r="B502" t="s">
        <v>22</v>
      </c>
      <c r="C502" t="s">
        <v>2237</v>
      </c>
      <c r="D502" s="35">
        <v>75.821113047659097</v>
      </c>
      <c r="E502" s="35">
        <v>0.24503129711071175</v>
      </c>
      <c r="F502" s="35">
        <v>3.1367739982804288</v>
      </c>
      <c r="G502" s="35">
        <v>0.11528589899523589</v>
      </c>
      <c r="H502" s="35">
        <v>0.12974539811547586</v>
      </c>
      <c r="I502" s="35">
        <v>1.5691283107569287</v>
      </c>
      <c r="J502" t="s">
        <v>2403</v>
      </c>
      <c r="K502" t="s">
        <v>40</v>
      </c>
    </row>
    <row r="503" spans="1:11">
      <c r="A503" s="1">
        <v>40817</v>
      </c>
      <c r="B503" t="s">
        <v>22</v>
      </c>
      <c r="C503" t="s">
        <v>2237</v>
      </c>
      <c r="D503" s="35">
        <v>76.332712302421996</v>
      </c>
      <c r="E503" s="35">
        <v>0.67247889637958835</v>
      </c>
      <c r="F503" s="35">
        <v>3.1956472384470525</v>
      </c>
      <c r="G503" s="35">
        <v>0.17125837170386743</v>
      </c>
      <c r="H503" s="35">
        <v>0.50122052467572087</v>
      </c>
      <c r="I503" s="35">
        <v>6.1992077659652312</v>
      </c>
      <c r="J503" t="s">
        <v>2404</v>
      </c>
      <c r="K503" t="s">
        <v>40</v>
      </c>
    </row>
    <row r="504" spans="1:11">
      <c r="A504" s="1">
        <v>40848</v>
      </c>
      <c r="B504" t="s">
        <v>22</v>
      </c>
      <c r="C504" t="s">
        <v>2237</v>
      </c>
      <c r="D504" s="35">
        <v>77.158332832501898</v>
      </c>
      <c r="E504" s="35">
        <v>1.0758002098140718</v>
      </c>
      <c r="F504" s="35">
        <v>3.4826938218247561</v>
      </c>
      <c r="G504" s="35">
        <v>0.43204811008838456</v>
      </c>
      <c r="H504" s="35">
        <v>0.64375209972568714</v>
      </c>
      <c r="I504" s="35">
        <v>8.031239286895353</v>
      </c>
      <c r="J504" t="s">
        <v>2404</v>
      </c>
      <c r="K504" t="s">
        <v>40</v>
      </c>
    </row>
    <row r="505" spans="1:11">
      <c r="A505" s="1">
        <v>40878</v>
      </c>
      <c r="B505" t="s">
        <v>22</v>
      </c>
      <c r="C505" t="s">
        <v>2237</v>
      </c>
      <c r="D505" s="35">
        <v>77.792385359697093</v>
      </c>
      <c r="E505" s="35">
        <v>0.81839706652533073</v>
      </c>
      <c r="F505" s="35">
        <v>3.8187567875879402</v>
      </c>
      <c r="G505" s="35">
        <v>9.0732441503875105E-2</v>
      </c>
      <c r="H505" s="35">
        <v>0.72766462502145557</v>
      </c>
      <c r="I505" s="35">
        <v>9.1245555163271597</v>
      </c>
      <c r="J505" t="s">
        <v>2404</v>
      </c>
      <c r="K505" t="s">
        <v>40</v>
      </c>
    </row>
    <row r="506" spans="1:11">
      <c r="A506" s="1">
        <v>40909</v>
      </c>
      <c r="B506" t="s">
        <v>22</v>
      </c>
      <c r="C506" t="s">
        <v>2237</v>
      </c>
      <c r="D506" s="35">
        <v>78.343049462107103</v>
      </c>
      <c r="E506" s="35">
        <v>0.70537016304360434</v>
      </c>
      <c r="F506" s="35">
        <v>4.0467733567467024</v>
      </c>
      <c r="G506" s="35">
        <v>0.17355366550716039</v>
      </c>
      <c r="H506" s="35">
        <v>0.53181649753644389</v>
      </c>
      <c r="I506" s="35">
        <v>6.5898365967406169</v>
      </c>
      <c r="J506" t="s">
        <v>2405</v>
      </c>
      <c r="K506" t="s">
        <v>40</v>
      </c>
    </row>
    <row r="507" spans="1:11">
      <c r="A507" s="1">
        <v>40940</v>
      </c>
      <c r="B507" t="s">
        <v>22</v>
      </c>
      <c r="C507" t="s">
        <v>2237</v>
      </c>
      <c r="D507" s="35">
        <v>78.502313840976001</v>
      </c>
      <c r="E507" s="35">
        <v>0.20308465644530682</v>
      </c>
      <c r="F507" s="35">
        <v>3.8686334539382639</v>
      </c>
      <c r="G507" s="35">
        <v>-2.3713097848198361E-2</v>
      </c>
      <c r="H507" s="35">
        <v>0.22679775429350518</v>
      </c>
      <c r="I507" s="35">
        <v>2.7589461257291559</v>
      </c>
      <c r="J507" t="s">
        <v>2405</v>
      </c>
      <c r="K507" t="s">
        <v>40</v>
      </c>
    </row>
    <row r="508" spans="1:11">
      <c r="A508" s="1">
        <v>40969</v>
      </c>
      <c r="B508" t="s">
        <v>22</v>
      </c>
      <c r="C508" t="s">
        <v>2237</v>
      </c>
      <c r="D508" s="35">
        <v>78.547388665184201</v>
      </c>
      <c r="E508" s="35">
        <v>5.7401987684884713E-2</v>
      </c>
      <c r="F508" s="35">
        <v>3.7292776570730934</v>
      </c>
      <c r="G508" s="35">
        <v>4.9988579633774066E-2</v>
      </c>
      <c r="H508" s="35">
        <v>7.4134080511106468E-3</v>
      </c>
      <c r="I508" s="35">
        <v>8.9000478555578688E-2</v>
      </c>
      <c r="J508" t="s">
        <v>2405</v>
      </c>
      <c r="K508" t="s">
        <v>40</v>
      </c>
    </row>
    <row r="509" spans="1:11">
      <c r="A509" s="1">
        <v>41000</v>
      </c>
      <c r="B509" t="s">
        <v>22</v>
      </c>
      <c r="C509" t="s">
        <v>2237</v>
      </c>
      <c r="D509" s="35">
        <v>78.300979626179497</v>
      </c>
      <c r="E509" s="35">
        <v>-0.31420058035102738</v>
      </c>
      <c r="F509" s="35">
        <v>3.4120786990644358</v>
      </c>
      <c r="G509" s="35">
        <v>-0.20981878280513042</v>
      </c>
      <c r="H509" s="35">
        <v>-0.10438179754589696</v>
      </c>
      <c r="I509" s="35">
        <v>-1.2447694194698933</v>
      </c>
      <c r="J509" t="s">
        <v>2406</v>
      </c>
      <c r="K509" t="s">
        <v>40</v>
      </c>
    </row>
    <row r="510" spans="1:11">
      <c r="A510" s="1">
        <v>41030</v>
      </c>
      <c r="B510" t="s">
        <v>22</v>
      </c>
      <c r="C510" t="s">
        <v>2237</v>
      </c>
      <c r="D510" s="35">
        <v>78.053819340104596</v>
      </c>
      <c r="E510" s="35">
        <v>-0.31615338138509241</v>
      </c>
      <c r="F510" s="35">
        <v>3.8512284349200065</v>
      </c>
      <c r="G510" s="35">
        <v>-0.60748395632500474</v>
      </c>
      <c r="H510" s="35">
        <v>0.29133057493991232</v>
      </c>
      <c r="I510" s="35">
        <v>3.5577942055933454</v>
      </c>
      <c r="J510" t="s">
        <v>2406</v>
      </c>
      <c r="K510" t="s">
        <v>40</v>
      </c>
    </row>
    <row r="511" spans="1:11">
      <c r="A511" s="1">
        <v>41061</v>
      </c>
      <c r="B511" t="s">
        <v>22</v>
      </c>
      <c r="C511" t="s">
        <v>2237</v>
      </c>
      <c r="D511" s="35">
        <v>78.413666686699898</v>
      </c>
      <c r="E511" s="35">
        <v>0.45996518531422675</v>
      </c>
      <c r="F511" s="35">
        <v>4.3352225587509396</v>
      </c>
      <c r="G511" s="35">
        <v>-0.18319094864445387</v>
      </c>
      <c r="H511" s="35">
        <v>0.64315613395868065</v>
      </c>
      <c r="I511" s="35">
        <v>8.0235136127070117</v>
      </c>
      <c r="J511" t="s">
        <v>2406</v>
      </c>
      <c r="K511" t="s">
        <v>40</v>
      </c>
    </row>
    <row r="512" spans="1:11">
      <c r="A512" s="1">
        <v>41091</v>
      </c>
      <c r="B512" t="s">
        <v>22</v>
      </c>
      <c r="C512" t="s">
        <v>2237</v>
      </c>
      <c r="D512" s="35">
        <v>78.853897469799904</v>
      </c>
      <c r="E512" s="35">
        <v>0.55985089527874665</v>
      </c>
      <c r="F512" s="35">
        <v>4.4199719461605724</v>
      </c>
      <c r="G512" s="35">
        <v>1.857230697938933E-2</v>
      </c>
      <c r="H512" s="35">
        <v>0.54127858829935738</v>
      </c>
      <c r="I512" s="35">
        <v>6.7109328581532512</v>
      </c>
      <c r="J512" t="s">
        <v>2407</v>
      </c>
      <c r="K512" t="s">
        <v>40</v>
      </c>
    </row>
    <row r="513" spans="1:11">
      <c r="A513" s="1">
        <v>41122</v>
      </c>
      <c r="B513" t="s">
        <v>22</v>
      </c>
      <c r="C513" t="s">
        <v>2237</v>
      </c>
      <c r="D513" s="35">
        <v>79.090540296892797</v>
      </c>
      <c r="E513" s="35">
        <v>0.29965348259338237</v>
      </c>
      <c r="F513" s="35">
        <v>4.5679380214540766</v>
      </c>
      <c r="G513" s="35">
        <v>-2.7232588788898948E-2</v>
      </c>
      <c r="H513" s="35">
        <v>0.32688607138228132</v>
      </c>
      <c r="I513" s="35">
        <v>4.0005840045493235</v>
      </c>
      <c r="J513" t="s">
        <v>2407</v>
      </c>
      <c r="K513" t="s">
        <v>40</v>
      </c>
    </row>
    <row r="514" spans="1:11">
      <c r="A514" s="1">
        <v>41153</v>
      </c>
      <c r="B514" t="s">
        <v>22</v>
      </c>
      <c r="C514" t="s">
        <v>2237</v>
      </c>
      <c r="D514" s="35">
        <v>79.439118937436106</v>
      </c>
      <c r="E514" s="35">
        <v>0.43976528303965851</v>
      </c>
      <c r="F514" s="35">
        <v>4.7717657316674211</v>
      </c>
      <c r="G514" s="35">
        <v>0.11528589899523589</v>
      </c>
      <c r="H514" s="35">
        <v>0.32447938404442261</v>
      </c>
      <c r="I514" s="35">
        <v>3.9705527146751241</v>
      </c>
      <c r="J514" t="s">
        <v>2407</v>
      </c>
      <c r="K514" t="s">
        <v>40</v>
      </c>
    </row>
    <row r="515" spans="1:11">
      <c r="A515" s="1">
        <v>41183</v>
      </c>
      <c r="B515" t="s">
        <v>22</v>
      </c>
      <c r="C515" t="s">
        <v>2237</v>
      </c>
      <c r="D515" s="35">
        <v>79.841036119959099</v>
      </c>
      <c r="E515" s="35">
        <v>0.50466806164652445</v>
      </c>
      <c r="F515" s="35">
        <v>4.5960947956853682</v>
      </c>
      <c r="G515" s="35">
        <v>0.17125837170386743</v>
      </c>
      <c r="H515" s="35">
        <v>0.33340968994265702</v>
      </c>
      <c r="I515" s="35">
        <v>4.0820310969879703</v>
      </c>
      <c r="J515" t="s">
        <v>2408</v>
      </c>
      <c r="K515" t="s">
        <v>40</v>
      </c>
    </row>
    <row r="516" spans="1:11">
      <c r="A516" s="1">
        <v>41214</v>
      </c>
      <c r="B516" t="s">
        <v>22</v>
      </c>
      <c r="C516" t="s">
        <v>2237</v>
      </c>
      <c r="D516" s="35">
        <v>80.383436504597597</v>
      </c>
      <c r="E516" s="35">
        <v>0.6770531963391353</v>
      </c>
      <c r="F516" s="35">
        <v>4.1798514220063199</v>
      </c>
      <c r="G516" s="35">
        <v>0.43204811008838456</v>
      </c>
      <c r="H516" s="35">
        <v>0.24500508625075074</v>
      </c>
      <c r="I516" s="35">
        <v>2.9837075238829946</v>
      </c>
      <c r="J516" t="s">
        <v>2408</v>
      </c>
      <c r="K516" t="s">
        <v>40</v>
      </c>
    </row>
    <row r="517" spans="1:11">
      <c r="A517" s="1">
        <v>41244</v>
      </c>
      <c r="B517" t="s">
        <v>22</v>
      </c>
      <c r="C517" t="s">
        <v>2237</v>
      </c>
      <c r="D517" s="35">
        <v>80.568243283851203</v>
      </c>
      <c r="E517" s="35">
        <v>0.22964266134101424</v>
      </c>
      <c r="F517" s="35">
        <v>3.5682900213421576</v>
      </c>
      <c r="G517" s="35">
        <v>9.0732441503875105E-2</v>
      </c>
      <c r="H517" s="35">
        <v>0.13891021983713914</v>
      </c>
      <c r="I517" s="35">
        <v>1.6808933122777869</v>
      </c>
      <c r="J517" t="s">
        <v>2408</v>
      </c>
      <c r="K517" t="s">
        <v>40</v>
      </c>
    </row>
    <row r="518" spans="1:11">
      <c r="A518" s="1">
        <v>41275</v>
      </c>
      <c r="B518" t="s">
        <v>22</v>
      </c>
      <c r="C518" t="s">
        <v>2237</v>
      </c>
      <c r="D518" s="35">
        <v>80.8927820181501</v>
      </c>
      <c r="E518" s="35">
        <v>0.40200310973479192</v>
      </c>
      <c r="F518" s="35">
        <v>3.2545740477925245</v>
      </c>
      <c r="G518" s="35">
        <v>0.17355366550716039</v>
      </c>
      <c r="H518" s="35">
        <v>0.22844944422763153</v>
      </c>
      <c r="I518" s="35">
        <v>2.7793152543064137</v>
      </c>
      <c r="J518" t="s">
        <v>2409</v>
      </c>
      <c r="K518" t="s">
        <v>40</v>
      </c>
    </row>
    <row r="519" spans="1:11">
      <c r="A519" s="1">
        <v>41306</v>
      </c>
      <c r="B519" t="s">
        <v>22</v>
      </c>
      <c r="C519" t="s">
        <v>2237</v>
      </c>
      <c r="D519" s="35">
        <v>81.290942965322401</v>
      </c>
      <c r="E519" s="35">
        <v>0.49100086599198267</v>
      </c>
      <c r="F519" s="35">
        <v>3.5522890828356912</v>
      </c>
      <c r="G519" s="35">
        <v>-2.3713097848198361E-2</v>
      </c>
      <c r="H519" s="35">
        <v>0.51471396384018098</v>
      </c>
      <c r="I519" s="35">
        <v>6.3713061662380222</v>
      </c>
      <c r="J519" t="s">
        <v>2409</v>
      </c>
      <c r="K519" t="s">
        <v>40</v>
      </c>
    </row>
    <row r="520" spans="1:11">
      <c r="A520" s="1">
        <v>41334</v>
      </c>
      <c r="B520" t="s">
        <v>22</v>
      </c>
      <c r="C520" t="s">
        <v>2237</v>
      </c>
      <c r="D520" s="35">
        <v>81.887433139010795</v>
      </c>
      <c r="E520" s="35">
        <v>0.73109298520797716</v>
      </c>
      <c r="F520" s="35">
        <v>4.2522667278779291</v>
      </c>
      <c r="G520" s="35">
        <v>4.9988579633774066E-2</v>
      </c>
      <c r="H520" s="35">
        <v>0.68110440557420304</v>
      </c>
      <c r="I520" s="35">
        <v>8.5165520343036825</v>
      </c>
      <c r="J520" t="s">
        <v>2409</v>
      </c>
      <c r="K520" t="s">
        <v>40</v>
      </c>
    </row>
    <row r="521" spans="1:11">
      <c r="A521" s="1">
        <v>41365</v>
      </c>
      <c r="B521" t="s">
        <v>22</v>
      </c>
      <c r="C521" t="s">
        <v>2237</v>
      </c>
      <c r="D521" s="35">
        <v>81.941522928060607</v>
      </c>
      <c r="E521" s="35">
        <v>6.603202793165569E-2</v>
      </c>
      <c r="F521" s="35">
        <v>4.6494224200790413</v>
      </c>
      <c r="G521" s="35">
        <v>-0.20981878280513042</v>
      </c>
      <c r="H521" s="35">
        <v>0.27585081073678608</v>
      </c>
      <c r="I521" s="35">
        <v>3.3656067335775752</v>
      </c>
      <c r="J521" t="s">
        <v>2410</v>
      </c>
      <c r="K521" t="s">
        <v>40</v>
      </c>
    </row>
    <row r="522" spans="1:11">
      <c r="A522" s="1">
        <v>41395</v>
      </c>
      <c r="B522" t="s">
        <v>22</v>
      </c>
      <c r="C522" t="s">
        <v>2237</v>
      </c>
      <c r="D522" s="35">
        <v>81.668820241601097</v>
      </c>
      <c r="E522" s="35">
        <v>-0.33335660046188575</v>
      </c>
      <c r="F522" s="35">
        <v>4.6314208991424577</v>
      </c>
      <c r="G522" s="35">
        <v>-0.60748395632500474</v>
      </c>
      <c r="H522" s="35">
        <v>0.27412735586311898</v>
      </c>
      <c r="I522" s="35">
        <v>3.344231428972777</v>
      </c>
      <c r="J522" t="s">
        <v>2410</v>
      </c>
      <c r="K522" t="s">
        <v>40</v>
      </c>
    </row>
    <row r="523" spans="1:11">
      <c r="A523" s="1">
        <v>41426</v>
      </c>
      <c r="B523" t="s">
        <v>22</v>
      </c>
      <c r="C523" t="s">
        <v>2237</v>
      </c>
      <c r="D523" s="35">
        <v>81.619237934972006</v>
      </c>
      <c r="E523" s="35">
        <v>-6.0729864396268152E-2</v>
      </c>
      <c r="F523" s="35">
        <v>4.0880262124202149</v>
      </c>
      <c r="G523" s="35">
        <v>-0.18319094864445387</v>
      </c>
      <c r="H523" s="35">
        <v>0.12246108424818572</v>
      </c>
      <c r="I523" s="35">
        <v>1.4803837338276171</v>
      </c>
      <c r="J523" t="s">
        <v>2410</v>
      </c>
      <c r="K523" t="s">
        <v>40</v>
      </c>
    </row>
    <row r="524" spans="1:11">
      <c r="A524" s="1">
        <v>41456</v>
      </c>
      <c r="B524" t="s">
        <v>22</v>
      </c>
      <c r="C524" t="s">
        <v>2237</v>
      </c>
      <c r="D524" s="35">
        <v>81.5921930404471</v>
      </c>
      <c r="E524" s="35">
        <v>-3.3140932115851673E-2</v>
      </c>
      <c r="F524" s="35">
        <v>3.4726191837200382</v>
      </c>
      <c r="G524" s="35">
        <v>1.857230697938933E-2</v>
      </c>
      <c r="H524" s="35">
        <v>-5.1713239095241004E-2</v>
      </c>
      <c r="I524" s="35">
        <v>-0.61863737930564211</v>
      </c>
      <c r="J524" t="s">
        <v>2411</v>
      </c>
      <c r="K524" t="s">
        <v>40</v>
      </c>
    </row>
    <row r="525" spans="1:11">
      <c r="A525" s="1">
        <v>41487</v>
      </c>
      <c r="B525" t="s">
        <v>22</v>
      </c>
      <c r="C525" t="s">
        <v>2237</v>
      </c>
      <c r="D525" s="35">
        <v>81.824328385119301</v>
      </c>
      <c r="E525" s="35">
        <v>0.28410285421092246</v>
      </c>
      <c r="F525" s="35">
        <v>3.4565297922663163</v>
      </c>
      <c r="G525" s="35">
        <v>-2.7232588788898948E-2</v>
      </c>
      <c r="H525" s="35">
        <v>0.31133544299982141</v>
      </c>
      <c r="I525" s="35">
        <v>3.8066920373202473</v>
      </c>
      <c r="J525" t="s">
        <v>2411</v>
      </c>
      <c r="K525" t="s">
        <v>40</v>
      </c>
    </row>
    <row r="526" spans="1:11">
      <c r="A526" s="1">
        <v>41518</v>
      </c>
      <c r="B526" t="s">
        <v>22</v>
      </c>
      <c r="C526" t="s">
        <v>2237</v>
      </c>
      <c r="D526" s="35">
        <v>82.132339683875202</v>
      </c>
      <c r="E526" s="35">
        <v>0.37572325020729447</v>
      </c>
      <c r="F526" s="35">
        <v>3.3902953386985457</v>
      </c>
      <c r="G526" s="35">
        <v>0.11528589899523589</v>
      </c>
      <c r="H526" s="35">
        <v>0.26043735121205858</v>
      </c>
      <c r="I526" s="35">
        <v>3.1745968439482297</v>
      </c>
      <c r="J526" t="s">
        <v>2411</v>
      </c>
      <c r="K526" t="s">
        <v>40</v>
      </c>
    </row>
    <row r="527" spans="1:11">
      <c r="A527" s="1">
        <v>41548</v>
      </c>
      <c r="B527" t="s">
        <v>22</v>
      </c>
      <c r="C527" t="s">
        <v>2237</v>
      </c>
      <c r="D527" s="35">
        <v>82.522988160346202</v>
      </c>
      <c r="E527" s="35">
        <v>0.47450539810288239</v>
      </c>
      <c r="F527" s="35">
        <v>3.3591147744595151</v>
      </c>
      <c r="G527" s="35">
        <v>0.17125837170386743</v>
      </c>
      <c r="H527" s="35">
        <v>0.30324702639901496</v>
      </c>
      <c r="I527" s="35">
        <v>3.7059851062652749</v>
      </c>
      <c r="J527" t="s">
        <v>2412</v>
      </c>
      <c r="K527" t="s">
        <v>40</v>
      </c>
    </row>
    <row r="528" spans="1:11">
      <c r="A528" s="1">
        <v>41579</v>
      </c>
      <c r="B528" t="s">
        <v>22</v>
      </c>
      <c r="C528" t="s">
        <v>2237</v>
      </c>
      <c r="D528" s="35">
        <v>83.292265160165897</v>
      </c>
      <c r="E528" s="35">
        <v>0.92787907470507325</v>
      </c>
      <c r="F528" s="35">
        <v>3.6186915887851168</v>
      </c>
      <c r="G528" s="35">
        <v>0.43204811008838456</v>
      </c>
      <c r="H528" s="35">
        <v>0.49583096461668869</v>
      </c>
      <c r="I528" s="35">
        <v>6.1305459307664734</v>
      </c>
      <c r="J528" t="s">
        <v>2412</v>
      </c>
      <c r="K528" t="s">
        <v>40</v>
      </c>
    </row>
    <row r="529" spans="1:11">
      <c r="A529" s="1">
        <v>41609</v>
      </c>
      <c r="B529" t="s">
        <v>22</v>
      </c>
      <c r="C529" t="s">
        <v>2237</v>
      </c>
      <c r="D529" s="35">
        <v>83.770058296772604</v>
      </c>
      <c r="E529" s="35">
        <v>0.57199544387674972</v>
      </c>
      <c r="F529" s="35">
        <v>3.9740409898736839</v>
      </c>
      <c r="G529" s="35">
        <v>9.0732441503875105E-2</v>
      </c>
      <c r="H529" s="35">
        <v>0.48126300237287462</v>
      </c>
      <c r="I529" s="35">
        <v>5.9451753119812878</v>
      </c>
      <c r="J529" t="s">
        <v>2412</v>
      </c>
      <c r="K529" t="s">
        <v>40</v>
      </c>
    </row>
    <row r="530" spans="1:11">
      <c r="A530" s="1">
        <v>41640</v>
      </c>
      <c r="B530" t="s">
        <v>22</v>
      </c>
      <c r="C530" t="s">
        <v>2237</v>
      </c>
      <c r="D530" s="35">
        <v>84.519051625698694</v>
      </c>
      <c r="E530" s="35">
        <v>0.8901327896025647</v>
      </c>
      <c r="F530" s="35">
        <v>4.482809859024206</v>
      </c>
      <c r="G530" s="35">
        <v>0.17355366550716039</v>
      </c>
      <c r="H530" s="35">
        <v>0.71657912409540425</v>
      </c>
      <c r="I530" s="35">
        <v>8.9794879831483598</v>
      </c>
      <c r="J530" t="s">
        <v>2413</v>
      </c>
      <c r="K530" t="s">
        <v>40</v>
      </c>
    </row>
    <row r="531" spans="1:11">
      <c r="A531" s="1">
        <v>41671</v>
      </c>
      <c r="B531" t="s">
        <v>22</v>
      </c>
      <c r="C531" t="s">
        <v>2237</v>
      </c>
      <c r="D531" s="35">
        <v>84.733157040687601</v>
      </c>
      <c r="E531" s="35">
        <v>0.25300175505315192</v>
      </c>
      <c r="F531" s="35">
        <v>4.2344373798611334</v>
      </c>
      <c r="G531" s="35">
        <v>-2.3713097848198361E-2</v>
      </c>
      <c r="H531" s="35">
        <v>0.27671485290135028</v>
      </c>
      <c r="I531" s="35">
        <v>3.3763247583275202</v>
      </c>
      <c r="J531" t="s">
        <v>2413</v>
      </c>
      <c r="K531" t="s">
        <v>40</v>
      </c>
    </row>
    <row r="532" spans="1:11">
      <c r="A532" s="1">
        <v>41699</v>
      </c>
      <c r="B532" t="s">
        <v>22</v>
      </c>
      <c r="C532" t="s">
        <v>2237</v>
      </c>
      <c r="D532" s="35">
        <v>84.965292385359703</v>
      </c>
      <c r="E532" s="35">
        <v>0.27358586981807481</v>
      </c>
      <c r="F532" s="35">
        <v>3.7586466303370258</v>
      </c>
      <c r="G532" s="35">
        <v>4.9988579633774066E-2</v>
      </c>
      <c r="H532" s="35">
        <v>0.22359729018430075</v>
      </c>
      <c r="I532" s="35">
        <v>2.719488544891413</v>
      </c>
      <c r="J532" t="s">
        <v>2413</v>
      </c>
      <c r="K532" t="s">
        <v>40</v>
      </c>
    </row>
    <row r="533" spans="1:11">
      <c r="A533" s="1">
        <v>41730</v>
      </c>
      <c r="B533" t="s">
        <v>22</v>
      </c>
      <c r="C533" t="s">
        <v>2237</v>
      </c>
      <c r="D533" s="35">
        <v>84.806779253560904</v>
      </c>
      <c r="E533" s="35">
        <v>-0.18673645945473383</v>
      </c>
      <c r="F533" s="35">
        <v>3.4967086565083738</v>
      </c>
      <c r="G533" s="35">
        <v>-0.20981878280513042</v>
      </c>
      <c r="H533" s="35">
        <v>2.3082323350396589E-2</v>
      </c>
      <c r="I533" s="35">
        <v>0.27737184606477783</v>
      </c>
      <c r="J533" t="s">
        <v>2414</v>
      </c>
      <c r="K533" t="s">
        <v>40</v>
      </c>
    </row>
    <row r="534" spans="1:11">
      <c r="A534" s="1">
        <v>41760</v>
      </c>
      <c r="B534" t="s">
        <v>22</v>
      </c>
      <c r="C534" t="s">
        <v>2237</v>
      </c>
      <c r="D534" s="35">
        <v>84.535579061241705</v>
      </c>
      <c r="E534" s="35">
        <v>-0.3202983906376986</v>
      </c>
      <c r="F534" s="35">
        <v>3.5102243563208901</v>
      </c>
      <c r="G534" s="35">
        <v>-0.60748395632500474</v>
      </c>
      <c r="H534" s="35">
        <v>0.28718556568730613</v>
      </c>
      <c r="I534" s="35">
        <v>3.506297252156565</v>
      </c>
      <c r="J534" t="s">
        <v>2414</v>
      </c>
      <c r="K534" t="s">
        <v>40</v>
      </c>
    </row>
    <row r="535" spans="1:11">
      <c r="A535" s="1">
        <v>41791</v>
      </c>
      <c r="B535" t="s">
        <v>22</v>
      </c>
      <c r="C535" t="s">
        <v>2237</v>
      </c>
      <c r="D535" s="35">
        <v>84.682072239918298</v>
      </c>
      <c r="E535" s="35">
        <v>0.17314176641348381</v>
      </c>
      <c r="F535" s="35">
        <v>3.7525887063372565</v>
      </c>
      <c r="G535" s="35">
        <v>-0.18319094864445387</v>
      </c>
      <c r="H535" s="35">
        <v>0.35633271505793768</v>
      </c>
      <c r="I535" s="35">
        <v>4.3687302384510351</v>
      </c>
      <c r="J535" t="s">
        <v>2414</v>
      </c>
      <c r="K535" t="s">
        <v>40</v>
      </c>
    </row>
    <row r="536" spans="1:11">
      <c r="A536" s="1">
        <v>41821</v>
      </c>
      <c r="B536" t="s">
        <v>22</v>
      </c>
      <c r="C536" t="s">
        <v>2237</v>
      </c>
      <c r="D536" s="35">
        <v>84.914958831660599</v>
      </c>
      <c r="E536" s="35">
        <v>0.27463539502898071</v>
      </c>
      <c r="F536" s="35">
        <v>4.0724065224798212</v>
      </c>
      <c r="G536" s="35">
        <v>1.857230697938933E-2</v>
      </c>
      <c r="H536" s="35">
        <v>0.25606308804959138</v>
      </c>
      <c r="I536" s="35">
        <v>3.120453514828414</v>
      </c>
      <c r="J536" t="s">
        <v>2415</v>
      </c>
      <c r="K536" t="s">
        <v>40</v>
      </c>
    </row>
    <row r="537" spans="1:11">
      <c r="A537" s="1">
        <v>41852</v>
      </c>
      <c r="B537" t="s">
        <v>22</v>
      </c>
      <c r="C537" t="s">
        <v>2237</v>
      </c>
      <c r="D537" s="35">
        <v>85.219965142135905</v>
      </c>
      <c r="E537" s="35">
        <v>0.35854676994469509</v>
      </c>
      <c r="F537" s="35">
        <v>4.1499109421766267</v>
      </c>
      <c r="G537" s="35">
        <v>-2.7232588788898948E-2</v>
      </c>
      <c r="H537" s="35">
        <v>0.38577935873359404</v>
      </c>
      <c r="I537" s="35">
        <v>4.7381796539726517</v>
      </c>
      <c r="J537" t="s">
        <v>2415</v>
      </c>
      <c r="K537" t="s">
        <v>40</v>
      </c>
    </row>
    <row r="538" spans="1:11">
      <c r="A538" s="1">
        <v>41883</v>
      </c>
      <c r="B538" t="s">
        <v>22</v>
      </c>
      <c r="C538" t="s">
        <v>2237</v>
      </c>
      <c r="D538" s="35">
        <v>85.596339924274304</v>
      </c>
      <c r="E538" s="35">
        <v>0.44067853017205366</v>
      </c>
      <c r="F538" s="35">
        <v>4.2175837845749076</v>
      </c>
      <c r="G538" s="35">
        <v>0.11528589899523589</v>
      </c>
      <c r="H538" s="35">
        <v>0.32539263117681777</v>
      </c>
      <c r="I538" s="35">
        <v>3.9819474361299623</v>
      </c>
      <c r="J538" t="s">
        <v>2415</v>
      </c>
      <c r="K538" t="s">
        <v>40</v>
      </c>
    </row>
    <row r="539" spans="1:11">
      <c r="A539" s="1">
        <v>41913</v>
      </c>
      <c r="B539" t="s">
        <v>22</v>
      </c>
      <c r="C539" t="s">
        <v>2237</v>
      </c>
      <c r="D539" s="35">
        <v>86.069625578460204</v>
      </c>
      <c r="E539" s="35">
        <v>0.55140441143851737</v>
      </c>
      <c r="F539" s="35">
        <v>4.2977569004441607</v>
      </c>
      <c r="G539" s="35">
        <v>0.17125837170386743</v>
      </c>
      <c r="H539" s="35">
        <v>0.38014603973464994</v>
      </c>
      <c r="I539" s="35">
        <v>4.6674007505933091</v>
      </c>
      <c r="J539" t="s">
        <v>2416</v>
      </c>
      <c r="K539" t="s">
        <v>40</v>
      </c>
    </row>
    <row r="540" spans="1:11">
      <c r="A540" s="1">
        <v>41944</v>
      </c>
      <c r="B540" t="s">
        <v>22</v>
      </c>
      <c r="C540" t="s">
        <v>2237</v>
      </c>
      <c r="D540" s="35">
        <v>86.763777871266299</v>
      </c>
      <c r="E540" s="35">
        <v>0.80326604855608807</v>
      </c>
      <c r="F540" s="35">
        <v>4.1678692546359475</v>
      </c>
      <c r="G540" s="35">
        <v>0.43204811008838456</v>
      </c>
      <c r="H540" s="35">
        <v>0.37121793846770351</v>
      </c>
      <c r="I540" s="35">
        <v>4.555323061381511</v>
      </c>
      <c r="J540" t="s">
        <v>2416</v>
      </c>
      <c r="K540" t="s">
        <v>40</v>
      </c>
    </row>
    <row r="541" spans="1:11">
      <c r="A541" s="1">
        <v>41974</v>
      </c>
      <c r="B541" t="s">
        <v>22</v>
      </c>
      <c r="C541" t="s">
        <v>2237</v>
      </c>
      <c r="D541" s="35">
        <v>87.188983712963505</v>
      </c>
      <c r="E541" s="35">
        <v>0.4888760427738631</v>
      </c>
      <c r="F541" s="35">
        <v>4.0813215195322661</v>
      </c>
      <c r="G541" s="35">
        <v>9.0732441503875105E-2</v>
      </c>
      <c r="H541" s="35">
        <v>0.39814360126998799</v>
      </c>
      <c r="I541" s="35">
        <v>4.893695986670088</v>
      </c>
      <c r="J541" t="s">
        <v>2416</v>
      </c>
      <c r="K541" t="s">
        <v>40</v>
      </c>
    </row>
    <row r="542" spans="1:11">
      <c r="A542" s="1">
        <v>42005</v>
      </c>
      <c r="B542" t="s">
        <v>22</v>
      </c>
      <c r="C542" t="s">
        <v>2237</v>
      </c>
      <c r="D542" s="35">
        <v>87.110102770599198</v>
      </c>
      <c r="E542" s="35">
        <v>-9.0512175755986274E-2</v>
      </c>
      <c r="F542" s="35">
        <v>3.0656415270432058</v>
      </c>
      <c r="G542" s="35">
        <v>0.17355366550716039</v>
      </c>
      <c r="H542" s="35">
        <v>-0.26406584126314669</v>
      </c>
      <c r="I542" s="35">
        <v>-3.1191100764150215</v>
      </c>
      <c r="J542" t="s">
        <v>2417</v>
      </c>
      <c r="K542" t="s">
        <v>40</v>
      </c>
    </row>
    <row r="543" spans="1:11">
      <c r="A543" s="1">
        <v>42036</v>
      </c>
      <c r="B543" t="s">
        <v>22</v>
      </c>
      <c r="C543" t="s">
        <v>2237</v>
      </c>
      <c r="D543" s="35">
        <v>87.275377126029198</v>
      </c>
      <c r="E543" s="35">
        <v>0.18955064953011935</v>
      </c>
      <c r="F543" s="35">
        <v>3.0002659810266064</v>
      </c>
      <c r="G543" s="35">
        <v>-2.3713097848198361E-2</v>
      </c>
      <c r="H543" s="35">
        <v>0.21326374737831771</v>
      </c>
      <c r="I543" s="35">
        <v>2.5921927383763643</v>
      </c>
      <c r="J543" t="s">
        <v>2417</v>
      </c>
      <c r="K543" t="s">
        <v>40</v>
      </c>
    </row>
    <row r="544" spans="1:11">
      <c r="A544" s="1">
        <v>42064</v>
      </c>
      <c r="B544" t="s">
        <v>22</v>
      </c>
      <c r="C544" t="s">
        <v>2237</v>
      </c>
      <c r="D544" s="35">
        <v>87.630716990203695</v>
      </c>
      <c r="E544" s="35">
        <v>0.40632129469171174</v>
      </c>
      <c r="F544" s="35">
        <v>3.1370745983606785</v>
      </c>
      <c r="G544" s="35">
        <v>4.9988579633774066E-2</v>
      </c>
      <c r="H544" s="35">
        <v>0.35633271505793768</v>
      </c>
      <c r="I544" s="35">
        <v>4.3687302384510351</v>
      </c>
      <c r="J544" t="s">
        <v>2417</v>
      </c>
      <c r="K544" t="s">
        <v>40</v>
      </c>
    </row>
    <row r="545" spans="1:11">
      <c r="A545" s="1">
        <v>42095</v>
      </c>
      <c r="B545" t="s">
        <v>22</v>
      </c>
      <c r="C545" t="s">
        <v>2237</v>
      </c>
      <c r="D545" s="35">
        <v>87.403840375022497</v>
      </c>
      <c r="E545" s="35">
        <v>-0.25923651381074675</v>
      </c>
      <c r="F545" s="35">
        <v>3.0623272624193509</v>
      </c>
      <c r="G545" s="35">
        <v>-0.20981878280513042</v>
      </c>
      <c r="H545" s="35">
        <v>-4.9417731005616333E-2</v>
      </c>
      <c r="I545" s="35">
        <v>-0.59125792187035842</v>
      </c>
      <c r="J545" t="s">
        <v>2418</v>
      </c>
      <c r="K545" t="s">
        <v>40</v>
      </c>
    </row>
    <row r="546" spans="1:11">
      <c r="A546" s="1">
        <v>42125</v>
      </c>
      <c r="B546" t="s">
        <v>22</v>
      </c>
      <c r="C546" t="s">
        <v>2237</v>
      </c>
      <c r="D546" s="35">
        <v>86.967365827273298</v>
      </c>
      <c r="E546" s="35">
        <v>-0.50062790624930598</v>
      </c>
      <c r="F546" s="35">
        <v>2.8766429390279402</v>
      </c>
      <c r="G546" s="35">
        <v>-0.60748395632500474</v>
      </c>
      <c r="H546" s="35">
        <v>0.10685605007569876</v>
      </c>
      <c r="I546" s="35">
        <v>1.2905289679931764</v>
      </c>
      <c r="J546" t="s">
        <v>2418</v>
      </c>
      <c r="K546" t="s">
        <v>40</v>
      </c>
    </row>
    <row r="547" spans="1:11">
      <c r="A547" s="1">
        <v>42156</v>
      </c>
      <c r="B547" t="s">
        <v>22</v>
      </c>
      <c r="C547" t="s">
        <v>2237</v>
      </c>
      <c r="D547" s="35">
        <v>87.113107758879707</v>
      </c>
      <c r="E547" s="35">
        <v>0.16744206016359764</v>
      </c>
      <c r="F547" s="35">
        <v>2.8707794396833908</v>
      </c>
      <c r="G547" s="35">
        <v>-0.18319094864445387</v>
      </c>
      <c r="H547" s="35">
        <v>0.35063300880805148</v>
      </c>
      <c r="I547" s="35">
        <v>4.2973701126542974</v>
      </c>
      <c r="J547" t="s">
        <v>2418</v>
      </c>
      <c r="K547" t="s">
        <v>40</v>
      </c>
    </row>
    <row r="548" spans="1:11">
      <c r="A548" s="1">
        <v>42186</v>
      </c>
      <c r="B548" t="s">
        <v>22</v>
      </c>
      <c r="C548" t="s">
        <v>2237</v>
      </c>
      <c r="D548" s="35">
        <v>87.240819760802907</v>
      </c>
      <c r="E548" s="35">
        <v>0.14649744526063307</v>
      </c>
      <c r="F548" s="35">
        <v>2.739047349423096</v>
      </c>
      <c r="G548" s="35">
        <v>1.857230697938933E-2</v>
      </c>
      <c r="H548" s="35">
        <v>0.12792513828124374</v>
      </c>
      <c r="I548" s="35">
        <v>1.5469448690633492</v>
      </c>
      <c r="J548" t="s">
        <v>2419</v>
      </c>
      <c r="K548" t="s">
        <v>40</v>
      </c>
    </row>
    <row r="549" spans="1:11">
      <c r="A549" s="1">
        <v>42217</v>
      </c>
      <c r="B549" t="s">
        <v>22</v>
      </c>
      <c r="C549" t="s">
        <v>2237</v>
      </c>
      <c r="D549" s="35">
        <v>87.4248752929864</v>
      </c>
      <c r="E549" s="35">
        <v>0.21075185971971755</v>
      </c>
      <c r="F549" s="35">
        <v>2.5873164195420406</v>
      </c>
      <c r="G549" s="35">
        <v>-2.7232588788898948E-2</v>
      </c>
      <c r="H549" s="35">
        <v>0.2379844485086165</v>
      </c>
      <c r="I549" s="35">
        <v>2.8969827043609397</v>
      </c>
      <c r="J549" t="s">
        <v>2419</v>
      </c>
      <c r="K549" t="s">
        <v>40</v>
      </c>
    </row>
    <row r="550" spans="1:11">
      <c r="A550" s="1">
        <v>42248</v>
      </c>
      <c r="B550" t="s">
        <v>22</v>
      </c>
      <c r="C550" t="s">
        <v>2237</v>
      </c>
      <c r="D550" s="35">
        <v>87.752419015565806</v>
      </c>
      <c r="E550" s="35">
        <v>0.37395725922221129</v>
      </c>
      <c r="F550" s="35">
        <v>2.5188916876573764</v>
      </c>
      <c r="G550" s="35">
        <v>0.11528589899523589</v>
      </c>
      <c r="H550" s="35">
        <v>0.2586713602269754</v>
      </c>
      <c r="I550" s="35">
        <v>3.1527345116010519</v>
      </c>
      <c r="J550" t="s">
        <v>2419</v>
      </c>
      <c r="K550" t="s">
        <v>40</v>
      </c>
    </row>
    <row r="551" spans="1:11">
      <c r="A551" s="1">
        <v>42278</v>
      </c>
      <c r="B551" t="s">
        <v>22</v>
      </c>
      <c r="C551" t="s">
        <v>2237</v>
      </c>
      <c r="D551" s="35">
        <v>88.203918504717805</v>
      </c>
      <c r="E551" s="35">
        <v>0.5131960422041516</v>
      </c>
      <c r="F551" s="35">
        <v>2.4797283732947095</v>
      </c>
      <c r="G551" s="35">
        <v>0.17125837170386743</v>
      </c>
      <c r="H551" s="35">
        <v>0.34193767050028417</v>
      </c>
      <c r="I551" s="35">
        <v>4.1885987606166575</v>
      </c>
      <c r="J551" t="s">
        <v>2420</v>
      </c>
      <c r="K551" t="s">
        <v>40</v>
      </c>
    </row>
    <row r="552" spans="1:11">
      <c r="A552" s="1">
        <v>42309</v>
      </c>
      <c r="B552" t="s">
        <v>22</v>
      </c>
      <c r="C552" t="s">
        <v>2237</v>
      </c>
      <c r="D552" s="35">
        <v>88.685467876675304</v>
      </c>
      <c r="E552" s="35">
        <v>0.54446518403933708</v>
      </c>
      <c r="F552" s="35">
        <v>2.2148528482246022</v>
      </c>
      <c r="G552" s="35">
        <v>0.43204811008838456</v>
      </c>
      <c r="H552" s="35">
        <v>0.11241707395095252</v>
      </c>
      <c r="I552" s="35">
        <v>1.3581450123415495</v>
      </c>
      <c r="J552" t="s">
        <v>2420</v>
      </c>
      <c r="K552" t="s">
        <v>40</v>
      </c>
    </row>
    <row r="553" spans="1:11">
      <c r="A553" s="1">
        <v>42339</v>
      </c>
      <c r="B553" t="s">
        <v>22</v>
      </c>
      <c r="C553" t="s">
        <v>2237</v>
      </c>
      <c r="D553" s="35">
        <v>89.046817717410903</v>
      </c>
      <c r="E553" s="35">
        <v>0.40662318319346308</v>
      </c>
      <c r="F553" s="35">
        <v>2.1308127762603712</v>
      </c>
      <c r="G553" s="35">
        <v>9.0732441503875105E-2</v>
      </c>
      <c r="H553" s="35">
        <v>0.31589074168958797</v>
      </c>
      <c r="I553" s="35">
        <v>3.8634520080112589</v>
      </c>
      <c r="J553" t="s">
        <v>2420</v>
      </c>
      <c r="K553" t="s">
        <v>40</v>
      </c>
    </row>
    <row r="554" spans="1:11">
      <c r="A554" s="1">
        <v>42370</v>
      </c>
      <c r="B554" t="s">
        <v>22</v>
      </c>
      <c r="C554" t="s">
        <v>2237</v>
      </c>
      <c r="D554" s="35">
        <v>89.3863813931126</v>
      </c>
      <c r="E554" s="35">
        <v>0.38060639758491094</v>
      </c>
      <c r="F554" s="35">
        <v>2.6131051968884655</v>
      </c>
      <c r="G554" s="35">
        <v>0.17355366550716039</v>
      </c>
      <c r="H554" s="35">
        <v>0.20705273207775055</v>
      </c>
      <c r="I554" s="35">
        <v>2.5157570250598171</v>
      </c>
      <c r="J554" t="s">
        <v>2421</v>
      </c>
      <c r="K554" t="s">
        <v>40</v>
      </c>
    </row>
    <row r="555" spans="1:11">
      <c r="A555" s="1">
        <v>42401</v>
      </c>
      <c r="B555" t="s">
        <v>22</v>
      </c>
      <c r="C555" t="s">
        <v>2237</v>
      </c>
      <c r="D555" s="35">
        <v>89.7777811166536</v>
      </c>
      <c r="E555" s="35">
        <v>0.43691812101413208</v>
      </c>
      <c r="F555" s="35">
        <v>2.8672508478660985</v>
      </c>
      <c r="G555" s="35">
        <v>-2.3713097848198361E-2</v>
      </c>
      <c r="H555" s="35">
        <v>0.46063121886233044</v>
      </c>
      <c r="I555" s="35">
        <v>5.6831991973459894</v>
      </c>
      <c r="J555" t="s">
        <v>2421</v>
      </c>
      <c r="K555" t="s">
        <v>40</v>
      </c>
    </row>
    <row r="556" spans="1:11">
      <c r="A556" s="1">
        <v>42430</v>
      </c>
      <c r="B556" t="s">
        <v>22</v>
      </c>
      <c r="C556" t="s">
        <v>2237</v>
      </c>
      <c r="D556" s="35">
        <v>89.910000600997606</v>
      </c>
      <c r="E556" s="35">
        <v>0.1471658305793398</v>
      </c>
      <c r="F556" s="35">
        <v>2.6010098845233864</v>
      </c>
      <c r="G556" s="35">
        <v>4.9988579633774066E-2</v>
      </c>
      <c r="H556" s="35">
        <v>9.717725094556573E-2</v>
      </c>
      <c r="I556" s="35">
        <v>1.1729527789495542</v>
      </c>
      <c r="J556" t="s">
        <v>2421</v>
      </c>
      <c r="K556" t="s">
        <v>40</v>
      </c>
    </row>
    <row r="557" spans="1:11">
      <c r="A557" s="1">
        <v>42461</v>
      </c>
      <c r="B557" t="s">
        <v>22</v>
      </c>
      <c r="C557" t="s">
        <v>2237</v>
      </c>
      <c r="D557" s="35">
        <v>89.625277961415904</v>
      </c>
      <c r="E557" s="35">
        <v>-0.31717763835377083</v>
      </c>
      <c r="F557" s="35">
        <v>2.5415789247496656</v>
      </c>
      <c r="G557" s="35">
        <v>-0.20981878280513042</v>
      </c>
      <c r="H557" s="35">
        <v>-0.10735885554864041</v>
      </c>
      <c r="I557" s="35">
        <v>-1.280043124324326</v>
      </c>
      <c r="J557" t="s">
        <v>2422</v>
      </c>
      <c r="K557" t="s">
        <v>40</v>
      </c>
    </row>
    <row r="558" spans="1:11">
      <c r="A558" s="1">
        <v>42491</v>
      </c>
      <c r="B558" t="s">
        <v>22</v>
      </c>
      <c r="C558" t="s">
        <v>2237</v>
      </c>
      <c r="D558" s="35">
        <v>89.225614520103406</v>
      </c>
      <c r="E558" s="35">
        <v>-0.44692436365447497</v>
      </c>
      <c r="F558" s="35">
        <v>2.5966621747693708</v>
      </c>
      <c r="G558" s="35">
        <v>-0.60748395632500474</v>
      </c>
      <c r="H558" s="35">
        <v>0.16055959267052977</v>
      </c>
      <c r="I558" s="35">
        <v>1.945396050938597</v>
      </c>
      <c r="J558" t="s">
        <v>2422</v>
      </c>
      <c r="K558" t="s">
        <v>40</v>
      </c>
    </row>
    <row r="559" spans="1:11">
      <c r="A559" s="1">
        <v>42522</v>
      </c>
      <c r="B559" t="s">
        <v>22</v>
      </c>
      <c r="C559" t="s">
        <v>2237</v>
      </c>
      <c r="D559" s="35">
        <v>89.324027886291205</v>
      </c>
      <c r="E559" s="35">
        <v>0.11023643041508484</v>
      </c>
      <c r="F559" s="35">
        <v>2.5379878921678589</v>
      </c>
      <c r="G559" s="35">
        <v>-0.18319094864445387</v>
      </c>
      <c r="H559" s="35">
        <v>0.2934273790595387</v>
      </c>
      <c r="I559" s="35">
        <v>3.5838543331759842</v>
      </c>
      <c r="J559" t="s">
        <v>2422</v>
      </c>
      <c r="K559" t="s">
        <v>40</v>
      </c>
    </row>
    <row r="560" spans="1:11">
      <c r="A560" s="1">
        <v>42552</v>
      </c>
      <c r="B560" t="s">
        <v>22</v>
      </c>
      <c r="C560" t="s">
        <v>2237</v>
      </c>
      <c r="D560" s="35">
        <v>89.556914478033505</v>
      </c>
      <c r="E560" s="35">
        <v>0.26038181624329193</v>
      </c>
      <c r="F560" s="35">
        <v>2.6548291540369195</v>
      </c>
      <c r="G560" s="35">
        <v>1.857230697938933E-2</v>
      </c>
      <c r="H560" s="35">
        <v>0.2418095092639026</v>
      </c>
      <c r="I560" s="35">
        <v>2.9442240108291218</v>
      </c>
      <c r="J560" t="s">
        <v>2423</v>
      </c>
      <c r="K560" t="s">
        <v>40</v>
      </c>
    </row>
    <row r="561" spans="1:11">
      <c r="A561" s="1">
        <v>42583</v>
      </c>
      <c r="B561" t="s">
        <v>22</v>
      </c>
      <c r="C561" t="s">
        <v>2237</v>
      </c>
      <c r="D561" s="35">
        <v>89.809333493599397</v>
      </c>
      <c r="E561" s="35">
        <v>0.28145672338528288</v>
      </c>
      <c r="F561" s="35">
        <v>2.7274367765718566</v>
      </c>
      <c r="G561" s="35">
        <v>-2.7232588788898948E-2</v>
      </c>
      <c r="H561" s="35">
        <v>0.30868931217418183</v>
      </c>
      <c r="I561" s="35">
        <v>3.7737349395997821</v>
      </c>
      <c r="J561" t="s">
        <v>2423</v>
      </c>
      <c r="K561" t="s">
        <v>40</v>
      </c>
    </row>
    <row r="562" spans="1:11">
      <c r="A562" s="1">
        <v>42614</v>
      </c>
      <c r="B562" t="s">
        <v>22</v>
      </c>
      <c r="C562" t="s">
        <v>2237</v>
      </c>
      <c r="D562" s="35">
        <v>90.357743854798997</v>
      </c>
      <c r="E562" s="35">
        <v>0.60878165202299617</v>
      </c>
      <c r="F562" s="35">
        <v>2.9689493104128051</v>
      </c>
      <c r="G562" s="35">
        <v>0.11528589899523589</v>
      </c>
      <c r="H562" s="35">
        <v>0.49349575302776028</v>
      </c>
      <c r="I562" s="35">
        <v>6.1008096236995879</v>
      </c>
      <c r="J562" t="s">
        <v>2423</v>
      </c>
      <c r="K562" t="s">
        <v>40</v>
      </c>
    </row>
    <row r="563" spans="1:11">
      <c r="A563" s="1">
        <v>42644</v>
      </c>
      <c r="B563" t="s">
        <v>22</v>
      </c>
      <c r="C563" t="s">
        <v>2237</v>
      </c>
      <c r="D563" s="35">
        <v>90.906154215998598</v>
      </c>
      <c r="E563" s="35">
        <v>0.60509791562766746</v>
      </c>
      <c r="F563" s="35">
        <v>3.0636232007495767</v>
      </c>
      <c r="G563" s="35">
        <v>0.17125837170386743</v>
      </c>
      <c r="H563" s="35">
        <v>0.43383954392380003</v>
      </c>
      <c r="I563" s="35">
        <v>5.3439732051668187</v>
      </c>
      <c r="J563" t="s">
        <v>2424</v>
      </c>
      <c r="K563" t="s">
        <v>40</v>
      </c>
    </row>
    <row r="564" spans="1:11">
      <c r="A564" s="1">
        <v>42675</v>
      </c>
      <c r="B564" t="s">
        <v>22</v>
      </c>
      <c r="C564" t="s">
        <v>2237</v>
      </c>
      <c r="D564" s="35">
        <v>91.616833944347604</v>
      </c>
      <c r="E564" s="35">
        <v>0.77873294422580164</v>
      </c>
      <c r="F564" s="35">
        <v>3.3053510770768124</v>
      </c>
      <c r="G564" s="35">
        <v>0.43204811008838456</v>
      </c>
      <c r="H564" s="35">
        <v>0.34668483413741707</v>
      </c>
      <c r="I564" s="35">
        <v>4.247967708350564</v>
      </c>
      <c r="J564" t="s">
        <v>2424</v>
      </c>
      <c r="K564" t="s">
        <v>40</v>
      </c>
    </row>
    <row r="565" spans="1:11">
      <c r="A565" s="1">
        <v>42705</v>
      </c>
      <c r="B565" t="s">
        <v>22</v>
      </c>
      <c r="C565" t="s">
        <v>2237</v>
      </c>
      <c r="D565" s="35">
        <v>92.039034797764302</v>
      </c>
      <c r="E565" s="35">
        <v>0.45977468627587714</v>
      </c>
      <c r="F565" s="35">
        <v>3.360274018830367</v>
      </c>
      <c r="G565" s="35">
        <v>9.0732441503875105E-2</v>
      </c>
      <c r="H565" s="35">
        <v>0.36904224477200204</v>
      </c>
      <c r="I565" s="35">
        <v>4.5280289816815866</v>
      </c>
      <c r="J565" t="s">
        <v>2424</v>
      </c>
      <c r="K565" t="s">
        <v>40</v>
      </c>
    </row>
    <row r="566" spans="1:11">
      <c r="A566" s="1">
        <v>42736</v>
      </c>
      <c r="B566" t="s">
        <v>22</v>
      </c>
      <c r="C566" t="s">
        <v>2237</v>
      </c>
      <c r="D566" s="35">
        <v>93.603882444858499</v>
      </c>
      <c r="E566" s="35">
        <v>1.6859083392053376</v>
      </c>
      <c r="F566" s="35">
        <v>4.718281449606665</v>
      </c>
      <c r="G566" s="35">
        <v>0.17355366550716039</v>
      </c>
      <c r="H566" s="35">
        <v>1.5123546736981772</v>
      </c>
      <c r="I566" s="35">
        <v>19.899362709022306</v>
      </c>
      <c r="J566" t="s">
        <v>2425</v>
      </c>
      <c r="K566" t="s">
        <v>40</v>
      </c>
    </row>
    <row r="567" spans="1:11">
      <c r="A567" s="1">
        <v>42767</v>
      </c>
      <c r="B567" t="s">
        <v>22</v>
      </c>
      <c r="C567" t="s">
        <v>2237</v>
      </c>
      <c r="D567" s="35">
        <v>94.1447803353567</v>
      </c>
      <c r="E567" s="35">
        <v>0.57619519518901152</v>
      </c>
      <c r="F567" s="35">
        <v>4.8642316221079174</v>
      </c>
      <c r="G567" s="35">
        <v>-2.3713097848198361E-2</v>
      </c>
      <c r="H567" s="35">
        <v>0.59990829303720994</v>
      </c>
      <c r="I567" s="35">
        <v>7.4643517723569142</v>
      </c>
      <c r="J567" t="s">
        <v>2425</v>
      </c>
      <c r="K567" t="s">
        <v>40</v>
      </c>
    </row>
    <row r="568" spans="1:11">
      <c r="A568" s="1">
        <v>42795</v>
      </c>
      <c r="B568" t="s">
        <v>22</v>
      </c>
      <c r="C568" t="s">
        <v>2237</v>
      </c>
      <c r="D568" s="35">
        <v>94.722489332291602</v>
      </c>
      <c r="E568" s="35">
        <v>0.61176380608896375</v>
      </c>
      <c r="F568" s="35">
        <v>5.3525622279226193</v>
      </c>
      <c r="G568" s="35">
        <v>4.9988579633774066E-2</v>
      </c>
      <c r="H568" s="35">
        <v>0.56177522645518962</v>
      </c>
      <c r="I568" s="35">
        <v>6.9737217483677227</v>
      </c>
      <c r="J568" t="s">
        <v>2425</v>
      </c>
      <c r="K568" t="s">
        <v>40</v>
      </c>
    </row>
    <row r="569" spans="1:11">
      <c r="A569" s="1">
        <v>42826</v>
      </c>
      <c r="B569" t="s">
        <v>22</v>
      </c>
      <c r="C569" t="s">
        <v>2237</v>
      </c>
      <c r="D569" s="35">
        <v>94.838932628162794</v>
      </c>
      <c r="E569" s="35">
        <v>0.12285549381625249</v>
      </c>
      <c r="F569" s="35">
        <v>5.817169871418848</v>
      </c>
      <c r="G569" s="35">
        <v>-0.20981878280513042</v>
      </c>
      <c r="H569" s="35">
        <v>0.33267427662138294</v>
      </c>
      <c r="I569" s="35">
        <v>4.0728463048101737</v>
      </c>
      <c r="J569" t="s">
        <v>2426</v>
      </c>
      <c r="K569" t="s">
        <v>40</v>
      </c>
    </row>
    <row r="570" spans="1:11">
      <c r="A570" s="1">
        <v>42856</v>
      </c>
      <c r="B570" t="s">
        <v>22</v>
      </c>
      <c r="C570" t="s">
        <v>2237</v>
      </c>
      <c r="D570" s="35">
        <v>94.725494320572096</v>
      </c>
      <c r="E570" s="35">
        <v>-0.11968313143708127</v>
      </c>
      <c r="F570" s="35">
        <v>6.164014481771396</v>
      </c>
      <c r="G570" s="35">
        <v>-0.60748395632500474</v>
      </c>
      <c r="H570" s="35">
        <v>0.48780082488792348</v>
      </c>
      <c r="I570" s="35">
        <v>6.0283260154906815</v>
      </c>
      <c r="J570" t="s">
        <v>2426</v>
      </c>
      <c r="K570" t="s">
        <v>40</v>
      </c>
    </row>
    <row r="571" spans="1:11">
      <c r="A571" s="1">
        <v>42887</v>
      </c>
      <c r="B571" t="s">
        <v>22</v>
      </c>
      <c r="C571" t="s">
        <v>2237</v>
      </c>
      <c r="D571" s="35">
        <v>94.963639641805401</v>
      </c>
      <c r="E571" s="35">
        <v>0.2510902352463823</v>
      </c>
      <c r="F571" s="35">
        <v>6.3136558986047753</v>
      </c>
      <c r="G571" s="35">
        <v>-0.18319094864445387</v>
      </c>
      <c r="H571" s="35">
        <v>0.43428118389083614</v>
      </c>
      <c r="I571" s="35">
        <v>5.3495562461695956</v>
      </c>
      <c r="J571" t="s">
        <v>2426</v>
      </c>
      <c r="K571" t="s">
        <v>40</v>
      </c>
    </row>
    <row r="572" spans="1:11">
      <c r="A572" s="1">
        <v>42917</v>
      </c>
      <c r="B572" t="s">
        <v>22</v>
      </c>
      <c r="C572" t="s">
        <v>2237</v>
      </c>
      <c r="D572" s="35">
        <v>95.322735741330604</v>
      </c>
      <c r="E572" s="35">
        <v>0.3774274696057941</v>
      </c>
      <c r="F572" s="35">
        <v>6.4381642633649871</v>
      </c>
      <c r="G572" s="35">
        <v>1.857230697938933E-2</v>
      </c>
      <c r="H572" s="35">
        <v>0.35885516262640477</v>
      </c>
      <c r="I572" s="35">
        <v>4.4003267782243505</v>
      </c>
      <c r="J572" t="s">
        <v>2427</v>
      </c>
      <c r="K572" t="s">
        <v>40</v>
      </c>
    </row>
    <row r="573" spans="1:11">
      <c r="A573" s="1">
        <v>42948</v>
      </c>
      <c r="B573" t="s">
        <v>22</v>
      </c>
      <c r="C573" t="s">
        <v>2237</v>
      </c>
      <c r="D573" s="35">
        <v>95.793767654306095</v>
      </c>
      <c r="E573" s="35">
        <v>0.49292746398906795</v>
      </c>
      <c r="F573" s="35">
        <v>6.663488000535267</v>
      </c>
      <c r="G573" s="35">
        <v>-2.7232588788898948E-2</v>
      </c>
      <c r="H573" s="35">
        <v>0.52016005277796684</v>
      </c>
      <c r="I573" s="35">
        <v>6.4408457981613543</v>
      </c>
      <c r="J573" t="s">
        <v>2427</v>
      </c>
      <c r="K573" t="s">
        <v>40</v>
      </c>
    </row>
    <row r="574" spans="1:11">
      <c r="A574" s="1">
        <v>42979</v>
      </c>
      <c r="B574" t="s">
        <v>22</v>
      </c>
      <c r="C574" t="s">
        <v>2237</v>
      </c>
      <c r="D574" s="35">
        <v>96.093515235290596</v>
      </c>
      <c r="E574" s="35">
        <v>0.31242072979729241</v>
      </c>
      <c r="F574" s="35">
        <v>6.3478470530525133</v>
      </c>
      <c r="G574" s="35">
        <v>0.11528589899523589</v>
      </c>
      <c r="H574" s="35">
        <v>0.19713483080205652</v>
      </c>
      <c r="I574" s="35">
        <v>2.3938206617364122</v>
      </c>
      <c r="J574" t="s">
        <v>2427</v>
      </c>
      <c r="K574" t="s">
        <v>40</v>
      </c>
    </row>
    <row r="575" spans="1:11">
      <c r="A575" s="1">
        <v>43009</v>
      </c>
      <c r="B575" t="s">
        <v>22</v>
      </c>
      <c r="C575" t="s">
        <v>2237</v>
      </c>
      <c r="D575" s="35">
        <v>96.698269126750404</v>
      </c>
      <c r="E575" s="35">
        <v>0.6273668527918318</v>
      </c>
      <c r="F575" s="35">
        <v>6.371532225408405</v>
      </c>
      <c r="G575" s="35">
        <v>0.17125837170386743</v>
      </c>
      <c r="H575" s="35">
        <v>0.45610848108796437</v>
      </c>
      <c r="I575" s="35">
        <v>5.6258574715937648</v>
      </c>
      <c r="J575" t="s">
        <v>2428</v>
      </c>
      <c r="K575" t="s">
        <v>40</v>
      </c>
    </row>
    <row r="576" spans="1:11">
      <c r="A576" s="1">
        <v>43040</v>
      </c>
      <c r="B576" t="s">
        <v>22</v>
      </c>
      <c r="C576" t="s">
        <v>2237</v>
      </c>
      <c r="D576" s="35">
        <v>97.695173988821495</v>
      </c>
      <c r="E576" s="35">
        <v>1.0256658717821321</v>
      </c>
      <c r="F576" s="35">
        <v>6.6345231359622892</v>
      </c>
      <c r="G576" s="35">
        <v>0.43204811008838456</v>
      </c>
      <c r="H576" s="35">
        <v>0.59361776169374747</v>
      </c>
      <c r="I576" s="35">
        <v>7.3832614375096028</v>
      </c>
      <c r="J576" t="s">
        <v>2428</v>
      </c>
      <c r="K576" t="s">
        <v>40</v>
      </c>
    </row>
    <row r="577" spans="1:11">
      <c r="A577" s="1">
        <v>43070</v>
      </c>
      <c r="B577" t="s">
        <v>22</v>
      </c>
      <c r="C577" t="s">
        <v>2237</v>
      </c>
      <c r="D577" s="35">
        <v>98.272882985756297</v>
      </c>
      <c r="E577" s="35">
        <v>0.58959677347459538</v>
      </c>
      <c r="F577" s="35">
        <v>6.773048198179743</v>
      </c>
      <c r="G577" s="35">
        <v>9.0732441503875105E-2</v>
      </c>
      <c r="H577" s="35">
        <v>0.49886433197072028</v>
      </c>
      <c r="I577" s="35">
        <v>6.169184914708814</v>
      </c>
      <c r="J577" t="s">
        <v>2428</v>
      </c>
      <c r="K577" t="s">
        <v>40</v>
      </c>
    </row>
    <row r="578" spans="1:11">
      <c r="A578" s="1">
        <v>43101</v>
      </c>
      <c r="B578" t="s">
        <v>22</v>
      </c>
      <c r="C578" t="s">
        <v>2237</v>
      </c>
      <c r="D578" s="35">
        <v>98.794999699501204</v>
      </c>
      <c r="E578" s="35">
        <v>0.52988638056509807</v>
      </c>
      <c r="F578" s="35">
        <v>5.5458354066678428</v>
      </c>
      <c r="G578" s="35">
        <v>0.17355366550716039</v>
      </c>
      <c r="H578" s="35">
        <v>0.35633271505793768</v>
      </c>
      <c r="I578" s="35">
        <v>4.3687302384510351</v>
      </c>
      <c r="J578" t="s">
        <v>2429</v>
      </c>
      <c r="K578" t="s">
        <v>40</v>
      </c>
    </row>
    <row r="579" spans="1:11">
      <c r="A579" s="1">
        <v>43132</v>
      </c>
      <c r="B579" t="s">
        <v>22</v>
      </c>
      <c r="C579" t="s">
        <v>2237</v>
      </c>
      <c r="D579" s="35">
        <v>99.171374481639504</v>
      </c>
      <c r="E579" s="35">
        <v>0.38024158110221329</v>
      </c>
      <c r="F579" s="35">
        <v>5.339217031870902</v>
      </c>
      <c r="G579" s="35">
        <v>-2.3713097848198361E-2</v>
      </c>
      <c r="H579" s="35">
        <v>0.40395467895041165</v>
      </c>
      <c r="I579" s="35">
        <v>4.9668669457004766</v>
      </c>
      <c r="J579" t="s">
        <v>2429</v>
      </c>
      <c r="K579" t="s">
        <v>40</v>
      </c>
    </row>
    <row r="580" spans="1:11">
      <c r="A580" s="1">
        <v>43160</v>
      </c>
      <c r="B580" t="s">
        <v>22</v>
      </c>
      <c r="C580" t="s">
        <v>2237</v>
      </c>
      <c r="D580" s="35">
        <v>99.492156980587794</v>
      </c>
      <c r="E580" s="35">
        <v>0.32294077868835808</v>
      </c>
      <c r="F580" s="35">
        <v>5.0354120567544847</v>
      </c>
      <c r="G580" s="35">
        <v>4.9988579633774066E-2</v>
      </c>
      <c r="H580" s="35">
        <v>0.27295219905458401</v>
      </c>
      <c r="I580" s="35">
        <v>3.3296589752296324</v>
      </c>
      <c r="J580" t="s">
        <v>2429</v>
      </c>
      <c r="K580" t="s">
        <v>40</v>
      </c>
    </row>
    <row r="581" spans="1:11">
      <c r="A581" s="1">
        <v>43191</v>
      </c>
      <c r="B581" t="s">
        <v>22</v>
      </c>
      <c r="C581" t="s">
        <v>2237</v>
      </c>
      <c r="D581" s="35">
        <v>99.154847046096506</v>
      </c>
      <c r="E581" s="35">
        <v>-0.33960769792268336</v>
      </c>
      <c r="F581" s="35">
        <v>4.5507834159787652</v>
      </c>
      <c r="G581" s="35">
        <v>-0.20981878280513042</v>
      </c>
      <c r="H581" s="35">
        <v>-0.12978891511755294</v>
      </c>
      <c r="I581" s="35">
        <v>-1.5454011858957006</v>
      </c>
      <c r="J581" t="s">
        <v>2430</v>
      </c>
      <c r="K581" t="s">
        <v>40</v>
      </c>
    </row>
    <row r="582" spans="1:11">
      <c r="A582" s="1">
        <v>43221</v>
      </c>
      <c r="B582" t="s">
        <v>22</v>
      </c>
      <c r="C582" t="s">
        <v>2237</v>
      </c>
      <c r="D582" s="35">
        <v>98.994080173087298</v>
      </c>
      <c r="E582" s="35">
        <v>-0.16226876475374111</v>
      </c>
      <c r="F582" s="35">
        <v>4.5062692817092742</v>
      </c>
      <c r="G582" s="35">
        <v>-0.60748395632500474</v>
      </c>
      <c r="H582" s="35">
        <v>0.44521519157126366</v>
      </c>
      <c r="I582" s="35">
        <v>5.4878741112971197</v>
      </c>
      <c r="J582" t="s">
        <v>2430</v>
      </c>
      <c r="K582" t="s">
        <v>40</v>
      </c>
    </row>
    <row r="583" spans="1:11">
      <c r="A583" s="1">
        <v>43252</v>
      </c>
      <c r="B583" t="s">
        <v>22</v>
      </c>
      <c r="C583" t="s">
        <v>2237</v>
      </c>
      <c r="D583" s="35">
        <v>99.376464931786799</v>
      </c>
      <c r="E583" s="35">
        <v>0.38552622025019623</v>
      </c>
      <c r="F583" s="35">
        <v>4.6468577938105549</v>
      </c>
      <c r="G583" s="35">
        <v>-0.18319094864445387</v>
      </c>
      <c r="H583" s="35">
        <v>0.56871716889465007</v>
      </c>
      <c r="I583" s="35">
        <v>7.0628715258391761</v>
      </c>
      <c r="J583" t="s">
        <v>2430</v>
      </c>
      <c r="K583" t="s">
        <v>40</v>
      </c>
    </row>
    <row r="584" spans="1:11">
      <c r="A584" s="1">
        <v>43282</v>
      </c>
      <c r="B584" t="s">
        <v>22</v>
      </c>
      <c r="C584" t="s">
        <v>2237</v>
      </c>
      <c r="D584" s="35">
        <v>99.909099104513501</v>
      </c>
      <c r="E584" s="35">
        <v>0.53454493162604899</v>
      </c>
      <c r="F584" s="35">
        <v>4.8114055136106559</v>
      </c>
      <c r="G584" s="35">
        <v>1.857230697938933E-2</v>
      </c>
      <c r="H584" s="35">
        <v>0.51597262464665961</v>
      </c>
      <c r="I584" s="35">
        <v>6.3873736268970971</v>
      </c>
      <c r="J584" t="s">
        <v>2431</v>
      </c>
      <c r="K584" t="s">
        <v>40</v>
      </c>
    </row>
    <row r="585" spans="1:11">
      <c r="A585" s="1">
        <v>43313</v>
      </c>
      <c r="B585" t="s">
        <v>22</v>
      </c>
      <c r="C585" t="s">
        <v>2237</v>
      </c>
      <c r="D585" s="35">
        <v>100.492</v>
      </c>
      <c r="E585" s="35">
        <v>0.58173587066291488</v>
      </c>
      <c r="F585" s="35">
        <v>4.9045281971250576</v>
      </c>
      <c r="G585" s="35">
        <v>-2.7232588788898948E-2</v>
      </c>
      <c r="H585" s="35">
        <v>0.60896845945181388</v>
      </c>
      <c r="I585" s="35">
        <v>7.5812526986358986</v>
      </c>
      <c r="J585" t="s">
        <v>2431</v>
      </c>
      <c r="K585" t="s">
        <v>40</v>
      </c>
    </row>
    <row r="586" spans="1:11">
      <c r="A586" s="1">
        <v>43344</v>
      </c>
      <c r="B586" t="s">
        <v>22</v>
      </c>
      <c r="C586" t="s">
        <v>2237</v>
      </c>
      <c r="D586" s="35">
        <v>100.917</v>
      </c>
      <c r="E586" s="35">
        <v>0.42202744742888959</v>
      </c>
      <c r="F586" s="35">
        <v>5.0195736443805039</v>
      </c>
      <c r="G586" s="35">
        <v>0.11528589899523589</v>
      </c>
      <c r="H586" s="35">
        <v>0.3067415484336537</v>
      </c>
      <c r="I586" s="35">
        <v>3.7494825678074717</v>
      </c>
      <c r="J586" t="s">
        <v>2431</v>
      </c>
      <c r="K586" t="s">
        <v>40</v>
      </c>
    </row>
    <row r="587" spans="1:11">
      <c r="A587" s="1">
        <v>43374</v>
      </c>
      <c r="B587" t="s">
        <v>22</v>
      </c>
      <c r="C587" t="s">
        <v>2237</v>
      </c>
      <c r="D587" s="35">
        <v>101.44</v>
      </c>
      <c r="E587" s="35">
        <v>0.51690938739527537</v>
      </c>
      <c r="F587" s="35">
        <v>4.903635727992417</v>
      </c>
      <c r="G587" s="35">
        <v>0.17125837170386743</v>
      </c>
      <c r="H587" s="35">
        <v>0.34565101569140794</v>
      </c>
      <c r="I587" s="35">
        <v>4.2350356938913647</v>
      </c>
      <c r="J587" t="s">
        <v>2432</v>
      </c>
      <c r="K587" t="s">
        <v>40</v>
      </c>
    </row>
    <row r="588" spans="1:11">
      <c r="A588" s="1">
        <v>43405</v>
      </c>
      <c r="B588" t="s">
        <v>22</v>
      </c>
      <c r="C588" t="s">
        <v>2237</v>
      </c>
      <c r="D588" s="35">
        <v>102.303</v>
      </c>
      <c r="E588" s="35">
        <v>0.84715073518769679</v>
      </c>
      <c r="F588" s="35">
        <v>4.7165339115990967</v>
      </c>
      <c r="G588" s="35">
        <v>0.43204811008838456</v>
      </c>
      <c r="H588" s="35">
        <v>0.41510262509931223</v>
      </c>
      <c r="I588" s="35">
        <v>5.1073807087527179</v>
      </c>
      <c r="J588" t="s">
        <v>2432</v>
      </c>
      <c r="K588" t="s">
        <v>40</v>
      </c>
    </row>
    <row r="589" spans="1:11">
      <c r="A589" s="1">
        <v>43435</v>
      </c>
      <c r="B589" t="s">
        <v>22</v>
      </c>
      <c r="C589" t="s">
        <v>2237</v>
      </c>
      <c r="D589" s="35">
        <v>103.02</v>
      </c>
      <c r="E589" s="35">
        <v>0.69841460966464164</v>
      </c>
      <c r="F589" s="35">
        <v>4.8305461995368004</v>
      </c>
      <c r="G589" s="35">
        <v>9.0732441503875105E-2</v>
      </c>
      <c r="H589" s="35">
        <v>0.60768216816076648</v>
      </c>
      <c r="I589" s="35">
        <v>7.5646482807448123</v>
      </c>
      <c r="J589" t="s">
        <v>2432</v>
      </c>
      <c r="K589" t="s">
        <v>40</v>
      </c>
    </row>
    <row r="590" spans="1:11">
      <c r="A590" s="1">
        <v>43466</v>
      </c>
      <c r="B590" t="s">
        <v>22</v>
      </c>
      <c r="C590" t="s">
        <v>2237</v>
      </c>
      <c r="D590" s="35">
        <v>103.108</v>
      </c>
      <c r="E590" s="35">
        <v>8.5383844355265248E-2</v>
      </c>
      <c r="F590" s="35">
        <v>4.365605864281985</v>
      </c>
      <c r="G590" s="35">
        <v>0.17355366550716039</v>
      </c>
      <c r="H590" s="35">
        <v>-8.8169821151895145E-2</v>
      </c>
      <c r="I590" s="35">
        <v>-1.0524603214548511</v>
      </c>
      <c r="J590" t="s">
        <v>2433</v>
      </c>
      <c r="K590" t="s">
        <v>40</v>
      </c>
    </row>
    <row r="591" spans="1:11">
      <c r="A591" s="1">
        <v>43497</v>
      </c>
      <c r="B591" t="s">
        <v>22</v>
      </c>
      <c r="C591" t="s">
        <v>2237</v>
      </c>
      <c r="D591" s="35">
        <v>103.07899999999999</v>
      </c>
      <c r="E591" s="35">
        <v>-2.8129804683354385E-2</v>
      </c>
      <c r="F591" s="35">
        <v>3.9402756478725154</v>
      </c>
      <c r="G591" s="35">
        <v>-2.3713097848198361E-2</v>
      </c>
      <c r="H591" s="35">
        <v>-4.4167068351560236E-3</v>
      </c>
      <c r="I591" s="35">
        <v>-5.2986439247426631E-2</v>
      </c>
      <c r="J591" t="s">
        <v>2433</v>
      </c>
      <c r="K591" t="s">
        <v>40</v>
      </c>
    </row>
    <row r="592" spans="1:11">
      <c r="A592" s="1">
        <v>43525</v>
      </c>
      <c r="B592" t="s">
        <v>22</v>
      </c>
      <c r="C592" t="s">
        <v>2237</v>
      </c>
      <c r="D592" s="35">
        <v>103.476</v>
      </c>
      <c r="E592" s="35">
        <v>0.38440172240296744</v>
      </c>
      <c r="F592" s="35">
        <v>4.0041779576549974</v>
      </c>
      <c r="G592" s="35">
        <v>4.9988579633774066E-2</v>
      </c>
      <c r="H592" s="35">
        <v>0.33441314276919337</v>
      </c>
      <c r="I592" s="35">
        <v>4.0945648205883645</v>
      </c>
      <c r="J592" t="s">
        <v>2433</v>
      </c>
      <c r="K592" t="s">
        <v>40</v>
      </c>
    </row>
    <row r="593" spans="1:11">
      <c r="A593" s="1">
        <v>43556</v>
      </c>
      <c r="B593" t="s">
        <v>22</v>
      </c>
      <c r="C593" t="s">
        <v>2237</v>
      </c>
      <c r="D593" s="35">
        <v>103.53100000000001</v>
      </c>
      <c r="E593" s="35">
        <v>5.3138300921411273E-2</v>
      </c>
      <c r="F593" s="35">
        <v>4.4134533855607172</v>
      </c>
      <c r="G593" s="35">
        <v>-0.20981878280513042</v>
      </c>
      <c r="H593" s="35">
        <v>0.2629570837265417</v>
      </c>
      <c r="I593" s="35">
        <v>3.2057982472223134</v>
      </c>
      <c r="J593" t="s">
        <v>2434</v>
      </c>
      <c r="K593" t="s">
        <v>40</v>
      </c>
    </row>
    <row r="594" spans="1:11">
      <c r="A594" s="1">
        <v>43586</v>
      </c>
      <c r="B594" t="s">
        <v>22</v>
      </c>
      <c r="C594" t="s">
        <v>2237</v>
      </c>
      <c r="D594" s="35">
        <v>103.233</v>
      </c>
      <c r="E594" s="35">
        <v>-0.2882515392791174</v>
      </c>
      <c r="F594" s="35">
        <v>4.28199324596088</v>
      </c>
      <c r="G594" s="35">
        <v>-0.60748395632500474</v>
      </c>
      <c r="H594" s="35">
        <v>0.31923241704588734</v>
      </c>
      <c r="I594" s="35">
        <v>3.9051097124039424</v>
      </c>
      <c r="J594" t="s">
        <v>2434</v>
      </c>
      <c r="K594" t="s">
        <v>40</v>
      </c>
    </row>
    <row r="595" spans="1:11">
      <c r="A595" s="1">
        <v>43617</v>
      </c>
      <c r="B595" t="s">
        <v>22</v>
      </c>
      <c r="C595" t="s">
        <v>2237</v>
      </c>
      <c r="D595" s="35">
        <v>103.29900000000001</v>
      </c>
      <c r="E595" s="35">
        <v>6.3912616201503694E-2</v>
      </c>
      <c r="F595" s="35">
        <v>3.947146913412225</v>
      </c>
      <c r="G595" s="35">
        <v>-0.18319094864445387</v>
      </c>
      <c r="H595" s="35">
        <v>0.24710356484595758</v>
      </c>
      <c r="I595" s="35">
        <v>3.0096438820667482</v>
      </c>
      <c r="J595" t="s">
        <v>2434</v>
      </c>
      <c r="K595" t="s">
        <v>40</v>
      </c>
    </row>
    <row r="596" spans="1:11">
      <c r="A596" s="1">
        <v>43647</v>
      </c>
      <c r="B596" t="s">
        <v>22</v>
      </c>
      <c r="C596" t="s">
        <v>2237</v>
      </c>
      <c r="D596" s="35">
        <v>103.687</v>
      </c>
      <c r="E596" s="35">
        <v>0.37490502203732701</v>
      </c>
      <c r="F596" s="35">
        <v>3.7813381657405332</v>
      </c>
      <c r="G596" s="35">
        <v>1.857230697938933E-2</v>
      </c>
      <c r="H596" s="35">
        <v>0.35633271505793768</v>
      </c>
      <c r="I596" s="35">
        <v>4.3687302384510351</v>
      </c>
      <c r="J596" t="s">
        <v>2435</v>
      </c>
      <c r="K596" t="s">
        <v>40</v>
      </c>
    </row>
    <row r="597" spans="1:11">
      <c r="A597" s="1">
        <v>43678</v>
      </c>
      <c r="B597" t="s">
        <v>22</v>
      </c>
      <c r="C597" t="s">
        <v>2237</v>
      </c>
      <c r="D597" s="35">
        <v>103.67</v>
      </c>
      <c r="E597" s="35">
        <v>-1.6396842197841235E-2</v>
      </c>
      <c r="F597" s="35">
        <v>3.1624407913067643</v>
      </c>
      <c r="G597" s="35">
        <v>-2.7232588788898948E-2</v>
      </c>
      <c r="H597" s="35">
        <v>1.0835746591057713E-2</v>
      </c>
      <c r="I597" s="35">
        <v>0.13011353339675846</v>
      </c>
      <c r="J597" t="s">
        <v>2435</v>
      </c>
      <c r="K597" t="s">
        <v>40</v>
      </c>
    </row>
    <row r="598" spans="1:11">
      <c r="A598" s="1">
        <v>43709</v>
      </c>
      <c r="B598" t="s">
        <v>22</v>
      </c>
      <c r="C598" t="s">
        <v>2237</v>
      </c>
      <c r="D598" s="35">
        <v>103.94199999999999</v>
      </c>
      <c r="E598" s="35">
        <v>0.26202739304622907</v>
      </c>
      <c r="F598" s="35">
        <v>2.9975128075547142</v>
      </c>
      <c r="G598" s="35">
        <v>0.11528589899523589</v>
      </c>
      <c r="H598" s="35">
        <v>0.14674149405099318</v>
      </c>
      <c r="I598" s="35">
        <v>1.7764931402908024</v>
      </c>
      <c r="J598" t="s">
        <v>2435</v>
      </c>
      <c r="K598" t="s">
        <v>40</v>
      </c>
    </row>
    <row r="599" spans="1:11">
      <c r="A599" s="1">
        <v>43739</v>
      </c>
      <c r="B599" t="s">
        <v>22</v>
      </c>
      <c r="C599" t="s">
        <v>2237</v>
      </c>
      <c r="D599" s="35">
        <v>104.503</v>
      </c>
      <c r="E599" s="35">
        <v>0.53827278612833485</v>
      </c>
      <c r="F599" s="35">
        <v>3.0195189274447864</v>
      </c>
      <c r="G599" s="35">
        <v>0.17125837170386743</v>
      </c>
      <c r="H599" s="35">
        <v>0.36701441442446742</v>
      </c>
      <c r="I599" s="35">
        <v>4.5025962630809602</v>
      </c>
      <c r="J599" t="s">
        <v>2436</v>
      </c>
      <c r="K599" t="s">
        <v>40</v>
      </c>
    </row>
    <row r="600" spans="1:11">
      <c r="A600" s="1">
        <v>43770</v>
      </c>
      <c r="B600" t="s">
        <v>22</v>
      </c>
      <c r="C600" t="s">
        <v>2237</v>
      </c>
      <c r="D600" s="35">
        <v>105.346</v>
      </c>
      <c r="E600" s="35">
        <v>0.80343917267607246</v>
      </c>
      <c r="F600" s="35">
        <v>2.9744973265691144</v>
      </c>
      <c r="G600" s="35">
        <v>0.43204811008838456</v>
      </c>
      <c r="H600" s="35">
        <v>0.37139106258768789</v>
      </c>
      <c r="I600" s="35">
        <v>4.5574952097398924</v>
      </c>
      <c r="J600" t="s">
        <v>2436</v>
      </c>
      <c r="K600" t="s">
        <v>40</v>
      </c>
    </row>
    <row r="601" spans="1:11">
      <c r="A601" s="1">
        <v>43800</v>
      </c>
      <c r="B601" t="s">
        <v>22</v>
      </c>
      <c r="C601" t="s">
        <v>2237</v>
      </c>
      <c r="D601" s="35">
        <v>105.934</v>
      </c>
      <c r="E601" s="35">
        <v>0.55660878273813574</v>
      </c>
      <c r="F601" s="35">
        <v>2.8285769753445988</v>
      </c>
      <c r="G601" s="35">
        <v>9.0732441503875105E-2</v>
      </c>
      <c r="H601" s="35">
        <v>0.46587634123426064</v>
      </c>
      <c r="I601" s="35">
        <v>5.7497386931108174</v>
      </c>
      <c r="J601" t="s">
        <v>2436</v>
      </c>
      <c r="K601" t="s">
        <v>40</v>
      </c>
    </row>
    <row r="602" spans="1:11">
      <c r="A602" s="1">
        <v>43831</v>
      </c>
      <c r="B602" t="s">
        <v>22</v>
      </c>
      <c r="C602" t="s">
        <v>2237</v>
      </c>
      <c r="D602" s="35">
        <v>106.447</v>
      </c>
      <c r="E602" s="35">
        <v>0.48309500162674524</v>
      </c>
      <c r="F602" s="35">
        <v>3.2383520192419635</v>
      </c>
      <c r="G602" s="35">
        <v>0.17355366550716039</v>
      </c>
      <c r="H602" s="35">
        <v>0.30954133611958484</v>
      </c>
      <c r="I602" s="35">
        <v>3.7843456068717751</v>
      </c>
      <c r="J602" t="s">
        <v>2437</v>
      </c>
      <c r="K602" t="s">
        <v>40</v>
      </c>
    </row>
    <row r="603" spans="1:11">
      <c r="A603" s="1">
        <v>43862</v>
      </c>
      <c r="B603" t="s">
        <v>22</v>
      </c>
      <c r="C603" t="s">
        <v>2237</v>
      </c>
      <c r="D603" s="35">
        <v>106.889</v>
      </c>
      <c r="E603" s="35">
        <v>0.41437041328102142</v>
      </c>
      <c r="F603" s="35">
        <v>3.6961941811620269</v>
      </c>
      <c r="G603" s="35">
        <v>-2.3713097848198361E-2</v>
      </c>
      <c r="H603" s="35">
        <v>0.43808351112921978</v>
      </c>
      <c r="I603" s="35">
        <v>5.3976360327123496</v>
      </c>
      <c r="J603" t="s">
        <v>2437</v>
      </c>
      <c r="K603" t="s">
        <v>40</v>
      </c>
    </row>
    <row r="604" spans="1:11">
      <c r="A604" s="1">
        <v>43891</v>
      </c>
      <c r="B604" t="s">
        <v>22</v>
      </c>
      <c r="C604" t="s">
        <v>2237</v>
      </c>
      <c r="D604" s="35">
        <v>106.83799999999999</v>
      </c>
      <c r="E604" s="35">
        <v>-4.7724434412117885E-2</v>
      </c>
      <c r="F604" s="35">
        <v>3.249062584560658</v>
      </c>
      <c r="G604" s="35">
        <v>4.9988579633774066E-2</v>
      </c>
      <c r="H604" s="35">
        <v>-9.7713014045891944E-2</v>
      </c>
      <c r="I604" s="35">
        <v>-1.1657085190192928</v>
      </c>
      <c r="J604" t="s">
        <v>2437</v>
      </c>
      <c r="K604" t="s">
        <v>40</v>
      </c>
    </row>
    <row r="605" spans="1:11">
      <c r="A605" s="1">
        <v>43922</v>
      </c>
      <c r="B605" t="s">
        <v>22</v>
      </c>
      <c r="C605" t="s">
        <v>2237</v>
      </c>
      <c r="D605" s="35">
        <v>105.755</v>
      </c>
      <c r="E605" s="35">
        <v>-1.0188570353327357</v>
      </c>
      <c r="F605" s="35">
        <v>2.1481488636253765</v>
      </c>
      <c r="G605" s="35">
        <v>-0.20981878280513042</v>
      </c>
      <c r="H605" s="35">
        <v>-0.80903825252760531</v>
      </c>
      <c r="I605" s="35">
        <v>-9.2520761057633631</v>
      </c>
      <c r="J605" t="s">
        <v>2438</v>
      </c>
      <c r="K605" t="s">
        <v>40</v>
      </c>
    </row>
    <row r="606" spans="1:11">
      <c r="A606" s="1">
        <v>43952</v>
      </c>
      <c r="B606" t="s">
        <v>22</v>
      </c>
      <c r="C606" t="s">
        <v>2237</v>
      </c>
      <c r="D606" s="35">
        <v>106.16200000000001</v>
      </c>
      <c r="E606" s="35">
        <v>0.38411312015193622</v>
      </c>
      <c r="F606" s="35">
        <v>2.8372710276752588</v>
      </c>
      <c r="G606" s="35">
        <v>-0.60748395632500474</v>
      </c>
      <c r="H606" s="35">
        <v>0.99159707647694095</v>
      </c>
      <c r="I606" s="35">
        <v>12.636051221206944</v>
      </c>
      <c r="J606" t="s">
        <v>2438</v>
      </c>
      <c r="K606" t="s">
        <v>40</v>
      </c>
    </row>
    <row r="607" spans="1:11">
      <c r="A607" s="1">
        <v>43983</v>
      </c>
      <c r="B607" t="s">
        <v>22</v>
      </c>
      <c r="C607" t="s">
        <v>2237</v>
      </c>
      <c r="D607" s="35">
        <v>106.74299999999999</v>
      </c>
      <c r="E607" s="35">
        <v>0.54578468541312586</v>
      </c>
      <c r="F607" s="35">
        <v>3.3340109778410065</v>
      </c>
      <c r="G607" s="35">
        <v>-0.18319094864445387</v>
      </c>
      <c r="H607" s="35">
        <v>0.7289756340575797</v>
      </c>
      <c r="I607" s="35">
        <v>9.1417244602115755</v>
      </c>
      <c r="J607" t="s">
        <v>2438</v>
      </c>
      <c r="K607" t="s">
        <v>40</v>
      </c>
    </row>
    <row r="608" spans="1:11">
      <c r="A608" s="1">
        <v>44013</v>
      </c>
      <c r="B608" t="s">
        <v>22</v>
      </c>
      <c r="C608" t="s">
        <v>2237</v>
      </c>
      <c r="D608" s="35">
        <v>107.444</v>
      </c>
      <c r="E608" s="35">
        <v>0.65457054156775318</v>
      </c>
      <c r="F608" s="35">
        <v>3.6234050556000374</v>
      </c>
      <c r="G608" s="35">
        <v>1.857230697938933E-2</v>
      </c>
      <c r="H608" s="35">
        <v>0.63599823458836391</v>
      </c>
      <c r="I608" s="35">
        <v>7.9307668779088791</v>
      </c>
      <c r="J608" t="s">
        <v>2439</v>
      </c>
      <c r="K608" t="s">
        <v>40</v>
      </c>
    </row>
    <row r="609" spans="1:11">
      <c r="A609" s="1">
        <v>44044</v>
      </c>
      <c r="B609" t="s">
        <v>22</v>
      </c>
      <c r="C609" t="s">
        <v>2237</v>
      </c>
      <c r="D609" s="35">
        <v>107.867</v>
      </c>
      <c r="E609" s="35">
        <v>0.39292051424439767</v>
      </c>
      <c r="F609" s="35">
        <v>4.0484228802932343</v>
      </c>
      <c r="G609" s="35">
        <v>-2.7232588788898948E-2</v>
      </c>
      <c r="H609" s="35">
        <v>0.42015310303329662</v>
      </c>
      <c r="I609" s="35">
        <v>5.1711011167494103</v>
      </c>
      <c r="J609" t="s">
        <v>2439</v>
      </c>
      <c r="K609" t="s">
        <v>40</v>
      </c>
    </row>
    <row r="610" spans="1:11">
      <c r="A610" s="1">
        <v>44075</v>
      </c>
      <c r="B610" t="s">
        <v>22</v>
      </c>
      <c r="C610" t="s">
        <v>2237</v>
      </c>
      <c r="D610" s="35">
        <v>108.114</v>
      </c>
      <c r="E610" s="35">
        <v>0.22872392264220834</v>
      </c>
      <c r="F610" s="35">
        <v>4.0137769140482282</v>
      </c>
      <c r="G610" s="35">
        <v>0.11528589899523589</v>
      </c>
      <c r="H610" s="35">
        <v>0.11343802364697245</v>
      </c>
      <c r="I610" s="35">
        <v>1.3705635611295675</v>
      </c>
      <c r="J610" t="s">
        <v>2439</v>
      </c>
      <c r="K610" t="s">
        <v>40</v>
      </c>
    </row>
    <row r="611" spans="1:11">
      <c r="A611" s="1">
        <v>44105</v>
      </c>
      <c r="B611" t="s">
        <v>22</v>
      </c>
      <c r="C611" t="s">
        <v>2237</v>
      </c>
      <c r="D611" s="35">
        <v>108.774</v>
      </c>
      <c r="E611" s="35">
        <v>0.60861093028540059</v>
      </c>
      <c r="F611" s="35">
        <v>4.0869640106025562</v>
      </c>
      <c r="G611" s="35">
        <v>0.17125837170386743</v>
      </c>
      <c r="H611" s="35">
        <v>0.43735255858153316</v>
      </c>
      <c r="I611" s="35">
        <v>5.3883915576852459</v>
      </c>
      <c r="J611" t="s">
        <v>2440</v>
      </c>
      <c r="K611" t="s">
        <v>40</v>
      </c>
    </row>
    <row r="612" spans="1:11">
      <c r="A612" s="1">
        <v>44136</v>
      </c>
      <c r="B612" t="s">
        <v>22</v>
      </c>
      <c r="C612" t="s">
        <v>2237</v>
      </c>
      <c r="D612" s="35">
        <v>108.85599999999999</v>
      </c>
      <c r="E612" s="35">
        <v>7.5357261297111219E-2</v>
      </c>
      <c r="F612" s="35">
        <v>3.3318778121618209</v>
      </c>
      <c r="G612" s="35">
        <v>0.43204811008838456</v>
      </c>
      <c r="H612" s="35">
        <v>-0.35669084879127333</v>
      </c>
      <c r="I612" s="35">
        <v>-4.1899788767328028</v>
      </c>
      <c r="J612" t="s">
        <v>2440</v>
      </c>
      <c r="K612" t="s">
        <v>40</v>
      </c>
    </row>
    <row r="613" spans="1:11">
      <c r="A613" s="1">
        <v>44166</v>
      </c>
      <c r="B613" t="s">
        <v>22</v>
      </c>
      <c r="C613" t="s">
        <v>2237</v>
      </c>
      <c r="D613" s="35">
        <v>109.271</v>
      </c>
      <c r="E613" s="35">
        <v>0.3805127294940604</v>
      </c>
      <c r="F613" s="35">
        <v>3.1500745747352177</v>
      </c>
      <c r="G613" s="35">
        <v>9.0732441503875105E-2</v>
      </c>
      <c r="H613" s="35">
        <v>0.28978028799018529</v>
      </c>
      <c r="I613" s="35">
        <v>3.538530681860319</v>
      </c>
      <c r="J613" t="s">
        <v>2440</v>
      </c>
      <c r="K613" t="s">
        <v>40</v>
      </c>
    </row>
    <row r="614" spans="1:11">
      <c r="A614" s="1">
        <v>44197</v>
      </c>
      <c r="B614" t="s">
        <v>22</v>
      </c>
      <c r="C614" t="s">
        <v>2237</v>
      </c>
      <c r="D614" s="35">
        <v>110.21</v>
      </c>
      <c r="E614" s="35">
        <v>0.85566015199527223</v>
      </c>
      <c r="F614" s="35">
        <v>3.5350925812845713</v>
      </c>
      <c r="G614" s="35">
        <v>0.17355366550716039</v>
      </c>
      <c r="H614" s="35">
        <v>0.6821064864881119</v>
      </c>
      <c r="I614" s="35">
        <v>8.5296019027858208</v>
      </c>
      <c r="J614" t="s">
        <v>132</v>
      </c>
      <c r="K614" t="s">
        <v>40</v>
      </c>
    </row>
    <row r="615" spans="1:11">
      <c r="A615" s="1">
        <v>44228</v>
      </c>
      <c r="B615" t="s">
        <v>22</v>
      </c>
      <c r="C615" t="s">
        <v>2237</v>
      </c>
      <c r="D615" s="35">
        <v>110.907</v>
      </c>
      <c r="E615" s="35">
        <v>0.63043755887549924</v>
      </c>
      <c r="F615" s="35">
        <v>3.759039751517923</v>
      </c>
      <c r="G615" s="35">
        <v>-2.3713097848198361E-2</v>
      </c>
      <c r="H615" s="35">
        <v>0.65415065672369765</v>
      </c>
      <c r="I615" s="35">
        <v>8.1661277080037564</v>
      </c>
      <c r="J615" t="s">
        <v>132</v>
      </c>
      <c r="K615" t="s">
        <v>40</v>
      </c>
    </row>
    <row r="616" spans="1:11">
      <c r="A616" s="1">
        <v>44256</v>
      </c>
      <c r="B616" t="s">
        <v>22</v>
      </c>
      <c r="C616" t="s">
        <v>2237</v>
      </c>
      <c r="D616" s="35">
        <v>111.824</v>
      </c>
      <c r="E616" s="35">
        <v>0.82341944425676583</v>
      </c>
      <c r="F616" s="35">
        <v>4.6668788258859228</v>
      </c>
      <c r="G616" s="35">
        <v>4.9988579633774066E-2</v>
      </c>
      <c r="H616" s="35">
        <v>0.77343086462299171</v>
      </c>
      <c r="I616" s="35">
        <v>9.7255106798328264</v>
      </c>
      <c r="J616" t="s">
        <v>132</v>
      </c>
      <c r="K616" t="s">
        <v>40</v>
      </c>
    </row>
    <row r="617" spans="1:11">
      <c r="A617" s="1">
        <v>44287</v>
      </c>
      <c r="B617" t="s">
        <v>22</v>
      </c>
      <c r="C617" t="s">
        <v>2237</v>
      </c>
      <c r="D617" s="35">
        <v>112.19</v>
      </c>
      <c r="E617" s="35">
        <v>0.32676558221002006</v>
      </c>
      <c r="F617" s="35">
        <v>6.0848186846957697</v>
      </c>
      <c r="G617" s="35">
        <v>-0.20981878280513042</v>
      </c>
      <c r="H617" s="35">
        <v>0.5365843650151505</v>
      </c>
      <c r="I617" s="35">
        <v>6.6508387919559375</v>
      </c>
      <c r="J617" t="s">
        <v>136</v>
      </c>
      <c r="K617" t="s">
        <v>40</v>
      </c>
    </row>
    <row r="618" spans="1:11">
      <c r="A618" s="1">
        <v>44317</v>
      </c>
      <c r="B618" t="s">
        <v>22</v>
      </c>
      <c r="C618" t="s">
        <v>2237</v>
      </c>
      <c r="D618" s="35">
        <v>112.419</v>
      </c>
      <c r="E618" s="35">
        <v>0.20390997631182023</v>
      </c>
      <c r="F618" s="35">
        <v>5.8938226484052558</v>
      </c>
      <c r="G618" s="35">
        <v>-0.60748395632500474</v>
      </c>
      <c r="H618" s="35">
        <v>0.81139393263682491</v>
      </c>
      <c r="I618" s="35">
        <v>10.226513031539008</v>
      </c>
      <c r="J618" t="s">
        <v>136</v>
      </c>
      <c r="K618" t="s">
        <v>40</v>
      </c>
    </row>
    <row r="619" spans="1:11">
      <c r="A619" s="1">
        <v>44348</v>
      </c>
      <c r="B619" t="s">
        <v>22</v>
      </c>
      <c r="C619" t="s">
        <v>2237</v>
      </c>
      <c r="D619" s="35">
        <v>113.018</v>
      </c>
      <c r="E619" s="35">
        <v>0.53141357421181279</v>
      </c>
      <c r="F619" s="35">
        <v>5.8786056228511629</v>
      </c>
      <c r="G619" s="35">
        <v>-0.18319094864445387</v>
      </c>
      <c r="H619" s="35">
        <v>0.71460452285626663</v>
      </c>
      <c r="I619" s="35">
        <v>8.95366811846392</v>
      </c>
      <c r="J619" t="s">
        <v>136</v>
      </c>
      <c r="K619" t="s">
        <v>40</v>
      </c>
    </row>
    <row r="620" spans="1:11">
      <c r="A620" s="1">
        <v>44378</v>
      </c>
      <c r="B620" t="s">
        <v>22</v>
      </c>
      <c r="C620" t="s">
        <v>2237</v>
      </c>
      <c r="D620" s="35">
        <v>113.682</v>
      </c>
      <c r="E620" s="35">
        <v>0.58579788161705726</v>
      </c>
      <c r="F620" s="35">
        <v>5.8058151222962762</v>
      </c>
      <c r="G620" s="35">
        <v>1.857230697938933E-2</v>
      </c>
      <c r="H620" s="35">
        <v>0.56722557463766798</v>
      </c>
      <c r="I620" s="35">
        <v>7.0437099170545858</v>
      </c>
      <c r="J620" t="s">
        <v>139</v>
      </c>
      <c r="K620" t="s">
        <v>40</v>
      </c>
    </row>
    <row r="621" spans="1:11">
      <c r="A621" s="1">
        <v>44409</v>
      </c>
      <c r="B621" t="s">
        <v>22</v>
      </c>
      <c r="C621" t="s">
        <v>2237</v>
      </c>
      <c r="D621" s="35">
        <v>113.899</v>
      </c>
      <c r="E621" s="35">
        <v>0.19070139050595958</v>
      </c>
      <c r="F621" s="35">
        <v>5.5920717179489543</v>
      </c>
      <c r="G621" s="35">
        <v>-2.7232588788898948E-2</v>
      </c>
      <c r="H621" s="35">
        <v>0.21793397929485853</v>
      </c>
      <c r="I621" s="35">
        <v>2.6497043723809899</v>
      </c>
      <c r="J621" t="s">
        <v>139</v>
      </c>
      <c r="K621" t="s">
        <v>40</v>
      </c>
    </row>
    <row r="622" spans="1:11">
      <c r="A622" s="1">
        <v>44440</v>
      </c>
      <c r="B622" t="s">
        <v>22</v>
      </c>
      <c r="C622" t="s">
        <v>2237</v>
      </c>
      <c r="D622" s="35">
        <v>114.601</v>
      </c>
      <c r="E622" s="35">
        <v>0.61444394627184229</v>
      </c>
      <c r="F622" s="35">
        <v>6.0001479919344236</v>
      </c>
      <c r="G622" s="35">
        <v>0.11528589899523589</v>
      </c>
      <c r="H622" s="35">
        <v>0.4991580472766064</v>
      </c>
      <c r="I622" s="35">
        <v>6.1729270024097005</v>
      </c>
      <c r="J622" t="s">
        <v>139</v>
      </c>
      <c r="K622" t="s">
        <v>40</v>
      </c>
    </row>
    <row r="623" spans="1:11">
      <c r="A623" s="1">
        <v>44470</v>
      </c>
      <c r="B623" t="s">
        <v>22</v>
      </c>
      <c r="C623" t="s">
        <v>2237</v>
      </c>
      <c r="D623" s="35">
        <v>115.56100000000001</v>
      </c>
      <c r="E623" s="35">
        <v>0.83419988278612711</v>
      </c>
      <c r="F623" s="35">
        <v>6.2395425377387959</v>
      </c>
      <c r="G623" s="35">
        <v>0.17125837170386743</v>
      </c>
      <c r="H623" s="35">
        <v>0.66294151108225963</v>
      </c>
      <c r="I623" s="35">
        <v>8.2802926348766626</v>
      </c>
      <c r="J623" t="s">
        <v>142</v>
      </c>
      <c r="K623" t="s">
        <v>40</v>
      </c>
    </row>
    <row r="624" spans="1:11">
      <c r="A624" s="1">
        <v>44501</v>
      </c>
      <c r="B624" t="s">
        <v>22</v>
      </c>
      <c r="C624" t="s">
        <v>2237</v>
      </c>
      <c r="D624" s="35">
        <v>116.884</v>
      </c>
      <c r="E624" s="35">
        <v>1.1383460917765569</v>
      </c>
      <c r="F624" s="35">
        <v>7.3748805761740366</v>
      </c>
      <c r="G624" s="35">
        <v>0.43204811008838456</v>
      </c>
      <c r="H624" s="35">
        <v>0.70629798168817226</v>
      </c>
      <c r="I624" s="35">
        <v>8.8451188520317423</v>
      </c>
      <c r="J624" t="s">
        <v>142</v>
      </c>
      <c r="K624" t="s">
        <v>40</v>
      </c>
    </row>
    <row r="625" spans="1:11">
      <c r="A625" s="1">
        <v>44531</v>
      </c>
      <c r="B625" t="s">
        <v>22</v>
      </c>
      <c r="C625" t="s">
        <v>2237</v>
      </c>
      <c r="D625" s="35">
        <v>117.30800000000001</v>
      </c>
      <c r="E625" s="35">
        <v>0.3620964535669885</v>
      </c>
      <c r="F625" s="35">
        <v>7.3551079426380284</v>
      </c>
      <c r="G625" s="35">
        <v>9.0732441503875105E-2</v>
      </c>
      <c r="H625" s="35">
        <v>0.27136401206311339</v>
      </c>
      <c r="I625" s="35">
        <v>3.3099680332369985</v>
      </c>
      <c r="J625" t="s">
        <v>142</v>
      </c>
      <c r="K625" t="s">
        <v>40</v>
      </c>
    </row>
    <row r="626" spans="1:11">
      <c r="A626" s="1">
        <v>44562</v>
      </c>
      <c r="B626" t="s">
        <v>22</v>
      </c>
      <c r="C626" t="s">
        <v>2237</v>
      </c>
      <c r="D626" s="35">
        <v>118.002</v>
      </c>
      <c r="E626" s="35">
        <v>0.58986189472167749</v>
      </c>
      <c r="F626" s="35">
        <v>7.0701388258778808</v>
      </c>
      <c r="G626" s="35">
        <v>0.17355366550716039</v>
      </c>
      <c r="H626" s="35">
        <v>0.4163082292145171</v>
      </c>
      <c r="I626" s="35">
        <v>5.1225879556478615</v>
      </c>
      <c r="J626" t="s">
        <v>145</v>
      </c>
      <c r="K626" t="s">
        <v>40</v>
      </c>
    </row>
    <row r="627" spans="1:11">
      <c r="A627" s="1">
        <v>44593</v>
      </c>
      <c r="B627" t="s">
        <v>22</v>
      </c>
      <c r="C627" t="s">
        <v>2237</v>
      </c>
      <c r="D627" s="35">
        <v>118.98099999999999</v>
      </c>
      <c r="E627" s="35">
        <v>0.8262243023779301</v>
      </c>
      <c r="F627" s="35">
        <v>7.2799733109722542</v>
      </c>
      <c r="G627" s="35">
        <v>-2.3713097848198361E-2</v>
      </c>
      <c r="H627" s="35">
        <v>0.8499374002261284</v>
      </c>
      <c r="I627" s="35">
        <v>10.737515312458768</v>
      </c>
      <c r="J627" t="s">
        <v>145</v>
      </c>
      <c r="K627" t="s">
        <v>40</v>
      </c>
    </row>
    <row r="628" spans="1:11">
      <c r="A628" s="1">
        <v>44621</v>
      </c>
      <c r="B628" t="s">
        <v>22</v>
      </c>
      <c r="C628" t="s">
        <v>2237</v>
      </c>
      <c r="D628" s="35">
        <v>120.15900000000001</v>
      </c>
      <c r="E628" s="35">
        <v>0.98520492458260522</v>
      </c>
      <c r="F628" s="35">
        <v>7.453677207039644</v>
      </c>
      <c r="G628" s="35">
        <v>4.9988579633774066E-2</v>
      </c>
      <c r="H628" s="35">
        <v>0.9352163449488311</v>
      </c>
      <c r="I628" s="35">
        <v>11.876562992706074</v>
      </c>
      <c r="J628" t="s">
        <v>145</v>
      </c>
      <c r="K628" t="s">
        <v>40</v>
      </c>
    </row>
    <row r="629" spans="1:11">
      <c r="A629" s="1">
        <v>44652</v>
      </c>
      <c r="B629" t="s">
        <v>22</v>
      </c>
      <c r="C629" t="s">
        <v>2237</v>
      </c>
      <c r="D629" s="35">
        <v>120.809</v>
      </c>
      <c r="E629" s="35">
        <v>0.53949202925615625</v>
      </c>
      <c r="F629" s="35">
        <v>7.6825028968713793</v>
      </c>
      <c r="G629" s="35">
        <v>-0.20981878280513042</v>
      </c>
      <c r="H629" s="35">
        <v>0.74931081206128669</v>
      </c>
      <c r="I629" s="35">
        <v>9.4083796440724186</v>
      </c>
      <c r="J629" t="s">
        <v>148</v>
      </c>
      <c r="K629" t="s">
        <v>40</v>
      </c>
    </row>
    <row r="630" spans="1:11">
      <c r="A630" s="1">
        <v>44682</v>
      </c>
      <c r="B630" t="s">
        <v>22</v>
      </c>
      <c r="C630" t="s">
        <v>2237</v>
      </c>
      <c r="D630" s="35">
        <v>121.02200000000001</v>
      </c>
      <c r="E630" s="35">
        <v>0.17615612148980303</v>
      </c>
      <c r="F630" s="35">
        <v>7.6526209982298532</v>
      </c>
      <c r="G630" s="35">
        <v>-0.60748395632500474</v>
      </c>
      <c r="H630" s="35">
        <v>0.78364007781480782</v>
      </c>
      <c r="I630" s="35">
        <v>9.8600183918172704</v>
      </c>
      <c r="J630" t="s">
        <v>148</v>
      </c>
      <c r="K630" t="s">
        <v>40</v>
      </c>
    </row>
    <row r="631" spans="1:11">
      <c r="A631" s="1">
        <v>44713</v>
      </c>
      <c r="B631" t="s">
        <v>22</v>
      </c>
      <c r="C631" t="s">
        <v>2237</v>
      </c>
      <c r="D631" s="35">
        <v>122.044</v>
      </c>
      <c r="E631" s="35">
        <v>0.84092881986768397</v>
      </c>
      <c r="F631" s="35">
        <v>7.9863384593604536</v>
      </c>
      <c r="G631" s="35">
        <v>-0.18319094864445387</v>
      </c>
      <c r="H631" s="35">
        <v>1.0241197685121379</v>
      </c>
      <c r="I631" s="35">
        <v>13.076497444686064</v>
      </c>
      <c r="J631" t="s">
        <v>148</v>
      </c>
      <c r="K631" t="s">
        <v>40</v>
      </c>
    </row>
    <row r="632" spans="1:11">
      <c r="A632" s="1">
        <v>44743</v>
      </c>
      <c r="B632" t="s">
        <v>22</v>
      </c>
      <c r="C632" t="s">
        <v>2237</v>
      </c>
      <c r="D632" s="35">
        <v>122.94799999999999</v>
      </c>
      <c r="E632" s="35">
        <v>0.73798663044703905</v>
      </c>
      <c r="F632" s="35">
        <v>8.1508066360549414</v>
      </c>
      <c r="G632" s="35">
        <v>1.857230697938933E-2</v>
      </c>
      <c r="H632" s="35">
        <v>0.71941432346764977</v>
      </c>
      <c r="I632" s="35">
        <v>9.0165717202880238</v>
      </c>
      <c r="J632" t="s">
        <v>151</v>
      </c>
      <c r="K632" t="s">
        <v>40</v>
      </c>
    </row>
    <row r="633" spans="1:11">
      <c r="A633" s="1">
        <v>44774</v>
      </c>
      <c r="B633" t="s">
        <v>22</v>
      </c>
      <c r="C633" t="s">
        <v>2237</v>
      </c>
      <c r="D633" s="35">
        <v>123.803</v>
      </c>
      <c r="E633" s="35">
        <v>0.69300908353853885</v>
      </c>
      <c r="F633" s="35">
        <v>8.6954231380433455</v>
      </c>
      <c r="G633" s="35">
        <v>-2.7232588788898948E-2</v>
      </c>
      <c r="H633" s="35">
        <v>0.72024167232743785</v>
      </c>
      <c r="I633" s="35">
        <v>9.0273956259451893</v>
      </c>
      <c r="J633" t="s">
        <v>151</v>
      </c>
      <c r="K633" t="s">
        <v>40</v>
      </c>
    </row>
    <row r="634" spans="1:11">
      <c r="A634" s="1">
        <v>44805</v>
      </c>
      <c r="B634" t="s">
        <v>22</v>
      </c>
      <c r="C634" t="s">
        <v>2237</v>
      </c>
      <c r="D634" s="35">
        <v>124.571</v>
      </c>
      <c r="E634" s="35">
        <v>0.61842418906061525</v>
      </c>
      <c r="F634" s="35">
        <v>8.6997495658851065</v>
      </c>
      <c r="G634" s="35">
        <v>0.11528589899523589</v>
      </c>
      <c r="H634" s="35">
        <v>0.50313829006537936</v>
      </c>
      <c r="I634" s="35">
        <v>6.2236503981789149</v>
      </c>
      <c r="J634" t="s">
        <v>151</v>
      </c>
      <c r="K634" t="s">
        <v>40</v>
      </c>
    </row>
    <row r="635" spans="1:11">
      <c r="A635" s="1">
        <v>44835</v>
      </c>
      <c r="B635" t="s">
        <v>22</v>
      </c>
      <c r="C635" t="s">
        <v>2237</v>
      </c>
      <c r="D635" s="35">
        <v>125.276</v>
      </c>
      <c r="E635" s="35">
        <v>0.56434687717880272</v>
      </c>
      <c r="F635" s="35">
        <v>8.406815448118298</v>
      </c>
      <c r="G635" s="35">
        <v>0.17125837170386743</v>
      </c>
      <c r="H635" s="35">
        <v>0.39308850547493529</v>
      </c>
      <c r="I635" s="35">
        <v>4.8300855602474657</v>
      </c>
      <c r="J635" t="s">
        <v>154</v>
      </c>
      <c r="K635" t="s">
        <v>40</v>
      </c>
    </row>
    <row r="636" spans="1:11">
      <c r="A636" s="1">
        <v>44866</v>
      </c>
      <c r="B636" t="s">
        <v>22</v>
      </c>
      <c r="C636" t="s">
        <v>2237</v>
      </c>
      <c r="D636" s="35">
        <v>125.997</v>
      </c>
      <c r="E636" s="35">
        <v>0.57387938916533709</v>
      </c>
      <c r="F636" s="35">
        <v>7.7966188699907679</v>
      </c>
      <c r="G636" s="35">
        <v>0.43204811008838456</v>
      </c>
      <c r="H636" s="35">
        <v>0.14183127907695253</v>
      </c>
      <c r="I636" s="35">
        <v>1.716541469286148</v>
      </c>
      <c r="J636" t="s">
        <v>154</v>
      </c>
      <c r="K636" t="s">
        <v>40</v>
      </c>
    </row>
    <row r="637" spans="1:11">
      <c r="A637" s="1">
        <v>44896</v>
      </c>
      <c r="B637" t="s">
        <v>22</v>
      </c>
      <c r="C637" t="s">
        <v>2237</v>
      </c>
      <c r="D637" s="35">
        <v>126.47799999999999</v>
      </c>
      <c r="E637" s="35">
        <v>0.38102828552524864</v>
      </c>
      <c r="F637" s="35">
        <v>7.8170286766460872</v>
      </c>
      <c r="G637" s="35">
        <v>9.0732441503875105E-2</v>
      </c>
      <c r="H637" s="35">
        <v>0.29029584402137354</v>
      </c>
      <c r="I637" s="35">
        <v>3.5449364696852559</v>
      </c>
      <c r="J637" t="s">
        <v>154</v>
      </c>
      <c r="K637" t="s">
        <v>40</v>
      </c>
    </row>
    <row r="638" spans="1:11">
      <c r="A638" s="1">
        <v>44927</v>
      </c>
      <c r="B638" t="s">
        <v>22</v>
      </c>
      <c r="C638" t="s">
        <v>2237</v>
      </c>
      <c r="D638" s="35">
        <v>127.336</v>
      </c>
      <c r="E638" s="35">
        <v>0.67608821280836406</v>
      </c>
      <c r="F638" s="35">
        <v>7.9100354231284253</v>
      </c>
      <c r="G638" s="35">
        <v>0.17355366550716039</v>
      </c>
      <c r="H638" s="35">
        <v>0.50253454730120373</v>
      </c>
      <c r="I638" s="35">
        <v>6.2159548657121366</v>
      </c>
      <c r="J638" t="s">
        <v>157</v>
      </c>
      <c r="K638" t="s">
        <v>40</v>
      </c>
    </row>
    <row r="639" spans="1:11">
      <c r="A639" s="1">
        <v>44958</v>
      </c>
      <c r="B639" t="s">
        <v>22</v>
      </c>
      <c r="C639" t="s">
        <v>2237</v>
      </c>
      <c r="D639" s="35">
        <v>128.04599999999999</v>
      </c>
      <c r="E639" s="35">
        <v>0.55603122323355814</v>
      </c>
      <c r="F639" s="35">
        <v>7.6188635160235663</v>
      </c>
      <c r="G639" s="35">
        <v>-2.3713097848198361E-2</v>
      </c>
      <c r="H639" s="35">
        <v>0.57974432108175655</v>
      </c>
      <c r="I639" s="35">
        <v>7.2046371307555646</v>
      </c>
      <c r="J639" t="s">
        <v>157</v>
      </c>
      <c r="K639" t="s">
        <v>40</v>
      </c>
    </row>
    <row r="640" spans="1:11">
      <c r="A640" s="1">
        <v>44986</v>
      </c>
      <c r="B640" t="s">
        <v>22</v>
      </c>
      <c r="C640" t="s">
        <v>2237</v>
      </c>
      <c r="D640" s="35">
        <v>128.38900000000001</v>
      </c>
      <c r="E640" s="35">
        <v>0.26751434441752425</v>
      </c>
      <c r="F640" s="35">
        <v>6.8492580663953584</v>
      </c>
      <c r="G640" s="35">
        <v>4.9988579633774066E-2</v>
      </c>
      <c r="H640" s="35">
        <v>0.21752576478375019</v>
      </c>
      <c r="I640" s="35">
        <v>2.6446761236719407</v>
      </c>
      <c r="J640" t="s">
        <v>157</v>
      </c>
      <c r="K640" t="s">
        <v>40</v>
      </c>
    </row>
    <row r="641" spans="1:11">
      <c r="A641" s="1">
        <v>45017</v>
      </c>
      <c r="B641" t="s">
        <v>22</v>
      </c>
      <c r="C641" t="s">
        <v>2237</v>
      </c>
      <c r="D641" s="35">
        <v>128.363</v>
      </c>
      <c r="E641" s="35">
        <v>-2.0253006861788426E-2</v>
      </c>
      <c r="F641" s="35">
        <v>6.2528454005910117</v>
      </c>
      <c r="G641" s="35">
        <v>-0.20981878280513042</v>
      </c>
      <c r="H641" s="35">
        <v>0.18956577594334198</v>
      </c>
      <c r="I641" s="35">
        <v>2.3008599521161299</v>
      </c>
      <c r="J641" t="s">
        <v>160</v>
      </c>
      <c r="K641" t="s">
        <v>40</v>
      </c>
    </row>
    <row r="642" spans="1:11">
      <c r="A642" s="1">
        <v>45047</v>
      </c>
      <c r="B642" t="s">
        <v>22</v>
      </c>
      <c r="C642" t="s">
        <v>2237</v>
      </c>
      <c r="D642" s="35">
        <v>128.084</v>
      </c>
      <c r="E642" s="35">
        <v>-0.21758890536988634</v>
      </c>
      <c r="F642" s="35">
        <v>5.8353026722414159</v>
      </c>
      <c r="G642" s="35">
        <v>-0.60748395632500474</v>
      </c>
      <c r="H642" s="35">
        <v>0.38989505095511839</v>
      </c>
      <c r="I642" s="35">
        <v>4.7899208433253682</v>
      </c>
      <c r="J642" t="s">
        <v>160</v>
      </c>
      <c r="K642" t="s">
        <v>40</v>
      </c>
    </row>
    <row r="643" spans="1:11">
      <c r="A643" s="1">
        <v>45078</v>
      </c>
      <c r="B643" t="s">
        <v>22</v>
      </c>
      <c r="C643" t="s">
        <v>2237</v>
      </c>
      <c r="D643" s="35">
        <v>128.214</v>
      </c>
      <c r="E643" s="35">
        <v>0.10144442106340555</v>
      </c>
      <c r="F643" s="35">
        <v>5.0555537347186208</v>
      </c>
      <c r="G643" s="35">
        <v>-0.18319094864445387</v>
      </c>
      <c r="H643" s="35">
        <v>0.28463536970785941</v>
      </c>
      <c r="I643" s="35">
        <v>3.4746267371929429</v>
      </c>
      <c r="J643" t="s">
        <v>160</v>
      </c>
      <c r="K643" t="s">
        <v>40</v>
      </c>
    </row>
    <row r="644" spans="1:11">
      <c r="A644" s="1">
        <v>45108</v>
      </c>
      <c r="B644" t="s">
        <v>22</v>
      </c>
      <c r="C644" t="s">
        <v>2237</v>
      </c>
      <c r="D644" s="35">
        <v>128.83199999999999</v>
      </c>
      <c r="E644" s="35">
        <v>0.48084871249448136</v>
      </c>
      <c r="F644" s="35">
        <v>4.78576308683345</v>
      </c>
      <c r="G644" s="35">
        <v>1.857230697938933E-2</v>
      </c>
      <c r="H644" s="35">
        <v>0.46227640551509203</v>
      </c>
      <c r="I644" s="35">
        <v>5.7040654876636232</v>
      </c>
      <c r="J644" t="s">
        <v>183</v>
      </c>
      <c r="K644" t="s">
        <v>40</v>
      </c>
    </row>
    <row r="645" spans="1:11">
      <c r="A645" s="1">
        <v>45139</v>
      </c>
      <c r="B645" t="s">
        <v>22</v>
      </c>
      <c r="C645" t="s">
        <v>2237</v>
      </c>
      <c r="D645" s="35">
        <v>129.54499999999999</v>
      </c>
      <c r="E645" s="35">
        <v>0.55190811089685365</v>
      </c>
      <c r="F645" s="35">
        <v>4.6380136184098752</v>
      </c>
      <c r="G645" s="35">
        <v>-2.7232588788898948E-2</v>
      </c>
      <c r="H645" s="35">
        <v>0.57914069968575266</v>
      </c>
      <c r="I645" s="35">
        <v>7.1968720904608707</v>
      </c>
      <c r="J645" t="s">
        <v>183</v>
      </c>
      <c r="K645" t="s">
        <v>40</v>
      </c>
    </row>
    <row r="646" spans="1:11">
      <c r="A646" s="1">
        <v>45170</v>
      </c>
      <c r="B646" t="s">
        <v>22</v>
      </c>
      <c r="C646" t="s">
        <v>2237</v>
      </c>
      <c r="D646" s="35">
        <v>130.12</v>
      </c>
      <c r="E646" s="35">
        <v>0.44287904788561494</v>
      </c>
      <c r="F646" s="35">
        <v>4.4544878021369305</v>
      </c>
      <c r="G646" s="35">
        <v>0.11528589899523589</v>
      </c>
      <c r="H646" s="35">
        <v>0.32759314889037905</v>
      </c>
      <c r="I646" s="35">
        <v>4.0094087557844604</v>
      </c>
      <c r="J646" t="s">
        <v>183</v>
      </c>
      <c r="K646" t="s">
        <v>40</v>
      </c>
    </row>
    <row r="647" spans="1:11">
      <c r="A647" s="1">
        <v>45200</v>
      </c>
      <c r="B647" t="s">
        <v>22</v>
      </c>
      <c r="C647" t="s">
        <v>2237</v>
      </c>
      <c r="D647" s="35">
        <v>130.60900000000001</v>
      </c>
      <c r="E647" s="35">
        <v>0.37510255733747805</v>
      </c>
      <c r="F647" s="35">
        <v>4.2570005428015145</v>
      </c>
      <c r="G647" s="35">
        <v>0.17125837170386743</v>
      </c>
      <c r="H647" s="35">
        <v>0.20384418563361062</v>
      </c>
      <c r="I647" s="35">
        <v>2.4762934346725718</v>
      </c>
      <c r="J647" t="s">
        <v>254</v>
      </c>
      <c r="K647" t="s">
        <v>40</v>
      </c>
    </row>
    <row r="648" spans="1:11">
      <c r="A648" s="1">
        <v>45231</v>
      </c>
      <c r="B648" t="s">
        <v>22</v>
      </c>
      <c r="C648" t="s">
        <v>2237</v>
      </c>
      <c r="D648" s="35">
        <v>131.44499999999999</v>
      </c>
      <c r="E648" s="35">
        <v>0.6380385997398107</v>
      </c>
      <c r="F648" s="35">
        <v>4.3239124741065282</v>
      </c>
      <c r="G648" s="35">
        <v>0.43204811008838456</v>
      </c>
      <c r="H648" s="35">
        <v>0.20599048965142613</v>
      </c>
      <c r="I648" s="35">
        <v>2.5026902675039153</v>
      </c>
      <c r="J648" t="s">
        <v>254</v>
      </c>
      <c r="K648" t="s">
        <v>40</v>
      </c>
    </row>
    <row r="649" spans="1:11">
      <c r="A649" s="1">
        <v>45261</v>
      </c>
      <c r="B649" t="s">
        <v>22</v>
      </c>
      <c r="C649" t="s">
        <v>2237</v>
      </c>
      <c r="D649" s="35">
        <v>132.37299999999999</v>
      </c>
      <c r="E649" s="35">
        <v>0.70351820384985797</v>
      </c>
      <c r="F649" s="35">
        <v>4.6608896408861566</v>
      </c>
      <c r="G649" s="35">
        <v>9.0732441503875105E-2</v>
      </c>
      <c r="H649" s="35">
        <v>0.61278576234598292</v>
      </c>
      <c r="I649" s="35">
        <v>7.6305444147327872</v>
      </c>
      <c r="J649" t="s">
        <v>254</v>
      </c>
      <c r="K649" t="s">
        <v>40</v>
      </c>
    </row>
    <row r="650" spans="1:11">
      <c r="A650" s="1">
        <v>45292</v>
      </c>
      <c r="B650" t="s">
        <v>22</v>
      </c>
      <c r="C650" t="s">
        <v>2237</v>
      </c>
      <c r="D650" s="35">
        <v>133.55500000000001</v>
      </c>
      <c r="E650" s="35">
        <v>0.88896828020826346</v>
      </c>
      <c r="F650" s="35">
        <v>4.8839291323741874</v>
      </c>
      <c r="G650" s="35">
        <v>0.17355366550716039</v>
      </c>
      <c r="H650" s="35">
        <v>0.71541461470110312</v>
      </c>
      <c r="I650" s="35">
        <v>8.9642601306466609</v>
      </c>
      <c r="J650" t="s">
        <v>355</v>
      </c>
      <c r="K650" t="s">
        <v>40</v>
      </c>
    </row>
    <row r="651" spans="1:11">
      <c r="A651" s="1">
        <v>45323</v>
      </c>
      <c r="B651" t="s">
        <v>22</v>
      </c>
      <c r="C651" t="s">
        <v>2237</v>
      </c>
      <c r="D651" s="35">
        <v>133.68100000000001</v>
      </c>
      <c r="E651" s="35">
        <v>9.4298679322279408E-2</v>
      </c>
      <c r="F651" s="35">
        <v>4.4007622260750168</v>
      </c>
      <c r="G651" s="35">
        <v>-2.3713097848198361E-2</v>
      </c>
      <c r="H651" s="35">
        <v>0.11801177717047777</v>
      </c>
      <c r="I651" s="35">
        <v>1.4262161088667735</v>
      </c>
      <c r="J651" t="s">
        <v>355</v>
      </c>
      <c r="K651" t="s">
        <v>40</v>
      </c>
    </row>
    <row r="652" spans="1:11">
      <c r="A652" s="1">
        <v>45352</v>
      </c>
      <c r="B652" t="s">
        <v>22</v>
      </c>
      <c r="C652" t="s">
        <v>2237</v>
      </c>
      <c r="D652" s="35">
        <v>134.065</v>
      </c>
      <c r="E652" s="35">
        <v>0.28683921573843696</v>
      </c>
      <c r="F652" s="35">
        <v>4.4209394885854625</v>
      </c>
      <c r="G652" s="35">
        <v>4.9988579633774066E-2</v>
      </c>
      <c r="H652" s="35">
        <v>0.23685063610466289</v>
      </c>
      <c r="I652" s="35">
        <v>2.8829837516753498</v>
      </c>
      <c r="J652" t="s">
        <v>355</v>
      </c>
      <c r="K652" t="s">
        <v>40</v>
      </c>
    </row>
    <row r="653" spans="1:11">
      <c r="A653" s="1">
        <v>45383</v>
      </c>
      <c r="B653" t="s">
        <v>22</v>
      </c>
      <c r="C653" t="s">
        <v>2237</v>
      </c>
      <c r="D653" s="35">
        <v>134.33600000000001</v>
      </c>
      <c r="E653" s="35">
        <v>0.20193672310559954</v>
      </c>
      <c r="F653" s="35">
        <v>4.6532100371602603</v>
      </c>
      <c r="G653" s="35">
        <v>-0.20981878280513042</v>
      </c>
      <c r="H653" s="35">
        <v>0.41175550591072996</v>
      </c>
      <c r="I653" s="35">
        <v>5.0651723542039395</v>
      </c>
      <c r="J653" t="s">
        <v>460</v>
      </c>
      <c r="K653" t="s">
        <v>40</v>
      </c>
    </row>
    <row r="654" spans="1:11">
      <c r="A654" s="1">
        <v>45413</v>
      </c>
      <c r="B654" t="s">
        <v>22</v>
      </c>
      <c r="C654" t="s">
        <v>2237</v>
      </c>
      <c r="D654" s="35">
        <v>134.08699999999999</v>
      </c>
      <c r="E654" s="35">
        <v>-0.18552811899347874</v>
      </c>
      <c r="F654" s="35">
        <v>4.6867680584616211</v>
      </c>
      <c r="G654" s="35">
        <v>-0.60748395632500474</v>
      </c>
      <c r="H654" s="35">
        <v>0.42195583733152597</v>
      </c>
      <c r="I654" s="35">
        <v>5.1938550439576403</v>
      </c>
      <c r="J654" t="s">
        <v>460</v>
      </c>
      <c r="K654" t="s">
        <v>40</v>
      </c>
    </row>
    <row r="655" spans="1:11">
      <c r="A655" s="1">
        <v>45444</v>
      </c>
      <c r="B655" t="s">
        <v>22</v>
      </c>
      <c r="C655" t="s">
        <v>2237</v>
      </c>
      <c r="D655" s="35">
        <v>134.59399999999999</v>
      </c>
      <c r="E655" s="35">
        <v>0.37739966858002894</v>
      </c>
      <c r="F655" s="35">
        <v>4.9760556569485415</v>
      </c>
      <c r="G655" s="35">
        <v>-0.18319094864445387</v>
      </c>
      <c r="H655" s="35">
        <v>0.56059061722448278</v>
      </c>
      <c r="I655" s="35">
        <v>6.9585161821654307</v>
      </c>
      <c r="J655" t="s">
        <v>460</v>
      </c>
      <c r="K655" t="s">
        <v>40</v>
      </c>
    </row>
    <row r="656" spans="1:11">
      <c r="A656" s="1">
        <v>45474</v>
      </c>
      <c r="B656" t="s">
        <v>22</v>
      </c>
      <c r="C656" t="s">
        <v>2237</v>
      </c>
      <c r="D656" s="35">
        <v>136.00299999999999</v>
      </c>
      <c r="E656" s="35">
        <v>1.0414104622255704</v>
      </c>
      <c r="F656" s="35">
        <v>5.566163686040726</v>
      </c>
      <c r="G656" s="35">
        <v>1.857230697938933E-2</v>
      </c>
      <c r="H656" s="35">
        <v>1.0228381552461812</v>
      </c>
      <c r="I656" s="35">
        <v>13.059108341183512</v>
      </c>
      <c r="J656" t="s">
        <v>565</v>
      </c>
      <c r="K656" t="s">
        <v>40</v>
      </c>
    </row>
    <row r="657" spans="1:11">
      <c r="A657" s="1">
        <v>45505</v>
      </c>
      <c r="B657" t="s">
        <v>22</v>
      </c>
      <c r="C657" t="s">
        <v>2237</v>
      </c>
      <c r="D657" s="35">
        <v>136.01300000000001</v>
      </c>
      <c r="E657" s="35">
        <v>7.3525086792835502E-3</v>
      </c>
      <c r="F657" s="35">
        <v>4.9928596240688794</v>
      </c>
      <c r="G657" s="35">
        <v>-2.7232588788898948E-2</v>
      </c>
      <c r="H657" s="35">
        <v>3.4585097468182502E-2</v>
      </c>
      <c r="I657" s="35">
        <v>0.41588357511674889</v>
      </c>
      <c r="J657" t="s">
        <v>565</v>
      </c>
      <c r="K657" t="s">
        <v>40</v>
      </c>
    </row>
    <row r="658" spans="1:11">
      <c r="A658" s="1">
        <v>45536</v>
      </c>
      <c r="B658" t="s">
        <v>22</v>
      </c>
      <c r="C658" t="s">
        <v>2237</v>
      </c>
      <c r="D658" s="35">
        <v>136.08000000000001</v>
      </c>
      <c r="E658" s="35">
        <v>4.9247868452447767E-2</v>
      </c>
      <c r="F658" s="35">
        <v>4.5803873347679103</v>
      </c>
      <c r="G658" s="35">
        <v>0.11528589899523589</v>
      </c>
      <c r="H658" s="35">
        <v>-6.6038030542788118E-2</v>
      </c>
      <c r="I658" s="35">
        <v>-0.78932470884950368</v>
      </c>
      <c r="J658" t="s">
        <v>565</v>
      </c>
      <c r="K658" t="s">
        <v>40</v>
      </c>
    </row>
    <row r="659" spans="1:11">
      <c r="A659" s="1">
        <v>45566</v>
      </c>
      <c r="B659" t="s">
        <v>22</v>
      </c>
      <c r="C659" t="s">
        <v>2237</v>
      </c>
      <c r="D659" s="35">
        <v>136.828</v>
      </c>
      <c r="E659" s="35">
        <v>0.54817145196584349</v>
      </c>
      <c r="F659" s="35">
        <v>4.7615401695135784</v>
      </c>
      <c r="G659" s="35">
        <v>0.17125837170386743</v>
      </c>
      <c r="H659" s="35">
        <v>0.37691308026197606</v>
      </c>
      <c r="I659" s="35">
        <v>4.6268023705091421</v>
      </c>
      <c r="J659" t="s">
        <v>670</v>
      </c>
      <c r="K659" t="s">
        <v>40</v>
      </c>
    </row>
    <row r="660" spans="1:11">
      <c r="A660" s="1">
        <v>45597</v>
      </c>
      <c r="B660" t="s">
        <v>22</v>
      </c>
      <c r="C660" t="s">
        <v>2237</v>
      </c>
      <c r="D660" s="35">
        <v>137.42400000000001</v>
      </c>
      <c r="E660" s="35">
        <v>0.43463744166039908</v>
      </c>
      <c r="F660" s="35">
        <v>4.5486705466164734</v>
      </c>
      <c r="G660" s="35">
        <v>0.43204811008838456</v>
      </c>
      <c r="H660" s="35">
        <v>2.5893315720145194E-3</v>
      </c>
      <c r="I660" s="35">
        <v>3.1076806703556059E-2</v>
      </c>
      <c r="J660" t="s">
        <v>670</v>
      </c>
      <c r="K660" t="s">
        <v>40</v>
      </c>
    </row>
    <row r="661" spans="1:11">
      <c r="A661" s="1">
        <v>45627</v>
      </c>
      <c r="B661" t="s">
        <v>22</v>
      </c>
      <c r="C661" t="s">
        <v>2237</v>
      </c>
      <c r="D661" s="35">
        <v>137.94900000000001</v>
      </c>
      <c r="E661" s="35">
        <v>0.38130146098899126</v>
      </c>
      <c r="F661" s="35">
        <v>4.2123393743437321</v>
      </c>
      <c r="G661" s="35">
        <v>9.0732441503875105E-2</v>
      </c>
      <c r="H661" s="35">
        <v>0.29056901948511615</v>
      </c>
      <c r="I661" s="35">
        <v>3.5483308376450307</v>
      </c>
      <c r="J661" t="s">
        <v>670</v>
      </c>
      <c r="K661" t="s">
        <v>40</v>
      </c>
    </row>
    <row r="662" spans="1:11">
      <c r="A662" s="1">
        <v>45658</v>
      </c>
      <c r="B662" t="s">
        <v>22</v>
      </c>
      <c r="C662" t="s">
        <v>2237</v>
      </c>
      <c r="D662" s="35">
        <v>138.34299999999999</v>
      </c>
      <c r="E662" s="35">
        <v>0.28520570054421596</v>
      </c>
      <c r="F662" s="35">
        <v>3.5850398712141018</v>
      </c>
      <c r="G662" s="35">
        <v>0.17355366550716039</v>
      </c>
      <c r="H662" s="35">
        <v>0.11165203503705556</v>
      </c>
      <c r="I662" s="35">
        <v>1.3488402884356487</v>
      </c>
      <c r="J662" t="s">
        <v>771</v>
      </c>
      <c r="K662" t="s">
        <v>40</v>
      </c>
    </row>
    <row r="663" spans="1:11">
      <c r="A663" s="1">
        <v>45689</v>
      </c>
      <c r="B663" t="s">
        <v>22</v>
      </c>
      <c r="C663" t="s">
        <v>2237</v>
      </c>
      <c r="D663" s="35">
        <v>138.726</v>
      </c>
      <c r="E663" s="35">
        <v>0.27646560528199465</v>
      </c>
      <c r="F663" s="35">
        <v>3.7739095308981785</v>
      </c>
      <c r="G663" s="35">
        <v>-2.3713097848198361E-2</v>
      </c>
      <c r="H663" s="35">
        <v>0.30017870313019301</v>
      </c>
      <c r="I663" s="35">
        <v>3.6678077166648393</v>
      </c>
      <c r="J663" t="s">
        <v>771</v>
      </c>
      <c r="K663" t="s">
        <v>40</v>
      </c>
    </row>
    <row r="664" spans="1:11">
      <c r="A664" s="1">
        <v>45717</v>
      </c>
      <c r="B664" t="s">
        <v>22</v>
      </c>
      <c r="C664" t="s">
        <v>2237</v>
      </c>
      <c r="D664" s="35">
        <v>139.161</v>
      </c>
      <c r="E664" s="35">
        <v>0.31307715388822105</v>
      </c>
      <c r="F664" s="35">
        <v>3.8011412374594489</v>
      </c>
      <c r="G664" s="35">
        <v>4.9988579633774066E-2</v>
      </c>
      <c r="H664" s="35">
        <v>0.26308857425444698</v>
      </c>
      <c r="I664" s="35">
        <v>3.2074267302574011</v>
      </c>
      <c r="J664" t="s">
        <v>771</v>
      </c>
      <c r="K664" t="s">
        <v>40</v>
      </c>
    </row>
    <row r="665" spans="1:11">
      <c r="A665" s="1">
        <v>45748</v>
      </c>
      <c r="B665" t="s">
        <v>22</v>
      </c>
      <c r="C665" t="s">
        <v>2237</v>
      </c>
      <c r="D665" s="35">
        <v>139.62</v>
      </c>
      <c r="E665" s="35">
        <v>0.32929103113522684</v>
      </c>
      <c r="F665" s="35">
        <v>3.9334206765126112</v>
      </c>
      <c r="G665" s="35">
        <v>-0.20981878280513042</v>
      </c>
      <c r="H665" s="35">
        <v>0.53910981394035729</v>
      </c>
      <c r="I665" s="35">
        <v>6.6831646394890809</v>
      </c>
      <c r="J665" t="s">
        <v>876</v>
      </c>
      <c r="K665" t="s">
        <v>40</v>
      </c>
    </row>
    <row r="666" spans="1:11">
      <c r="A666" s="1">
        <v>45778</v>
      </c>
      <c r="B666" t="s">
        <v>22</v>
      </c>
      <c r="C666" t="s">
        <v>2237</v>
      </c>
      <c r="D666" s="35">
        <v>140.012</v>
      </c>
      <c r="E666" s="35">
        <v>0.28036866795037019</v>
      </c>
      <c r="F666" s="35">
        <v>4.4187728862604247</v>
      </c>
      <c r="G666" s="35">
        <v>-0.60748395632500474</v>
      </c>
      <c r="H666" s="35">
        <v>0.88785262427537492</v>
      </c>
      <c r="I666" s="35">
        <v>11.242499761681458</v>
      </c>
      <c r="J666" t="s">
        <v>876</v>
      </c>
      <c r="K666" t="s">
        <v>40</v>
      </c>
    </row>
    <row r="667" spans="1:11">
      <c r="A667" s="1">
        <v>45809</v>
      </c>
      <c r="B667" t="s">
        <v>22</v>
      </c>
      <c r="C667" t="s">
        <v>2237</v>
      </c>
      <c r="D667" s="35">
        <v>140.405</v>
      </c>
      <c r="E667" s="35">
        <v>0.28029702714529564</v>
      </c>
      <c r="F667" s="35">
        <v>4.3174287115324672</v>
      </c>
      <c r="G667" s="35">
        <v>-0.18319094864445387</v>
      </c>
      <c r="H667" s="35">
        <v>0.46348797578974954</v>
      </c>
      <c r="I667" s="35">
        <v>5.7194347533319201</v>
      </c>
      <c r="J667" t="s">
        <v>876</v>
      </c>
      <c r="K667" t="s">
        <v>40</v>
      </c>
    </row>
    <row r="668" spans="1:11">
      <c r="A668" s="1">
        <v>45839</v>
      </c>
      <c r="B668" t="s">
        <v>22</v>
      </c>
      <c r="C668" t="s">
        <v>2237</v>
      </c>
      <c r="D668" s="35">
        <v>140.78</v>
      </c>
      <c r="E668" s="35">
        <v>0.26672846867736605</v>
      </c>
      <c r="F668" s="35">
        <v>3.5124225200914738</v>
      </c>
      <c r="G668" s="35">
        <v>1.857230697938933E-2</v>
      </c>
      <c r="H668" s="35">
        <v>0.24815616169797672</v>
      </c>
      <c r="I668" s="35">
        <v>3.0226560190668605</v>
      </c>
      <c r="J668" t="s">
        <v>981</v>
      </c>
      <c r="K668" t="s">
        <v>40</v>
      </c>
    </row>
    <row r="669" spans="1:11">
      <c r="A669" s="1">
        <v>45870</v>
      </c>
      <c r="B669" t="s">
        <v>22</v>
      </c>
      <c r="C669" t="s">
        <v>2237</v>
      </c>
      <c r="D669" s="35">
        <v>140.86699999999999</v>
      </c>
      <c r="E669" s="35">
        <v>6.1779463489465038E-2</v>
      </c>
      <c r="F669" s="35">
        <v>3.5687765140096861</v>
      </c>
      <c r="G669" s="35">
        <v>-2.7232588788898948E-2</v>
      </c>
      <c r="H669" s="35">
        <v>8.9012052278363979E-2</v>
      </c>
      <c r="I669" s="35">
        <v>1.0738696577762719</v>
      </c>
      <c r="J669" t="s">
        <v>981</v>
      </c>
      <c r="K669" t="s">
        <v>40</v>
      </c>
    </row>
    <row r="670" spans="1:11">
      <c r="A670" s="1">
        <v>45901</v>
      </c>
      <c r="B670" t="s">
        <v>22</v>
      </c>
      <c r="C670" t="s">
        <v>2237</v>
      </c>
      <c r="D670" s="35">
        <v>141.197</v>
      </c>
      <c r="E670" s="35">
        <v>0.23398955596286353</v>
      </c>
      <c r="F670" s="35">
        <v>3.7602880658436089</v>
      </c>
      <c r="G670" s="35">
        <v>0.11528589899523589</v>
      </c>
      <c r="H670" s="35">
        <v>0.11870365696762764</v>
      </c>
      <c r="I670" s="35">
        <v>1.4346374284336383</v>
      </c>
      <c r="J670" t="s">
        <v>981</v>
      </c>
      <c r="K670" t="s">
        <v>40</v>
      </c>
    </row>
    <row r="671" spans="1:11">
      <c r="A671" s="1">
        <v>45931</v>
      </c>
      <c r="B671" t="s">
        <v>22</v>
      </c>
      <c r="C671" t="s">
        <v>2237</v>
      </c>
      <c r="D671" s="35">
        <v>141.708</v>
      </c>
      <c r="E671" s="35">
        <v>0.36125240326358432</v>
      </c>
      <c r="F671" s="35">
        <v>3.5665214722132799</v>
      </c>
      <c r="G671" s="35">
        <v>0.17125837170386743</v>
      </c>
      <c r="H671" s="35">
        <v>0.18999403155971689</v>
      </c>
      <c r="I671" s="35">
        <v>2.3061173973469407</v>
      </c>
      <c r="J671" t="s">
        <v>1086</v>
      </c>
      <c r="K671" t="s">
        <v>40</v>
      </c>
    </row>
    <row r="672" spans="1:11">
      <c r="A672" s="1">
        <v>45962</v>
      </c>
      <c r="B672" t="s">
        <v>22</v>
      </c>
      <c r="C672" t="s">
        <v>2237</v>
      </c>
      <c r="D672" s="35">
        <v>142.64500000000001</v>
      </c>
      <c r="E672" s="35">
        <v>0.65904238143754101</v>
      </c>
      <c r="F672" s="35">
        <v>3.7991908254744411</v>
      </c>
      <c r="G672" s="35">
        <v>0.43204811008838456</v>
      </c>
      <c r="H672" s="35">
        <v>0.22699427134915645</v>
      </c>
      <c r="I672" s="35">
        <v>2.7613694205663064</v>
      </c>
      <c r="J672" t="s">
        <v>1086</v>
      </c>
      <c r="K672" t="s">
        <v>40</v>
      </c>
    </row>
    <row r="673" spans="1:11">
      <c r="A673" s="1">
        <v>45992</v>
      </c>
      <c r="B673" t="s">
        <v>22</v>
      </c>
      <c r="C673" t="s">
        <v>2237</v>
      </c>
      <c r="D673" s="35">
        <v>143.042</v>
      </c>
      <c r="E673" s="35">
        <v>0.27792672088434378</v>
      </c>
      <c r="F673" s="35">
        <v>3.6919441242778017</v>
      </c>
      <c r="G673" s="35">
        <v>9.0732441503875105E-2</v>
      </c>
      <c r="H673" s="35">
        <v>0.18719427938046868</v>
      </c>
      <c r="I673" s="35">
        <v>2.2717513576378412</v>
      </c>
      <c r="J673" t="s">
        <v>1086</v>
      </c>
      <c r="K673" t="s">
        <v>40</v>
      </c>
    </row>
    <row r="674" spans="1:11">
      <c r="A674" s="1">
        <v>46023</v>
      </c>
      <c r="B674" t="s">
        <v>22</v>
      </c>
      <c r="C674" t="s">
        <v>2237</v>
      </c>
      <c r="D674" s="35">
        <v>143.58799999999999</v>
      </c>
      <c r="E674" s="35">
        <v>0.38097942323625461</v>
      </c>
      <c r="F674" s="35">
        <v>3.7913013307503851</v>
      </c>
      <c r="G674" s="35">
        <v>0.17355366550716039</v>
      </c>
      <c r="H674" s="35">
        <v>0.20742575772909422</v>
      </c>
      <c r="I674" s="35">
        <v>2.5203460486129314</v>
      </c>
      <c r="J674" t="s">
        <v>1183</v>
      </c>
      <c r="K674" t="s">
        <v>40</v>
      </c>
    </row>
    <row r="675" spans="1:11">
      <c r="A675" s="1">
        <v>46054</v>
      </c>
      <c r="B675" t="s">
        <v>22</v>
      </c>
      <c r="C675" t="s">
        <v>2237</v>
      </c>
      <c r="D675" s="35">
        <v>144.30699999999999</v>
      </c>
      <c r="E675" s="35">
        <v>0.49948869890346409</v>
      </c>
      <c r="F675" s="35">
        <v>4.0230382192234959</v>
      </c>
      <c r="G675" s="35">
        <v>-2.3713097848198361E-2</v>
      </c>
      <c r="H675" s="35">
        <v>0.52320179675166245</v>
      </c>
      <c r="I675" s="35">
        <v>6.4797047858268009</v>
      </c>
      <c r="J675" t="s">
        <v>1183</v>
      </c>
      <c r="K675" t="s">
        <v>40</v>
      </c>
    </row>
    <row r="676" spans="1:11">
      <c r="A676" s="1">
        <v>46082</v>
      </c>
      <c r="B676" t="s">
        <v>22</v>
      </c>
      <c r="C676" t="s">
        <v>2237</v>
      </c>
      <c r="D676" s="35">
        <v>145.54400000000001</v>
      </c>
      <c r="E676" s="35">
        <v>0.85354717427417515</v>
      </c>
      <c r="F676" s="35">
        <v>4.5867735931762521</v>
      </c>
      <c r="G676" s="35">
        <v>4.9988579633774066E-2</v>
      </c>
      <c r="H676" s="35">
        <v>0.80355859464040114</v>
      </c>
      <c r="I676" s="35">
        <v>10.122922300981575</v>
      </c>
      <c r="J676" t="s">
        <v>1183</v>
      </c>
      <c r="K676" t="s">
        <v>40</v>
      </c>
    </row>
    <row r="677" spans="1:11">
      <c r="A677" s="1">
        <v>46113</v>
      </c>
      <c r="B677" t="s">
        <v>22</v>
      </c>
      <c r="C677" t="s">
        <v>2237</v>
      </c>
      <c r="D677" s="35">
        <v>145.83099999999999</v>
      </c>
      <c r="E677" s="35">
        <v>0.19699706070555398</v>
      </c>
      <c r="F677" s="35">
        <v>4.448503079787991</v>
      </c>
      <c r="G677" s="35">
        <v>-0.20981878280513042</v>
      </c>
      <c r="H677" s="35">
        <v>0.40681584351068439</v>
      </c>
      <c r="I677" s="35">
        <v>5.0029124308351935</v>
      </c>
      <c r="J677" t="s">
        <v>1276</v>
      </c>
      <c r="K677" t="s">
        <v>40</v>
      </c>
    </row>
    <row r="678" spans="1:11">
      <c r="A678" s="1">
        <v>46143</v>
      </c>
      <c r="B678" t="s">
        <v>22</v>
      </c>
      <c r="C678" t="s">
        <v>2237</v>
      </c>
      <c r="D678" s="35">
        <v>145.52699999999999</v>
      </c>
      <c r="E678" s="35">
        <v>-0.20867805951295054</v>
      </c>
      <c r="F678" s="35">
        <v>3.9389480901636853</v>
      </c>
      <c r="G678" s="35">
        <v>-0.60748395632500474</v>
      </c>
      <c r="H678" s="35">
        <v>0.39880589681205419</v>
      </c>
      <c r="I678" s="35">
        <v>4.902032793220612</v>
      </c>
      <c r="J678" t="s">
        <v>1276</v>
      </c>
      <c r="K678" t="s">
        <v>40</v>
      </c>
    </row>
    <row r="679" spans="1:11">
      <c r="A679" s="1">
        <v>46174</v>
      </c>
      <c r="B679" t="s">
        <v>22</v>
      </c>
      <c r="C679" t="s">
        <v>2237</v>
      </c>
      <c r="D679" s="35">
        <v>145.131</v>
      </c>
      <c r="E679" s="35">
        <v>-0.27248535737481305</v>
      </c>
      <c r="F679" s="35">
        <v>3.3659769951212448</v>
      </c>
      <c r="G679" s="35">
        <v>-0.18319094864445387</v>
      </c>
      <c r="H679" s="35">
        <v>-8.9294408730359182E-2</v>
      </c>
      <c r="I679" s="35">
        <v>-1.0658124413819414</v>
      </c>
      <c r="J679" t="s">
        <v>1276</v>
      </c>
      <c r="K679" t="s">
        <v>40</v>
      </c>
    </row>
    <row r="680" spans="1:11">
      <c r="A680" s="1">
        <v>46204</v>
      </c>
      <c r="B680" t="s">
        <v>22</v>
      </c>
      <c r="C680" t="s">
        <v>2237</v>
      </c>
      <c r="D680" s="35">
        <v>145.16900000000001</v>
      </c>
      <c r="E680" s="35">
        <v>2.6179814135074794E-2</v>
      </c>
      <c r="F680" s="35">
        <v>3.117630345219502</v>
      </c>
      <c r="G680" s="35">
        <v>1.857230697938933E-2</v>
      </c>
      <c r="H680" s="35">
        <v>7.607507155685464E-3</v>
      </c>
      <c r="I680" s="35">
        <v>9.1331767950020293E-2</v>
      </c>
      <c r="J680" t="s">
        <v>21</v>
      </c>
      <c r="K680" t="s">
        <v>40</v>
      </c>
    </row>
    <row r="681" spans="1:11">
      <c r="A681" s="1">
        <v>29952</v>
      </c>
      <c r="B681" t="s">
        <v>134</v>
      </c>
      <c r="C681" t="s">
        <v>2441</v>
      </c>
      <c r="D681" s="35">
        <v>9.2900756084692004E-2</v>
      </c>
      <c r="E681" s="35"/>
      <c r="F681" s="35"/>
      <c r="G681" s="35">
        <v>0.11558240907831546</v>
      </c>
      <c r="H681" s="35"/>
      <c r="I681" s="35"/>
      <c r="J681" t="s">
        <v>2286</v>
      </c>
      <c r="K681" t="s">
        <v>36</v>
      </c>
    </row>
    <row r="682" spans="1:11">
      <c r="A682" s="1">
        <v>29983</v>
      </c>
      <c r="B682" t="s">
        <v>134</v>
      </c>
      <c r="C682" t="s">
        <v>2441</v>
      </c>
      <c r="D682" s="35">
        <v>9.6868689104377001E-2</v>
      </c>
      <c r="E682" s="35">
        <v>4.1824556341606796</v>
      </c>
      <c r="F682" s="35"/>
      <c r="G682" s="35">
        <v>0.12699036627294302</v>
      </c>
      <c r="H682" s="35">
        <v>4.0554652678877368</v>
      </c>
      <c r="I682" s="35">
        <v>62.68665978302672</v>
      </c>
      <c r="J682" t="s">
        <v>2286</v>
      </c>
      <c r="K682" t="s">
        <v>36</v>
      </c>
    </row>
    <row r="683" spans="1:11">
      <c r="A683" s="1">
        <v>30011</v>
      </c>
      <c r="B683" t="s">
        <v>134</v>
      </c>
      <c r="C683" t="s">
        <v>2441</v>
      </c>
      <c r="D683" s="35">
        <v>0.101013576563389</v>
      </c>
      <c r="E683" s="35">
        <v>4.1898588404713575</v>
      </c>
      <c r="F683" s="35"/>
      <c r="G683" s="35">
        <v>6.1109136241099093E-2</v>
      </c>
      <c r="H683" s="35">
        <v>4.1287497042302581</v>
      </c>
      <c r="I683" s="35">
        <v>64.123657113860915</v>
      </c>
      <c r="J683" t="s">
        <v>2286</v>
      </c>
      <c r="K683" t="s">
        <v>36</v>
      </c>
    </row>
    <row r="684" spans="1:11">
      <c r="A684" s="1">
        <v>30042</v>
      </c>
      <c r="B684" t="s">
        <v>134</v>
      </c>
      <c r="C684" t="s">
        <v>2441</v>
      </c>
      <c r="D684" s="35">
        <v>0.106835930345361</v>
      </c>
      <c r="E684" s="35">
        <v>5.6039367174892041</v>
      </c>
      <c r="F684" s="35"/>
      <c r="G684" s="35">
        <v>1.5467613080731302E-2</v>
      </c>
      <c r="H684" s="35">
        <v>5.5884691044084729</v>
      </c>
      <c r="I684" s="35">
        <v>95.544207369859663</v>
      </c>
      <c r="J684" t="s">
        <v>2287</v>
      </c>
      <c r="K684" t="s">
        <v>36</v>
      </c>
    </row>
    <row r="685" spans="1:11">
      <c r="A685" s="1">
        <v>30072</v>
      </c>
      <c r="B685" t="s">
        <v>134</v>
      </c>
      <c r="C685" t="s">
        <v>2441</v>
      </c>
      <c r="D685" s="35">
        <v>0.113471371810229</v>
      </c>
      <c r="E685" s="35">
        <v>6.025627795695641</v>
      </c>
      <c r="F685" s="35"/>
      <c r="G685" s="35">
        <v>-9.2177951932252061E-2</v>
      </c>
      <c r="H685" s="35">
        <v>6.1178057476278926</v>
      </c>
      <c r="I685" s="35">
        <v>108.36823513885557</v>
      </c>
      <c r="J685" t="s">
        <v>2287</v>
      </c>
      <c r="K685" t="s">
        <v>36</v>
      </c>
    </row>
    <row r="686" spans="1:11">
      <c r="A686" s="1">
        <v>30103</v>
      </c>
      <c r="B686" t="s">
        <v>134</v>
      </c>
      <c r="C686" t="s">
        <v>2441</v>
      </c>
      <c r="D686" s="35">
        <v>0.119428583032697</v>
      </c>
      <c r="E686" s="35">
        <v>5.1167986834063006</v>
      </c>
      <c r="F686" s="35"/>
      <c r="G686" s="35">
        <v>-6.8631876269193037E-2</v>
      </c>
      <c r="H686" s="35">
        <v>5.1854305596754937</v>
      </c>
      <c r="I686" s="35">
        <v>86.311844499907806</v>
      </c>
      <c r="J686" t="s">
        <v>2287</v>
      </c>
      <c r="K686" t="s">
        <v>36</v>
      </c>
    </row>
    <row r="687" spans="1:11">
      <c r="A687" s="1">
        <v>30133</v>
      </c>
      <c r="B687" t="s">
        <v>134</v>
      </c>
      <c r="C687" t="s">
        <v>2441</v>
      </c>
      <c r="D687" s="35">
        <v>0.125427823921858</v>
      </c>
      <c r="E687" s="35">
        <v>4.9011923748208215</v>
      </c>
      <c r="F687" s="35"/>
      <c r="G687" s="35">
        <v>-6.3321577930948281E-2</v>
      </c>
      <c r="H687" s="35">
        <v>4.9645139527517701</v>
      </c>
      <c r="I687" s="35">
        <v>81.437612225198478</v>
      </c>
      <c r="J687" t="s">
        <v>2288</v>
      </c>
      <c r="K687" t="s">
        <v>36</v>
      </c>
    </row>
    <row r="688" spans="1:11">
      <c r="A688" s="1">
        <v>30164</v>
      </c>
      <c r="B688" t="s">
        <v>134</v>
      </c>
      <c r="C688" t="s">
        <v>2441</v>
      </c>
      <c r="D688" s="35">
        <v>0.13741441816757399</v>
      </c>
      <c r="E688" s="35">
        <v>9.1270825058982599</v>
      </c>
      <c r="F688" s="35"/>
      <c r="G688" s="35">
        <v>-8.7706074905278902E-2</v>
      </c>
      <c r="H688" s="35">
        <v>9.214788580803539</v>
      </c>
      <c r="I688" s="35">
        <v>202.15641558188037</v>
      </c>
      <c r="J688" t="s">
        <v>2288</v>
      </c>
      <c r="K688" t="s">
        <v>36</v>
      </c>
    </row>
    <row r="689" spans="1:11">
      <c r="A689" s="1">
        <v>30195</v>
      </c>
      <c r="B689" t="s">
        <v>134</v>
      </c>
      <c r="C689" t="s">
        <v>2441</v>
      </c>
      <c r="D689" s="35">
        <v>0.14497381428005501</v>
      </c>
      <c r="E689" s="35">
        <v>5.3551824939685657</v>
      </c>
      <c r="F689" s="35"/>
      <c r="G689" s="35">
        <v>5.9710091602400539E-2</v>
      </c>
      <c r="H689" s="35">
        <v>5.2954724023661655</v>
      </c>
      <c r="I689" s="35">
        <v>88.78841191748576</v>
      </c>
      <c r="J689" t="s">
        <v>2288</v>
      </c>
      <c r="K689" t="s">
        <v>36</v>
      </c>
    </row>
    <row r="690" spans="1:11">
      <c r="A690" s="1">
        <v>30225</v>
      </c>
      <c r="B690" t="s">
        <v>134</v>
      </c>
      <c r="C690" t="s">
        <v>2441</v>
      </c>
      <c r="D690" s="35">
        <v>0.15343013615508699</v>
      </c>
      <c r="E690" s="35">
        <v>5.669218942523524</v>
      </c>
      <c r="F690" s="35"/>
      <c r="G690" s="35">
        <v>-6.7152525649730843E-2</v>
      </c>
      <c r="H690" s="35">
        <v>5.7363714681732549</v>
      </c>
      <c r="I690" s="35">
        <v>99.045762812523975</v>
      </c>
      <c r="J690" t="s">
        <v>2289</v>
      </c>
      <c r="K690" t="s">
        <v>36</v>
      </c>
    </row>
    <row r="691" spans="1:11">
      <c r="A691" s="1">
        <v>30256</v>
      </c>
      <c r="B691" t="s">
        <v>134</v>
      </c>
      <c r="C691" t="s">
        <v>2441</v>
      </c>
      <c r="D691" s="35">
        <v>0.16244297013640199</v>
      </c>
      <c r="E691" s="35">
        <v>5.7081662799390189</v>
      </c>
      <c r="F691" s="35"/>
      <c r="G691" s="35">
        <v>-9.1034986847382593E-2</v>
      </c>
      <c r="H691" s="35">
        <v>5.7992012667864019</v>
      </c>
      <c r="I691" s="35">
        <v>100.55215507904106</v>
      </c>
      <c r="J691" t="s">
        <v>2289</v>
      </c>
      <c r="K691" t="s">
        <v>36</v>
      </c>
    </row>
    <row r="692" spans="1:11">
      <c r="A692" s="1">
        <v>30286</v>
      </c>
      <c r="B692" t="s">
        <v>134</v>
      </c>
      <c r="C692" t="s">
        <v>2441</v>
      </c>
      <c r="D692" s="35">
        <v>0.174668420444445</v>
      </c>
      <c r="E692" s="35">
        <v>7.2562449150379988</v>
      </c>
      <c r="F692" s="35"/>
      <c r="G692" s="35">
        <v>9.1165377259296132E-2</v>
      </c>
      <c r="H692" s="35">
        <v>7.1650795377787029</v>
      </c>
      <c r="I692" s="35">
        <v>136.27106596904088</v>
      </c>
      <c r="J692" t="s">
        <v>2289</v>
      </c>
      <c r="K692" t="s">
        <v>36</v>
      </c>
    </row>
    <row r="693" spans="1:11">
      <c r="A693" s="1">
        <v>30317</v>
      </c>
      <c r="B693" t="s">
        <v>134</v>
      </c>
      <c r="C693" t="s">
        <v>2441</v>
      </c>
      <c r="D693" s="35">
        <v>0.19520163830941101</v>
      </c>
      <c r="E693" s="35">
        <v>11.11436306073151</v>
      </c>
      <c r="F693" s="35">
        <v>110.11846031851182</v>
      </c>
      <c r="G693" s="35">
        <v>0.11558240907831546</v>
      </c>
      <c r="H693" s="35">
        <v>10.998780651653194</v>
      </c>
      <c r="I693" s="35">
        <v>274.28736731722336</v>
      </c>
      <c r="J693" t="s">
        <v>2290</v>
      </c>
      <c r="K693" t="s">
        <v>36</v>
      </c>
    </row>
    <row r="694" spans="1:11">
      <c r="A694" s="1">
        <v>30348</v>
      </c>
      <c r="B694" t="s">
        <v>134</v>
      </c>
      <c r="C694" t="s">
        <v>2441</v>
      </c>
      <c r="D694" s="35">
        <v>0.20733755071003099</v>
      </c>
      <c r="E694" s="35">
        <v>6.0315077987047747</v>
      </c>
      <c r="F694" s="35">
        <v>114.03980236237392</v>
      </c>
      <c r="G694" s="35">
        <v>0.12699036627294302</v>
      </c>
      <c r="H694" s="35">
        <v>5.9045174324318319</v>
      </c>
      <c r="I694" s="35">
        <v>103.10280468688985</v>
      </c>
      <c r="J694" t="s">
        <v>2290</v>
      </c>
      <c r="K694" t="s">
        <v>36</v>
      </c>
    </row>
    <row r="695" spans="1:11">
      <c r="A695" s="1">
        <v>30376</v>
      </c>
      <c r="B695" t="s">
        <v>134</v>
      </c>
      <c r="C695" t="s">
        <v>2441</v>
      </c>
      <c r="D695" s="35">
        <v>0.21786773631730399</v>
      </c>
      <c r="E695" s="35">
        <v>4.9540019613420245</v>
      </c>
      <c r="F695" s="35">
        <v>115.68163778517987</v>
      </c>
      <c r="G695" s="35">
        <v>6.1109136241099093E-2</v>
      </c>
      <c r="H695" s="35">
        <v>4.8928928251009252</v>
      </c>
      <c r="I695" s="35">
        <v>79.884922141355716</v>
      </c>
      <c r="J695" t="s">
        <v>2290</v>
      </c>
      <c r="K695" t="s">
        <v>36</v>
      </c>
    </row>
    <row r="696" spans="1:11">
      <c r="A696" s="1">
        <v>30407</v>
      </c>
      <c r="B696" t="s">
        <v>134</v>
      </c>
      <c r="C696" t="s">
        <v>2441</v>
      </c>
      <c r="D696" s="35">
        <v>0.23027613694366</v>
      </c>
      <c r="E696" s="35">
        <v>5.5391019669306498</v>
      </c>
      <c r="F696" s="35">
        <v>115.54184645489821</v>
      </c>
      <c r="G696" s="35">
        <v>1.5467613080731302E-2</v>
      </c>
      <c r="H696" s="35">
        <v>5.5236343538499186</v>
      </c>
      <c r="I696" s="35">
        <v>94.028743110114689</v>
      </c>
      <c r="J696" t="s">
        <v>2291</v>
      </c>
      <c r="K696" t="s">
        <v>36</v>
      </c>
    </row>
    <row r="697" spans="1:11">
      <c r="A697" s="1">
        <v>30437</v>
      </c>
      <c r="B697" t="s">
        <v>134</v>
      </c>
      <c r="C697" t="s">
        <v>2441</v>
      </c>
      <c r="D697" s="35">
        <v>0.24022645657465799</v>
      </c>
      <c r="E697" s="35">
        <v>4.2302863329522866</v>
      </c>
      <c r="F697" s="35">
        <v>111.70666463468501</v>
      </c>
      <c r="G697" s="35">
        <v>-9.2177951932252061E-2</v>
      </c>
      <c r="H697" s="35">
        <v>4.3224642848845383</v>
      </c>
      <c r="I697" s="35">
        <v>67.98352349753867</v>
      </c>
      <c r="J697" t="s">
        <v>2291</v>
      </c>
      <c r="K697" t="s">
        <v>36</v>
      </c>
    </row>
    <row r="698" spans="1:11">
      <c r="A698" s="1">
        <v>30468</v>
      </c>
      <c r="B698" t="s">
        <v>134</v>
      </c>
      <c r="C698" t="s">
        <v>2441</v>
      </c>
      <c r="D698" s="35">
        <v>0.24948521007992899</v>
      </c>
      <c r="E698" s="35">
        <v>3.7817587676182987</v>
      </c>
      <c r="F698" s="35">
        <v>108.89907905180895</v>
      </c>
      <c r="G698" s="35">
        <v>-6.8631876269193037E-2</v>
      </c>
      <c r="H698" s="35">
        <v>3.8503906438874917</v>
      </c>
      <c r="I698" s="35">
        <v>58.731971069067001</v>
      </c>
      <c r="J698" t="s">
        <v>2291</v>
      </c>
      <c r="K698" t="s">
        <v>36</v>
      </c>
    </row>
    <row r="699" spans="1:11">
      <c r="A699" s="1">
        <v>30498</v>
      </c>
      <c r="B699" t="s">
        <v>134</v>
      </c>
      <c r="C699" t="s">
        <v>2441</v>
      </c>
      <c r="D699" s="35">
        <v>0.26412970442060402</v>
      </c>
      <c r="E699" s="35">
        <v>5.7040651921423757</v>
      </c>
      <c r="F699" s="35">
        <v>110.58302389520671</v>
      </c>
      <c r="G699" s="35">
        <v>-6.3321577930948281E-2</v>
      </c>
      <c r="H699" s="35">
        <v>5.7673867700733243</v>
      </c>
      <c r="I699" s="35">
        <v>99.787958852901411</v>
      </c>
      <c r="J699" t="s">
        <v>2292</v>
      </c>
      <c r="K699" t="s">
        <v>36</v>
      </c>
    </row>
    <row r="700" spans="1:11">
      <c r="A700" s="1">
        <v>30529</v>
      </c>
      <c r="B700" t="s">
        <v>134</v>
      </c>
      <c r="C700" t="s">
        <v>2441</v>
      </c>
      <c r="D700" s="35">
        <v>0.27661296094320598</v>
      </c>
      <c r="E700" s="35">
        <v>4.6178989087411271</v>
      </c>
      <c r="F700" s="35">
        <v>101.29835328188217</v>
      </c>
      <c r="G700" s="35">
        <v>-8.7706074905278902E-2</v>
      </c>
      <c r="H700" s="35">
        <v>4.7056049836464062</v>
      </c>
      <c r="I700" s="35">
        <v>75.887183035406906</v>
      </c>
      <c r="J700" t="s">
        <v>2292</v>
      </c>
      <c r="K700" t="s">
        <v>36</v>
      </c>
    </row>
    <row r="701" spans="1:11">
      <c r="A701" s="1">
        <v>30560</v>
      </c>
      <c r="B701" t="s">
        <v>134</v>
      </c>
      <c r="C701" t="s">
        <v>2441</v>
      </c>
      <c r="D701" s="35">
        <v>0.28592647716442299</v>
      </c>
      <c r="E701" s="35">
        <v>3.3115428712668087</v>
      </c>
      <c r="F701" s="35">
        <v>97.226291233588483</v>
      </c>
      <c r="G701" s="35">
        <v>5.9710091602400539E-2</v>
      </c>
      <c r="H701" s="35">
        <v>3.251832779664408</v>
      </c>
      <c r="I701" s="35">
        <v>47.730566725026115</v>
      </c>
      <c r="J701" t="s">
        <v>2292</v>
      </c>
      <c r="K701" t="s">
        <v>36</v>
      </c>
    </row>
    <row r="702" spans="1:11">
      <c r="A702" s="1">
        <v>30590</v>
      </c>
      <c r="B702" t="s">
        <v>134</v>
      </c>
      <c r="C702" t="s">
        <v>2441</v>
      </c>
      <c r="D702" s="35">
        <v>0.295173919026256</v>
      </c>
      <c r="E702" s="35">
        <v>3.1830033721855422</v>
      </c>
      <c r="F702" s="35">
        <v>92.383273862114407</v>
      </c>
      <c r="G702" s="35">
        <v>-6.7152525649730843E-2</v>
      </c>
      <c r="H702" s="35">
        <v>3.2501558978352731</v>
      </c>
      <c r="I702" s="35">
        <v>47.700842511412134</v>
      </c>
      <c r="J702" t="s">
        <v>2293</v>
      </c>
      <c r="K702" t="s">
        <v>36</v>
      </c>
    </row>
    <row r="703" spans="1:11">
      <c r="A703" s="1">
        <v>30621</v>
      </c>
      <c r="B703" t="s">
        <v>134</v>
      </c>
      <c r="C703" t="s">
        <v>2441</v>
      </c>
      <c r="D703" s="35">
        <v>0.31231724430753399</v>
      </c>
      <c r="E703" s="35">
        <v>5.6454741246540641</v>
      </c>
      <c r="F703" s="35">
        <v>92.262702439683196</v>
      </c>
      <c r="G703" s="35">
        <v>-9.1034986847382593E-2</v>
      </c>
      <c r="H703" s="35">
        <v>5.736509111501447</v>
      </c>
      <c r="I703" s="35">
        <v>99.049050518226451</v>
      </c>
      <c r="J703" t="s">
        <v>2293</v>
      </c>
      <c r="K703" t="s">
        <v>36</v>
      </c>
    </row>
    <row r="704" spans="1:11">
      <c r="A704" s="1">
        <v>30651</v>
      </c>
      <c r="B704" t="s">
        <v>134</v>
      </c>
      <c r="C704" t="s">
        <v>2441</v>
      </c>
      <c r="D704" s="35">
        <v>0.32591186157720797</v>
      </c>
      <c r="E704" s="35">
        <v>4.2607501664183225</v>
      </c>
      <c r="F704" s="35">
        <v>86.588886959602078</v>
      </c>
      <c r="G704" s="35">
        <v>9.1165377259296132E-2</v>
      </c>
      <c r="H704" s="35">
        <v>4.1695847891590265</v>
      </c>
      <c r="I704" s="35">
        <v>64.929871227178126</v>
      </c>
      <c r="J704" t="s">
        <v>2293</v>
      </c>
      <c r="K704" t="s">
        <v>36</v>
      </c>
    </row>
    <row r="705" spans="1:11">
      <c r="A705" s="1">
        <v>30682</v>
      </c>
      <c r="B705" t="s">
        <v>134</v>
      </c>
      <c r="C705" t="s">
        <v>2441</v>
      </c>
      <c r="D705" s="35">
        <v>0.34334989095156598</v>
      </c>
      <c r="E705" s="35">
        <v>5.2123035913380003</v>
      </c>
      <c r="F705" s="35">
        <v>75.894984245638113</v>
      </c>
      <c r="G705" s="35">
        <v>0.11558240907831546</v>
      </c>
      <c r="H705" s="35">
        <v>5.0967211822596852</v>
      </c>
      <c r="I705" s="35">
        <v>84.339050521252432</v>
      </c>
      <c r="J705" t="s">
        <v>2294</v>
      </c>
      <c r="K705" t="s">
        <v>36</v>
      </c>
    </row>
    <row r="706" spans="1:11">
      <c r="A706" s="1">
        <v>30713</v>
      </c>
      <c r="B706" t="s">
        <v>134</v>
      </c>
      <c r="C706" t="s">
        <v>2441</v>
      </c>
      <c r="D706" s="35">
        <v>0.36343108074104702</v>
      </c>
      <c r="E706" s="35">
        <v>5.6839662470376515</v>
      </c>
      <c r="F706" s="35">
        <v>75.284737133467175</v>
      </c>
      <c r="G706" s="35">
        <v>0.12699036627294302</v>
      </c>
      <c r="H706" s="35">
        <v>5.5569758807647087</v>
      </c>
      <c r="I706" s="35">
        <v>94.806603923770382</v>
      </c>
      <c r="J706" t="s">
        <v>2294</v>
      </c>
      <c r="K706" t="s">
        <v>36</v>
      </c>
    </row>
    <row r="707" spans="1:11">
      <c r="A707" s="1">
        <v>30742</v>
      </c>
      <c r="B707" t="s">
        <v>134</v>
      </c>
      <c r="C707" t="s">
        <v>2441</v>
      </c>
      <c r="D707" s="35">
        <v>0.37891396437265901</v>
      </c>
      <c r="E707" s="35">
        <v>4.171949244452362</v>
      </c>
      <c r="F707" s="35">
        <v>73.919264402144535</v>
      </c>
      <c r="G707" s="35">
        <v>6.1109136241099093E-2</v>
      </c>
      <c r="H707" s="35">
        <v>4.1108401082112627</v>
      </c>
      <c r="I707" s="35">
        <v>63.771309266409169</v>
      </c>
      <c r="J707" t="s">
        <v>2294</v>
      </c>
      <c r="K707" t="s">
        <v>36</v>
      </c>
    </row>
    <row r="708" spans="1:11">
      <c r="A708" s="1">
        <v>30773</v>
      </c>
      <c r="B708" t="s">
        <v>134</v>
      </c>
      <c r="C708" t="s">
        <v>2441</v>
      </c>
      <c r="D708" s="35">
        <v>0.39180447060435403</v>
      </c>
      <c r="E708" s="35">
        <v>3.3453743489776673</v>
      </c>
      <c r="F708" s="35">
        <v>70.145493929409625</v>
      </c>
      <c r="G708" s="35">
        <v>1.5467613080731302E-2</v>
      </c>
      <c r="H708" s="35">
        <v>3.3299067358969361</v>
      </c>
      <c r="I708" s="35">
        <v>49.121139781966839</v>
      </c>
      <c r="J708" t="s">
        <v>2295</v>
      </c>
      <c r="K708" t="s">
        <v>36</v>
      </c>
    </row>
    <row r="709" spans="1:11">
      <c r="A709" s="1">
        <v>30803</v>
      </c>
      <c r="B709" t="s">
        <v>134</v>
      </c>
      <c r="C709" t="s">
        <v>2441</v>
      </c>
      <c r="D709" s="35">
        <v>0.40322838121778898</v>
      </c>
      <c r="E709" s="35">
        <v>2.8740188335044992</v>
      </c>
      <c r="F709" s="35">
        <v>67.853444190678871</v>
      </c>
      <c r="G709" s="35">
        <v>-9.2177951932252061E-2</v>
      </c>
      <c r="H709" s="35">
        <v>2.9661967854367512</v>
      </c>
      <c r="I709" s="35">
        <v>42.752705381436229</v>
      </c>
      <c r="J709" t="s">
        <v>2295</v>
      </c>
      <c r="K709" t="s">
        <v>36</v>
      </c>
    </row>
    <row r="710" spans="1:11">
      <c r="A710" s="1">
        <v>30834</v>
      </c>
      <c r="B710" t="s">
        <v>134</v>
      </c>
      <c r="C710" t="s">
        <v>2441</v>
      </c>
      <c r="D710" s="35">
        <v>0.41973280651610101</v>
      </c>
      <c r="E710" s="35">
        <v>4.0115229665617651</v>
      </c>
      <c r="F710" s="35">
        <v>68.239554714136702</v>
      </c>
      <c r="G710" s="35">
        <v>-6.8631876269193037E-2</v>
      </c>
      <c r="H710" s="35">
        <v>4.0801548428309582</v>
      </c>
      <c r="I710" s="35">
        <v>63.169374248300933</v>
      </c>
      <c r="J710" t="s">
        <v>2295</v>
      </c>
      <c r="K710" t="s">
        <v>36</v>
      </c>
    </row>
    <row r="711" spans="1:11">
      <c r="A711" s="1">
        <v>30864</v>
      </c>
      <c r="B711" t="s">
        <v>134</v>
      </c>
      <c r="C711" t="s">
        <v>2441</v>
      </c>
      <c r="D711" s="35">
        <v>0.43477236800637897</v>
      </c>
      <c r="E711" s="35">
        <v>3.5204268313720686</v>
      </c>
      <c r="F711" s="35">
        <v>64.605631524896978</v>
      </c>
      <c r="G711" s="35">
        <v>-6.3321577930948281E-2</v>
      </c>
      <c r="H711" s="35">
        <v>3.5837484093030167</v>
      </c>
      <c r="I711" s="35">
        <v>53.733409489410988</v>
      </c>
      <c r="J711" t="s">
        <v>2296</v>
      </c>
      <c r="K711" t="s">
        <v>36</v>
      </c>
    </row>
    <row r="712" spans="1:11">
      <c r="A712" s="1">
        <v>30895</v>
      </c>
      <c r="B712" t="s">
        <v>134</v>
      </c>
      <c r="C712" t="s">
        <v>2441</v>
      </c>
      <c r="D712" s="35">
        <v>0.44704497178981401</v>
      </c>
      <c r="E712" s="35">
        <v>2.7836595399509387</v>
      </c>
      <c r="F712" s="35">
        <v>61.613891939648127</v>
      </c>
      <c r="G712" s="35">
        <v>-8.7706074905278902E-2</v>
      </c>
      <c r="H712" s="35">
        <v>2.8713656148562174</v>
      </c>
      <c r="I712" s="35">
        <v>41.13742481102063</v>
      </c>
      <c r="J712" t="s">
        <v>2296</v>
      </c>
      <c r="K712" t="s">
        <v>36</v>
      </c>
    </row>
    <row r="713" spans="1:11">
      <c r="A713" s="1">
        <v>30926</v>
      </c>
      <c r="B713" t="s">
        <v>134</v>
      </c>
      <c r="C713" t="s">
        <v>2441</v>
      </c>
      <c r="D713" s="35">
        <v>0.46332555759970001</v>
      </c>
      <c r="E713" s="35">
        <v>3.5770757573060883</v>
      </c>
      <c r="F713" s="35">
        <v>62.043600227083239</v>
      </c>
      <c r="G713" s="35">
        <v>5.9710091602400539E-2</v>
      </c>
      <c r="H713" s="35">
        <v>3.5173656657036876</v>
      </c>
      <c r="I713" s="35">
        <v>52.51364475871079</v>
      </c>
      <c r="J713" t="s">
        <v>2296</v>
      </c>
      <c r="K713" t="s">
        <v>36</v>
      </c>
    </row>
    <row r="714" spans="1:11">
      <c r="A714" s="1">
        <v>30956</v>
      </c>
      <c r="B714" t="s">
        <v>134</v>
      </c>
      <c r="C714" t="s">
        <v>2441</v>
      </c>
      <c r="D714" s="35">
        <v>0.48250793223491301</v>
      </c>
      <c r="E714" s="35">
        <v>4.0567405352127368</v>
      </c>
      <c r="F714" s="35">
        <v>63.465638775488657</v>
      </c>
      <c r="G714" s="35">
        <v>-6.7152525649730843E-2</v>
      </c>
      <c r="H714" s="35">
        <v>4.1238930608624678</v>
      </c>
      <c r="I714" s="35">
        <v>64.028034172460565</v>
      </c>
      <c r="J714" t="s">
        <v>2297</v>
      </c>
      <c r="K714" t="s">
        <v>36</v>
      </c>
    </row>
    <row r="715" spans="1:11">
      <c r="A715" s="1">
        <v>30987</v>
      </c>
      <c r="B715" t="s">
        <v>134</v>
      </c>
      <c r="C715" t="s">
        <v>2441</v>
      </c>
      <c r="D715" s="35">
        <v>0.49863496693849801</v>
      </c>
      <c r="E715" s="35">
        <v>3.2876938363107691</v>
      </c>
      <c r="F715" s="35">
        <v>59.656559484592478</v>
      </c>
      <c r="G715" s="35">
        <v>-9.1034986847382593E-2</v>
      </c>
      <c r="H715" s="35">
        <v>3.3787288231581516</v>
      </c>
      <c r="I715" s="35">
        <v>49.997352623984348</v>
      </c>
      <c r="J715" t="s">
        <v>2297</v>
      </c>
      <c r="K715" t="s">
        <v>36</v>
      </c>
    </row>
    <row r="716" spans="1:11">
      <c r="A716" s="1">
        <v>31017</v>
      </c>
      <c r="B716" t="s">
        <v>134</v>
      </c>
      <c r="C716" t="s">
        <v>2441</v>
      </c>
      <c r="D716" s="35">
        <v>0.51967742359513602</v>
      </c>
      <c r="E716" s="35">
        <v>4.1333980973233659</v>
      </c>
      <c r="F716" s="35">
        <v>59.453362967590337</v>
      </c>
      <c r="G716" s="35">
        <v>9.1165377259296132E-2</v>
      </c>
      <c r="H716" s="35">
        <v>4.04223272006407</v>
      </c>
      <c r="I716" s="35">
        <v>62.428533696509135</v>
      </c>
      <c r="J716" t="s">
        <v>2297</v>
      </c>
      <c r="K716" t="s">
        <v>36</v>
      </c>
    </row>
    <row r="717" spans="1:11">
      <c r="A717" s="1">
        <v>31048</v>
      </c>
      <c r="B717" t="s">
        <v>134</v>
      </c>
      <c r="C717" t="s">
        <v>2441</v>
      </c>
      <c r="D717" s="35">
        <v>0.54693919033717597</v>
      </c>
      <c r="E717" s="35">
        <v>5.112934699497977</v>
      </c>
      <c r="F717" s="35">
        <v>59.29499462527248</v>
      </c>
      <c r="G717" s="35">
        <v>0.11558240907831546</v>
      </c>
      <c r="H717" s="35">
        <v>4.9973522904196619</v>
      </c>
      <c r="I717" s="35">
        <v>82.153995938303439</v>
      </c>
      <c r="J717" t="s">
        <v>2298</v>
      </c>
      <c r="K717" t="s">
        <v>36</v>
      </c>
    </row>
    <row r="718" spans="1:11">
      <c r="A718" s="1">
        <v>31079</v>
      </c>
      <c r="B718" t="s">
        <v>134</v>
      </c>
      <c r="C718" t="s">
        <v>2441</v>
      </c>
      <c r="D718" s="35">
        <v>0.57162946130466197</v>
      </c>
      <c r="E718" s="35">
        <v>4.4153359707757538</v>
      </c>
      <c r="F718" s="35">
        <v>57.286894708920364</v>
      </c>
      <c r="G718" s="35">
        <v>0.12699036627294302</v>
      </c>
      <c r="H718" s="35">
        <v>4.288345604502811</v>
      </c>
      <c r="I718" s="35">
        <v>67.297164378645505</v>
      </c>
      <c r="J718" t="s">
        <v>2298</v>
      </c>
      <c r="K718" t="s">
        <v>36</v>
      </c>
    </row>
    <row r="719" spans="1:11">
      <c r="A719" s="1">
        <v>31107</v>
      </c>
      <c r="B719" t="s">
        <v>134</v>
      </c>
      <c r="C719" t="s">
        <v>2441</v>
      </c>
      <c r="D719" s="35">
        <v>0.59775655429499397</v>
      </c>
      <c r="E719" s="35">
        <v>4.4692584673757141</v>
      </c>
      <c r="F719" s="35">
        <v>57.755218994015479</v>
      </c>
      <c r="G719" s="35">
        <v>6.1109136241099093E-2</v>
      </c>
      <c r="H719" s="35">
        <v>4.4081493311346147</v>
      </c>
      <c r="I719" s="35">
        <v>69.719675052722408</v>
      </c>
      <c r="J719" t="s">
        <v>2298</v>
      </c>
      <c r="K719" t="s">
        <v>36</v>
      </c>
    </row>
    <row r="720" spans="1:11">
      <c r="A720" s="1">
        <v>31138</v>
      </c>
      <c r="B720" t="s">
        <v>134</v>
      </c>
      <c r="C720" t="s">
        <v>2441</v>
      </c>
      <c r="D720" s="35">
        <v>0.614614226419818</v>
      </c>
      <c r="E720" s="35">
        <v>2.7811225651835509</v>
      </c>
      <c r="F720" s="35">
        <v>56.867588946032811</v>
      </c>
      <c r="G720" s="35">
        <v>1.5467613080731302E-2</v>
      </c>
      <c r="H720" s="35">
        <v>2.7656549521028198</v>
      </c>
      <c r="I720" s="35">
        <v>39.358364917698133</v>
      </c>
      <c r="J720" t="s">
        <v>2299</v>
      </c>
      <c r="K720" t="s">
        <v>36</v>
      </c>
    </row>
    <row r="721" spans="1:11">
      <c r="A721" s="1">
        <v>31168</v>
      </c>
      <c r="B721" t="s">
        <v>134</v>
      </c>
      <c r="C721" t="s">
        <v>2441</v>
      </c>
      <c r="D721" s="35">
        <v>0.63216738502000502</v>
      </c>
      <c r="E721" s="35">
        <v>2.8159411921877582</v>
      </c>
      <c r="F721" s="35">
        <v>56.776510401077914</v>
      </c>
      <c r="G721" s="35">
        <v>-9.2177951932252061E-2</v>
      </c>
      <c r="H721" s="35">
        <v>2.9081191441200103</v>
      </c>
      <c r="I721" s="35">
        <v>41.761275339047053</v>
      </c>
      <c r="J721" t="s">
        <v>2299</v>
      </c>
      <c r="K721" t="s">
        <v>36</v>
      </c>
    </row>
    <row r="722" spans="1:11">
      <c r="A722" s="1">
        <v>31199</v>
      </c>
      <c r="B722" t="s">
        <v>134</v>
      </c>
      <c r="C722" t="s">
        <v>2441</v>
      </c>
      <c r="D722" s="35">
        <v>0.65025222617741296</v>
      </c>
      <c r="E722" s="35">
        <v>2.820611909890907</v>
      </c>
      <c r="F722" s="35">
        <v>54.920515166466785</v>
      </c>
      <c r="G722" s="35">
        <v>-6.8631876269193037E-2</v>
      </c>
      <c r="H722" s="35">
        <v>2.8892437861601001</v>
      </c>
      <c r="I722" s="35">
        <v>41.440543334030068</v>
      </c>
      <c r="J722" t="s">
        <v>2299</v>
      </c>
      <c r="K722" t="s">
        <v>36</v>
      </c>
    </row>
    <row r="723" spans="1:11">
      <c r="A723" s="1">
        <v>31229</v>
      </c>
      <c r="B723" t="s">
        <v>134</v>
      </c>
      <c r="C723" t="s">
        <v>2441</v>
      </c>
      <c r="D723" s="35">
        <v>0.67301374250763302</v>
      </c>
      <c r="E723" s="35">
        <v>3.440542131537764</v>
      </c>
      <c r="F723" s="35">
        <v>54.796806796553035</v>
      </c>
      <c r="G723" s="35">
        <v>-6.3321577930948281E-2</v>
      </c>
      <c r="H723" s="35">
        <v>3.5038637094687122</v>
      </c>
      <c r="I723" s="35">
        <v>52.266736930234579</v>
      </c>
      <c r="J723" t="s">
        <v>2300</v>
      </c>
      <c r="K723" t="s">
        <v>36</v>
      </c>
    </row>
    <row r="724" spans="1:11">
      <c r="A724" s="1">
        <v>31260</v>
      </c>
      <c r="B724" t="s">
        <v>134</v>
      </c>
      <c r="C724" t="s">
        <v>2441</v>
      </c>
      <c r="D724" s="35">
        <v>0.70355946014363202</v>
      </c>
      <c r="E724" s="35">
        <v>4.4386644232974781</v>
      </c>
      <c r="F724" s="35">
        <v>57.380018687341995</v>
      </c>
      <c r="G724" s="35">
        <v>-8.7706074905278902E-2</v>
      </c>
      <c r="H724" s="35">
        <v>4.5263704982027573</v>
      </c>
      <c r="I724" s="35">
        <v>72.144569783961018</v>
      </c>
      <c r="J724" t="s">
        <v>2300</v>
      </c>
      <c r="K724" t="s">
        <v>36</v>
      </c>
    </row>
    <row r="725" spans="1:11">
      <c r="A725" s="1">
        <v>31291</v>
      </c>
      <c r="B725" t="s">
        <v>134</v>
      </c>
      <c r="C725" t="s">
        <v>2441</v>
      </c>
      <c r="D725" s="35">
        <v>0.73498067324018501</v>
      </c>
      <c r="E725" s="35">
        <v>4.3691810512984306</v>
      </c>
      <c r="F725" s="35">
        <v>58.631584462514638</v>
      </c>
      <c r="G725" s="35">
        <v>5.9710091602400539E-2</v>
      </c>
      <c r="H725" s="35">
        <v>4.3094709596960303</v>
      </c>
      <c r="I725" s="35">
        <v>67.721807838306376</v>
      </c>
      <c r="J725" t="s">
        <v>2300</v>
      </c>
      <c r="K725" t="s">
        <v>36</v>
      </c>
    </row>
    <row r="726" spans="1:11">
      <c r="A726" s="1">
        <v>31321</v>
      </c>
      <c r="B726" t="s">
        <v>134</v>
      </c>
      <c r="C726" t="s">
        <v>2441</v>
      </c>
      <c r="D726" s="35">
        <v>0.76607591622144</v>
      </c>
      <c r="E726" s="35">
        <v>4.143706821267152</v>
      </c>
      <c r="F726" s="35">
        <v>58.769600465028127</v>
      </c>
      <c r="G726" s="35">
        <v>-6.7152525649730843E-2</v>
      </c>
      <c r="H726" s="35">
        <v>4.2108593469168829</v>
      </c>
      <c r="I726" s="35">
        <v>65.748786474460474</v>
      </c>
      <c r="J726" t="s">
        <v>2301</v>
      </c>
      <c r="K726" t="s">
        <v>36</v>
      </c>
    </row>
    <row r="727" spans="1:11">
      <c r="A727" s="1">
        <v>31352</v>
      </c>
      <c r="B727" t="s">
        <v>134</v>
      </c>
      <c r="C727" t="s">
        <v>2441</v>
      </c>
      <c r="D727" s="35">
        <v>0.80232079823535596</v>
      </c>
      <c r="E727" s="35">
        <v>4.6227253519938998</v>
      </c>
      <c r="F727" s="35">
        <v>60.903436668595035</v>
      </c>
      <c r="G727" s="35">
        <v>-9.1034986847382593E-2</v>
      </c>
      <c r="H727" s="35">
        <v>4.7137603388412828</v>
      </c>
      <c r="I727" s="35">
        <v>76.059397984332435</v>
      </c>
      <c r="J727" t="s">
        <v>2301</v>
      </c>
      <c r="K727" t="s">
        <v>36</v>
      </c>
    </row>
    <row r="728" spans="1:11">
      <c r="A728" s="1">
        <v>31382</v>
      </c>
      <c r="B728" t="s">
        <v>134</v>
      </c>
      <c r="C728" t="s">
        <v>2441</v>
      </c>
      <c r="D728" s="35">
        <v>0.83813003015994303</v>
      </c>
      <c r="E728" s="35">
        <v>4.3664730011774715</v>
      </c>
      <c r="F728" s="35">
        <v>61.278899583850929</v>
      </c>
      <c r="G728" s="35">
        <v>9.1165377259296132E-2</v>
      </c>
      <c r="H728" s="35">
        <v>4.2753076239181755</v>
      </c>
      <c r="I728" s="35">
        <v>67.035622968582075</v>
      </c>
      <c r="J728" t="s">
        <v>2301</v>
      </c>
      <c r="K728" t="s">
        <v>36</v>
      </c>
    </row>
    <row r="729" spans="1:11">
      <c r="A729" s="1">
        <v>31413</v>
      </c>
      <c r="B729" t="s">
        <v>134</v>
      </c>
      <c r="C729" t="s">
        <v>2441</v>
      </c>
      <c r="D729" s="35">
        <v>0.90999301356862305</v>
      </c>
      <c r="E729" s="35">
        <v>8.2263666384115304</v>
      </c>
      <c r="F729" s="35">
        <v>66.379193454327591</v>
      </c>
      <c r="G729" s="35">
        <v>0.11558240907831546</v>
      </c>
      <c r="H729" s="35">
        <v>8.1107842293332144</v>
      </c>
      <c r="I729" s="35">
        <v>164.66484601215109</v>
      </c>
      <c r="J729" t="s">
        <v>2302</v>
      </c>
      <c r="K729" t="s">
        <v>36</v>
      </c>
    </row>
    <row r="730" spans="1:11">
      <c r="A730" s="1">
        <v>31444</v>
      </c>
      <c r="B730" t="s">
        <v>134</v>
      </c>
      <c r="C730" t="s">
        <v>2441</v>
      </c>
      <c r="D730" s="35">
        <v>0.95754511030536005</v>
      </c>
      <c r="E730" s="35">
        <v>5.0935910451185329</v>
      </c>
      <c r="F730" s="35">
        <v>67.511504414048431</v>
      </c>
      <c r="G730" s="35">
        <v>0.12699036627294302</v>
      </c>
      <c r="H730" s="35">
        <v>4.9666006788455901</v>
      </c>
      <c r="I730" s="35">
        <v>81.483051186060635</v>
      </c>
      <c r="J730" t="s">
        <v>2302</v>
      </c>
      <c r="K730" t="s">
        <v>36</v>
      </c>
    </row>
    <row r="731" spans="1:11">
      <c r="A731" s="1">
        <v>31472</v>
      </c>
      <c r="B731" t="s">
        <v>134</v>
      </c>
      <c r="C731" t="s">
        <v>2441</v>
      </c>
      <c r="D731" s="35">
        <v>1.0081754379168799</v>
      </c>
      <c r="E731" s="35">
        <v>5.1524646504111917</v>
      </c>
      <c r="F731" s="35">
        <v>68.659871760995102</v>
      </c>
      <c r="G731" s="35">
        <v>6.1109136241099093E-2</v>
      </c>
      <c r="H731" s="35">
        <v>5.0913555141700924</v>
      </c>
      <c r="I731" s="35">
        <v>84.220396465522839</v>
      </c>
      <c r="J731" t="s">
        <v>2302</v>
      </c>
      <c r="K731" t="s">
        <v>36</v>
      </c>
    </row>
    <row r="732" spans="1:11">
      <c r="A732" s="1">
        <v>31503</v>
      </c>
      <c r="B732" t="s">
        <v>134</v>
      </c>
      <c r="C732" t="s">
        <v>2441</v>
      </c>
      <c r="D732" s="35">
        <v>1.06346771125298</v>
      </c>
      <c r="E732" s="35">
        <v>5.3392794305730886</v>
      </c>
      <c r="F732" s="35">
        <v>73.03011637849211</v>
      </c>
      <c r="G732" s="35">
        <v>1.5467613080731302E-2</v>
      </c>
      <c r="H732" s="35">
        <v>5.3238118174923574</v>
      </c>
      <c r="I732" s="35">
        <v>89.431523202711702</v>
      </c>
      <c r="J732" t="s">
        <v>2303</v>
      </c>
      <c r="K732" t="s">
        <v>36</v>
      </c>
    </row>
    <row r="733" spans="1:11">
      <c r="A733" s="1">
        <v>31533</v>
      </c>
      <c r="B733" t="s">
        <v>134</v>
      </c>
      <c r="C733" t="s">
        <v>2441</v>
      </c>
      <c r="D733" s="35">
        <v>1.1254965998717601</v>
      </c>
      <c r="E733" s="35">
        <v>5.6689366003339288</v>
      </c>
      <c r="F733" s="35">
        <v>78.037751795142611</v>
      </c>
      <c r="G733" s="35">
        <v>-9.2177951932252061E-2</v>
      </c>
      <c r="H733" s="35">
        <v>5.7611145522661804</v>
      </c>
      <c r="I733" s="35">
        <v>99.6376417980958</v>
      </c>
      <c r="J733" t="s">
        <v>2303</v>
      </c>
      <c r="K733" t="s">
        <v>36</v>
      </c>
    </row>
    <row r="734" spans="1:11">
      <c r="A734" s="1">
        <v>31564</v>
      </c>
      <c r="B734" t="s">
        <v>134</v>
      </c>
      <c r="C734" t="s">
        <v>2441</v>
      </c>
      <c r="D734" s="35">
        <v>1.2046500693095501</v>
      </c>
      <c r="E734" s="35">
        <v>6.796476548891528</v>
      </c>
      <c r="F734" s="35">
        <v>85.258891982766812</v>
      </c>
      <c r="G734" s="35">
        <v>-6.8631876269193037E-2</v>
      </c>
      <c r="H734" s="35">
        <v>6.8651084251607211</v>
      </c>
      <c r="I734" s="35">
        <v>127.91738048894921</v>
      </c>
      <c r="J734" t="s">
        <v>2303</v>
      </c>
      <c r="K734" t="s">
        <v>36</v>
      </c>
    </row>
    <row r="735" spans="1:11">
      <c r="A735" s="1">
        <v>31594</v>
      </c>
      <c r="B735" t="s">
        <v>134</v>
      </c>
      <c r="C735" t="s">
        <v>2441</v>
      </c>
      <c r="D735" s="35">
        <v>1.2650743995593301</v>
      </c>
      <c r="E735" s="35">
        <v>4.8941808475455932</v>
      </c>
      <c r="F735" s="35">
        <v>87.97155535720465</v>
      </c>
      <c r="G735" s="35">
        <v>-6.3321577930948281E-2</v>
      </c>
      <c r="H735" s="35">
        <v>4.9575024254765419</v>
      </c>
      <c r="I735" s="35">
        <v>81.28501785735061</v>
      </c>
      <c r="J735" t="s">
        <v>2304</v>
      </c>
      <c r="K735" t="s">
        <v>36</v>
      </c>
    </row>
    <row r="736" spans="1:11">
      <c r="A736" s="1">
        <v>31625</v>
      </c>
      <c r="B736" t="s">
        <v>134</v>
      </c>
      <c r="C736" t="s">
        <v>2441</v>
      </c>
      <c r="D736" s="35">
        <v>1.3373829114842199</v>
      </c>
      <c r="E736" s="35">
        <v>5.558371880948374</v>
      </c>
      <c r="F736" s="35">
        <v>90.088114402042521</v>
      </c>
      <c r="G736" s="35">
        <v>-8.7706074905278902E-2</v>
      </c>
      <c r="H736" s="35">
        <v>5.6460779558536531</v>
      </c>
      <c r="I736" s="35">
        <v>96.900699989693322</v>
      </c>
      <c r="J736" t="s">
        <v>2304</v>
      </c>
      <c r="K736" t="s">
        <v>36</v>
      </c>
    </row>
    <row r="737" spans="1:11">
      <c r="A737" s="1">
        <v>31656</v>
      </c>
      <c r="B737" t="s">
        <v>134</v>
      </c>
      <c r="C737" t="s">
        <v>2441</v>
      </c>
      <c r="D737" s="35">
        <v>1.4214357870976799</v>
      </c>
      <c r="E737" s="35">
        <v>6.0952825312037842</v>
      </c>
      <c r="F737" s="35">
        <v>93.397709470541088</v>
      </c>
      <c r="G737" s="35">
        <v>5.9710091602400539E-2</v>
      </c>
      <c r="H737" s="35">
        <v>6.0355724396013839</v>
      </c>
      <c r="I737" s="35">
        <v>106.32216991334076</v>
      </c>
      <c r="J737" t="s">
        <v>2304</v>
      </c>
      <c r="K737" t="s">
        <v>36</v>
      </c>
    </row>
    <row r="738" spans="1:11">
      <c r="A738" s="1">
        <v>31686</v>
      </c>
      <c r="B738" t="s">
        <v>134</v>
      </c>
      <c r="C738" t="s">
        <v>2441</v>
      </c>
      <c r="D738" s="35">
        <v>1.51508718541733</v>
      </c>
      <c r="E738" s="35">
        <v>6.3805506983323061</v>
      </c>
      <c r="F738" s="35">
        <v>97.77246005725921</v>
      </c>
      <c r="G738" s="35">
        <v>-6.7152525649730843E-2</v>
      </c>
      <c r="H738" s="35">
        <v>6.4477032239820371</v>
      </c>
      <c r="I738" s="35">
        <v>116.78250566141357</v>
      </c>
      <c r="J738" t="s">
        <v>2305</v>
      </c>
      <c r="K738" t="s">
        <v>36</v>
      </c>
    </row>
    <row r="739" spans="1:11">
      <c r="A739" s="1">
        <v>31717</v>
      </c>
      <c r="B739" t="s">
        <v>134</v>
      </c>
      <c r="C739" t="s">
        <v>2441</v>
      </c>
      <c r="D739" s="35">
        <v>1.6176086376255601</v>
      </c>
      <c r="E739" s="35">
        <v>6.5475923612472657</v>
      </c>
      <c r="F739" s="35">
        <v>101.6161915761586</v>
      </c>
      <c r="G739" s="35">
        <v>-9.1034986847382593E-2</v>
      </c>
      <c r="H739" s="35">
        <v>6.6386273480946487</v>
      </c>
      <c r="I739" s="35">
        <v>121.80651942842968</v>
      </c>
      <c r="J739" t="s">
        <v>2305</v>
      </c>
      <c r="K739" t="s">
        <v>36</v>
      </c>
    </row>
    <row r="740" spans="1:11">
      <c r="A740" s="1">
        <v>31747</v>
      </c>
      <c r="B740" t="s">
        <v>134</v>
      </c>
      <c r="C740" t="s">
        <v>2441</v>
      </c>
      <c r="D740" s="35">
        <v>1.7423135075029801</v>
      </c>
      <c r="E740" s="35">
        <v>7.4264923053390097</v>
      </c>
      <c r="F740" s="35">
        <v>107.88105005263789</v>
      </c>
      <c r="G740" s="35">
        <v>9.1165377259296132E-2</v>
      </c>
      <c r="H740" s="35">
        <v>7.3353269280797138</v>
      </c>
      <c r="I740" s="35">
        <v>141.14765382512454</v>
      </c>
      <c r="J740" t="s">
        <v>2305</v>
      </c>
      <c r="K740" t="s">
        <v>36</v>
      </c>
    </row>
    <row r="741" spans="1:11">
      <c r="A741" s="1">
        <v>31778</v>
      </c>
      <c r="B741" t="s">
        <v>134</v>
      </c>
      <c r="C741" t="s">
        <v>2441</v>
      </c>
      <c r="D741" s="35">
        <v>1.8868890125633</v>
      </c>
      <c r="E741" s="35">
        <v>7.9715615683422154</v>
      </c>
      <c r="F741" s="35">
        <v>107.35203286492138</v>
      </c>
      <c r="G741" s="35">
        <v>0.11558240907831546</v>
      </c>
      <c r="H741" s="35">
        <v>7.8559791592639003</v>
      </c>
      <c r="I741" s="35">
        <v>156.69476266048633</v>
      </c>
      <c r="J741" t="s">
        <v>2306</v>
      </c>
      <c r="K741" t="s">
        <v>36</v>
      </c>
    </row>
    <row r="742" spans="1:11">
      <c r="A742" s="1">
        <v>31809</v>
      </c>
      <c r="B742" t="s">
        <v>134</v>
      </c>
      <c r="C742" t="s">
        <v>2441</v>
      </c>
      <c r="D742" s="35">
        <v>2.0292591695559099</v>
      </c>
      <c r="E742" s="35">
        <v>7.2741337555983998</v>
      </c>
      <c r="F742" s="35">
        <v>111.92308829280968</v>
      </c>
      <c r="G742" s="35">
        <v>0.12699036627294302</v>
      </c>
      <c r="H742" s="35">
        <v>7.147143389325457</v>
      </c>
      <c r="I742" s="35">
        <v>135.7630776966007</v>
      </c>
      <c r="J742" t="s">
        <v>2306</v>
      </c>
      <c r="K742" t="s">
        <v>36</v>
      </c>
    </row>
    <row r="743" spans="1:11">
      <c r="A743" s="1">
        <v>31837</v>
      </c>
      <c r="B743" t="s">
        <v>134</v>
      </c>
      <c r="C743" t="s">
        <v>2441</v>
      </c>
      <c r="D743" s="35">
        <v>2.1720177424138098</v>
      </c>
      <c r="E743" s="35">
        <v>6.7985785396110874</v>
      </c>
      <c r="F743" s="35">
        <v>115.44045418342002</v>
      </c>
      <c r="G743" s="35">
        <v>6.1109136241099093E-2</v>
      </c>
      <c r="H743" s="35">
        <v>6.737469403369988</v>
      </c>
      <c r="I743" s="35">
        <v>124.45304113058531</v>
      </c>
      <c r="J743" t="s">
        <v>2306</v>
      </c>
      <c r="K743" t="s">
        <v>36</v>
      </c>
    </row>
    <row r="744" spans="1:11">
      <c r="A744" s="1">
        <v>31868</v>
      </c>
      <c r="B744" t="s">
        <v>134</v>
      </c>
      <c r="C744" t="s">
        <v>2441</v>
      </c>
      <c r="D744" s="35">
        <v>2.3298885617836902</v>
      </c>
      <c r="E744" s="35">
        <v>7.0163868136054113</v>
      </c>
      <c r="F744" s="35">
        <v>119.08409038941205</v>
      </c>
      <c r="G744" s="35">
        <v>1.5467613080731302E-2</v>
      </c>
      <c r="H744" s="35">
        <v>7.0009192005246801</v>
      </c>
      <c r="I744" s="35">
        <v>131.66224955620612</v>
      </c>
      <c r="J744" t="s">
        <v>2307</v>
      </c>
      <c r="K744" t="s">
        <v>36</v>
      </c>
    </row>
    <row r="745" spans="1:11">
      <c r="A745" s="1">
        <v>31898</v>
      </c>
      <c r="B745" t="s">
        <v>134</v>
      </c>
      <c r="C745" t="s">
        <v>2441</v>
      </c>
      <c r="D745" s="35">
        <v>2.4983933616232199</v>
      </c>
      <c r="E745" s="35">
        <v>6.9827431058789928</v>
      </c>
      <c r="F745" s="35">
        <v>121.9814224145936</v>
      </c>
      <c r="G745" s="35">
        <v>-9.2177951932252061E-2</v>
      </c>
      <c r="H745" s="35">
        <v>7.0749210578112445</v>
      </c>
      <c r="I745" s="35">
        <v>133.72862331438552</v>
      </c>
      <c r="J745" t="s">
        <v>2307</v>
      </c>
      <c r="K745" t="s">
        <v>36</v>
      </c>
    </row>
    <row r="746" spans="1:11">
      <c r="A746" s="1">
        <v>31929</v>
      </c>
      <c r="B746" t="s">
        <v>134</v>
      </c>
      <c r="C746" t="s">
        <v>2441</v>
      </c>
      <c r="D746" s="35">
        <v>2.6846849086586602</v>
      </c>
      <c r="E746" s="35">
        <v>7.1915498687637829</v>
      </c>
      <c r="F746" s="35">
        <v>122.86014644878556</v>
      </c>
      <c r="G746" s="35">
        <v>-6.8631876269193037E-2</v>
      </c>
      <c r="H746" s="35">
        <v>7.260181745032976</v>
      </c>
      <c r="I746" s="35">
        <v>138.98289859893436</v>
      </c>
      <c r="J746" t="s">
        <v>2307</v>
      </c>
      <c r="K746" t="s">
        <v>36</v>
      </c>
    </row>
    <row r="747" spans="1:11">
      <c r="A747" s="1">
        <v>31959</v>
      </c>
      <c r="B747" t="s">
        <v>134</v>
      </c>
      <c r="C747" t="s">
        <v>2441</v>
      </c>
      <c r="D747" s="35">
        <v>2.91551851123493</v>
      </c>
      <c r="E747" s="35">
        <v>8.2484312289120929</v>
      </c>
      <c r="F747" s="35">
        <v>130.46221726172845</v>
      </c>
      <c r="G747" s="35">
        <v>-6.3321577930948281E-2</v>
      </c>
      <c r="H747" s="35">
        <v>8.3117528068430406</v>
      </c>
      <c r="I747" s="35">
        <v>171.12515011171035</v>
      </c>
      <c r="J747" t="s">
        <v>2308</v>
      </c>
      <c r="K747" t="s">
        <v>36</v>
      </c>
    </row>
    <row r="748" spans="1:11">
      <c r="A748" s="1">
        <v>31990</v>
      </c>
      <c r="B748" t="s">
        <v>134</v>
      </c>
      <c r="C748" t="s">
        <v>2441</v>
      </c>
      <c r="D748" s="35">
        <v>3.1293063761288802</v>
      </c>
      <c r="E748" s="35">
        <v>7.0763694014649134</v>
      </c>
      <c r="F748" s="35">
        <v>133.98731576852541</v>
      </c>
      <c r="G748" s="35">
        <v>-8.7706074905278902E-2</v>
      </c>
      <c r="H748" s="35">
        <v>7.1640754763701926</v>
      </c>
      <c r="I748" s="35">
        <v>136.24260000485543</v>
      </c>
      <c r="J748" t="s">
        <v>2308</v>
      </c>
      <c r="K748" t="s">
        <v>36</v>
      </c>
    </row>
    <row r="749" spans="1:11">
      <c r="A749" s="1">
        <v>32021</v>
      </c>
      <c r="B749" t="s">
        <v>134</v>
      </c>
      <c r="C749" t="s">
        <v>2441</v>
      </c>
      <c r="D749" s="35">
        <v>3.3629960035179698</v>
      </c>
      <c r="E749" s="35">
        <v>7.2020869465909145</v>
      </c>
      <c r="F749" s="35">
        <v>136.59148264337793</v>
      </c>
      <c r="G749" s="35">
        <v>5.9710091602400539E-2</v>
      </c>
      <c r="H749" s="35">
        <v>7.1423768549885143</v>
      </c>
      <c r="I749" s="35">
        <v>135.62826351943363</v>
      </c>
      <c r="J749" t="s">
        <v>2308</v>
      </c>
      <c r="K749" t="s">
        <v>36</v>
      </c>
    </row>
    <row r="750" spans="1:11">
      <c r="A750" s="1">
        <v>32051</v>
      </c>
      <c r="B750" t="s">
        <v>134</v>
      </c>
      <c r="C750" t="s">
        <v>2441</v>
      </c>
      <c r="D750" s="35">
        <v>3.6576287300948902</v>
      </c>
      <c r="E750" s="35">
        <v>8.3982805101669644</v>
      </c>
      <c r="F750" s="35">
        <v>141.41374604045632</v>
      </c>
      <c r="G750" s="35">
        <v>-6.7152525649730843E-2</v>
      </c>
      <c r="H750" s="35">
        <v>8.4654330358166945</v>
      </c>
      <c r="I750" s="35">
        <v>176.17152781930497</v>
      </c>
      <c r="J750" t="s">
        <v>2309</v>
      </c>
      <c r="K750" t="s">
        <v>36</v>
      </c>
    </row>
    <row r="751" spans="1:11">
      <c r="A751" s="1">
        <v>32082</v>
      </c>
      <c r="B751" t="s">
        <v>134</v>
      </c>
      <c r="C751" t="s">
        <v>2441</v>
      </c>
      <c r="D751" s="35">
        <v>3.99751504357635</v>
      </c>
      <c r="E751" s="35">
        <v>8.8857879474044061</v>
      </c>
      <c r="F751" s="35">
        <v>147.1249813208332</v>
      </c>
      <c r="G751" s="35">
        <v>-9.1034986847382593E-2</v>
      </c>
      <c r="H751" s="35">
        <v>8.9768229342517891</v>
      </c>
      <c r="I751" s="35">
        <v>193.65010457752786</v>
      </c>
      <c r="J751" t="s">
        <v>2309</v>
      </c>
      <c r="K751" t="s">
        <v>36</v>
      </c>
    </row>
    <row r="752" spans="1:11">
      <c r="A752" s="1">
        <v>32112</v>
      </c>
      <c r="B752" t="s">
        <v>134</v>
      </c>
      <c r="C752" t="s">
        <v>2441</v>
      </c>
      <c r="D752" s="35">
        <v>4.4955407748890304</v>
      </c>
      <c r="E752" s="35">
        <v>11.741303759315715</v>
      </c>
      <c r="F752" s="35">
        <v>158.02134664799073</v>
      </c>
      <c r="G752" s="35">
        <v>9.1165377259296132E-2</v>
      </c>
      <c r="H752" s="35">
        <v>11.650138382056419</v>
      </c>
      <c r="I752" s="35">
        <v>304.71648779484963</v>
      </c>
      <c r="J752" t="s">
        <v>2309</v>
      </c>
      <c r="K752" t="s">
        <v>36</v>
      </c>
    </row>
    <row r="753" spans="1:11">
      <c r="A753" s="1">
        <v>32143</v>
      </c>
      <c r="B753" t="s">
        <v>134</v>
      </c>
      <c r="C753" t="s">
        <v>2441</v>
      </c>
      <c r="D753" s="35">
        <v>5.0891827950299096</v>
      </c>
      <c r="E753" s="35">
        <v>12.403130003988919</v>
      </c>
      <c r="F753" s="35">
        <v>169.71288513235652</v>
      </c>
      <c r="G753" s="35">
        <v>0.11558240907831546</v>
      </c>
      <c r="H753" s="35">
        <v>12.287547594910603</v>
      </c>
      <c r="I753" s="35">
        <v>336.88757536105669</v>
      </c>
      <c r="J753" t="s">
        <v>2310</v>
      </c>
      <c r="K753" t="s">
        <v>36</v>
      </c>
    </row>
    <row r="754" spans="1:11">
      <c r="A754" s="1">
        <v>32174</v>
      </c>
      <c r="B754" t="s">
        <v>134</v>
      </c>
      <c r="C754" t="s">
        <v>2441</v>
      </c>
      <c r="D754" s="35">
        <v>5.6180163343283702</v>
      </c>
      <c r="E754" s="35">
        <v>9.886136957859101</v>
      </c>
      <c r="F754" s="35">
        <v>176.85060728629534</v>
      </c>
      <c r="G754" s="35">
        <v>0.12699036627294302</v>
      </c>
      <c r="H754" s="35">
        <v>9.7591465915861573</v>
      </c>
      <c r="I754" s="35">
        <v>222.55310101066442</v>
      </c>
      <c r="J754" t="s">
        <v>2310</v>
      </c>
      <c r="K754" t="s">
        <v>36</v>
      </c>
    </row>
    <row r="755" spans="1:11">
      <c r="A755" s="1">
        <v>32203</v>
      </c>
      <c r="B755" t="s">
        <v>134</v>
      </c>
      <c r="C755" t="s">
        <v>2441</v>
      </c>
      <c r="D755" s="35">
        <v>5.9535118323575196</v>
      </c>
      <c r="E755" s="35">
        <v>5.8002633192893027</v>
      </c>
      <c r="F755" s="35">
        <v>174.10051566803753</v>
      </c>
      <c r="G755" s="35">
        <v>6.1109136241099093E-2</v>
      </c>
      <c r="H755" s="35">
        <v>5.7391541830482034</v>
      </c>
      <c r="I755" s="35">
        <v>99.112240423797388</v>
      </c>
      <c r="J755" t="s">
        <v>2310</v>
      </c>
      <c r="K755" t="s">
        <v>36</v>
      </c>
    </row>
    <row r="756" spans="1:11">
      <c r="A756" s="1">
        <v>32234</v>
      </c>
      <c r="B756" t="s">
        <v>134</v>
      </c>
      <c r="C756" t="s">
        <v>2441</v>
      </c>
      <c r="D756" s="35">
        <v>6.1257691639999203</v>
      </c>
      <c r="E756" s="35">
        <v>2.8523056972926555</v>
      </c>
      <c r="F756" s="35">
        <v>162.92112268709636</v>
      </c>
      <c r="G756" s="35">
        <v>1.5467613080731302E-2</v>
      </c>
      <c r="H756" s="35">
        <v>2.8368380842119243</v>
      </c>
      <c r="I756" s="35">
        <v>40.553859379031529</v>
      </c>
      <c r="J756" t="s">
        <v>2311</v>
      </c>
      <c r="K756" t="s">
        <v>36</v>
      </c>
    </row>
    <row r="757" spans="1:11">
      <c r="A757" s="1">
        <v>32264</v>
      </c>
      <c r="B757" t="s">
        <v>134</v>
      </c>
      <c r="C757" t="s">
        <v>2441</v>
      </c>
      <c r="D757" s="35">
        <v>6.2440114736902004</v>
      </c>
      <c r="E757" s="35">
        <v>1.9118513863516953</v>
      </c>
      <c r="F757" s="35">
        <v>149.92107206182425</v>
      </c>
      <c r="G757" s="35">
        <v>-9.2177951932252061E-2</v>
      </c>
      <c r="H757" s="35">
        <v>2.0040293382839471</v>
      </c>
      <c r="I757" s="35">
        <v>27.186397409378316</v>
      </c>
      <c r="J757" t="s">
        <v>2311</v>
      </c>
      <c r="K757" t="s">
        <v>36</v>
      </c>
    </row>
    <row r="758" spans="1:11">
      <c r="A758" s="1">
        <v>32295</v>
      </c>
      <c r="B758" t="s">
        <v>134</v>
      </c>
      <c r="C758" t="s">
        <v>2441</v>
      </c>
      <c r="D758" s="35">
        <v>6.3298591883099196</v>
      </c>
      <c r="E758" s="35">
        <v>1.3655150569962275</v>
      </c>
      <c r="F758" s="35">
        <v>135.77661452540758</v>
      </c>
      <c r="G758" s="35">
        <v>-6.8631876269193037E-2</v>
      </c>
      <c r="H758" s="35">
        <v>1.4341469332654206</v>
      </c>
      <c r="I758" s="35">
        <v>18.779379422709951</v>
      </c>
      <c r="J758" t="s">
        <v>2311</v>
      </c>
      <c r="K758" t="s">
        <v>36</v>
      </c>
    </row>
    <row r="759" spans="1:11">
      <c r="A759" s="1">
        <v>32325</v>
      </c>
      <c r="B759" t="s">
        <v>134</v>
      </c>
      <c r="C759" t="s">
        <v>2441</v>
      </c>
      <c r="D759" s="35">
        <v>6.3916693402763496</v>
      </c>
      <c r="E759" s="35">
        <v>0.97174861053481065</v>
      </c>
      <c r="F759" s="35">
        <v>119.22924912485024</v>
      </c>
      <c r="G759" s="35">
        <v>-6.3321577930948281E-2</v>
      </c>
      <c r="H759" s="35">
        <v>1.0350701884657589</v>
      </c>
      <c r="I759" s="35">
        <v>13.225183329732459</v>
      </c>
      <c r="J759" t="s">
        <v>2312</v>
      </c>
      <c r="K759" t="s">
        <v>36</v>
      </c>
    </row>
    <row r="760" spans="1:11">
      <c r="A760" s="1">
        <v>32356</v>
      </c>
      <c r="B760" t="s">
        <v>134</v>
      </c>
      <c r="C760" t="s">
        <v>2441</v>
      </c>
      <c r="D760" s="35">
        <v>6.4555031713326798</v>
      </c>
      <c r="E760" s="35">
        <v>0.99374950118044025</v>
      </c>
      <c r="F760" s="35">
        <v>106.29182302432412</v>
      </c>
      <c r="G760" s="35">
        <v>-8.7706074905278902E-2</v>
      </c>
      <c r="H760" s="35">
        <v>1.0814555760857192</v>
      </c>
      <c r="I760" s="35">
        <v>13.857179904381777</v>
      </c>
      <c r="J760" t="s">
        <v>2312</v>
      </c>
      <c r="K760" t="s">
        <v>36</v>
      </c>
    </row>
    <row r="761" spans="1:11">
      <c r="A761" s="1">
        <v>32387</v>
      </c>
      <c r="B761" t="s">
        <v>134</v>
      </c>
      <c r="C761" t="s">
        <v>2441</v>
      </c>
      <c r="D761" s="35">
        <v>6.4702151373569299</v>
      </c>
      <c r="E761" s="35">
        <v>0.22763875903753372</v>
      </c>
      <c r="F761" s="35">
        <v>92.394374854699606</v>
      </c>
      <c r="G761" s="35">
        <v>5.9710091602400539E-2</v>
      </c>
      <c r="H761" s="35">
        <v>0.16792866743513318</v>
      </c>
      <c r="I761" s="35">
        <v>2.0355851111059531</v>
      </c>
      <c r="J761" t="s">
        <v>2312</v>
      </c>
      <c r="K761" t="s">
        <v>36</v>
      </c>
    </row>
    <row r="762" spans="1:11">
      <c r="A762" s="1">
        <v>32417</v>
      </c>
      <c r="B762" t="s">
        <v>134</v>
      </c>
      <c r="C762" t="s">
        <v>2441</v>
      </c>
      <c r="D762" s="35">
        <v>6.5113813810523302</v>
      </c>
      <c r="E762" s="35">
        <v>0.63422679371405133</v>
      </c>
      <c r="F762" s="35">
        <v>78.021933376584258</v>
      </c>
      <c r="G762" s="35">
        <v>-6.7152525649730843E-2</v>
      </c>
      <c r="H762" s="35">
        <v>0.70137931936378217</v>
      </c>
      <c r="I762" s="35">
        <v>8.7808931219421016</v>
      </c>
      <c r="J762" t="s">
        <v>2313</v>
      </c>
      <c r="K762" t="s">
        <v>36</v>
      </c>
    </row>
    <row r="763" spans="1:11">
      <c r="A763" s="1">
        <v>32448</v>
      </c>
      <c r="B763" t="s">
        <v>134</v>
      </c>
      <c r="C763" t="s">
        <v>2441</v>
      </c>
      <c r="D763" s="35">
        <v>6.5664698309062697</v>
      </c>
      <c r="E763" s="35">
        <v>0.84247442170690112</v>
      </c>
      <c r="F763" s="35">
        <v>64.263792864469664</v>
      </c>
      <c r="G763" s="35">
        <v>-9.1034986847382593E-2</v>
      </c>
      <c r="H763" s="35">
        <v>0.93350940855428366</v>
      </c>
      <c r="I763" s="35">
        <v>11.85364939826079</v>
      </c>
      <c r="J763" t="s">
        <v>2313</v>
      </c>
      <c r="K763" t="s">
        <v>36</v>
      </c>
    </row>
    <row r="764" spans="1:11">
      <c r="A764" s="1">
        <v>32478</v>
      </c>
      <c r="B764" t="s">
        <v>134</v>
      </c>
      <c r="C764" t="s">
        <v>2441</v>
      </c>
      <c r="D764" s="35">
        <v>6.6876932478611204</v>
      </c>
      <c r="E764" s="35">
        <v>1.8292637043366218</v>
      </c>
      <c r="F764" s="35">
        <v>48.762820375624386</v>
      </c>
      <c r="G764" s="35">
        <v>9.1165377259296132E-2</v>
      </c>
      <c r="H764" s="35">
        <v>1.7380983270773256</v>
      </c>
      <c r="I764" s="35">
        <v>23.191737762855681</v>
      </c>
      <c r="J764" t="s">
        <v>2313</v>
      </c>
      <c r="K764" t="s">
        <v>36</v>
      </c>
    </row>
    <row r="765" spans="1:11">
      <c r="A765" s="1">
        <v>32509</v>
      </c>
      <c r="B765" t="s">
        <v>134</v>
      </c>
      <c r="C765" t="s">
        <v>2441</v>
      </c>
      <c r="D765" s="35">
        <v>6.9006701417673701</v>
      </c>
      <c r="E765" s="35">
        <v>3.1349520201401742</v>
      </c>
      <c r="F765" s="35">
        <v>35.594857164622915</v>
      </c>
      <c r="G765" s="35">
        <v>0.11558240907831546</v>
      </c>
      <c r="H765" s="35">
        <v>3.0193696110618586</v>
      </c>
      <c r="I765" s="35">
        <v>43.666485342190001</v>
      </c>
      <c r="J765" t="s">
        <v>2314</v>
      </c>
      <c r="K765" t="s">
        <v>36</v>
      </c>
    </row>
    <row r="766" spans="1:11">
      <c r="A766" s="1">
        <v>32540</v>
      </c>
      <c r="B766" t="s">
        <v>134</v>
      </c>
      <c r="C766" t="s">
        <v>2441</v>
      </c>
      <c r="D766" s="35">
        <v>7.0396634231068296</v>
      </c>
      <c r="E766" s="35">
        <v>1.9941830926824955</v>
      </c>
      <c r="F766" s="35">
        <v>25.305143384714214</v>
      </c>
      <c r="G766" s="35">
        <v>0.12699036627294302</v>
      </c>
      <c r="H766" s="35">
        <v>1.8671927264095525</v>
      </c>
      <c r="I766" s="35">
        <v>25.114999849305587</v>
      </c>
      <c r="J766" t="s">
        <v>2314</v>
      </c>
      <c r="K766" t="s">
        <v>36</v>
      </c>
    </row>
    <row r="767" spans="1:11">
      <c r="A767" s="1">
        <v>32568</v>
      </c>
      <c r="B767" t="s">
        <v>134</v>
      </c>
      <c r="C767" t="s">
        <v>2441</v>
      </c>
      <c r="D767" s="35">
        <v>7.1362101894261496</v>
      </c>
      <c r="E767" s="35">
        <v>1.3621489830915574</v>
      </c>
      <c r="F767" s="35">
        <v>19.865558184341346</v>
      </c>
      <c r="G767" s="35">
        <v>6.1109136241099093E-2</v>
      </c>
      <c r="H767" s="35">
        <v>1.3010398468504583</v>
      </c>
      <c r="I767" s="35">
        <v>16.897206021934629</v>
      </c>
      <c r="J767" t="s">
        <v>2314</v>
      </c>
      <c r="K767" t="s">
        <v>36</v>
      </c>
    </row>
    <row r="768" spans="1:11">
      <c r="A768" s="1">
        <v>32599</v>
      </c>
      <c r="B768" t="s">
        <v>134</v>
      </c>
      <c r="C768" t="s">
        <v>2441</v>
      </c>
      <c r="D768" s="35">
        <v>7.2229182234721803</v>
      </c>
      <c r="E768" s="35">
        <v>1.207720767983578</v>
      </c>
      <c r="F768" s="35">
        <v>17.910388558550562</v>
      </c>
      <c r="G768" s="35">
        <v>1.5467613080731302E-2</v>
      </c>
      <c r="H768" s="35">
        <v>1.1922531549028466</v>
      </c>
      <c r="I768" s="35">
        <v>15.381100239814227</v>
      </c>
      <c r="J768" t="s">
        <v>2315</v>
      </c>
      <c r="K768" t="s">
        <v>36</v>
      </c>
    </row>
    <row r="769" spans="1:11">
      <c r="A769" s="1">
        <v>32629</v>
      </c>
      <c r="B769" t="s">
        <v>134</v>
      </c>
      <c r="C769" t="s">
        <v>2441</v>
      </c>
      <c r="D769" s="35">
        <v>7.2981401074558896</v>
      </c>
      <c r="E769" s="35">
        <v>1.0360478571869653</v>
      </c>
      <c r="F769" s="35">
        <v>16.882234092736237</v>
      </c>
      <c r="G769" s="35">
        <v>-9.2177951932252061E-2</v>
      </c>
      <c r="H769" s="35">
        <v>1.1282258091192174</v>
      </c>
      <c r="I769" s="35">
        <v>14.497991697700584</v>
      </c>
      <c r="J769" t="s">
        <v>2315</v>
      </c>
      <c r="K769" t="s">
        <v>36</v>
      </c>
    </row>
    <row r="770" spans="1:11">
      <c r="A770" s="1">
        <v>32660</v>
      </c>
      <c r="B770" t="s">
        <v>134</v>
      </c>
      <c r="C770" t="s">
        <v>2441</v>
      </c>
      <c r="D770" s="35">
        <v>7.3662010333922403</v>
      </c>
      <c r="E770" s="35">
        <v>0.92825738291838333</v>
      </c>
      <c r="F770" s="35">
        <v>16.372273288420903</v>
      </c>
      <c r="G770" s="35">
        <v>-6.8631876269193037E-2</v>
      </c>
      <c r="H770" s="35">
        <v>0.99688925918757643</v>
      </c>
      <c r="I770" s="35">
        <v>12.70760480682509</v>
      </c>
      <c r="J770" t="s">
        <v>2315</v>
      </c>
      <c r="K770" t="s">
        <v>36</v>
      </c>
    </row>
    <row r="771" spans="1:11">
      <c r="A771" s="1">
        <v>32690</v>
      </c>
      <c r="B771" t="s">
        <v>134</v>
      </c>
      <c r="C771" t="s">
        <v>2441</v>
      </c>
      <c r="D771" s="35">
        <v>7.4335103823981399</v>
      </c>
      <c r="E771" s="35">
        <v>0.90960980530734847</v>
      </c>
      <c r="F771" s="35">
        <v>16.29998341054273</v>
      </c>
      <c r="G771" s="35">
        <v>-6.3321577930948281E-2</v>
      </c>
      <c r="H771" s="35">
        <v>0.97293138323829675</v>
      </c>
      <c r="I771" s="35">
        <v>12.384041964653104</v>
      </c>
      <c r="J771" t="s">
        <v>2316</v>
      </c>
      <c r="K771" t="s">
        <v>36</v>
      </c>
    </row>
    <row r="772" spans="1:11">
      <c r="A772" s="1">
        <v>32721</v>
      </c>
      <c r="B772" t="s">
        <v>134</v>
      </c>
      <c r="C772" t="s">
        <v>2441</v>
      </c>
      <c r="D772" s="35">
        <v>7.5204356440127498</v>
      </c>
      <c r="E772" s="35">
        <v>1.1625859894312129</v>
      </c>
      <c r="F772" s="35">
        <v>16.496506072666438</v>
      </c>
      <c r="G772" s="35">
        <v>-8.7706074905278902E-2</v>
      </c>
      <c r="H772" s="35">
        <v>1.2502920643364919</v>
      </c>
      <c r="I772" s="35">
        <v>16.18749630835228</v>
      </c>
      <c r="J772" t="s">
        <v>2316</v>
      </c>
      <c r="K772" t="s">
        <v>36</v>
      </c>
    </row>
    <row r="773" spans="1:11">
      <c r="A773" s="1">
        <v>32752</v>
      </c>
      <c r="B773" t="s">
        <v>134</v>
      </c>
      <c r="C773" t="s">
        <v>2441</v>
      </c>
      <c r="D773" s="35">
        <v>7.6351813470968803</v>
      </c>
      <c r="E773" s="35">
        <v>1.5142622795612315</v>
      </c>
      <c r="F773" s="35">
        <v>18.005061423905566</v>
      </c>
      <c r="G773" s="35">
        <v>5.9710091602400539E-2</v>
      </c>
      <c r="H773" s="35">
        <v>1.454552187958831</v>
      </c>
      <c r="I773" s="35">
        <v>19.070582620469033</v>
      </c>
      <c r="J773" t="s">
        <v>2316</v>
      </c>
      <c r="K773" t="s">
        <v>36</v>
      </c>
    </row>
    <row r="774" spans="1:11">
      <c r="A774" s="1">
        <v>32782</v>
      </c>
      <c r="B774" t="s">
        <v>134</v>
      </c>
      <c r="C774" t="s">
        <v>2441</v>
      </c>
      <c r="D774" s="35">
        <v>7.7711097243338703</v>
      </c>
      <c r="E774" s="35">
        <v>1.7646285382026963</v>
      </c>
      <c r="F774" s="35">
        <v>19.346560576950122</v>
      </c>
      <c r="G774" s="35">
        <v>-6.7152525649730843E-2</v>
      </c>
      <c r="H774" s="35">
        <v>1.8317810638524272</v>
      </c>
      <c r="I774" s="35">
        <v>24.584464257826898</v>
      </c>
      <c r="J774" t="s">
        <v>2317</v>
      </c>
      <c r="K774" t="s">
        <v>36</v>
      </c>
    </row>
    <row r="775" spans="1:11">
      <c r="A775" s="1">
        <v>32813</v>
      </c>
      <c r="B775" t="s">
        <v>134</v>
      </c>
      <c r="C775" t="s">
        <v>2441</v>
      </c>
      <c r="D775" s="35">
        <v>7.8918356649326098</v>
      </c>
      <c r="E775" s="35">
        <v>1.5415789103622815</v>
      </c>
      <c r="F775" s="35">
        <v>20.183841061574181</v>
      </c>
      <c r="G775" s="35">
        <v>-9.1034986847382593E-2</v>
      </c>
      <c r="H775" s="35">
        <v>1.632613897209664</v>
      </c>
      <c r="I775" s="35">
        <v>21.64218842596053</v>
      </c>
      <c r="J775" t="s">
        <v>2317</v>
      </c>
      <c r="K775" t="s">
        <v>36</v>
      </c>
    </row>
    <row r="776" spans="1:11">
      <c r="A776" s="1">
        <v>32843</v>
      </c>
      <c r="B776" t="s">
        <v>134</v>
      </c>
      <c r="C776" t="s">
        <v>2441</v>
      </c>
      <c r="D776" s="35">
        <v>8.1219219359540809</v>
      </c>
      <c r="E776" s="35">
        <v>2.8738052836778247</v>
      </c>
      <c r="F776" s="35">
        <v>21.445790572880409</v>
      </c>
      <c r="G776" s="35">
        <v>9.1165377259296132E-2</v>
      </c>
      <c r="H776" s="35">
        <v>2.7826399064185288</v>
      </c>
      <c r="I776" s="35">
        <v>39.642694033686674</v>
      </c>
      <c r="J776" t="s">
        <v>2317</v>
      </c>
      <c r="K776" t="s">
        <v>36</v>
      </c>
    </row>
    <row r="777" spans="1:11">
      <c r="A777" s="1">
        <v>32874</v>
      </c>
      <c r="B777" t="s">
        <v>134</v>
      </c>
      <c r="C777" t="s">
        <v>2441</v>
      </c>
      <c r="D777" s="35">
        <v>8.4350191709715894</v>
      </c>
      <c r="E777" s="35">
        <v>3.7825170997413968</v>
      </c>
      <c r="F777" s="35">
        <v>22.234782965749012</v>
      </c>
      <c r="G777" s="35">
        <v>0.11558240907831546</v>
      </c>
      <c r="H777" s="35">
        <v>3.6669346906630813</v>
      </c>
      <c r="I777" s="35">
        <v>55.275715884972044</v>
      </c>
      <c r="J777" t="s">
        <v>2318</v>
      </c>
      <c r="K777" t="s">
        <v>36</v>
      </c>
    </row>
    <row r="778" spans="1:11">
      <c r="A778" s="1">
        <v>32905</v>
      </c>
      <c r="B778" t="s">
        <v>134</v>
      </c>
      <c r="C778" t="s">
        <v>2441</v>
      </c>
      <c r="D778" s="35">
        <v>8.5900269234896101</v>
      </c>
      <c r="E778" s="35">
        <v>1.8209881490174769</v>
      </c>
      <c r="F778" s="35">
        <v>22.023261727171551</v>
      </c>
      <c r="G778" s="35">
        <v>0.12699036627294302</v>
      </c>
      <c r="H778" s="35">
        <v>1.6939977827445338</v>
      </c>
      <c r="I778" s="35">
        <v>22.541521051885937</v>
      </c>
      <c r="J778" t="s">
        <v>2318</v>
      </c>
      <c r="K778" t="s">
        <v>36</v>
      </c>
    </row>
    <row r="779" spans="1:11">
      <c r="A779" s="1">
        <v>32933</v>
      </c>
      <c r="B779" t="s">
        <v>134</v>
      </c>
      <c r="C779" t="s">
        <v>2441</v>
      </c>
      <c r="D779" s="35">
        <v>8.7210438834918094</v>
      </c>
      <c r="E779" s="35">
        <v>1.5137071891566496</v>
      </c>
      <c r="F779" s="35">
        <v>22.208338207497526</v>
      </c>
      <c r="G779" s="35">
        <v>6.1109136241099093E-2</v>
      </c>
      <c r="H779" s="35">
        <v>1.4525980529155504</v>
      </c>
      <c r="I779" s="35">
        <v>19.042664294193035</v>
      </c>
      <c r="J779" t="s">
        <v>2318</v>
      </c>
      <c r="K779" t="s">
        <v>36</v>
      </c>
    </row>
    <row r="780" spans="1:11">
      <c r="A780" s="1">
        <v>32964</v>
      </c>
      <c r="B780" t="s">
        <v>134</v>
      </c>
      <c r="C780" t="s">
        <v>2441</v>
      </c>
      <c r="D780" s="35">
        <v>8.8922651225538303</v>
      </c>
      <c r="E780" s="35">
        <v>1.9442869343563856</v>
      </c>
      <c r="F780" s="35">
        <v>23.111806716249461</v>
      </c>
      <c r="G780" s="35">
        <v>1.5467613080731302E-2</v>
      </c>
      <c r="H780" s="35">
        <v>1.9288193212756544</v>
      </c>
      <c r="I780" s="35">
        <v>26.043678865358654</v>
      </c>
      <c r="J780" t="s">
        <v>2319</v>
      </c>
      <c r="K780" t="s">
        <v>36</v>
      </c>
    </row>
    <row r="781" spans="1:11">
      <c r="A781" s="1">
        <v>32994</v>
      </c>
      <c r="B781" t="s">
        <v>134</v>
      </c>
      <c r="C781" t="s">
        <v>2441</v>
      </c>
      <c r="D781" s="35">
        <v>9.0975109439421793</v>
      </c>
      <c r="E781" s="35">
        <v>2.2819041955722699</v>
      </c>
      <c r="F781" s="35">
        <v>24.655197214534507</v>
      </c>
      <c r="G781" s="35">
        <v>-9.2177951932252061E-2</v>
      </c>
      <c r="H781" s="35">
        <v>2.374082147504522</v>
      </c>
      <c r="I781" s="35">
        <v>32.961557313955758</v>
      </c>
      <c r="J781" t="s">
        <v>2319</v>
      </c>
      <c r="K781" t="s">
        <v>36</v>
      </c>
    </row>
    <row r="782" spans="1:11">
      <c r="A782" s="1">
        <v>33025</v>
      </c>
      <c r="B782" t="s">
        <v>134</v>
      </c>
      <c r="C782" t="s">
        <v>2441</v>
      </c>
      <c r="D782" s="35">
        <v>9.3259624603414704</v>
      </c>
      <c r="E782" s="35">
        <v>2.4801319644098512</v>
      </c>
      <c r="F782" s="35">
        <v>26.604777931871503</v>
      </c>
      <c r="G782" s="35">
        <v>-6.8631876269193037E-2</v>
      </c>
      <c r="H782" s="35">
        <v>2.5487638406790443</v>
      </c>
      <c r="I782" s="35">
        <v>35.778087958969884</v>
      </c>
      <c r="J782" t="s">
        <v>2319</v>
      </c>
      <c r="K782" t="s">
        <v>36</v>
      </c>
    </row>
    <row r="783" spans="1:11">
      <c r="A783" s="1">
        <v>33055</v>
      </c>
      <c r="B783" t="s">
        <v>134</v>
      </c>
      <c r="C783" t="s">
        <v>2441</v>
      </c>
      <c r="D783" s="35">
        <v>9.5128332070158894</v>
      </c>
      <c r="E783" s="35">
        <v>1.9839577798094699</v>
      </c>
      <c r="F783" s="35">
        <v>27.972286546358927</v>
      </c>
      <c r="G783" s="35">
        <v>-6.3321577930948281E-2</v>
      </c>
      <c r="H783" s="35">
        <v>2.0472793577404182</v>
      </c>
      <c r="I783" s="35">
        <v>27.848211030446901</v>
      </c>
      <c r="J783" t="s">
        <v>2320</v>
      </c>
      <c r="K783" t="s">
        <v>36</v>
      </c>
    </row>
    <row r="784" spans="1:11">
      <c r="A784" s="1">
        <v>33086</v>
      </c>
      <c r="B784" t="s">
        <v>134</v>
      </c>
      <c r="C784" t="s">
        <v>2441</v>
      </c>
      <c r="D784" s="35">
        <v>9.6845873389687291</v>
      </c>
      <c r="E784" s="35">
        <v>1.7893936780636308</v>
      </c>
      <c r="F784" s="35">
        <v>28.776945876518823</v>
      </c>
      <c r="G784" s="35">
        <v>-8.7706074905278902E-2</v>
      </c>
      <c r="H784" s="35">
        <v>1.8770997529689097</v>
      </c>
      <c r="I784" s="35">
        <v>25.263830415056265</v>
      </c>
      <c r="J784" t="s">
        <v>2320</v>
      </c>
      <c r="K784" t="s">
        <v>36</v>
      </c>
    </row>
    <row r="785" spans="1:11">
      <c r="A785" s="1">
        <v>33117</v>
      </c>
      <c r="B785" t="s">
        <v>134</v>
      </c>
      <c r="C785" t="s">
        <v>2441</v>
      </c>
      <c r="D785" s="35">
        <v>9.8427942855558896</v>
      </c>
      <c r="E785" s="35">
        <v>1.6203955173276159</v>
      </c>
      <c r="F785" s="35">
        <v>28.913693573216936</v>
      </c>
      <c r="G785" s="35">
        <v>5.9710091602400539E-2</v>
      </c>
      <c r="H785" s="35">
        <v>1.5606854257252154</v>
      </c>
      <c r="I785" s="35">
        <v>20.596762268975311</v>
      </c>
      <c r="J785" t="s">
        <v>2320</v>
      </c>
      <c r="K785" t="s">
        <v>36</v>
      </c>
    </row>
    <row r="786" spans="1:11">
      <c r="A786" s="1">
        <v>33147</v>
      </c>
      <c r="B786" t="s">
        <v>134</v>
      </c>
      <c r="C786" t="s">
        <v>2441</v>
      </c>
      <c r="D786" s="35">
        <v>10.00090113685</v>
      </c>
      <c r="E786" s="35">
        <v>1.5935559757998949</v>
      </c>
      <c r="F786" s="35">
        <v>28.693346145067643</v>
      </c>
      <c r="G786" s="35">
        <v>-6.7152525649730843E-2</v>
      </c>
      <c r="H786" s="35">
        <v>1.6607085014496259</v>
      </c>
      <c r="I786" s="35">
        <v>22.052979194241495</v>
      </c>
      <c r="J786" t="s">
        <v>2321</v>
      </c>
      <c r="K786" t="s">
        <v>36</v>
      </c>
    </row>
    <row r="787" spans="1:11">
      <c r="A787" s="1">
        <v>33178</v>
      </c>
      <c r="B787" t="s">
        <v>134</v>
      </c>
      <c r="C787" t="s">
        <v>2441</v>
      </c>
      <c r="D787" s="35">
        <v>10.216733815317101</v>
      </c>
      <c r="E787" s="35">
        <v>2.1351743535167063</v>
      </c>
      <c r="F787" s="35">
        <v>29.459535767010216</v>
      </c>
      <c r="G787" s="35">
        <v>-9.1034986847382593E-2</v>
      </c>
      <c r="H787" s="35">
        <v>2.2262093403640888</v>
      </c>
      <c r="I787" s="35">
        <v>30.622999377542982</v>
      </c>
      <c r="J787" t="s">
        <v>2321</v>
      </c>
      <c r="K787" t="s">
        <v>36</v>
      </c>
    </row>
    <row r="788" spans="1:11">
      <c r="A788" s="1">
        <v>33208</v>
      </c>
      <c r="B788" t="s">
        <v>134</v>
      </c>
      <c r="C788" t="s">
        <v>2441</v>
      </c>
      <c r="D788" s="35">
        <v>10.5074840408406</v>
      </c>
      <c r="E788" s="35">
        <v>2.8060822906702114</v>
      </c>
      <c r="F788" s="35">
        <v>29.371891575639573</v>
      </c>
      <c r="G788" s="35">
        <v>9.1165377259296132E-2</v>
      </c>
      <c r="H788" s="35">
        <v>2.7149169134109155</v>
      </c>
      <c r="I788" s="35">
        <v>38.512450320417187</v>
      </c>
      <c r="J788" t="s">
        <v>2321</v>
      </c>
      <c r="K788" t="s">
        <v>36</v>
      </c>
    </row>
    <row r="789" spans="1:11">
      <c r="A789" s="1">
        <v>33239</v>
      </c>
      <c r="B789" t="s">
        <v>134</v>
      </c>
      <c r="C789" t="s">
        <v>2441</v>
      </c>
      <c r="D789" s="35">
        <v>10.7875406276868</v>
      </c>
      <c r="E789" s="35">
        <v>2.6304053523392401</v>
      </c>
      <c r="F789" s="35">
        <v>27.889936098915058</v>
      </c>
      <c r="G789" s="35">
        <v>0.11558240907831546</v>
      </c>
      <c r="H789" s="35">
        <v>2.5148229432609246</v>
      </c>
      <c r="I789" s="35">
        <v>35.226200995611265</v>
      </c>
      <c r="J789" t="s">
        <v>2322</v>
      </c>
      <c r="K789" t="s">
        <v>36</v>
      </c>
    </row>
    <row r="790" spans="1:11">
      <c r="A790" s="1">
        <v>33270</v>
      </c>
      <c r="B790" t="s">
        <v>134</v>
      </c>
      <c r="C790" t="s">
        <v>2441</v>
      </c>
      <c r="D790" s="35">
        <v>10.9965284557038</v>
      </c>
      <c r="E790" s="35">
        <v>1.9187805467477317</v>
      </c>
      <c r="F790" s="35">
        <v>28.015063906651562</v>
      </c>
      <c r="G790" s="35">
        <v>0.12699036627294302</v>
      </c>
      <c r="H790" s="35">
        <v>1.7917901804747887</v>
      </c>
      <c r="I790" s="35">
        <v>23.988027390998255</v>
      </c>
      <c r="J790" t="s">
        <v>2322</v>
      </c>
      <c r="K790" t="s">
        <v>36</v>
      </c>
    </row>
    <row r="791" spans="1:11">
      <c r="A791" s="1">
        <v>33298</v>
      </c>
      <c r="B791" t="s">
        <v>134</v>
      </c>
      <c r="C791" t="s">
        <v>2441</v>
      </c>
      <c r="D791" s="35">
        <v>11.160216464015701</v>
      </c>
      <c r="E791" s="35">
        <v>1.4775725130444035</v>
      </c>
      <c r="F791" s="35">
        <v>27.968814434485711</v>
      </c>
      <c r="G791" s="35">
        <v>6.1109136241099093E-2</v>
      </c>
      <c r="H791" s="35">
        <v>1.4164633768033044</v>
      </c>
      <c r="I791" s="35">
        <v>18.527593641770125</v>
      </c>
      <c r="J791" t="s">
        <v>2322</v>
      </c>
      <c r="K791" t="s">
        <v>36</v>
      </c>
    </row>
    <row r="792" spans="1:11">
      <c r="A792" s="1">
        <v>33329</v>
      </c>
      <c r="B792" t="s">
        <v>134</v>
      </c>
      <c r="C792" t="s">
        <v>2441</v>
      </c>
      <c r="D792" s="35">
        <v>11.282352778738</v>
      </c>
      <c r="E792" s="35">
        <v>1.0884450813316939</v>
      </c>
      <c r="F792" s="35">
        <v>26.878277055888589</v>
      </c>
      <c r="G792" s="35">
        <v>1.5467613080731302E-2</v>
      </c>
      <c r="H792" s="35">
        <v>1.0729774682509627</v>
      </c>
      <c r="I792" s="35">
        <v>13.741403594331558</v>
      </c>
      <c r="J792" t="s">
        <v>2323</v>
      </c>
      <c r="K792" t="s">
        <v>36</v>
      </c>
    </row>
    <row r="793" spans="1:11">
      <c r="A793" s="1">
        <v>33359</v>
      </c>
      <c r="B793" t="s">
        <v>134</v>
      </c>
      <c r="C793" t="s">
        <v>2441</v>
      </c>
      <c r="D793" s="35">
        <v>11.389541852018599</v>
      </c>
      <c r="E793" s="35">
        <v>0.94557489511731285</v>
      </c>
      <c r="F793" s="35">
        <v>25.194043977519254</v>
      </c>
      <c r="G793" s="35">
        <v>-9.2177951932252061E-2</v>
      </c>
      <c r="H793" s="35">
        <v>1.0377528470495649</v>
      </c>
      <c r="I793" s="35">
        <v>13.261638538425835</v>
      </c>
      <c r="J793" t="s">
        <v>2323</v>
      </c>
      <c r="K793" t="s">
        <v>36</v>
      </c>
    </row>
    <row r="794" spans="1:11">
      <c r="A794" s="1">
        <v>33390</v>
      </c>
      <c r="B794" t="s">
        <v>134</v>
      </c>
      <c r="C794" t="s">
        <v>2441</v>
      </c>
      <c r="D794" s="35">
        <v>11.497236590634399</v>
      </c>
      <c r="E794" s="35">
        <v>0.9411157080084116</v>
      </c>
      <c r="F794" s="35">
        <v>23.282038068738142</v>
      </c>
      <c r="G794" s="35">
        <v>-6.8631876269193037E-2</v>
      </c>
      <c r="H794" s="35">
        <v>1.0097475842776047</v>
      </c>
      <c r="I794" s="35">
        <v>12.881646768308652</v>
      </c>
      <c r="J794" t="s">
        <v>2323</v>
      </c>
      <c r="K794" t="s">
        <v>36</v>
      </c>
    </row>
    <row r="795" spans="1:11">
      <c r="A795" s="1">
        <v>33420</v>
      </c>
      <c r="B795" t="s">
        <v>134</v>
      </c>
      <c r="C795" t="s">
        <v>2441</v>
      </c>
      <c r="D795" s="35">
        <v>11.5995513987398</v>
      </c>
      <c r="E795" s="35">
        <v>0.88597148152780236</v>
      </c>
      <c r="F795" s="35">
        <v>21.935822339289189</v>
      </c>
      <c r="G795" s="35">
        <v>-6.3321577930948281E-2</v>
      </c>
      <c r="H795" s="35">
        <v>0.94929305945875064</v>
      </c>
      <c r="I795" s="35">
        <v>12.065705230319711</v>
      </c>
      <c r="J795" t="s">
        <v>2324</v>
      </c>
      <c r="K795" t="s">
        <v>36</v>
      </c>
    </row>
    <row r="796" spans="1:11">
      <c r="A796" s="1">
        <v>33451</v>
      </c>
      <c r="B796" t="s">
        <v>134</v>
      </c>
      <c r="C796" t="s">
        <v>2441</v>
      </c>
      <c r="D796" s="35">
        <v>11.7055507825714</v>
      </c>
      <c r="E796" s="35">
        <v>0.90967303180604886</v>
      </c>
      <c r="F796" s="35">
        <v>20.867832287192467</v>
      </c>
      <c r="G796" s="35">
        <v>-8.7706074905278902E-2</v>
      </c>
      <c r="H796" s="35">
        <v>0.99737910671132779</v>
      </c>
      <c r="I796" s="35">
        <v>12.714230146482276</v>
      </c>
      <c r="J796" t="s">
        <v>2324</v>
      </c>
      <c r="K796" t="s">
        <v>36</v>
      </c>
    </row>
    <row r="797" spans="1:11">
      <c r="A797" s="1">
        <v>33482</v>
      </c>
      <c r="B797" t="s">
        <v>134</v>
      </c>
      <c r="C797" t="s">
        <v>2441</v>
      </c>
      <c r="D797" s="35">
        <v>11.868462929177101</v>
      </c>
      <c r="E797" s="35">
        <v>1.3821553010652072</v>
      </c>
      <c r="F797" s="35">
        <v>20.580219243165953</v>
      </c>
      <c r="G797" s="35">
        <v>5.9710091602400539E-2</v>
      </c>
      <c r="H797" s="35">
        <v>1.3224452094628067</v>
      </c>
      <c r="I797" s="35">
        <v>17.197859242091539</v>
      </c>
      <c r="J797" t="s">
        <v>2324</v>
      </c>
      <c r="K797" t="s">
        <v>36</v>
      </c>
    </row>
    <row r="798" spans="1:11">
      <c r="A798" s="1">
        <v>33512</v>
      </c>
      <c r="B798" t="s">
        <v>134</v>
      </c>
      <c r="C798" t="s">
        <v>2441</v>
      </c>
      <c r="D798" s="35">
        <v>12.0323957894781</v>
      </c>
      <c r="E798" s="35">
        <v>1.3717953232874036</v>
      </c>
      <c r="F798" s="35">
        <v>20.313116036541111</v>
      </c>
      <c r="G798" s="35">
        <v>-6.7152525649730843E-2</v>
      </c>
      <c r="H798" s="35">
        <v>1.4389478489371346</v>
      </c>
      <c r="I798" s="35">
        <v>18.847829112185565</v>
      </c>
      <c r="J798" t="s">
        <v>2325</v>
      </c>
      <c r="K798" t="s">
        <v>36</v>
      </c>
    </row>
    <row r="799" spans="1:11">
      <c r="A799" s="1">
        <v>33543</v>
      </c>
      <c r="B799" t="s">
        <v>134</v>
      </c>
      <c r="C799" t="s">
        <v>2441</v>
      </c>
      <c r="D799" s="35">
        <v>12.146514266517499</v>
      </c>
      <c r="E799" s="35">
        <v>0.94395755769534684</v>
      </c>
      <c r="F799" s="35">
        <v>18.888428396825208</v>
      </c>
      <c r="G799" s="35">
        <v>-9.1034986847382593E-2</v>
      </c>
      <c r="H799" s="35">
        <v>1.0349925445427295</v>
      </c>
      <c r="I799" s="35">
        <v>13.224128384956725</v>
      </c>
      <c r="J799" t="s">
        <v>2325</v>
      </c>
      <c r="K799" t="s">
        <v>36</v>
      </c>
    </row>
    <row r="800" spans="1:11">
      <c r="A800" s="1">
        <v>33573</v>
      </c>
      <c r="B800" t="s">
        <v>134</v>
      </c>
      <c r="C800" t="s">
        <v>2441</v>
      </c>
      <c r="D800" s="35">
        <v>12.3621981773867</v>
      </c>
      <c r="E800" s="35">
        <v>1.7601045303066361</v>
      </c>
      <c r="F800" s="35">
        <v>17.651362869904695</v>
      </c>
      <c r="G800" s="35">
        <v>9.1165377259296132E-2</v>
      </c>
      <c r="H800" s="35">
        <v>1.6689391530473399</v>
      </c>
      <c r="I800" s="35">
        <v>22.173587811472739</v>
      </c>
      <c r="J800" t="s">
        <v>2325</v>
      </c>
      <c r="K800" t="s">
        <v>36</v>
      </c>
    </row>
    <row r="801" spans="1:11">
      <c r="A801" s="1">
        <v>33604</v>
      </c>
      <c r="B801" t="s">
        <v>134</v>
      </c>
      <c r="C801" t="s">
        <v>2441</v>
      </c>
      <c r="D801" s="35">
        <v>12.5903884266249</v>
      </c>
      <c r="E801" s="35">
        <v>1.8290417292273407</v>
      </c>
      <c r="F801" s="35">
        <v>16.71231526406487</v>
      </c>
      <c r="G801" s="35">
        <v>0.11558240907831546</v>
      </c>
      <c r="H801" s="35">
        <v>1.7134593201490251</v>
      </c>
      <c r="I801" s="35">
        <v>22.828037051641246</v>
      </c>
      <c r="J801" t="s">
        <v>2326</v>
      </c>
      <c r="K801" t="s">
        <v>36</v>
      </c>
    </row>
    <row r="802" spans="1:11">
      <c r="A802" s="1">
        <v>33635</v>
      </c>
      <c r="B802" t="s">
        <v>134</v>
      </c>
      <c r="C802" t="s">
        <v>2441</v>
      </c>
      <c r="D802" s="35">
        <v>12.728869318700999</v>
      </c>
      <c r="E802" s="35">
        <v>1.0938888836581371</v>
      </c>
      <c r="F802" s="35">
        <v>15.75352503269929</v>
      </c>
      <c r="G802" s="35">
        <v>0.12699036627294302</v>
      </c>
      <c r="H802" s="35">
        <v>0.96689851738519406</v>
      </c>
      <c r="I802" s="35">
        <v>12.302711665587962</v>
      </c>
      <c r="J802" t="s">
        <v>2326</v>
      </c>
      <c r="K802" t="s">
        <v>36</v>
      </c>
    </row>
    <row r="803" spans="1:11">
      <c r="A803" s="1">
        <v>33664</v>
      </c>
      <c r="B803" t="s">
        <v>134</v>
      </c>
      <c r="C803" t="s">
        <v>2441</v>
      </c>
      <c r="D803" s="35">
        <v>12.8440904845262</v>
      </c>
      <c r="E803" s="35">
        <v>0.9011232676715677</v>
      </c>
      <c r="F803" s="35">
        <v>15.088184229579028</v>
      </c>
      <c r="G803" s="35">
        <v>6.1109136241099093E-2</v>
      </c>
      <c r="H803" s="35">
        <v>0.84001413143046855</v>
      </c>
      <c r="I803" s="35">
        <v>10.605728417813109</v>
      </c>
      <c r="J803" t="s">
        <v>2326</v>
      </c>
      <c r="K803" t="s">
        <v>36</v>
      </c>
    </row>
    <row r="804" spans="1:11">
      <c r="A804" s="1">
        <v>33695</v>
      </c>
      <c r="B804" t="s">
        <v>134</v>
      </c>
      <c r="C804" t="s">
        <v>2441</v>
      </c>
      <c r="D804" s="35">
        <v>12.963534347936699</v>
      </c>
      <c r="E804" s="35">
        <v>0.92565446878510993</v>
      </c>
      <c r="F804" s="35">
        <v>14.900983883139585</v>
      </c>
      <c r="G804" s="35">
        <v>1.5467613080731302E-2</v>
      </c>
      <c r="H804" s="35">
        <v>0.91018685570437863</v>
      </c>
      <c r="I804" s="35">
        <v>11.541041533171036</v>
      </c>
      <c r="J804" t="s">
        <v>2327</v>
      </c>
      <c r="K804" t="s">
        <v>36</v>
      </c>
    </row>
    <row r="805" spans="1:11">
      <c r="A805" s="1">
        <v>33725</v>
      </c>
      <c r="B805" t="s">
        <v>134</v>
      </c>
      <c r="C805" t="s">
        <v>2441</v>
      </c>
      <c r="D805" s="35">
        <v>13.121111892162901</v>
      </c>
      <c r="E805" s="35">
        <v>1.2082162026199985</v>
      </c>
      <c r="F805" s="35">
        <v>15.203157972832869</v>
      </c>
      <c r="G805" s="35">
        <v>-9.2177951932252061E-2</v>
      </c>
      <c r="H805" s="35">
        <v>1.3003941545522506</v>
      </c>
      <c r="I805" s="35">
        <v>16.888148817755933</v>
      </c>
      <c r="J805" t="s">
        <v>2327</v>
      </c>
      <c r="K805" t="s">
        <v>36</v>
      </c>
    </row>
    <row r="806" spans="1:11">
      <c r="A806" s="1">
        <v>33756</v>
      </c>
      <c r="B806" t="s">
        <v>134</v>
      </c>
      <c r="C806" t="s">
        <v>2441</v>
      </c>
      <c r="D806" s="35">
        <v>13.251585998726201</v>
      </c>
      <c r="E806" s="35">
        <v>0.98947154827527306</v>
      </c>
      <c r="F806" s="35">
        <v>15.258878898959827</v>
      </c>
      <c r="G806" s="35">
        <v>-6.8631876269193037E-2</v>
      </c>
      <c r="H806" s="35">
        <v>1.058103424544466</v>
      </c>
      <c r="I806" s="35">
        <v>13.538569313142702</v>
      </c>
      <c r="J806" t="s">
        <v>2327</v>
      </c>
      <c r="K806" t="s">
        <v>36</v>
      </c>
    </row>
    <row r="807" spans="1:11">
      <c r="A807" s="1">
        <v>33786</v>
      </c>
      <c r="B807" t="s">
        <v>134</v>
      </c>
      <c r="C807" t="s">
        <v>2441</v>
      </c>
      <c r="D807" s="35">
        <v>13.3599381686162</v>
      </c>
      <c r="E807" s="35">
        <v>0.81432967141331358</v>
      </c>
      <c r="F807" s="35">
        <v>15.176334923328593</v>
      </c>
      <c r="G807" s="35">
        <v>-6.3321577930948281E-2</v>
      </c>
      <c r="H807" s="35">
        <v>0.87765124934426186</v>
      </c>
      <c r="I807" s="35">
        <v>11.106403906766694</v>
      </c>
      <c r="J807" t="s">
        <v>2328</v>
      </c>
      <c r="K807" t="s">
        <v>36</v>
      </c>
    </row>
    <row r="808" spans="1:11">
      <c r="A808" s="1">
        <v>33817</v>
      </c>
      <c r="B808" t="s">
        <v>134</v>
      </c>
      <c r="C808" t="s">
        <v>2441</v>
      </c>
      <c r="D808" s="35">
        <v>13.476398599408</v>
      </c>
      <c r="E808" s="35">
        <v>0.86793635726857887</v>
      </c>
      <c r="F808" s="35">
        <v>15.128274181452838</v>
      </c>
      <c r="G808" s="35">
        <v>-8.7706074905278902E-2</v>
      </c>
      <c r="H808" s="35">
        <v>0.9556424321738578</v>
      </c>
      <c r="I808" s="35">
        <v>12.151123399025421</v>
      </c>
      <c r="J808" t="s">
        <v>2328</v>
      </c>
      <c r="K808" t="s">
        <v>36</v>
      </c>
    </row>
    <row r="809" spans="1:11">
      <c r="A809" s="1">
        <v>33848</v>
      </c>
      <c r="B809" t="s">
        <v>134</v>
      </c>
      <c r="C809" t="s">
        <v>2441</v>
      </c>
      <c r="D809" s="35">
        <v>13.626940219824499</v>
      </c>
      <c r="E809" s="35">
        <v>1.1108828293306234</v>
      </c>
      <c r="F809" s="35">
        <v>14.816386090943645</v>
      </c>
      <c r="G809" s="35">
        <v>5.9710091602400539E-2</v>
      </c>
      <c r="H809" s="35">
        <v>1.051172737728223</v>
      </c>
      <c r="I809" s="35">
        <v>13.444180537469141</v>
      </c>
      <c r="J809" t="s">
        <v>2328</v>
      </c>
      <c r="K809" t="s">
        <v>36</v>
      </c>
    </row>
    <row r="810" spans="1:11">
      <c r="A810" s="1">
        <v>33878</v>
      </c>
      <c r="B810" t="s">
        <v>134</v>
      </c>
      <c r="C810" t="s">
        <v>2441</v>
      </c>
      <c r="D810" s="35">
        <v>13.717675397395301</v>
      </c>
      <c r="E810" s="35">
        <v>0.66364443996517175</v>
      </c>
      <c r="F810" s="35">
        <v>14.00618494773016</v>
      </c>
      <c r="G810" s="35">
        <v>-6.7152525649730843E-2</v>
      </c>
      <c r="H810" s="35">
        <v>0.73079696561490259</v>
      </c>
      <c r="I810" s="35">
        <v>9.1655810592008216</v>
      </c>
      <c r="J810" t="s">
        <v>2329</v>
      </c>
      <c r="K810" t="s">
        <v>36</v>
      </c>
    </row>
    <row r="811" spans="1:11">
      <c r="A811" s="1">
        <v>33909</v>
      </c>
      <c r="B811" t="s">
        <v>134</v>
      </c>
      <c r="C811" t="s">
        <v>2441</v>
      </c>
      <c r="D811" s="35">
        <v>13.815690348168401</v>
      </c>
      <c r="E811" s="35">
        <v>0.71197517744156458</v>
      </c>
      <c r="F811" s="35">
        <v>13.742017216017866</v>
      </c>
      <c r="G811" s="35">
        <v>-9.1034986847382593E-2</v>
      </c>
      <c r="H811" s="35">
        <v>0.80301016428894711</v>
      </c>
      <c r="I811" s="35">
        <v>10.115675169099326</v>
      </c>
      <c r="J811" t="s">
        <v>2329</v>
      </c>
      <c r="K811" t="s">
        <v>36</v>
      </c>
    </row>
    <row r="812" spans="1:11">
      <c r="A812" s="1">
        <v>33939</v>
      </c>
      <c r="B812" t="s">
        <v>134</v>
      </c>
      <c r="C812" t="s">
        <v>2441</v>
      </c>
      <c r="D812" s="35">
        <v>13.952102132626599</v>
      </c>
      <c r="E812" s="35">
        <v>0.98252593853081038</v>
      </c>
      <c r="F812" s="35">
        <v>12.86101332810048</v>
      </c>
      <c r="G812" s="35">
        <v>9.1165377259296132E-2</v>
      </c>
      <c r="H812" s="35">
        <v>0.89136056127151431</v>
      </c>
      <c r="I812" s="35">
        <v>11.289337420858093</v>
      </c>
      <c r="J812" t="s">
        <v>2329</v>
      </c>
      <c r="K812" t="s">
        <v>36</v>
      </c>
    </row>
    <row r="813" spans="1:11">
      <c r="A813" s="1">
        <v>33970</v>
      </c>
      <c r="B813" t="s">
        <v>134</v>
      </c>
      <c r="C813" t="s">
        <v>2441</v>
      </c>
      <c r="D813" s="35">
        <v>14.127472637386999</v>
      </c>
      <c r="E813" s="35">
        <v>1.2491128261078943</v>
      </c>
      <c r="F813" s="35">
        <v>12.208393884906886</v>
      </c>
      <c r="G813" s="35">
        <v>0.11558240907831546</v>
      </c>
      <c r="H813" s="35">
        <v>1.1335304170295788</v>
      </c>
      <c r="I813" s="35">
        <v>14.570898934194565</v>
      </c>
      <c r="J813" t="s">
        <v>2330</v>
      </c>
      <c r="K813" t="s">
        <v>36</v>
      </c>
    </row>
    <row r="814" spans="1:11">
      <c r="A814" s="1">
        <v>34001</v>
      </c>
      <c r="B814" t="s">
        <v>134</v>
      </c>
      <c r="C814" t="s">
        <v>2441</v>
      </c>
      <c r="D814" s="35">
        <v>14.2853633220515</v>
      </c>
      <c r="E814" s="35">
        <v>1.1114153487951897</v>
      </c>
      <c r="F814" s="35">
        <v>12.22806177343443</v>
      </c>
      <c r="G814" s="35">
        <v>0.12699036627294302</v>
      </c>
      <c r="H814" s="35">
        <v>0.98442498252224664</v>
      </c>
      <c r="I814" s="35">
        <v>12.539152564119238</v>
      </c>
      <c r="J814" t="s">
        <v>2330</v>
      </c>
      <c r="K814" t="s">
        <v>36</v>
      </c>
    </row>
    <row r="815" spans="1:11">
      <c r="A815" s="1">
        <v>34029</v>
      </c>
      <c r="B815" t="s">
        <v>134</v>
      </c>
      <c r="C815" t="s">
        <v>2441</v>
      </c>
      <c r="D815" s="35">
        <v>14.4302142584884</v>
      </c>
      <c r="E815" s="35">
        <v>1.008875162904326</v>
      </c>
      <c r="F815" s="35">
        <v>12.349054811417503</v>
      </c>
      <c r="G815" s="35">
        <v>6.1109136241099093E-2</v>
      </c>
      <c r="H815" s="35">
        <v>0.94776602666322685</v>
      </c>
      <c r="I815" s="35">
        <v>12.045171750838147</v>
      </c>
      <c r="J815" t="s">
        <v>2330</v>
      </c>
      <c r="K815" t="s">
        <v>36</v>
      </c>
    </row>
    <row r="816" spans="1:11">
      <c r="A816" s="1">
        <v>34060</v>
      </c>
      <c r="B816" t="s">
        <v>134</v>
      </c>
      <c r="C816" t="s">
        <v>2441</v>
      </c>
      <c r="D816" s="35">
        <v>14.526300505761901</v>
      </c>
      <c r="E816" s="35">
        <v>0.66366136069353265</v>
      </c>
      <c r="F816" s="35">
        <v>12.055093278430927</v>
      </c>
      <c r="G816" s="35">
        <v>1.5467613080731302E-2</v>
      </c>
      <c r="H816" s="35">
        <v>0.64819374761280135</v>
      </c>
      <c r="I816" s="35">
        <v>8.0888350418221613</v>
      </c>
      <c r="J816" t="s">
        <v>2331</v>
      </c>
      <c r="K816" t="s">
        <v>36</v>
      </c>
    </row>
    <row r="817" spans="1:11">
      <c r="A817" s="1">
        <v>34090</v>
      </c>
      <c r="B817" t="s">
        <v>134</v>
      </c>
      <c r="C817" t="s">
        <v>2441</v>
      </c>
      <c r="D817" s="35">
        <v>14.5908215725274</v>
      </c>
      <c r="E817" s="35">
        <v>0.44318371985948463</v>
      </c>
      <c r="F817" s="35">
        <v>11.201106220596602</v>
      </c>
      <c r="G817" s="35">
        <v>-9.2177951932252061E-2</v>
      </c>
      <c r="H817" s="35">
        <v>0.53536167179173666</v>
      </c>
      <c r="I817" s="35">
        <v>6.6351917889295953</v>
      </c>
      <c r="J817" t="s">
        <v>2331</v>
      </c>
      <c r="K817" t="s">
        <v>36</v>
      </c>
    </row>
    <row r="818" spans="1:11">
      <c r="A818" s="1">
        <v>34121</v>
      </c>
      <c r="B818" t="s">
        <v>134</v>
      </c>
      <c r="C818" t="s">
        <v>2441</v>
      </c>
      <c r="D818" s="35">
        <v>14.6533408288847</v>
      </c>
      <c r="E818" s="35">
        <v>0.42756807833520571</v>
      </c>
      <c r="F818" s="35">
        <v>10.578015569557042</v>
      </c>
      <c r="G818" s="35">
        <v>-6.8631876269193037E-2</v>
      </c>
      <c r="H818" s="35">
        <v>0.49619995460439875</v>
      </c>
      <c r="I818" s="35">
        <v>6.1352453678690688</v>
      </c>
      <c r="J818" t="s">
        <v>2331</v>
      </c>
      <c r="K818" t="s">
        <v>36</v>
      </c>
    </row>
    <row r="819" spans="1:11">
      <c r="A819" s="1">
        <v>34151</v>
      </c>
      <c r="B819" t="s">
        <v>134</v>
      </c>
      <c r="C819" t="s">
        <v>2441</v>
      </c>
      <c r="D819" s="35">
        <v>14.7140808946373</v>
      </c>
      <c r="E819" s="35">
        <v>0.41365669029867397</v>
      </c>
      <c r="F819" s="35">
        <v>10.135845757146654</v>
      </c>
      <c r="G819" s="35">
        <v>-6.3321577930948281E-2</v>
      </c>
      <c r="H819" s="35">
        <v>0.47697826822962225</v>
      </c>
      <c r="I819" s="35">
        <v>5.8907156846858877</v>
      </c>
      <c r="J819" t="s">
        <v>2332</v>
      </c>
      <c r="K819" t="s">
        <v>36</v>
      </c>
    </row>
    <row r="820" spans="1:11">
      <c r="A820" s="1">
        <v>34182</v>
      </c>
      <c r="B820" t="s">
        <v>134</v>
      </c>
      <c r="C820" t="s">
        <v>2441</v>
      </c>
      <c r="D820" s="35">
        <v>14.808934136047901</v>
      </c>
      <c r="E820" s="35">
        <v>0.64257371875304925</v>
      </c>
      <c r="F820" s="35">
        <v>9.8879201799391581</v>
      </c>
      <c r="G820" s="35">
        <v>-8.7706074905278902E-2</v>
      </c>
      <c r="H820" s="35">
        <v>0.73027979365832818</v>
      </c>
      <c r="I820" s="35">
        <v>9.1588063841656631</v>
      </c>
      <c r="J820" t="s">
        <v>2332</v>
      </c>
      <c r="K820" t="s">
        <v>36</v>
      </c>
    </row>
    <row r="821" spans="1:11">
      <c r="A821" s="1">
        <v>34213</v>
      </c>
      <c r="B821" t="s">
        <v>134</v>
      </c>
      <c r="C821" t="s">
        <v>2441</v>
      </c>
      <c r="D821" s="35">
        <v>14.9266099971725</v>
      </c>
      <c r="E821" s="35">
        <v>0.7914869485174546</v>
      </c>
      <c r="F821" s="35">
        <v>9.5375025969310236</v>
      </c>
      <c r="G821" s="35">
        <v>5.9710091602400539E-2</v>
      </c>
      <c r="H821" s="35">
        <v>0.73177685691505401</v>
      </c>
      <c r="I821" s="35">
        <v>9.17841826230854</v>
      </c>
      <c r="J821" t="s">
        <v>2332</v>
      </c>
      <c r="K821" t="s">
        <v>36</v>
      </c>
    </row>
    <row r="822" spans="1:11">
      <c r="A822" s="1">
        <v>34243</v>
      </c>
      <c r="B822" t="s">
        <v>134</v>
      </c>
      <c r="C822" t="s">
        <v>2441</v>
      </c>
      <c r="D822" s="35">
        <v>15.0151238498213</v>
      </c>
      <c r="E822" s="35">
        <v>0.59124238394072126</v>
      </c>
      <c r="F822" s="35">
        <v>9.4582238961009146</v>
      </c>
      <c r="G822" s="35">
        <v>-6.7152525649730843E-2</v>
      </c>
      <c r="H822" s="35">
        <v>0.6583949095904521</v>
      </c>
      <c r="I822" s="35">
        <v>8.2212318670849669</v>
      </c>
      <c r="J822" t="s">
        <v>2333</v>
      </c>
      <c r="K822" t="s">
        <v>36</v>
      </c>
    </row>
    <row r="823" spans="1:11">
      <c r="A823" s="1">
        <v>34274</v>
      </c>
      <c r="B823" t="s">
        <v>134</v>
      </c>
      <c r="C823" t="s">
        <v>2441</v>
      </c>
      <c r="D823" s="35">
        <v>15.069832651284701</v>
      </c>
      <c r="E823" s="35">
        <v>0.36369580103108901</v>
      </c>
      <c r="F823" s="35">
        <v>9.0776665625150308</v>
      </c>
      <c r="G823" s="35">
        <v>-9.1034986847382593E-2</v>
      </c>
      <c r="H823" s="35">
        <v>0.4547307878784716</v>
      </c>
      <c r="I823" s="35">
        <v>5.6083965117940338</v>
      </c>
      <c r="J823" t="s">
        <v>2333</v>
      </c>
      <c r="K823" t="s">
        <v>36</v>
      </c>
    </row>
    <row r="824" spans="1:11">
      <c r="A824" s="1">
        <v>34304</v>
      </c>
      <c r="B824" t="s">
        <v>134</v>
      </c>
      <c r="C824" t="s">
        <v>2441</v>
      </c>
      <c r="D824" s="35">
        <v>15.126231541377299</v>
      </c>
      <c r="E824" s="35">
        <v>0.37355170074919541</v>
      </c>
      <c r="F824" s="35">
        <v>8.4154301451465852</v>
      </c>
      <c r="G824" s="35">
        <v>9.1165377259296132E-2</v>
      </c>
      <c r="H824" s="35">
        <v>0.28238632348989928</v>
      </c>
      <c r="I824" s="35">
        <v>3.4467041991569802</v>
      </c>
      <c r="J824" t="s">
        <v>2333</v>
      </c>
      <c r="K824" t="s">
        <v>36</v>
      </c>
    </row>
    <row r="825" spans="1:11">
      <c r="A825" s="1">
        <v>34335</v>
      </c>
      <c r="B825" t="s">
        <v>134</v>
      </c>
      <c r="C825" t="s">
        <v>2441</v>
      </c>
      <c r="D825" s="35">
        <v>15.225657832448301</v>
      </c>
      <c r="E825" s="35">
        <v>0.65515952228899543</v>
      </c>
      <c r="F825" s="35">
        <v>7.7734016780542925</v>
      </c>
      <c r="G825" s="35">
        <v>0.11558240907831546</v>
      </c>
      <c r="H825" s="35">
        <v>0.53957711321067992</v>
      </c>
      <c r="I825" s="35">
        <v>6.6891471630242672</v>
      </c>
      <c r="J825" t="s">
        <v>2334</v>
      </c>
      <c r="K825" t="s">
        <v>36</v>
      </c>
    </row>
    <row r="826" spans="1:11">
      <c r="A826" s="1">
        <v>34366</v>
      </c>
      <c r="B826" t="s">
        <v>134</v>
      </c>
      <c r="C826" t="s">
        <v>2441</v>
      </c>
      <c r="D826" s="35">
        <v>15.3536791612289</v>
      </c>
      <c r="E826" s="35">
        <v>0.8373110035697634</v>
      </c>
      <c r="F826" s="35">
        <v>7.4783945993750267</v>
      </c>
      <c r="G826" s="35">
        <v>0.12699036627294302</v>
      </c>
      <c r="H826" s="35">
        <v>0.71032063729682038</v>
      </c>
      <c r="I826" s="35">
        <v>8.8976731068101778</v>
      </c>
      <c r="J826" t="s">
        <v>2334</v>
      </c>
      <c r="K826" t="s">
        <v>36</v>
      </c>
    </row>
    <row r="827" spans="1:11">
      <c r="A827" s="1">
        <v>34394</v>
      </c>
      <c r="B827" t="s">
        <v>134</v>
      </c>
      <c r="C827" t="s">
        <v>2441</v>
      </c>
      <c r="D827" s="35">
        <v>15.4665483697982</v>
      </c>
      <c r="E827" s="35">
        <v>0.73243919464101848</v>
      </c>
      <c r="F827" s="35">
        <v>7.1816959384382706</v>
      </c>
      <c r="G827" s="35">
        <v>6.1109136241099093E-2</v>
      </c>
      <c r="H827" s="35">
        <v>0.67133005839991933</v>
      </c>
      <c r="I827" s="35">
        <v>8.3893452362430398</v>
      </c>
      <c r="J827" t="s">
        <v>2334</v>
      </c>
      <c r="K827" t="s">
        <v>36</v>
      </c>
    </row>
    <row r="828" spans="1:11">
      <c r="A828" s="1">
        <v>34425</v>
      </c>
      <c r="B828" t="s">
        <v>134</v>
      </c>
      <c r="C828" t="s">
        <v>2441</v>
      </c>
      <c r="D828" s="35">
        <v>15.5636943951533</v>
      </c>
      <c r="E828" s="35">
        <v>0.62613975324474203</v>
      </c>
      <c r="F828" s="35">
        <v>7.1414871871879226</v>
      </c>
      <c r="G828" s="35">
        <v>1.5467613080731302E-2</v>
      </c>
      <c r="H828" s="35">
        <v>0.61067214016401072</v>
      </c>
      <c r="I828" s="35">
        <v>7.6032490396698016</v>
      </c>
      <c r="J828" t="s">
        <v>2335</v>
      </c>
      <c r="K828" t="s">
        <v>36</v>
      </c>
    </row>
    <row r="829" spans="1:11">
      <c r="A829" s="1">
        <v>34455</v>
      </c>
      <c r="B829" t="s">
        <v>134</v>
      </c>
      <c r="C829" t="s">
        <v>2441</v>
      </c>
      <c r="D829" s="35">
        <v>15.6529120319376</v>
      </c>
      <c r="E829" s="35">
        <v>0.57160524422643433</v>
      </c>
      <c r="F829" s="35">
        <v>7.2791683054364675</v>
      </c>
      <c r="G829" s="35">
        <v>-9.2177951932252061E-2</v>
      </c>
      <c r="H829" s="35">
        <v>0.66378319615868642</v>
      </c>
      <c r="I829" s="35">
        <v>8.2912297359688747</v>
      </c>
      <c r="J829" t="s">
        <v>2335</v>
      </c>
      <c r="K829" t="s">
        <v>36</v>
      </c>
    </row>
    <row r="830" spans="1:11">
      <c r="A830" s="1">
        <v>34486</v>
      </c>
      <c r="B830" t="s">
        <v>134</v>
      </c>
      <c r="C830" t="s">
        <v>2441</v>
      </c>
      <c r="D830" s="35">
        <v>15.734886489676599</v>
      </c>
      <c r="E830" s="35">
        <v>0.52233446101977399</v>
      </c>
      <c r="F830" s="35">
        <v>7.3808810797600044</v>
      </c>
      <c r="G830" s="35">
        <v>-6.8631876269193037E-2</v>
      </c>
      <c r="H830" s="35">
        <v>0.59096633728896708</v>
      </c>
      <c r="I830" s="35">
        <v>7.3491006402792269</v>
      </c>
      <c r="J830" t="s">
        <v>2335</v>
      </c>
      <c r="K830" t="s">
        <v>36</v>
      </c>
    </row>
    <row r="831" spans="1:11">
      <c r="A831" s="1">
        <v>34516</v>
      </c>
      <c r="B831" t="s">
        <v>134</v>
      </c>
      <c r="C831" t="s">
        <v>2441</v>
      </c>
      <c r="D831" s="35">
        <v>15.7900244469083</v>
      </c>
      <c r="E831" s="35">
        <v>0.3498059903603577</v>
      </c>
      <c r="F831" s="35">
        <v>7.3123395200521024</v>
      </c>
      <c r="G831" s="35">
        <v>-6.3321577930948281E-2</v>
      </c>
      <c r="H831" s="35">
        <v>0.41312756829130598</v>
      </c>
      <c r="I831" s="35">
        <v>5.0824724948367095</v>
      </c>
      <c r="J831" t="s">
        <v>2336</v>
      </c>
      <c r="K831" t="s">
        <v>36</v>
      </c>
    </row>
    <row r="832" spans="1:11">
      <c r="A832" s="1">
        <v>34547</v>
      </c>
      <c r="B832" t="s">
        <v>134</v>
      </c>
      <c r="C832" t="s">
        <v>2441</v>
      </c>
      <c r="D832" s="35">
        <v>15.8692775701623</v>
      </c>
      <c r="E832" s="35">
        <v>0.50066352543327841</v>
      </c>
      <c r="F832" s="35">
        <v>7.1601603759808174</v>
      </c>
      <c r="G832" s="35">
        <v>-8.7706074905278902E-2</v>
      </c>
      <c r="H832" s="35">
        <v>0.58836960033855734</v>
      </c>
      <c r="I832" s="35">
        <v>7.3156549663798032</v>
      </c>
      <c r="J832" t="s">
        <v>2336</v>
      </c>
      <c r="K832" t="s">
        <v>36</v>
      </c>
    </row>
    <row r="833" spans="1:11">
      <c r="A833" s="1">
        <v>34578</v>
      </c>
      <c r="B833" t="s">
        <v>134</v>
      </c>
      <c r="C833" t="s">
        <v>2441</v>
      </c>
      <c r="D833" s="35">
        <v>15.998046890543399</v>
      </c>
      <c r="E833" s="35">
        <v>0.80816336744066286</v>
      </c>
      <c r="F833" s="35">
        <v>7.1780323434045501</v>
      </c>
      <c r="G833" s="35">
        <v>5.9710091602400539E-2</v>
      </c>
      <c r="H833" s="35">
        <v>0.74845327583826227</v>
      </c>
      <c r="I833" s="35">
        <v>9.3971216254942203</v>
      </c>
      <c r="J833" t="s">
        <v>2336</v>
      </c>
      <c r="K833" t="s">
        <v>36</v>
      </c>
    </row>
    <row r="834" spans="1:11">
      <c r="A834" s="1">
        <v>34608</v>
      </c>
      <c r="B834" t="s">
        <v>134</v>
      </c>
      <c r="C834" t="s">
        <v>2441</v>
      </c>
      <c r="D834" s="35">
        <v>16.079442165574299</v>
      </c>
      <c r="E834" s="35">
        <v>0.50749265057633297</v>
      </c>
      <c r="F834" s="35">
        <v>7.0883086040323562</v>
      </c>
      <c r="G834" s="35">
        <v>-6.7152525649730843E-2</v>
      </c>
      <c r="H834" s="35">
        <v>0.57464517622606381</v>
      </c>
      <c r="I834" s="35">
        <v>7.1390589594855891</v>
      </c>
      <c r="J834" t="s">
        <v>2337</v>
      </c>
      <c r="K834" t="s">
        <v>36</v>
      </c>
    </row>
    <row r="835" spans="1:11">
      <c r="A835" s="1">
        <v>34639</v>
      </c>
      <c r="B835" t="s">
        <v>134</v>
      </c>
      <c r="C835" t="s">
        <v>2441</v>
      </c>
      <c r="D835" s="35">
        <v>16.162662976525901</v>
      </c>
      <c r="E835" s="35">
        <v>0.51622557147898951</v>
      </c>
      <c r="F835" s="35">
        <v>7.251774790929999</v>
      </c>
      <c r="G835" s="35">
        <v>-9.1034986847382593E-2</v>
      </c>
      <c r="H835" s="35">
        <v>0.60726055832637216</v>
      </c>
      <c r="I835" s="35">
        <v>7.559206380781669</v>
      </c>
      <c r="J835" t="s">
        <v>2337</v>
      </c>
      <c r="K835" t="s">
        <v>36</v>
      </c>
    </row>
    <row r="836" spans="1:11">
      <c r="A836" s="1">
        <v>34669</v>
      </c>
      <c r="B836" t="s">
        <v>134</v>
      </c>
      <c r="C836" t="s">
        <v>2441</v>
      </c>
      <c r="D836" s="35">
        <v>16.288164509429901</v>
      </c>
      <c r="E836" s="35">
        <v>0.77349126875513774</v>
      </c>
      <c r="F836" s="35">
        <v>7.6815759753126489</v>
      </c>
      <c r="G836" s="35">
        <v>9.1165377259296132E-2</v>
      </c>
      <c r="H836" s="35">
        <v>0.68232589149584166</v>
      </c>
      <c r="I836" s="35">
        <v>8.5324593729795737</v>
      </c>
      <c r="J836" t="s">
        <v>2337</v>
      </c>
      <c r="K836" t="s">
        <v>36</v>
      </c>
    </row>
    <row r="837" spans="1:11">
      <c r="A837" s="1">
        <v>34700</v>
      </c>
      <c r="B837" t="s">
        <v>134</v>
      </c>
      <c r="C837" t="s">
        <v>2441</v>
      </c>
      <c r="D837" s="35">
        <v>16.890326826883602</v>
      </c>
      <c r="E837" s="35">
        <v>3.6302340595458746</v>
      </c>
      <c r="F837" s="35">
        <v>10.933314098834046</v>
      </c>
      <c r="G837" s="35">
        <v>0.11558240907831546</v>
      </c>
      <c r="H837" s="35">
        <v>3.5146516504675591</v>
      </c>
      <c r="I837" s="35">
        <v>52.463981923620118</v>
      </c>
      <c r="J837" t="s">
        <v>2338</v>
      </c>
      <c r="K837" t="s">
        <v>36</v>
      </c>
    </row>
    <row r="838" spans="1:11">
      <c r="A838" s="1">
        <v>34731</v>
      </c>
      <c r="B838" t="s">
        <v>134</v>
      </c>
      <c r="C838" t="s">
        <v>2441</v>
      </c>
      <c r="D838" s="35">
        <v>17.662320980003301</v>
      </c>
      <c r="E838" s="35">
        <v>4.4692531410210155</v>
      </c>
      <c r="F838" s="35">
        <v>15.03640785072664</v>
      </c>
      <c r="G838" s="35">
        <v>0.12699036627294302</v>
      </c>
      <c r="H838" s="35">
        <v>4.3422627747480727</v>
      </c>
      <c r="I838" s="35">
        <v>68.383096376429478</v>
      </c>
      <c r="J838" t="s">
        <v>2338</v>
      </c>
      <c r="K838" t="s">
        <v>36</v>
      </c>
    </row>
    <row r="839" spans="1:11">
      <c r="A839" s="1">
        <v>34759</v>
      </c>
      <c r="B839" t="s">
        <v>134</v>
      </c>
      <c r="C839" t="s">
        <v>2441</v>
      </c>
      <c r="D839" s="35">
        <v>18.4977745287364</v>
      </c>
      <c r="E839" s="35">
        <v>4.6216816742738631</v>
      </c>
      <c r="F839" s="35">
        <v>19.598594893074718</v>
      </c>
      <c r="G839" s="35">
        <v>6.1109136241099093E-2</v>
      </c>
      <c r="H839" s="35">
        <v>4.5605725380327637</v>
      </c>
      <c r="I839" s="35">
        <v>72.852545094008889</v>
      </c>
      <c r="J839" t="s">
        <v>2338</v>
      </c>
      <c r="K839" t="s">
        <v>36</v>
      </c>
    </row>
    <row r="840" spans="1:11">
      <c r="A840" s="1">
        <v>34790</v>
      </c>
      <c r="B840" t="s">
        <v>134</v>
      </c>
      <c r="C840" t="s">
        <v>2441</v>
      </c>
      <c r="D840" s="35">
        <v>19.8998733517735</v>
      </c>
      <c r="E840" s="35">
        <v>7.3062938373520128</v>
      </c>
      <c r="F840" s="35">
        <v>27.860859038523223</v>
      </c>
      <c r="G840" s="35">
        <v>1.5467613080731302E-2</v>
      </c>
      <c r="H840" s="35">
        <v>7.2908262242712816</v>
      </c>
      <c r="I840" s="35">
        <v>139.86333721867871</v>
      </c>
      <c r="J840" t="s">
        <v>2339</v>
      </c>
      <c r="K840" t="s">
        <v>36</v>
      </c>
    </row>
    <row r="841" spans="1:11">
      <c r="A841" s="1">
        <v>34820</v>
      </c>
      <c r="B841" t="s">
        <v>134</v>
      </c>
      <c r="C841" t="s">
        <v>2441</v>
      </c>
      <c r="D841" s="35">
        <v>20.882864572197199</v>
      </c>
      <c r="E841" s="35">
        <v>4.8215578281785723</v>
      </c>
      <c r="F841" s="35">
        <v>33.41201004380914</v>
      </c>
      <c r="G841" s="35">
        <v>-9.2177951932252061E-2</v>
      </c>
      <c r="H841" s="35">
        <v>4.9137357801108239</v>
      </c>
      <c r="I841" s="35">
        <v>80.335405271186985</v>
      </c>
      <c r="J841" t="s">
        <v>2339</v>
      </c>
      <c r="K841" t="s">
        <v>36</v>
      </c>
    </row>
    <row r="842" spans="1:11">
      <c r="A842" s="1">
        <v>34851</v>
      </c>
      <c r="B842" t="s">
        <v>134</v>
      </c>
      <c r="C842" t="s">
        <v>2441</v>
      </c>
      <c r="D842" s="35">
        <v>21.595238549072601</v>
      </c>
      <c r="E842" s="35">
        <v>3.3543907087764606</v>
      </c>
      <c r="F842" s="35">
        <v>37.244323708600511</v>
      </c>
      <c r="G842" s="35">
        <v>-6.8631876269193037E-2</v>
      </c>
      <c r="H842" s="35">
        <v>3.4230225850456537</v>
      </c>
      <c r="I842" s="35">
        <v>50.796748880499074</v>
      </c>
      <c r="J842" t="s">
        <v>2339</v>
      </c>
      <c r="K842" t="s">
        <v>36</v>
      </c>
    </row>
    <row r="843" spans="1:11">
      <c r="A843" s="1">
        <v>34881</v>
      </c>
      <c r="B843" t="s">
        <v>134</v>
      </c>
      <c r="C843" t="s">
        <v>2441</v>
      </c>
      <c r="D843" s="35">
        <v>22.0463209147537</v>
      </c>
      <c r="E843" s="35">
        <v>2.0672883185656241</v>
      </c>
      <c r="F843" s="35">
        <v>39.62182888874748</v>
      </c>
      <c r="G843" s="35">
        <v>-6.3321577930948281E-2</v>
      </c>
      <c r="H843" s="35">
        <v>2.1306098964965723</v>
      </c>
      <c r="I843" s="35">
        <v>29.133063608030096</v>
      </c>
      <c r="J843" t="s">
        <v>2340</v>
      </c>
      <c r="K843" t="s">
        <v>36</v>
      </c>
    </row>
    <row r="844" spans="1:11">
      <c r="A844" s="1">
        <v>34912</v>
      </c>
      <c r="B844" t="s">
        <v>134</v>
      </c>
      <c r="C844" t="s">
        <v>2441</v>
      </c>
      <c r="D844" s="35">
        <v>22.456756146465899</v>
      </c>
      <c r="E844" s="35">
        <v>1.8445774817528071</v>
      </c>
      <c r="F844" s="35">
        <v>41.510891388587808</v>
      </c>
      <c r="G844" s="35">
        <v>-8.7706074905278902E-2</v>
      </c>
      <c r="H844" s="35">
        <v>1.932283556658086</v>
      </c>
      <c r="I844" s="35">
        <v>26.096087154529755</v>
      </c>
      <c r="J844" t="s">
        <v>2340</v>
      </c>
      <c r="K844" t="s">
        <v>36</v>
      </c>
    </row>
    <row r="845" spans="1:11">
      <c r="A845" s="1">
        <v>34943</v>
      </c>
      <c r="B845" t="s">
        <v>134</v>
      </c>
      <c r="C845" t="s">
        <v>2441</v>
      </c>
      <c r="D845" s="35">
        <v>22.982120243332702</v>
      </c>
      <c r="E845" s="35">
        <v>2.3125022036959808</v>
      </c>
      <c r="F845" s="35">
        <v>43.655787488144291</v>
      </c>
      <c r="G845" s="35">
        <v>5.9710091602400539E-2</v>
      </c>
      <c r="H845" s="35">
        <v>2.2527921120935801</v>
      </c>
      <c r="I845" s="35">
        <v>31.040343238050493</v>
      </c>
      <c r="J845" t="s">
        <v>2340</v>
      </c>
      <c r="K845" t="s">
        <v>36</v>
      </c>
    </row>
    <row r="846" spans="1:11">
      <c r="A846" s="1">
        <v>34973</v>
      </c>
      <c r="B846" t="s">
        <v>134</v>
      </c>
      <c r="C846" t="s">
        <v>2441</v>
      </c>
      <c r="D846" s="35">
        <v>23.383808988547401</v>
      </c>
      <c r="E846" s="35">
        <v>1.7327326420313847</v>
      </c>
      <c r="F846" s="35">
        <v>45.426742717552585</v>
      </c>
      <c r="G846" s="35">
        <v>-6.7152525649730843E-2</v>
      </c>
      <c r="H846" s="35">
        <v>1.7998851676811154</v>
      </c>
      <c r="I846" s="35">
        <v>24.10852768788061</v>
      </c>
      <c r="J846" t="s">
        <v>2341</v>
      </c>
      <c r="K846" t="s">
        <v>36</v>
      </c>
    </row>
    <row r="847" spans="1:11">
      <c r="A847" s="1">
        <v>35004</v>
      </c>
      <c r="B847" t="s">
        <v>134</v>
      </c>
      <c r="C847" t="s">
        <v>2441</v>
      </c>
      <c r="D847" s="35">
        <v>23.860400231046601</v>
      </c>
      <c r="E847" s="35">
        <v>2.0176331364144469</v>
      </c>
      <c r="F847" s="35">
        <v>47.6266644036359</v>
      </c>
      <c r="G847" s="35">
        <v>-9.1034986847382593E-2</v>
      </c>
      <c r="H847" s="35">
        <v>2.1086681232618294</v>
      </c>
      <c r="I847" s="35">
        <v>28.793501831599457</v>
      </c>
      <c r="J847" t="s">
        <v>2341</v>
      </c>
      <c r="K847" t="s">
        <v>36</v>
      </c>
    </row>
    <row r="848" spans="1:11">
      <c r="A848" s="1">
        <v>35034</v>
      </c>
      <c r="B848" t="s">
        <v>134</v>
      </c>
      <c r="C848" t="s">
        <v>2441</v>
      </c>
      <c r="D848" s="35">
        <v>24.530240304361101</v>
      </c>
      <c r="E848" s="35">
        <v>2.7686463896297924</v>
      </c>
      <c r="F848" s="35">
        <v>50.601624204860627</v>
      </c>
      <c r="G848" s="35">
        <v>9.1165377259296132E-2</v>
      </c>
      <c r="H848" s="35">
        <v>2.6774810123704964</v>
      </c>
      <c r="I848" s="35">
        <v>37.891605272174232</v>
      </c>
      <c r="J848" t="s">
        <v>2341</v>
      </c>
      <c r="K848" t="s">
        <v>36</v>
      </c>
    </row>
    <row r="849" spans="1:11">
      <c r="A849" s="1">
        <v>35065</v>
      </c>
      <c r="B849" t="s">
        <v>134</v>
      </c>
      <c r="C849" t="s">
        <v>2441</v>
      </c>
      <c r="D849" s="35">
        <v>25.325838293470301</v>
      </c>
      <c r="E849" s="35">
        <v>3.1918496439096589</v>
      </c>
      <c r="F849" s="35">
        <v>49.942855180044596</v>
      </c>
      <c r="G849" s="35">
        <v>0.11558240907831546</v>
      </c>
      <c r="H849" s="35">
        <v>3.0762672348313433</v>
      </c>
      <c r="I849" s="35">
        <v>44.650755472139551</v>
      </c>
      <c r="J849" t="s">
        <v>2342</v>
      </c>
      <c r="K849" t="s">
        <v>36</v>
      </c>
    </row>
    <row r="850" spans="1:11">
      <c r="A850" s="1">
        <v>35096</v>
      </c>
      <c r="B850" t="s">
        <v>134</v>
      </c>
      <c r="C850" t="s">
        <v>2441</v>
      </c>
      <c r="D850" s="35">
        <v>25.926110938364001</v>
      </c>
      <c r="E850" s="35">
        <v>2.3425454200398539</v>
      </c>
      <c r="F850" s="35">
        <v>46.787678514713285</v>
      </c>
      <c r="G850" s="35">
        <v>0.12699036627294302</v>
      </c>
      <c r="H850" s="35">
        <v>2.2155550537669111</v>
      </c>
      <c r="I850" s="35">
        <v>30.456102705589426</v>
      </c>
      <c r="J850" t="s">
        <v>2342</v>
      </c>
      <c r="K850" t="s">
        <v>36</v>
      </c>
    </row>
    <row r="851" spans="1:11">
      <c r="A851" s="1">
        <v>35125</v>
      </c>
      <c r="B851" t="s">
        <v>134</v>
      </c>
      <c r="C851" t="s">
        <v>2441</v>
      </c>
      <c r="D851" s="35">
        <v>26.531142821538701</v>
      </c>
      <c r="E851" s="35">
        <v>2.3068638589375148</v>
      </c>
      <c r="F851" s="35">
        <v>43.428836697746618</v>
      </c>
      <c r="G851" s="35">
        <v>6.1109136241099093E-2</v>
      </c>
      <c r="H851" s="35">
        <v>2.2457547226964159</v>
      </c>
      <c r="I851" s="35">
        <v>30.929728120471147</v>
      </c>
      <c r="J851" t="s">
        <v>2342</v>
      </c>
      <c r="K851" t="s">
        <v>36</v>
      </c>
    </row>
    <row r="852" spans="1:11">
      <c r="A852" s="1">
        <v>35156</v>
      </c>
      <c r="B852" t="s">
        <v>134</v>
      </c>
      <c r="C852" t="s">
        <v>2441</v>
      </c>
      <c r="D852" s="35">
        <v>27.261872945059601</v>
      </c>
      <c r="E852" s="35">
        <v>2.7169886826479241</v>
      </c>
      <c r="F852" s="35">
        <v>36.995208276689809</v>
      </c>
      <c r="G852" s="35">
        <v>1.5467613080731302E-2</v>
      </c>
      <c r="H852" s="35">
        <v>2.701521069567193</v>
      </c>
      <c r="I852" s="35">
        <v>38.289970248235548</v>
      </c>
      <c r="J852" t="s">
        <v>2343</v>
      </c>
      <c r="K852" t="s">
        <v>36</v>
      </c>
    </row>
    <row r="853" spans="1:11">
      <c r="A853" s="1">
        <v>35186</v>
      </c>
      <c r="B853" t="s">
        <v>134</v>
      </c>
      <c r="C853" t="s">
        <v>2441</v>
      </c>
      <c r="D853" s="35">
        <v>27.757484821280801</v>
      </c>
      <c r="E853" s="35">
        <v>1.8016396489547417</v>
      </c>
      <c r="F853" s="35">
        <v>32.919910126871478</v>
      </c>
      <c r="G853" s="35">
        <v>-9.2177951932252061E-2</v>
      </c>
      <c r="H853" s="35">
        <v>1.8938176008869938</v>
      </c>
      <c r="I853" s="35">
        <v>25.515379652386237</v>
      </c>
      <c r="J853" t="s">
        <v>2343</v>
      </c>
      <c r="K853" t="s">
        <v>36</v>
      </c>
    </row>
    <row r="854" spans="1:11">
      <c r="A854" s="1">
        <v>35217</v>
      </c>
      <c r="B854" t="s">
        <v>134</v>
      </c>
      <c r="C854" t="s">
        <v>2441</v>
      </c>
      <c r="D854" s="35">
        <v>28.234690388413799</v>
      </c>
      <c r="E854" s="35">
        <v>1.7045850427054607</v>
      </c>
      <c r="F854" s="35">
        <v>30.744980307829593</v>
      </c>
      <c r="G854" s="35">
        <v>-6.8631876269193037E-2</v>
      </c>
      <c r="H854" s="35">
        <v>1.7732169189746538</v>
      </c>
      <c r="I854" s="35">
        <v>23.711991671607514</v>
      </c>
      <c r="J854" t="s">
        <v>2343</v>
      </c>
      <c r="K854" t="s">
        <v>36</v>
      </c>
    </row>
    <row r="855" spans="1:11">
      <c r="A855" s="1">
        <v>35247</v>
      </c>
      <c r="B855" t="s">
        <v>134</v>
      </c>
      <c r="C855" t="s">
        <v>2441</v>
      </c>
      <c r="D855" s="35">
        <v>28.658923099758599</v>
      </c>
      <c r="E855" s="35">
        <v>1.4913469128088568</v>
      </c>
      <c r="F855" s="35">
        <v>29.994130134337539</v>
      </c>
      <c r="G855" s="35">
        <v>-6.3321577930948281E-2</v>
      </c>
      <c r="H855" s="35">
        <v>1.5546684907398052</v>
      </c>
      <c r="I855" s="35">
        <v>20.509718951432987</v>
      </c>
      <c r="J855" t="s">
        <v>2344</v>
      </c>
      <c r="K855" t="s">
        <v>36</v>
      </c>
    </row>
    <row r="856" spans="1:11">
      <c r="A856" s="1">
        <v>35278</v>
      </c>
      <c r="B856" t="s">
        <v>134</v>
      </c>
      <c r="C856" t="s">
        <v>2441</v>
      </c>
      <c r="D856" s="35">
        <v>29.044862655604401</v>
      </c>
      <c r="E856" s="35">
        <v>1.3376776089076998</v>
      </c>
      <c r="F856" s="35">
        <v>29.336857318884402</v>
      </c>
      <c r="G856" s="35">
        <v>-8.7706074905278902E-2</v>
      </c>
      <c r="H856" s="35">
        <v>1.4253836838129788</v>
      </c>
      <c r="I856" s="35">
        <v>18.654537875469266</v>
      </c>
      <c r="J856" t="s">
        <v>2344</v>
      </c>
      <c r="K856" t="s">
        <v>36</v>
      </c>
    </row>
    <row r="857" spans="1:11">
      <c r="A857" s="1">
        <v>35309</v>
      </c>
      <c r="B857" t="s">
        <v>134</v>
      </c>
      <c r="C857" t="s">
        <v>2441</v>
      </c>
      <c r="D857" s="35">
        <v>29.552442254859201</v>
      </c>
      <c r="E857" s="35">
        <v>1.7324765898241927</v>
      </c>
      <c r="F857" s="35">
        <v>28.588841856018931</v>
      </c>
      <c r="G857" s="35">
        <v>5.9710091602400539E-2</v>
      </c>
      <c r="H857" s="35">
        <v>1.6727664982217922</v>
      </c>
      <c r="I857" s="35">
        <v>22.229712758069464</v>
      </c>
      <c r="J857" t="s">
        <v>2344</v>
      </c>
      <c r="K857" t="s">
        <v>36</v>
      </c>
    </row>
    <row r="858" spans="1:11">
      <c r="A858" s="1">
        <v>35339</v>
      </c>
      <c r="B858" t="s">
        <v>134</v>
      </c>
      <c r="C858" t="s">
        <v>2441</v>
      </c>
      <c r="D858" s="35">
        <v>29.8877143188632</v>
      </c>
      <c r="E858" s="35">
        <v>1.128111495602049</v>
      </c>
      <c r="F858" s="35">
        <v>27.813712186501327</v>
      </c>
      <c r="G858" s="35">
        <v>-6.7152525649730843E-2</v>
      </c>
      <c r="H858" s="35">
        <v>1.1952640212517798</v>
      </c>
      <c r="I858" s="35">
        <v>15.422795420319391</v>
      </c>
      <c r="J858" t="s">
        <v>2345</v>
      </c>
      <c r="K858" t="s">
        <v>36</v>
      </c>
    </row>
    <row r="859" spans="1:11">
      <c r="A859" s="1">
        <v>35370</v>
      </c>
      <c r="B859" t="s">
        <v>134</v>
      </c>
      <c r="C859" t="s">
        <v>2441</v>
      </c>
      <c r="D859" s="35">
        <v>30.2477531380685</v>
      </c>
      <c r="E859" s="35">
        <v>1.1974401679195033</v>
      </c>
      <c r="F859" s="35">
        <v>26.769680496435356</v>
      </c>
      <c r="G859" s="35">
        <v>-9.1034986847382593E-2</v>
      </c>
      <c r="H859" s="35">
        <v>1.2884751547668858</v>
      </c>
      <c r="I859" s="35">
        <v>16.721085541384916</v>
      </c>
      <c r="J859" t="s">
        <v>2345</v>
      </c>
      <c r="K859" t="s">
        <v>36</v>
      </c>
    </row>
    <row r="860" spans="1:11">
      <c r="A860" s="1">
        <v>35400</v>
      </c>
      <c r="B860" t="s">
        <v>134</v>
      </c>
      <c r="C860" t="s">
        <v>2441</v>
      </c>
      <c r="D860" s="35">
        <v>30.895110577108401</v>
      </c>
      <c r="E860" s="35">
        <v>2.1176032342149522</v>
      </c>
      <c r="F860" s="35">
        <v>25.947035959593599</v>
      </c>
      <c r="G860" s="35">
        <v>9.1165377259296132E-2</v>
      </c>
      <c r="H860" s="35">
        <v>2.0264378569556563</v>
      </c>
      <c r="I860" s="35">
        <v>27.528864705441958</v>
      </c>
      <c r="J860" t="s">
        <v>2345</v>
      </c>
      <c r="K860" t="s">
        <v>36</v>
      </c>
    </row>
    <row r="861" spans="1:11">
      <c r="A861" s="1">
        <v>35431</v>
      </c>
      <c r="B861" t="s">
        <v>134</v>
      </c>
      <c r="C861" t="s">
        <v>2441</v>
      </c>
      <c r="D861" s="35">
        <v>31.6665843423208</v>
      </c>
      <c r="E861" s="35">
        <v>2.4664065579984631</v>
      </c>
      <c r="F861" s="35">
        <v>25.036667988539275</v>
      </c>
      <c r="G861" s="35">
        <v>0.11558240907831546</v>
      </c>
      <c r="H861" s="35">
        <v>2.3508241489201476</v>
      </c>
      <c r="I861" s="35">
        <v>32.590984316263835</v>
      </c>
      <c r="J861" t="s">
        <v>2346</v>
      </c>
      <c r="K861" t="s">
        <v>36</v>
      </c>
    </row>
    <row r="862" spans="1:11">
      <c r="A862" s="1">
        <v>35462</v>
      </c>
      <c r="B862" t="s">
        <v>134</v>
      </c>
      <c r="C862" t="s">
        <v>2441</v>
      </c>
      <c r="D862" s="35">
        <v>32.2164382881151</v>
      </c>
      <c r="E862" s="35">
        <v>1.7214824915804277</v>
      </c>
      <c r="F862" s="35">
        <v>24.262518064146011</v>
      </c>
      <c r="G862" s="35">
        <v>0.12699036627294302</v>
      </c>
      <c r="H862" s="35">
        <v>1.5944921253074846</v>
      </c>
      <c r="I862" s="35">
        <v>21.086993403954413</v>
      </c>
      <c r="J862" t="s">
        <v>2346</v>
      </c>
      <c r="K862" t="s">
        <v>36</v>
      </c>
    </row>
    <row r="863" spans="1:11">
      <c r="A863" s="1">
        <v>35490</v>
      </c>
      <c r="B863" t="s">
        <v>134</v>
      </c>
      <c r="C863" t="s">
        <v>2441</v>
      </c>
      <c r="D863" s="35">
        <v>32.629063218218697</v>
      </c>
      <c r="E863" s="35">
        <v>1.2726572846503368</v>
      </c>
      <c r="F863" s="35">
        <v>22.984009538139972</v>
      </c>
      <c r="G863" s="35">
        <v>6.1109136241099093E-2</v>
      </c>
      <c r="H863" s="35">
        <v>1.2115481484092376</v>
      </c>
      <c r="I863" s="35">
        <v>15.648563071526134</v>
      </c>
      <c r="J863" t="s">
        <v>2346</v>
      </c>
      <c r="K863" t="s">
        <v>36</v>
      </c>
    </row>
    <row r="864" spans="1:11">
      <c r="A864" s="1">
        <v>35521</v>
      </c>
      <c r="B864" t="s">
        <v>134</v>
      </c>
      <c r="C864" t="s">
        <v>2441</v>
      </c>
      <c r="D864" s="35">
        <v>33.043083580789997</v>
      </c>
      <c r="E864" s="35">
        <v>1.2608872039153713</v>
      </c>
      <c r="F864" s="35">
        <v>21.206212234138032</v>
      </c>
      <c r="G864" s="35">
        <v>1.5467613080731302E-2</v>
      </c>
      <c r="H864" s="35">
        <v>1.2454195908346399</v>
      </c>
      <c r="I864" s="35">
        <v>16.119581705372219</v>
      </c>
      <c r="J864" t="s">
        <v>2347</v>
      </c>
      <c r="K864" t="s">
        <v>36</v>
      </c>
    </row>
    <row r="865" spans="1:11">
      <c r="A865" s="1">
        <v>35551</v>
      </c>
      <c r="B865" t="s">
        <v>134</v>
      </c>
      <c r="C865" t="s">
        <v>2441</v>
      </c>
      <c r="D865" s="35">
        <v>33.468573032634197</v>
      </c>
      <c r="E865" s="35">
        <v>1.2794607079373899</v>
      </c>
      <c r="F865" s="35">
        <v>20.574948516138193</v>
      </c>
      <c r="G865" s="35">
        <v>-9.2177951932252061E-2</v>
      </c>
      <c r="H865" s="35">
        <v>1.371638659869642</v>
      </c>
      <c r="I865" s="35">
        <v>17.891749367176413</v>
      </c>
      <c r="J865" t="s">
        <v>2347</v>
      </c>
      <c r="K865" t="s">
        <v>36</v>
      </c>
    </row>
    <row r="866" spans="1:11">
      <c r="A866" s="1">
        <v>35582</v>
      </c>
      <c r="B866" t="s">
        <v>134</v>
      </c>
      <c r="C866" t="s">
        <v>2441</v>
      </c>
      <c r="D866" s="35">
        <v>33.823549811077797</v>
      </c>
      <c r="E866" s="35">
        <v>1.0550419757376899</v>
      </c>
      <c r="F866" s="35">
        <v>19.794300365189788</v>
      </c>
      <c r="G866" s="35">
        <v>-6.8631876269193037E-2</v>
      </c>
      <c r="H866" s="35">
        <v>1.123673852006883</v>
      </c>
      <c r="I866" s="35">
        <v>14.435465982398954</v>
      </c>
      <c r="J866" t="s">
        <v>2347</v>
      </c>
      <c r="K866" t="s">
        <v>36</v>
      </c>
    </row>
    <row r="867" spans="1:11">
      <c r="A867" s="1">
        <v>35612</v>
      </c>
      <c r="B867" t="s">
        <v>134</v>
      </c>
      <c r="C867" t="s">
        <v>2441</v>
      </c>
      <c r="D867" s="35">
        <v>34.101088690424298</v>
      </c>
      <c r="E867" s="35">
        <v>0.81720103341602757</v>
      </c>
      <c r="F867" s="35">
        <v>18.989428080469416</v>
      </c>
      <c r="G867" s="35">
        <v>-6.3321577930948281E-2</v>
      </c>
      <c r="H867" s="35">
        <v>0.88052261134697585</v>
      </c>
      <c r="I867" s="35">
        <v>11.144693707792985</v>
      </c>
      <c r="J867" t="s">
        <v>2348</v>
      </c>
      <c r="K867" t="s">
        <v>36</v>
      </c>
    </row>
    <row r="868" spans="1:11">
      <c r="A868" s="1">
        <v>35643</v>
      </c>
      <c r="B868" t="s">
        <v>134</v>
      </c>
      <c r="C868" t="s">
        <v>2441</v>
      </c>
      <c r="D868" s="35">
        <v>34.374633037327897</v>
      </c>
      <c r="E868" s="35">
        <v>0.79895704667812639</v>
      </c>
      <c r="F868" s="35">
        <v>18.350131122741175</v>
      </c>
      <c r="G868" s="35">
        <v>-8.7706074905278902E-2</v>
      </c>
      <c r="H868" s="35">
        <v>0.88666312158340532</v>
      </c>
      <c r="I868" s="35">
        <v>11.226622104548012</v>
      </c>
      <c r="J868" t="s">
        <v>2348</v>
      </c>
      <c r="K868" t="s">
        <v>36</v>
      </c>
    </row>
    <row r="869" spans="1:11">
      <c r="A869" s="1">
        <v>35674</v>
      </c>
      <c r="B869" t="s">
        <v>134</v>
      </c>
      <c r="C869" t="s">
        <v>2441</v>
      </c>
      <c r="D869" s="35">
        <v>34.866828598502302</v>
      </c>
      <c r="E869" s="35">
        <v>1.4217026616417279</v>
      </c>
      <c r="F869" s="35">
        <v>17.982900695015402</v>
      </c>
      <c r="G869" s="35">
        <v>5.9710091602400539E-2</v>
      </c>
      <c r="H869" s="35">
        <v>1.3619925700393274</v>
      </c>
      <c r="I869" s="35">
        <v>17.75536498840491</v>
      </c>
      <c r="J869" t="s">
        <v>2348</v>
      </c>
      <c r="K869" t="s">
        <v>36</v>
      </c>
    </row>
    <row r="870" spans="1:11">
      <c r="A870" s="1">
        <v>35704</v>
      </c>
      <c r="B870" t="s">
        <v>134</v>
      </c>
      <c r="C870" t="s">
        <v>2441</v>
      </c>
      <c r="D870" s="35">
        <v>35.187750039422902</v>
      </c>
      <c r="E870" s="35">
        <v>0.91621045223282715</v>
      </c>
      <c r="F870" s="35">
        <v>17.733158394165539</v>
      </c>
      <c r="G870" s="35">
        <v>-6.7152525649730843E-2</v>
      </c>
      <c r="H870" s="35">
        <v>0.983362977882558</v>
      </c>
      <c r="I870" s="35">
        <v>12.52481142569961</v>
      </c>
      <c r="J870" t="s">
        <v>2349</v>
      </c>
      <c r="K870" t="s">
        <v>36</v>
      </c>
    </row>
    <row r="871" spans="1:11">
      <c r="A871" s="1">
        <v>35735</v>
      </c>
      <c r="B871" t="s">
        <v>134</v>
      </c>
      <c r="C871" t="s">
        <v>2441</v>
      </c>
      <c r="D871" s="35">
        <v>35.5367545785654</v>
      </c>
      <c r="E871" s="35">
        <v>0.98694893368255432</v>
      </c>
      <c r="F871" s="35">
        <v>17.4856010506129</v>
      </c>
      <c r="G871" s="35">
        <v>-9.1034986847382593E-2</v>
      </c>
      <c r="H871" s="35">
        <v>1.0779839205299369</v>
      </c>
      <c r="I871" s="35">
        <v>13.809757033878277</v>
      </c>
      <c r="J871" t="s">
        <v>2349</v>
      </c>
      <c r="K871" t="s">
        <v>36</v>
      </c>
    </row>
    <row r="872" spans="1:11">
      <c r="A872" s="1">
        <v>35765</v>
      </c>
      <c r="B872" t="s">
        <v>134</v>
      </c>
      <c r="C872" t="s">
        <v>2441</v>
      </c>
      <c r="D872" s="35">
        <v>35.981497901389403</v>
      </c>
      <c r="E872" s="35">
        <v>1.2437358028767946</v>
      </c>
      <c r="F872" s="35">
        <v>16.463405468597792</v>
      </c>
      <c r="G872" s="35">
        <v>9.1165377259296132E-2</v>
      </c>
      <c r="H872" s="35">
        <v>1.1525704256174985</v>
      </c>
      <c r="I872" s="35">
        <v>14.832969918169869</v>
      </c>
      <c r="J872" t="s">
        <v>2349</v>
      </c>
      <c r="K872" t="s">
        <v>36</v>
      </c>
    </row>
    <row r="873" spans="1:11">
      <c r="A873" s="1">
        <v>35796</v>
      </c>
      <c r="B873" t="s">
        <v>134</v>
      </c>
      <c r="C873" t="s">
        <v>2441</v>
      </c>
      <c r="D873" s="35">
        <v>36.668249444588703</v>
      </c>
      <c r="E873" s="35">
        <v>1.8906383706894243</v>
      </c>
      <c r="F873" s="35">
        <v>15.794772963825565</v>
      </c>
      <c r="G873" s="35">
        <v>0.11558240907831546</v>
      </c>
      <c r="H873" s="35">
        <v>1.7750559616111088</v>
      </c>
      <c r="I873" s="35">
        <v>23.739296079613894</v>
      </c>
      <c r="J873" t="s">
        <v>2350</v>
      </c>
      <c r="K873" t="s">
        <v>36</v>
      </c>
    </row>
    <row r="874" spans="1:11">
      <c r="A874" s="1">
        <v>35827</v>
      </c>
      <c r="B874" t="s">
        <v>134</v>
      </c>
      <c r="C874" t="s">
        <v>2441</v>
      </c>
      <c r="D874" s="35">
        <v>37.377395911911499</v>
      </c>
      <c r="E874" s="35">
        <v>1.9154891459508918</v>
      </c>
      <c r="F874" s="35">
        <v>16.019640587334315</v>
      </c>
      <c r="G874" s="35">
        <v>0.12699036627294302</v>
      </c>
      <c r="H874" s="35">
        <v>1.7884987796779488</v>
      </c>
      <c r="I874" s="35">
        <v>23.939065745720267</v>
      </c>
      <c r="J874" t="s">
        <v>2350</v>
      </c>
      <c r="K874" t="s">
        <v>36</v>
      </c>
    </row>
    <row r="875" spans="1:11">
      <c r="A875" s="1">
        <v>35855</v>
      </c>
      <c r="B875" t="s">
        <v>134</v>
      </c>
      <c r="C875" t="s">
        <v>2441</v>
      </c>
      <c r="D875" s="35">
        <v>37.793035550919697</v>
      </c>
      <c r="E875" s="35">
        <v>1.1058706642978289</v>
      </c>
      <c r="F875" s="35">
        <v>15.826296630599114</v>
      </c>
      <c r="G875" s="35">
        <v>6.1109136241099093E-2</v>
      </c>
      <c r="H875" s="35">
        <v>1.0447615280567297</v>
      </c>
      <c r="I875" s="35">
        <v>13.356936370918703</v>
      </c>
      <c r="J875" t="s">
        <v>2350</v>
      </c>
      <c r="K875" t="s">
        <v>36</v>
      </c>
    </row>
    <row r="876" spans="1:11">
      <c r="A876" s="1">
        <v>35886</v>
      </c>
      <c r="B876" t="s">
        <v>134</v>
      </c>
      <c r="C876" t="s">
        <v>2441</v>
      </c>
      <c r="D876" s="35">
        <v>38.224997163812397</v>
      </c>
      <c r="E876" s="35">
        <v>1.1364836652191943</v>
      </c>
      <c r="F876" s="35">
        <v>15.682294209475556</v>
      </c>
      <c r="G876" s="35">
        <v>1.5467613080731302E-2</v>
      </c>
      <c r="H876" s="35">
        <v>1.1210160521384629</v>
      </c>
      <c r="I876" s="35">
        <v>14.398974214005644</v>
      </c>
      <c r="J876" t="s">
        <v>2351</v>
      </c>
      <c r="K876" t="s">
        <v>36</v>
      </c>
    </row>
    <row r="877" spans="1:11">
      <c r="A877" s="1">
        <v>35916</v>
      </c>
      <c r="B877" t="s">
        <v>134</v>
      </c>
      <c r="C877" t="s">
        <v>2441</v>
      </c>
      <c r="D877" s="35">
        <v>38.636124941538597</v>
      </c>
      <c r="E877" s="35">
        <v>1.069804050532263</v>
      </c>
      <c r="F877" s="35">
        <v>15.440012646687018</v>
      </c>
      <c r="G877" s="35">
        <v>-9.2177951932252061E-2</v>
      </c>
      <c r="H877" s="35">
        <v>1.1619820024645151</v>
      </c>
      <c r="I877" s="35">
        <v>14.962734300138681</v>
      </c>
      <c r="J877" t="s">
        <v>2351</v>
      </c>
      <c r="K877" t="s">
        <v>36</v>
      </c>
    </row>
    <row r="878" spans="1:11">
      <c r="A878" s="1">
        <v>35947</v>
      </c>
      <c r="B878" t="s">
        <v>134</v>
      </c>
      <c r="C878" t="s">
        <v>2441</v>
      </c>
      <c r="D878" s="35">
        <v>39.092419171287702</v>
      </c>
      <c r="E878" s="35">
        <v>1.1740846983037967</v>
      </c>
      <c r="F878" s="35">
        <v>15.577517409140352</v>
      </c>
      <c r="G878" s="35">
        <v>-6.8631876269193037E-2</v>
      </c>
      <c r="H878" s="35">
        <v>1.2427165745729898</v>
      </c>
      <c r="I878" s="35">
        <v>16.081923039104161</v>
      </c>
      <c r="J878" t="s">
        <v>2351</v>
      </c>
      <c r="K878" t="s">
        <v>36</v>
      </c>
    </row>
    <row r="879" spans="1:11">
      <c r="A879" s="1">
        <v>35977</v>
      </c>
      <c r="B879" t="s">
        <v>134</v>
      </c>
      <c r="C879" t="s">
        <v>2441</v>
      </c>
      <c r="D879" s="35">
        <v>39.393666040972498</v>
      </c>
      <c r="E879" s="35">
        <v>0.76764778928507182</v>
      </c>
      <c r="F879" s="35">
        <v>15.520259187602935</v>
      </c>
      <c r="G879" s="35">
        <v>-6.3321577930948281E-2</v>
      </c>
      <c r="H879" s="35">
        <v>0.83096936721602011</v>
      </c>
      <c r="I879" s="35">
        <v>10.485745214661947</v>
      </c>
      <c r="J879" t="s">
        <v>2352</v>
      </c>
      <c r="K879" t="s">
        <v>36</v>
      </c>
    </row>
    <row r="880" spans="1:11">
      <c r="A880" s="1">
        <v>36008</v>
      </c>
      <c r="B880" t="s">
        <v>134</v>
      </c>
      <c r="C880" t="s">
        <v>2441</v>
      </c>
      <c r="D880" s="35">
        <v>39.799282279500098</v>
      </c>
      <c r="E880" s="35">
        <v>1.0243835950258431</v>
      </c>
      <c r="F880" s="35">
        <v>15.780966261607787</v>
      </c>
      <c r="G880" s="35">
        <v>-8.7706074905278902E-2</v>
      </c>
      <c r="H880" s="35">
        <v>1.112089669931122</v>
      </c>
      <c r="I880" s="35">
        <v>14.276499544903221</v>
      </c>
      <c r="J880" t="s">
        <v>2352</v>
      </c>
      <c r="K880" t="s">
        <v>36</v>
      </c>
    </row>
    <row r="881" spans="1:11">
      <c r="A881" s="1">
        <v>36039</v>
      </c>
      <c r="B881" t="s">
        <v>134</v>
      </c>
      <c r="C881" t="s">
        <v>2441</v>
      </c>
      <c r="D881" s="35">
        <v>40.565820596322098</v>
      </c>
      <c r="E881" s="35">
        <v>1.9076975864030514</v>
      </c>
      <c r="F881" s="35">
        <v>16.345025420707728</v>
      </c>
      <c r="G881" s="35">
        <v>5.9710091602400539E-2</v>
      </c>
      <c r="H881" s="35">
        <v>1.8479874948006509</v>
      </c>
      <c r="I881" s="35">
        <v>24.826988350452162</v>
      </c>
      <c r="J881" t="s">
        <v>2352</v>
      </c>
      <c r="K881" t="s">
        <v>36</v>
      </c>
    </row>
    <row r="882" spans="1:11">
      <c r="A882" s="1">
        <v>36069</v>
      </c>
      <c r="B882" t="s">
        <v>134</v>
      </c>
      <c r="C882" t="s">
        <v>2441</v>
      </c>
      <c r="D882" s="35">
        <v>41.134324704638097</v>
      </c>
      <c r="E882" s="35">
        <v>1.3917069108664237</v>
      </c>
      <c r="F882" s="35">
        <v>16.899559245910577</v>
      </c>
      <c r="G882" s="35">
        <v>-6.7152525649730843E-2</v>
      </c>
      <c r="H882" s="35">
        <v>1.4588594365161547</v>
      </c>
      <c r="I882" s="35">
        <v>19.13214251975117</v>
      </c>
      <c r="J882" t="s">
        <v>2353</v>
      </c>
      <c r="K882" t="s">
        <v>36</v>
      </c>
    </row>
    <row r="883" spans="1:11">
      <c r="A883" s="1">
        <v>36100</v>
      </c>
      <c r="B883" t="s">
        <v>134</v>
      </c>
      <c r="C883" t="s">
        <v>2441</v>
      </c>
      <c r="D883" s="35">
        <v>41.604787321388997</v>
      </c>
      <c r="E883" s="35">
        <v>1.13723165650248</v>
      </c>
      <c r="F883" s="35">
        <v>17.07537116088713</v>
      </c>
      <c r="G883" s="35">
        <v>-9.1034986847382593E-2</v>
      </c>
      <c r="H883" s="35">
        <v>1.2282666433498626</v>
      </c>
      <c r="I883" s="35">
        <v>15.880812355128082</v>
      </c>
      <c r="J883" t="s">
        <v>2353</v>
      </c>
      <c r="K883" t="s">
        <v>36</v>
      </c>
    </row>
    <row r="884" spans="1:11">
      <c r="A884" s="1">
        <v>36130</v>
      </c>
      <c r="B884" t="s">
        <v>134</v>
      </c>
      <c r="C884" t="s">
        <v>2441</v>
      </c>
      <c r="D884" s="35">
        <v>42.254980131455099</v>
      </c>
      <c r="E884" s="35">
        <v>1.5506979303440647</v>
      </c>
      <c r="F884" s="35">
        <v>17.435300351471604</v>
      </c>
      <c r="G884" s="35">
        <v>9.1165377259296132E-2</v>
      </c>
      <c r="H884" s="35">
        <v>1.4595325530847685</v>
      </c>
      <c r="I884" s="35">
        <v>19.141765686674873</v>
      </c>
      <c r="J884" t="s">
        <v>2353</v>
      </c>
      <c r="K884" t="s">
        <v>36</v>
      </c>
    </row>
    <row r="885" spans="1:11">
      <c r="A885" s="1">
        <v>36161</v>
      </c>
      <c r="B885" t="s">
        <v>134</v>
      </c>
      <c r="C885" t="s">
        <v>2441</v>
      </c>
      <c r="D885" s="35">
        <v>43.271575214583898</v>
      </c>
      <c r="E885" s="35">
        <v>2.3773738095694092</v>
      </c>
      <c r="F885" s="35">
        <v>18.008292923756343</v>
      </c>
      <c r="G885" s="35">
        <v>0.11558240907831546</v>
      </c>
      <c r="H885" s="35">
        <v>2.2617914004910937</v>
      </c>
      <c r="I885" s="35">
        <v>31.181932057068231</v>
      </c>
      <c r="J885" t="s">
        <v>2354</v>
      </c>
      <c r="K885" t="s">
        <v>36</v>
      </c>
    </row>
    <row r="886" spans="1:11">
      <c r="A886" s="1">
        <v>36192</v>
      </c>
      <c r="B886" t="s">
        <v>134</v>
      </c>
      <c r="C886" t="s">
        <v>2441</v>
      </c>
      <c r="D886" s="35">
        <v>44.062772013839201</v>
      </c>
      <c r="E886" s="35">
        <v>1.8119296030901721</v>
      </c>
      <c r="F886" s="35">
        <v>17.88614733269096</v>
      </c>
      <c r="G886" s="35">
        <v>0.12699036627294302</v>
      </c>
      <c r="H886" s="35">
        <v>1.6849392368172291</v>
      </c>
      <c r="I886" s="35">
        <v>22.408387665115303</v>
      </c>
      <c r="J886" t="s">
        <v>2354</v>
      </c>
      <c r="K886" t="s">
        <v>36</v>
      </c>
    </row>
    <row r="887" spans="1:11">
      <c r="A887" s="1">
        <v>36220</v>
      </c>
      <c r="B887" t="s">
        <v>134</v>
      </c>
      <c r="C887" t="s">
        <v>2441</v>
      </c>
      <c r="D887" s="35">
        <v>44.7577702478576</v>
      </c>
      <c r="E887" s="35">
        <v>1.5649812554210587</v>
      </c>
      <c r="F887" s="35">
        <v>18.428619441151017</v>
      </c>
      <c r="G887" s="35">
        <v>6.1109136241099093E-2</v>
      </c>
      <c r="H887" s="35">
        <v>1.5038721191799596</v>
      </c>
      <c r="I887" s="35">
        <v>19.777378458133033</v>
      </c>
      <c r="J887" t="s">
        <v>2354</v>
      </c>
      <c r="K887" t="s">
        <v>36</v>
      </c>
    </row>
    <row r="888" spans="1:11">
      <c r="A888" s="1">
        <v>36251</v>
      </c>
      <c r="B888" t="s">
        <v>134</v>
      </c>
      <c r="C888" t="s">
        <v>2441</v>
      </c>
      <c r="D888" s="35">
        <v>45.293817460554102</v>
      </c>
      <c r="E888" s="35">
        <v>1.1905476803922062</v>
      </c>
      <c r="F888" s="35">
        <v>18.492664018910009</v>
      </c>
      <c r="G888" s="35">
        <v>1.5467613080731302E-2</v>
      </c>
      <c r="H888" s="35">
        <v>1.175080067311475</v>
      </c>
      <c r="I888" s="35">
        <v>15.143571101500285</v>
      </c>
      <c r="J888" t="s">
        <v>2355</v>
      </c>
      <c r="K888" t="s">
        <v>36</v>
      </c>
    </row>
    <row r="889" spans="1:11">
      <c r="A889" s="1">
        <v>36281</v>
      </c>
      <c r="B889" t="s">
        <v>134</v>
      </c>
      <c r="C889" t="s">
        <v>2441</v>
      </c>
      <c r="D889" s="35">
        <v>45.732963885071598</v>
      </c>
      <c r="E889" s="35">
        <v>0.96488050009929227</v>
      </c>
      <c r="F889" s="35">
        <v>18.368402510012128</v>
      </c>
      <c r="G889" s="35">
        <v>-9.2177951932252061E-2</v>
      </c>
      <c r="H889" s="35">
        <v>1.0570584520315442</v>
      </c>
      <c r="I889" s="35">
        <v>13.52433284367387</v>
      </c>
      <c r="J889" t="s">
        <v>2355</v>
      </c>
      <c r="K889" t="s">
        <v>36</v>
      </c>
    </row>
    <row r="890" spans="1:11">
      <c r="A890" s="1">
        <v>36312</v>
      </c>
      <c r="B890" t="s">
        <v>134</v>
      </c>
      <c r="C890" t="s">
        <v>2441</v>
      </c>
      <c r="D890" s="35">
        <v>46.088449217453999</v>
      </c>
      <c r="E890" s="35">
        <v>0.77430110567824006</v>
      </c>
      <c r="F890" s="35">
        <v>17.896129721500298</v>
      </c>
      <c r="G890" s="35">
        <v>-6.8631876269193037E-2</v>
      </c>
      <c r="H890" s="35">
        <v>0.84293298194743316</v>
      </c>
      <c r="I890" s="35">
        <v>10.644476193863529</v>
      </c>
      <c r="J890" t="s">
        <v>2355</v>
      </c>
      <c r="K890" t="s">
        <v>36</v>
      </c>
    </row>
    <row r="891" spans="1:11">
      <c r="A891" s="1">
        <v>36342</v>
      </c>
      <c r="B891" t="s">
        <v>134</v>
      </c>
      <c r="C891" t="s">
        <v>2441</v>
      </c>
      <c r="D891" s="35">
        <v>46.3926711546479</v>
      </c>
      <c r="E891" s="35">
        <v>0.65791381705678953</v>
      </c>
      <c r="F891" s="35">
        <v>17.76682857187215</v>
      </c>
      <c r="G891" s="35">
        <v>-6.3321577930948281E-2</v>
      </c>
      <c r="H891" s="35">
        <v>0.72123539498773781</v>
      </c>
      <c r="I891" s="35">
        <v>9.0403975603840401</v>
      </c>
      <c r="J891" t="s">
        <v>2356</v>
      </c>
      <c r="K891" t="s">
        <v>36</v>
      </c>
    </row>
    <row r="892" spans="1:11">
      <c r="A892" s="1">
        <v>36373</v>
      </c>
      <c r="B892" t="s">
        <v>134</v>
      </c>
      <c r="C892" t="s">
        <v>2441</v>
      </c>
      <c r="D892" s="35">
        <v>46.743516434905501</v>
      </c>
      <c r="E892" s="35">
        <v>0.75340627289105777</v>
      </c>
      <c r="F892" s="35">
        <v>17.448139156474831</v>
      </c>
      <c r="G892" s="35">
        <v>-8.7706074905278902E-2</v>
      </c>
      <c r="H892" s="35">
        <v>0.8411123477963367</v>
      </c>
      <c r="I892" s="35">
        <v>10.620305660862893</v>
      </c>
      <c r="J892" t="s">
        <v>2356</v>
      </c>
      <c r="K892" t="s">
        <v>36</v>
      </c>
    </row>
    <row r="893" spans="1:11">
      <c r="A893" s="1">
        <v>36404</v>
      </c>
      <c r="B893" t="s">
        <v>134</v>
      </c>
      <c r="C893" t="s">
        <v>2441</v>
      </c>
      <c r="D893" s="35">
        <v>47.313031246550302</v>
      </c>
      <c r="E893" s="35">
        <v>1.2110199362856224</v>
      </c>
      <c r="F893" s="35">
        <v>16.632747842995531</v>
      </c>
      <c r="G893" s="35">
        <v>5.9710091602400539E-2</v>
      </c>
      <c r="H893" s="35">
        <v>1.151309844683222</v>
      </c>
      <c r="I893" s="35">
        <v>14.815600481637192</v>
      </c>
      <c r="J893" t="s">
        <v>2356</v>
      </c>
      <c r="K893" t="s">
        <v>36</v>
      </c>
    </row>
    <row r="894" spans="1:11">
      <c r="A894" s="1">
        <v>36434</v>
      </c>
      <c r="B894" t="s">
        <v>134</v>
      </c>
      <c r="C894" t="s">
        <v>2441</v>
      </c>
      <c r="D894" s="35">
        <v>47.653205670895801</v>
      </c>
      <c r="E894" s="35">
        <v>0.71641436017520699</v>
      </c>
      <c r="F894" s="35">
        <v>15.847788952574371</v>
      </c>
      <c r="G894" s="35">
        <v>-6.7152525649730843E-2</v>
      </c>
      <c r="H894" s="35">
        <v>0.78356688582493783</v>
      </c>
      <c r="I894" s="35">
        <v>9.8590534912522685</v>
      </c>
      <c r="J894" t="s">
        <v>2357</v>
      </c>
      <c r="K894" t="s">
        <v>36</v>
      </c>
    </row>
    <row r="895" spans="1:11">
      <c r="A895" s="1">
        <v>36465</v>
      </c>
      <c r="B895" t="s">
        <v>134</v>
      </c>
      <c r="C895" t="s">
        <v>2441</v>
      </c>
      <c r="D895" s="35">
        <v>47.955931347840298</v>
      </c>
      <c r="E895" s="35">
        <v>0.63325890816334651</v>
      </c>
      <c r="F895" s="35">
        <v>15.265416398814713</v>
      </c>
      <c r="G895" s="35">
        <v>-9.1034986847382593E-2</v>
      </c>
      <c r="H895" s="35">
        <v>0.72429389501072916</v>
      </c>
      <c r="I895" s="35">
        <v>9.0804249123676009</v>
      </c>
      <c r="J895" t="s">
        <v>2357</v>
      </c>
      <c r="K895" t="s">
        <v>36</v>
      </c>
    </row>
    <row r="896" spans="1:11">
      <c r="A896" s="1">
        <v>36495</v>
      </c>
      <c r="B896" t="s">
        <v>134</v>
      </c>
      <c r="C896" t="s">
        <v>2441</v>
      </c>
      <c r="D896" s="35">
        <v>48.343132569386903</v>
      </c>
      <c r="E896" s="35">
        <v>0.80416837390320972</v>
      </c>
      <c r="F896" s="35">
        <v>14.408129926914137</v>
      </c>
      <c r="G896" s="35">
        <v>9.1165377259296132E-2</v>
      </c>
      <c r="H896" s="35">
        <v>0.71300299664391353</v>
      </c>
      <c r="I896" s="35">
        <v>8.9327310717512542</v>
      </c>
      <c r="J896" t="s">
        <v>2357</v>
      </c>
      <c r="K896" t="s">
        <v>36</v>
      </c>
    </row>
    <row r="897" spans="1:11">
      <c r="A897" s="1">
        <v>36526</v>
      </c>
      <c r="B897" t="s">
        <v>134</v>
      </c>
      <c r="C897" t="s">
        <v>2441</v>
      </c>
      <c r="D897" s="35">
        <v>48.969169725527102</v>
      </c>
      <c r="E897" s="35">
        <v>1.2866734795211725</v>
      </c>
      <c r="F897" s="35">
        <v>13.167060553466836</v>
      </c>
      <c r="G897" s="35">
        <v>0.11558240907831546</v>
      </c>
      <c r="H897" s="35">
        <v>1.171091070442857</v>
      </c>
      <c r="I897" s="35">
        <v>15.088467409711859</v>
      </c>
      <c r="J897" t="s">
        <v>2208</v>
      </c>
      <c r="K897" t="s">
        <v>40</v>
      </c>
    </row>
    <row r="898" spans="1:11">
      <c r="A898" s="1">
        <v>36557</v>
      </c>
      <c r="B898" t="s">
        <v>134</v>
      </c>
      <c r="C898" t="s">
        <v>2441</v>
      </c>
      <c r="D898" s="35">
        <v>49.507968239476597</v>
      </c>
      <c r="E898" s="35">
        <v>1.0942720341484276</v>
      </c>
      <c r="F898" s="35">
        <v>12.357815853998421</v>
      </c>
      <c r="G898" s="35">
        <v>0.12699036627294302</v>
      </c>
      <c r="H898" s="35">
        <v>0.96728166787548453</v>
      </c>
      <c r="I898" s="35">
        <v>12.307875244976984</v>
      </c>
      <c r="J898" t="s">
        <v>2208</v>
      </c>
      <c r="K898" t="s">
        <v>40</v>
      </c>
    </row>
    <row r="899" spans="1:11">
      <c r="A899" s="1">
        <v>36586</v>
      </c>
      <c r="B899" t="s">
        <v>134</v>
      </c>
      <c r="C899" t="s">
        <v>2441</v>
      </c>
      <c r="D899" s="35">
        <v>49.828170679495202</v>
      </c>
      <c r="E899" s="35">
        <v>0.6446869236652214</v>
      </c>
      <c r="F899" s="35">
        <v>11.328536706719227</v>
      </c>
      <c r="G899" s="35">
        <v>6.1109136241099093E-2</v>
      </c>
      <c r="H899" s="35">
        <v>0.58357778742412236</v>
      </c>
      <c r="I899" s="35">
        <v>7.2539643197151671</v>
      </c>
      <c r="J899" t="s">
        <v>2208</v>
      </c>
      <c r="K899" t="s">
        <v>40</v>
      </c>
    </row>
    <row r="900" spans="1:11">
      <c r="A900" s="1">
        <v>36617</v>
      </c>
      <c r="B900" t="s">
        <v>134</v>
      </c>
      <c r="C900" t="s">
        <v>2441</v>
      </c>
      <c r="D900" s="35">
        <v>50.089983176182002</v>
      </c>
      <c r="E900" s="35">
        <v>0.52405511065109078</v>
      </c>
      <c r="F900" s="35">
        <v>10.589007472829671</v>
      </c>
      <c r="G900" s="35">
        <v>1.5467613080731302E-2</v>
      </c>
      <c r="H900" s="35">
        <v>0.50858749757035948</v>
      </c>
      <c r="I900" s="35">
        <v>6.2931332788559002</v>
      </c>
      <c r="J900" t="s">
        <v>2358</v>
      </c>
      <c r="K900" t="s">
        <v>40</v>
      </c>
    </row>
    <row r="901" spans="1:11">
      <c r="A901" s="1">
        <v>36647</v>
      </c>
      <c r="B901" t="s">
        <v>134</v>
      </c>
      <c r="C901" t="s">
        <v>2441</v>
      </c>
      <c r="D901" s="35">
        <v>50.309096714115597</v>
      </c>
      <c r="E901" s="35">
        <v>0.43648584439612015</v>
      </c>
      <c r="F901" s="35">
        <v>10.006202179556878</v>
      </c>
      <c r="G901" s="35">
        <v>-9.2177951932252061E-2</v>
      </c>
      <c r="H901" s="35">
        <v>0.52866379632837224</v>
      </c>
      <c r="I901" s="35">
        <v>6.5495187150427681</v>
      </c>
      <c r="J901" t="s">
        <v>2358</v>
      </c>
      <c r="K901" t="s">
        <v>40</v>
      </c>
    </row>
    <row r="902" spans="1:11">
      <c r="A902" s="1">
        <v>36678</v>
      </c>
      <c r="B902" t="s">
        <v>134</v>
      </c>
      <c r="C902" t="s">
        <v>2441</v>
      </c>
      <c r="D902" s="35">
        <v>50.477976203795897</v>
      </c>
      <c r="E902" s="35">
        <v>0.33512164376486236</v>
      </c>
      <c r="F902" s="35">
        <v>9.5241368734957597</v>
      </c>
      <c r="G902" s="35">
        <v>-6.8631876269193037E-2</v>
      </c>
      <c r="H902" s="35">
        <v>0.4037535200340554</v>
      </c>
      <c r="I902" s="35">
        <v>4.9643331737370566</v>
      </c>
      <c r="J902" t="s">
        <v>2358</v>
      </c>
      <c r="K902" t="s">
        <v>40</v>
      </c>
    </row>
    <row r="903" spans="1:11">
      <c r="A903" s="1">
        <v>36708</v>
      </c>
      <c r="B903" t="s">
        <v>134</v>
      </c>
      <c r="C903" t="s">
        <v>2441</v>
      </c>
      <c r="D903" s="35">
        <v>50.645767598285701</v>
      </c>
      <c r="E903" s="35">
        <v>0.33185390921553909</v>
      </c>
      <c r="F903" s="35">
        <v>9.1676041447587675</v>
      </c>
      <c r="G903" s="35">
        <v>-6.3321577930948281E-2</v>
      </c>
      <c r="H903" s="35">
        <v>0.39517548714648737</v>
      </c>
      <c r="I903" s="35">
        <v>4.8563422640087728</v>
      </c>
      <c r="J903" t="s">
        <v>2359</v>
      </c>
      <c r="K903" t="s">
        <v>40</v>
      </c>
    </row>
    <row r="904" spans="1:11">
      <c r="A904" s="1">
        <v>36739</v>
      </c>
      <c r="B904" t="s">
        <v>134</v>
      </c>
      <c r="C904" t="s">
        <v>2441</v>
      </c>
      <c r="D904" s="35">
        <v>50.857468474261402</v>
      </c>
      <c r="E904" s="35">
        <v>0.41713188885689523</v>
      </c>
      <c r="F904" s="35">
        <v>8.8011180012204306</v>
      </c>
      <c r="G904" s="35">
        <v>-8.7706074905278902E-2</v>
      </c>
      <c r="H904" s="35">
        <v>0.50483796376217416</v>
      </c>
      <c r="I904" s="35">
        <v>6.2453180731295577</v>
      </c>
      <c r="J904" t="s">
        <v>2359</v>
      </c>
      <c r="K904" t="s">
        <v>40</v>
      </c>
    </row>
    <row r="905" spans="1:11">
      <c r="A905" s="1">
        <v>36770</v>
      </c>
      <c r="B905" t="s">
        <v>134</v>
      </c>
      <c r="C905" t="s">
        <v>2441</v>
      </c>
      <c r="D905" s="35">
        <v>51.249208612041201</v>
      </c>
      <c r="E905" s="35">
        <v>0.76731918230115126</v>
      </c>
      <c r="F905" s="35">
        <v>8.3194360238288301</v>
      </c>
      <c r="G905" s="35">
        <v>5.9710091602400539E-2</v>
      </c>
      <c r="H905" s="35">
        <v>0.70760909069875066</v>
      </c>
      <c r="I905" s="35">
        <v>8.8622451371921365</v>
      </c>
      <c r="J905" t="s">
        <v>2359</v>
      </c>
      <c r="K905" t="s">
        <v>40</v>
      </c>
    </row>
    <row r="906" spans="1:11">
      <c r="A906" s="1">
        <v>36800</v>
      </c>
      <c r="B906" t="s">
        <v>134</v>
      </c>
      <c r="C906" t="s">
        <v>2441</v>
      </c>
      <c r="D906" s="35">
        <v>51.517162524521098</v>
      </c>
      <c r="E906" s="35">
        <v>0.52148288735738613</v>
      </c>
      <c r="F906" s="35">
        <v>8.1084930157913959</v>
      </c>
      <c r="G906" s="35">
        <v>-6.7152525649730843E-2</v>
      </c>
      <c r="H906" s="35">
        <v>0.58863541300711697</v>
      </c>
      <c r="I906" s="35">
        <v>7.3190781242496117</v>
      </c>
      <c r="J906" t="s">
        <v>2360</v>
      </c>
      <c r="K906" t="s">
        <v>40</v>
      </c>
    </row>
    <row r="907" spans="1:11">
      <c r="A907" s="1">
        <v>36831</v>
      </c>
      <c r="B907" t="s">
        <v>134</v>
      </c>
      <c r="C907" t="s">
        <v>2441</v>
      </c>
      <c r="D907" s="35">
        <v>51.844652329499901</v>
      </c>
      <c r="E907" s="35">
        <v>0.63367869710835945</v>
      </c>
      <c r="F907" s="35">
        <v>8.1089468442462795</v>
      </c>
      <c r="G907" s="35">
        <v>-9.1034986847382593E-2</v>
      </c>
      <c r="H907" s="35">
        <v>0.72471368395574198</v>
      </c>
      <c r="I907" s="35">
        <v>9.085919941551035</v>
      </c>
      <c r="J907" t="s">
        <v>2360</v>
      </c>
      <c r="K907" t="s">
        <v>40</v>
      </c>
    </row>
    <row r="908" spans="1:11">
      <c r="A908" s="1">
        <v>36861</v>
      </c>
      <c r="B908" t="s">
        <v>134</v>
      </c>
      <c r="C908" t="s">
        <v>2441</v>
      </c>
      <c r="D908" s="35">
        <v>52.136689899998501</v>
      </c>
      <c r="E908" s="35">
        <v>0.56171296139124549</v>
      </c>
      <c r="F908" s="35">
        <v>7.8471483517678742</v>
      </c>
      <c r="G908" s="35">
        <v>9.1165377259296132E-2</v>
      </c>
      <c r="H908" s="35">
        <v>0.47054758413194936</v>
      </c>
      <c r="I908" s="35">
        <v>5.8090332362073172</v>
      </c>
      <c r="J908" t="s">
        <v>2360</v>
      </c>
      <c r="K908" t="s">
        <v>40</v>
      </c>
    </row>
    <row r="909" spans="1:11">
      <c r="A909" s="1">
        <v>36892</v>
      </c>
      <c r="B909" t="s">
        <v>134</v>
      </c>
      <c r="C909" t="s">
        <v>2441</v>
      </c>
      <c r="D909" s="35">
        <v>52.524223119196598</v>
      </c>
      <c r="E909" s="35">
        <v>0.74055342936824919</v>
      </c>
      <c r="F909" s="35">
        <v>7.2597787824372428</v>
      </c>
      <c r="G909" s="35">
        <v>0.11558240907831546</v>
      </c>
      <c r="H909" s="35">
        <v>0.62497102028993368</v>
      </c>
      <c r="I909" s="35">
        <v>7.788040247872785</v>
      </c>
      <c r="J909" t="s">
        <v>2361</v>
      </c>
      <c r="K909" t="s">
        <v>40</v>
      </c>
    </row>
    <row r="910" spans="1:11">
      <c r="A910" s="1">
        <v>36923</v>
      </c>
      <c r="B910" t="s">
        <v>134</v>
      </c>
      <c r="C910" t="s">
        <v>2441</v>
      </c>
      <c r="D910" s="35">
        <v>52.920346844489799</v>
      </c>
      <c r="E910" s="35">
        <v>0.75134374186814123</v>
      </c>
      <c r="F910" s="35">
        <v>6.8925846209383357</v>
      </c>
      <c r="G910" s="35">
        <v>0.12699036627294302</v>
      </c>
      <c r="H910" s="35">
        <v>0.62435337559519821</v>
      </c>
      <c r="I910" s="35">
        <v>7.7800515785801938</v>
      </c>
      <c r="J910" t="s">
        <v>2361</v>
      </c>
      <c r="K910" t="s">
        <v>40</v>
      </c>
    </row>
    <row r="911" spans="1:11">
      <c r="A911" s="1">
        <v>36951</v>
      </c>
      <c r="B911" t="s">
        <v>134</v>
      </c>
      <c r="C911" t="s">
        <v>2441</v>
      </c>
      <c r="D911" s="35">
        <v>53.237142751615998</v>
      </c>
      <c r="E911" s="35">
        <v>0.59684314077919576</v>
      </c>
      <c r="F911" s="35">
        <v>6.841455396883811</v>
      </c>
      <c r="G911" s="35">
        <v>6.1109136241099093E-2</v>
      </c>
      <c r="H911" s="35">
        <v>0.53573400453809672</v>
      </c>
      <c r="I911" s="35">
        <v>6.639956348226983</v>
      </c>
      <c r="J911" t="s">
        <v>2361</v>
      </c>
      <c r="K911" t="s">
        <v>40</v>
      </c>
    </row>
    <row r="912" spans="1:11">
      <c r="A912" s="1">
        <v>36982</v>
      </c>
      <c r="B912" t="s">
        <v>134</v>
      </c>
      <c r="C912" t="s">
        <v>2441</v>
      </c>
      <c r="D912" s="35">
        <v>53.493597137693399</v>
      </c>
      <c r="E912" s="35">
        <v>0.48056423087458194</v>
      </c>
      <c r="F912" s="35">
        <v>6.7949992107999568</v>
      </c>
      <c r="G912" s="35">
        <v>1.5467613080731302E-2</v>
      </c>
      <c r="H912" s="35">
        <v>0.46509661779385064</v>
      </c>
      <c r="I912" s="35">
        <v>5.7398444899934065</v>
      </c>
      <c r="J912" t="s">
        <v>2362</v>
      </c>
      <c r="K912" t="s">
        <v>40</v>
      </c>
    </row>
    <row r="913" spans="1:11">
      <c r="A913" s="1">
        <v>37012</v>
      </c>
      <c r="B913" t="s">
        <v>134</v>
      </c>
      <c r="C913" t="s">
        <v>2441</v>
      </c>
      <c r="D913" s="35">
        <v>53.686531794629701</v>
      </c>
      <c r="E913" s="35">
        <v>0.36001984183184477</v>
      </c>
      <c r="F913" s="35">
        <v>6.7133685577910107</v>
      </c>
      <c r="G913" s="35">
        <v>-9.2177951932252061E-2</v>
      </c>
      <c r="H913" s="35">
        <v>0.45219779376409686</v>
      </c>
      <c r="I913" s="35">
        <v>5.5763007363306194</v>
      </c>
      <c r="J913" t="s">
        <v>2362</v>
      </c>
      <c r="K913" t="s">
        <v>40</v>
      </c>
    </row>
    <row r="914" spans="1:11">
      <c r="A914" s="1">
        <v>37043</v>
      </c>
      <c r="B914" t="s">
        <v>134</v>
      </c>
      <c r="C914" t="s">
        <v>2441</v>
      </c>
      <c r="D914" s="35">
        <v>53.858851058904399</v>
      </c>
      <c r="E914" s="35">
        <v>0.32045896749884556</v>
      </c>
      <c r="F914" s="35">
        <v>6.6977226691078418</v>
      </c>
      <c r="G914" s="35">
        <v>-6.8631876269193037E-2</v>
      </c>
      <c r="H914" s="35">
        <v>0.3890908437680386</v>
      </c>
      <c r="I914" s="35">
        <v>4.7798085943767221</v>
      </c>
      <c r="J914" t="s">
        <v>2362</v>
      </c>
      <c r="K914" t="s">
        <v>40</v>
      </c>
    </row>
    <row r="915" spans="1:11">
      <c r="A915" s="1">
        <v>37073</v>
      </c>
      <c r="B915" t="s">
        <v>134</v>
      </c>
      <c r="C915" t="s">
        <v>2441</v>
      </c>
      <c r="D915" s="35">
        <v>53.941921982045599</v>
      </c>
      <c r="E915" s="35">
        <v>0.15411937640315793</v>
      </c>
      <c r="F915" s="35">
        <v>6.5082523971291772</v>
      </c>
      <c r="G915" s="35">
        <v>-6.3321577930948281E-2</v>
      </c>
      <c r="H915" s="35">
        <v>0.21744095433410621</v>
      </c>
      <c r="I915" s="35">
        <v>2.6436314880514455</v>
      </c>
      <c r="J915" t="s">
        <v>2363</v>
      </c>
      <c r="K915" t="s">
        <v>40</v>
      </c>
    </row>
    <row r="916" spans="1:11">
      <c r="A916" s="1">
        <v>37104</v>
      </c>
      <c r="B916" t="s">
        <v>134</v>
      </c>
      <c r="C916" t="s">
        <v>2441</v>
      </c>
      <c r="D916" s="35">
        <v>54.121783179457402</v>
      </c>
      <c r="E916" s="35">
        <v>0.33288024546018113</v>
      </c>
      <c r="F916" s="35">
        <v>6.4185552351038622</v>
      </c>
      <c r="G916" s="35">
        <v>-8.7706074905278902E-2</v>
      </c>
      <c r="H916" s="35">
        <v>0.42058632036546006</v>
      </c>
      <c r="I916" s="35">
        <v>5.176568692128658</v>
      </c>
      <c r="J916" t="s">
        <v>2363</v>
      </c>
      <c r="K916" t="s">
        <v>40</v>
      </c>
    </row>
    <row r="917" spans="1:11">
      <c r="A917" s="1">
        <v>37135</v>
      </c>
      <c r="B917" t="s">
        <v>134</v>
      </c>
      <c r="C917" t="s">
        <v>2441</v>
      </c>
      <c r="D917" s="35">
        <v>54.531405445226703</v>
      </c>
      <c r="E917" s="35">
        <v>0.75400310217950461</v>
      </c>
      <c r="F917" s="35">
        <v>6.4043853984787846</v>
      </c>
      <c r="G917" s="35">
        <v>5.9710091602400539E-2</v>
      </c>
      <c r="H917" s="35">
        <v>0.69429301057710413</v>
      </c>
      <c r="I917" s="35">
        <v>8.6884298410651049</v>
      </c>
      <c r="J917" t="s">
        <v>2363</v>
      </c>
      <c r="K917" t="s">
        <v>40</v>
      </c>
    </row>
    <row r="918" spans="1:11">
      <c r="A918" s="1">
        <v>37165</v>
      </c>
      <c r="B918" t="s">
        <v>134</v>
      </c>
      <c r="C918" t="s">
        <v>2441</v>
      </c>
      <c r="D918" s="35">
        <v>54.668853261150403</v>
      </c>
      <c r="E918" s="35">
        <v>0.25173546315127809</v>
      </c>
      <c r="F918" s="35">
        <v>6.11774908047229</v>
      </c>
      <c r="G918" s="35">
        <v>-6.7152525649730843E-2</v>
      </c>
      <c r="H918" s="35">
        <v>0.31888798880100894</v>
      </c>
      <c r="I918" s="35">
        <v>3.9008152586037736</v>
      </c>
      <c r="J918" t="s">
        <v>2364</v>
      </c>
      <c r="K918" t="s">
        <v>40</v>
      </c>
    </row>
    <row r="919" spans="1:11">
      <c r="A919" s="1">
        <v>37196</v>
      </c>
      <c r="B919" t="s">
        <v>134</v>
      </c>
      <c r="C919" t="s">
        <v>2441</v>
      </c>
      <c r="D919" s="35">
        <v>54.7995072446843</v>
      </c>
      <c r="E919" s="35">
        <v>0.23870649924761744</v>
      </c>
      <c r="F919" s="35">
        <v>5.6994401204674805</v>
      </c>
      <c r="G919" s="35">
        <v>-9.1034986847382593E-2</v>
      </c>
      <c r="H919" s="35">
        <v>0.32974148609500004</v>
      </c>
      <c r="I919" s="35">
        <v>4.0362258862655542</v>
      </c>
      <c r="J919" t="s">
        <v>2364</v>
      </c>
      <c r="K919" t="s">
        <v>40</v>
      </c>
    </row>
    <row r="920" spans="1:11">
      <c r="A920" s="1">
        <v>37226</v>
      </c>
      <c r="B920" t="s">
        <v>134</v>
      </c>
      <c r="C920" t="s">
        <v>2441</v>
      </c>
      <c r="D920" s="35">
        <v>54.930759615981103</v>
      </c>
      <c r="E920" s="35">
        <v>0.23922740306397691</v>
      </c>
      <c r="F920" s="35">
        <v>5.3591237213981291</v>
      </c>
      <c r="G920" s="35">
        <v>9.1165377259296132E-2</v>
      </c>
      <c r="H920" s="35">
        <v>0.14806202580468078</v>
      </c>
      <c r="I920" s="35">
        <v>1.7926223091182969</v>
      </c>
      <c r="J920" t="s">
        <v>2364</v>
      </c>
      <c r="K920" t="s">
        <v>40</v>
      </c>
    </row>
    <row r="921" spans="1:11">
      <c r="A921" s="1">
        <v>37257</v>
      </c>
      <c r="B921" t="s">
        <v>134</v>
      </c>
      <c r="C921" t="s">
        <v>2441</v>
      </c>
      <c r="D921" s="35">
        <v>55.2047650335371</v>
      </c>
      <c r="E921" s="35">
        <v>0.49757965698927697</v>
      </c>
      <c r="F921" s="35">
        <v>5.1034394326163968</v>
      </c>
      <c r="G921" s="35">
        <v>0.11558240907831546</v>
      </c>
      <c r="H921" s="35">
        <v>0.38199724791096151</v>
      </c>
      <c r="I921" s="35">
        <v>4.6906546711360964</v>
      </c>
      <c r="J921" t="s">
        <v>2365</v>
      </c>
      <c r="K921" t="s">
        <v>40</v>
      </c>
    </row>
    <row r="922" spans="1:11">
      <c r="A922" s="1">
        <v>37288</v>
      </c>
      <c r="B922" t="s">
        <v>134</v>
      </c>
      <c r="C922" t="s">
        <v>2441</v>
      </c>
      <c r="D922" s="35">
        <v>55.595316351372801</v>
      </c>
      <c r="E922" s="35">
        <v>0.70496867948793085</v>
      </c>
      <c r="F922" s="35">
        <v>5.0547089472856133</v>
      </c>
      <c r="G922" s="35">
        <v>0.12699036627294302</v>
      </c>
      <c r="H922" s="35">
        <v>0.57797831321498783</v>
      </c>
      <c r="I922" s="35">
        <v>7.1819206299884808</v>
      </c>
      <c r="J922" t="s">
        <v>2365</v>
      </c>
      <c r="K922" t="s">
        <v>40</v>
      </c>
    </row>
    <row r="923" spans="1:11">
      <c r="A923" s="1">
        <v>37316</v>
      </c>
      <c r="B923" t="s">
        <v>134</v>
      </c>
      <c r="C923" t="s">
        <v>2441</v>
      </c>
      <c r="D923" s="35">
        <v>55.821658055031598</v>
      </c>
      <c r="E923" s="35">
        <v>0.40629718448276081</v>
      </c>
      <c r="F923" s="35">
        <v>4.8547220414776104</v>
      </c>
      <c r="G923" s="35">
        <v>6.1109136241099093E-2</v>
      </c>
      <c r="H923" s="35">
        <v>0.34518804824166172</v>
      </c>
      <c r="I923" s="35">
        <v>4.2292449633101192</v>
      </c>
      <c r="J923" t="s">
        <v>2365</v>
      </c>
      <c r="K923" t="s">
        <v>40</v>
      </c>
    </row>
    <row r="924" spans="1:11">
      <c r="A924" s="1">
        <v>37347</v>
      </c>
      <c r="B924" t="s">
        <v>134</v>
      </c>
      <c r="C924" t="s">
        <v>2441</v>
      </c>
      <c r="D924" s="35">
        <v>56.020711868411503</v>
      </c>
      <c r="E924" s="35">
        <v>0.35595458803288454</v>
      </c>
      <c r="F924" s="35">
        <v>4.7241443199515398</v>
      </c>
      <c r="G924" s="35">
        <v>1.5467613080731302E-2</v>
      </c>
      <c r="H924" s="35">
        <v>0.34048697495215324</v>
      </c>
      <c r="I924" s="35">
        <v>4.1704628268789845</v>
      </c>
      <c r="J924" t="s">
        <v>2366</v>
      </c>
      <c r="K924" t="s">
        <v>40</v>
      </c>
    </row>
    <row r="925" spans="1:11">
      <c r="A925" s="1">
        <v>37377</v>
      </c>
      <c r="B925" t="s">
        <v>134</v>
      </c>
      <c r="C925" t="s">
        <v>2441</v>
      </c>
      <c r="D925" s="35">
        <v>56.124317814247497</v>
      </c>
      <c r="E925" s="35">
        <v>0.18477140824782018</v>
      </c>
      <c r="F925" s="35">
        <v>4.5407776180126591</v>
      </c>
      <c r="G925" s="35">
        <v>-9.2177951932252061E-2</v>
      </c>
      <c r="H925" s="35">
        <v>0.27694936018007221</v>
      </c>
      <c r="I925" s="35">
        <v>3.3792338993326121</v>
      </c>
      <c r="J925" t="s">
        <v>2366</v>
      </c>
      <c r="K925" t="s">
        <v>40</v>
      </c>
    </row>
    <row r="926" spans="1:11">
      <c r="A926" s="1">
        <v>37408</v>
      </c>
      <c r="B926" t="s">
        <v>134</v>
      </c>
      <c r="C926" t="s">
        <v>2441</v>
      </c>
      <c r="D926" s="35">
        <v>56.195291171466103</v>
      </c>
      <c r="E926" s="35">
        <v>0.12637751734651831</v>
      </c>
      <c r="F926" s="35">
        <v>4.3380801235555211</v>
      </c>
      <c r="G926" s="35">
        <v>-6.8631876269193037E-2</v>
      </c>
      <c r="H926" s="35">
        <v>0.19500939361571135</v>
      </c>
      <c r="I926" s="35">
        <v>2.3677081958119572</v>
      </c>
      <c r="J926" t="s">
        <v>2366</v>
      </c>
      <c r="K926" t="s">
        <v>40</v>
      </c>
    </row>
    <row r="927" spans="1:11">
      <c r="A927" s="1">
        <v>37438</v>
      </c>
      <c r="B927" t="s">
        <v>134</v>
      </c>
      <c r="C927" t="s">
        <v>2441</v>
      </c>
      <c r="D927" s="35">
        <v>56.2708283783629</v>
      </c>
      <c r="E927" s="35">
        <v>0.13432884242396526</v>
      </c>
      <c r="F927" s="35">
        <v>4.3174331035005897</v>
      </c>
      <c r="G927" s="35">
        <v>-6.3321577930948281E-2</v>
      </c>
      <c r="H927" s="35">
        <v>0.19765042035491354</v>
      </c>
      <c r="I927" s="35">
        <v>2.4001560398269062</v>
      </c>
      <c r="J927" t="s">
        <v>2367</v>
      </c>
      <c r="K927" t="s">
        <v>40</v>
      </c>
    </row>
    <row r="928" spans="1:11">
      <c r="A928" s="1">
        <v>37469</v>
      </c>
      <c r="B928" t="s">
        <v>134</v>
      </c>
      <c r="C928" t="s">
        <v>2441</v>
      </c>
      <c r="D928" s="35">
        <v>56.460412661396703</v>
      </c>
      <c r="E928" s="35">
        <v>0.33634768856508795</v>
      </c>
      <c r="F928" s="35">
        <v>4.3210503138539469</v>
      </c>
      <c r="G928" s="35">
        <v>-8.7706074905278902E-2</v>
      </c>
      <c r="H928" s="35">
        <v>0.42405376347036683</v>
      </c>
      <c r="I928" s="35">
        <v>5.2203410503359304</v>
      </c>
      <c r="J928" t="s">
        <v>2367</v>
      </c>
      <c r="K928" t="s">
        <v>40</v>
      </c>
    </row>
    <row r="929" spans="1:11">
      <c r="A929" s="1">
        <v>37500</v>
      </c>
      <c r="B929" t="s">
        <v>134</v>
      </c>
      <c r="C929" t="s">
        <v>2441</v>
      </c>
      <c r="D929" s="35">
        <v>56.832216456513798</v>
      </c>
      <c r="E929" s="35">
        <v>0.6563624356195038</v>
      </c>
      <c r="F929" s="35">
        <v>4.2192402570627063</v>
      </c>
      <c r="G929" s="35">
        <v>5.9710091602400539E-2</v>
      </c>
      <c r="H929" s="35">
        <v>0.59665234401710321</v>
      </c>
      <c r="I929" s="35">
        <v>7.4223721597977077</v>
      </c>
      <c r="J929" t="s">
        <v>2367</v>
      </c>
      <c r="K929" t="s">
        <v>40</v>
      </c>
    </row>
    <row r="930" spans="1:11">
      <c r="A930" s="1">
        <v>37530</v>
      </c>
      <c r="B930" t="s">
        <v>134</v>
      </c>
      <c r="C930" t="s">
        <v>2441</v>
      </c>
      <c r="D930" s="35">
        <v>56.964747570284104</v>
      </c>
      <c r="E930" s="35">
        <v>0.2329256756955716</v>
      </c>
      <c r="F930" s="35">
        <v>4.1996386830474242</v>
      </c>
      <c r="G930" s="35">
        <v>-6.7152525649730843E-2</v>
      </c>
      <c r="H930" s="35">
        <v>0.30007820134530244</v>
      </c>
      <c r="I930" s="35">
        <v>3.6665574682386515</v>
      </c>
      <c r="J930" t="s">
        <v>2368</v>
      </c>
      <c r="K930" t="s">
        <v>40</v>
      </c>
    </row>
    <row r="931" spans="1:11">
      <c r="A931" s="1">
        <v>37561</v>
      </c>
      <c r="B931" t="s">
        <v>134</v>
      </c>
      <c r="C931" t="s">
        <v>2441</v>
      </c>
      <c r="D931" s="35">
        <v>57.074556877727296</v>
      </c>
      <c r="E931" s="35">
        <v>0.19258156985925776</v>
      </c>
      <c r="F931" s="35">
        <v>4.1515877558619518</v>
      </c>
      <c r="G931" s="35">
        <v>-9.1034986847382593E-2</v>
      </c>
      <c r="H931" s="35">
        <v>0.28361655670664032</v>
      </c>
      <c r="I931" s="35">
        <v>3.4619769550725099</v>
      </c>
      <c r="J931" t="s">
        <v>2368</v>
      </c>
      <c r="K931" t="s">
        <v>40</v>
      </c>
    </row>
    <row r="932" spans="1:11">
      <c r="A932" s="1">
        <v>37591</v>
      </c>
      <c r="B932" t="s">
        <v>134</v>
      </c>
      <c r="C932" t="s">
        <v>2441</v>
      </c>
      <c r="D932" s="35">
        <v>57.193333719877799</v>
      </c>
      <c r="E932" s="35">
        <v>0.20789197089025724</v>
      </c>
      <c r="F932" s="35">
        <v>4.1189565185594912</v>
      </c>
      <c r="G932" s="35">
        <v>9.1165377259296132E-2</v>
      </c>
      <c r="H932" s="35">
        <v>0.11672659363096111</v>
      </c>
      <c r="I932" s="35">
        <v>1.4105751585770765</v>
      </c>
      <c r="J932" t="s">
        <v>2368</v>
      </c>
      <c r="K932" t="s">
        <v>40</v>
      </c>
    </row>
    <row r="933" spans="1:11">
      <c r="A933" s="1">
        <v>37622</v>
      </c>
      <c r="B933" t="s">
        <v>134</v>
      </c>
      <c r="C933" t="s">
        <v>2441</v>
      </c>
      <c r="D933" s="35">
        <v>57.447813964495701</v>
      </c>
      <c r="E933" s="35">
        <v>0.44396042388552026</v>
      </c>
      <c r="F933" s="35">
        <v>4.0631436970992363</v>
      </c>
      <c r="G933" s="35">
        <v>0.11558240907831546</v>
      </c>
      <c r="H933" s="35">
        <v>0.3283780148072048</v>
      </c>
      <c r="I933" s="35">
        <v>4.0192052299077297</v>
      </c>
      <c r="J933" t="s">
        <v>2369</v>
      </c>
      <c r="K933" t="s">
        <v>40</v>
      </c>
    </row>
    <row r="934" spans="1:11">
      <c r="A934" s="1">
        <v>37653</v>
      </c>
      <c r="B934" t="s">
        <v>134</v>
      </c>
      <c r="C934" t="s">
        <v>2441</v>
      </c>
      <c r="D934" s="35">
        <v>57.732888226837197</v>
      </c>
      <c r="E934" s="35">
        <v>0.49500452595670535</v>
      </c>
      <c r="F934" s="35">
        <v>3.8448776187449685</v>
      </c>
      <c r="G934" s="35">
        <v>0.12699036627294302</v>
      </c>
      <c r="H934" s="35">
        <v>0.36801415968376233</v>
      </c>
      <c r="I934" s="35">
        <v>4.5151341321701954</v>
      </c>
      <c r="J934" t="s">
        <v>2369</v>
      </c>
      <c r="K934" t="s">
        <v>40</v>
      </c>
    </row>
    <row r="935" spans="1:11">
      <c r="A935" s="1">
        <v>37681</v>
      </c>
      <c r="B935" t="s">
        <v>134</v>
      </c>
      <c r="C935" t="s">
        <v>2441</v>
      </c>
      <c r="D935" s="35">
        <v>57.9674639718191</v>
      </c>
      <c r="E935" s="35">
        <v>0.40548894093152654</v>
      </c>
      <c r="F935" s="35">
        <v>3.8440383026101976</v>
      </c>
      <c r="G935" s="35">
        <v>6.1109136241099093E-2</v>
      </c>
      <c r="H935" s="35">
        <v>0.34437980469042745</v>
      </c>
      <c r="I935" s="35">
        <v>4.2191363397208193</v>
      </c>
      <c r="J935" t="s">
        <v>2369</v>
      </c>
      <c r="K935" t="s">
        <v>40</v>
      </c>
    </row>
    <row r="936" spans="1:11">
      <c r="A936" s="1">
        <v>37712</v>
      </c>
      <c r="B936" t="s">
        <v>134</v>
      </c>
      <c r="C936" t="s">
        <v>2441</v>
      </c>
      <c r="D936" s="35">
        <v>58.163807257236499</v>
      </c>
      <c r="E936" s="35">
        <v>0.33814057216504595</v>
      </c>
      <c r="F936" s="35">
        <v>3.8255411567403197</v>
      </c>
      <c r="G936" s="35">
        <v>1.5467613080731302E-2</v>
      </c>
      <c r="H936" s="35">
        <v>0.32267295908431465</v>
      </c>
      <c r="I936" s="35">
        <v>3.9480173570845212</v>
      </c>
      <c r="J936" t="s">
        <v>2370</v>
      </c>
      <c r="K936" t="s">
        <v>40</v>
      </c>
    </row>
    <row r="937" spans="1:11">
      <c r="A937" s="1">
        <v>37742</v>
      </c>
      <c r="B937" t="s">
        <v>134</v>
      </c>
      <c r="C937" t="s">
        <v>2441</v>
      </c>
      <c r="D937" s="35">
        <v>58.318102626417499</v>
      </c>
      <c r="E937" s="35">
        <v>0.26492604659325519</v>
      </c>
      <c r="F937" s="35">
        <v>3.9087955054183166</v>
      </c>
      <c r="G937" s="35">
        <v>-9.2177951932252061E-2</v>
      </c>
      <c r="H937" s="35">
        <v>0.35710399852550723</v>
      </c>
      <c r="I937" s="35">
        <v>4.3783904306286203</v>
      </c>
      <c r="J937" t="s">
        <v>2370</v>
      </c>
      <c r="K937" t="s">
        <v>40</v>
      </c>
    </row>
    <row r="938" spans="1:11">
      <c r="A938" s="1">
        <v>37773</v>
      </c>
      <c r="B938" t="s">
        <v>134</v>
      </c>
      <c r="C938" t="s">
        <v>2441</v>
      </c>
      <c r="D938" s="35">
        <v>58.3815868586032</v>
      </c>
      <c r="E938" s="35">
        <v>0.10879932710738043</v>
      </c>
      <c r="F938" s="35">
        <v>3.8905318249284448</v>
      </c>
      <c r="G938" s="35">
        <v>-6.8631876269193037E-2</v>
      </c>
      <c r="H938" s="35">
        <v>0.17743120337657348</v>
      </c>
      <c r="I938" s="35">
        <v>2.1520030922330458</v>
      </c>
      <c r="J938" t="s">
        <v>2370</v>
      </c>
      <c r="K938" t="s">
        <v>40</v>
      </c>
    </row>
    <row r="939" spans="1:11">
      <c r="A939" s="1">
        <v>37803</v>
      </c>
      <c r="B939" t="s">
        <v>134</v>
      </c>
      <c r="C939" t="s">
        <v>2441</v>
      </c>
      <c r="D939" s="35">
        <v>58.460810617140702</v>
      </c>
      <c r="E939" s="35">
        <v>0.13560791697150756</v>
      </c>
      <c r="F939" s="35">
        <v>3.8918606707767811</v>
      </c>
      <c r="G939" s="35">
        <v>-6.3321577930948281E-2</v>
      </c>
      <c r="H939" s="35">
        <v>0.19892949490245584</v>
      </c>
      <c r="I939" s="35">
        <v>2.4158745380944868</v>
      </c>
      <c r="J939" t="s">
        <v>2371</v>
      </c>
      <c r="K939" t="s">
        <v>40</v>
      </c>
    </row>
    <row r="940" spans="1:11">
      <c r="A940" s="1">
        <v>37834</v>
      </c>
      <c r="B940" t="s">
        <v>134</v>
      </c>
      <c r="C940" t="s">
        <v>2441</v>
      </c>
      <c r="D940" s="35">
        <v>58.670136695002498</v>
      </c>
      <c r="E940" s="35">
        <v>0.35742270597486386</v>
      </c>
      <c r="F940" s="35">
        <v>3.9137582058740961</v>
      </c>
      <c r="G940" s="35">
        <v>-8.7706074905278902E-2</v>
      </c>
      <c r="H940" s="35">
        <v>0.44512878088014274</v>
      </c>
      <c r="I940" s="35">
        <v>5.486780283355408</v>
      </c>
      <c r="J940" t="s">
        <v>2371</v>
      </c>
      <c r="K940" t="s">
        <v>40</v>
      </c>
    </row>
    <row r="941" spans="1:11">
      <c r="A941" s="1">
        <v>37865</v>
      </c>
      <c r="B941" t="s">
        <v>134</v>
      </c>
      <c r="C941" t="s">
        <v>2441</v>
      </c>
      <c r="D941" s="35">
        <v>58.951360106156301</v>
      </c>
      <c r="E941" s="35">
        <v>0.47818460855237599</v>
      </c>
      <c r="F941" s="35">
        <v>3.7287717808155652</v>
      </c>
      <c r="G941" s="35">
        <v>5.9710091602400539E-2</v>
      </c>
      <c r="H941" s="35">
        <v>0.41847451694997545</v>
      </c>
      <c r="I941" s="35">
        <v>5.1499186006173758</v>
      </c>
      <c r="J941" t="s">
        <v>2371</v>
      </c>
      <c r="K941" t="s">
        <v>40</v>
      </c>
    </row>
    <row r="942" spans="1:11">
      <c r="A942" s="1">
        <v>37895</v>
      </c>
      <c r="B942" t="s">
        <v>134</v>
      </c>
      <c r="C942" t="s">
        <v>2441</v>
      </c>
      <c r="D942" s="35">
        <v>59.0778892966486</v>
      </c>
      <c r="E942" s="35">
        <v>0.2144031917552302</v>
      </c>
      <c r="F942" s="35">
        <v>3.7095604149869343</v>
      </c>
      <c r="G942" s="35">
        <v>-6.7152525649730843E-2</v>
      </c>
      <c r="H942" s="35">
        <v>0.28155571740496105</v>
      </c>
      <c r="I942" s="35">
        <v>3.4363938975565222</v>
      </c>
      <c r="J942" t="s">
        <v>2372</v>
      </c>
      <c r="K942" t="s">
        <v>40</v>
      </c>
    </row>
    <row r="943" spans="1:11">
      <c r="A943" s="1">
        <v>37926</v>
      </c>
      <c r="B943" t="s">
        <v>134</v>
      </c>
      <c r="C943" t="s">
        <v>2441</v>
      </c>
      <c r="D943" s="35">
        <v>59.233100204431103</v>
      </c>
      <c r="E943" s="35">
        <v>0.2623779878423923</v>
      </c>
      <c r="F943" s="35">
        <v>3.7819712404042471</v>
      </c>
      <c r="G943" s="35">
        <v>-9.1034986847382593E-2</v>
      </c>
      <c r="H943" s="35">
        <v>0.35341297468977489</v>
      </c>
      <c r="I943" s="35">
        <v>4.3321690923861622</v>
      </c>
      <c r="J943" t="s">
        <v>2372</v>
      </c>
      <c r="K943" t="s">
        <v>40</v>
      </c>
    </row>
    <row r="944" spans="1:11">
      <c r="A944" s="1">
        <v>37956</v>
      </c>
      <c r="B944" t="s">
        <v>134</v>
      </c>
      <c r="C944" t="s">
        <v>2441</v>
      </c>
      <c r="D944" s="35">
        <v>59.404460934000397</v>
      </c>
      <c r="E944" s="35">
        <v>0.2888812735114325</v>
      </c>
      <c r="F944" s="35">
        <v>3.8660575810325781</v>
      </c>
      <c r="G944" s="35">
        <v>9.1165377259296132E-2</v>
      </c>
      <c r="H944" s="35">
        <v>0.19771589625213637</v>
      </c>
      <c r="I944" s="35">
        <v>2.400960612038805</v>
      </c>
      <c r="J944" t="s">
        <v>2372</v>
      </c>
      <c r="K944" t="s">
        <v>40</v>
      </c>
    </row>
    <row r="945" spans="1:11">
      <c r="A945" s="1">
        <v>37987</v>
      </c>
      <c r="B945" t="s">
        <v>134</v>
      </c>
      <c r="C945" t="s">
        <v>2441</v>
      </c>
      <c r="D945" s="35">
        <v>59.6330969732103</v>
      </c>
      <c r="E945" s="35">
        <v>0.38414148338473514</v>
      </c>
      <c r="F945" s="35">
        <v>3.8039445853677911</v>
      </c>
      <c r="G945" s="35">
        <v>0.11558240907831546</v>
      </c>
      <c r="H945" s="35">
        <v>0.26855907430641968</v>
      </c>
      <c r="I945" s="35">
        <v>3.2752005212101754</v>
      </c>
      <c r="J945" t="s">
        <v>2373</v>
      </c>
      <c r="K945" t="s">
        <v>40</v>
      </c>
    </row>
    <row r="946" spans="1:11">
      <c r="A946" s="1">
        <v>38018</v>
      </c>
      <c r="B946" t="s">
        <v>134</v>
      </c>
      <c r="C946" t="s">
        <v>2441</v>
      </c>
      <c r="D946" s="35">
        <v>59.901848926718699</v>
      </c>
      <c r="E946" s="35">
        <v>0.44966332535725767</v>
      </c>
      <c r="F946" s="35">
        <v>3.7568892991451941</v>
      </c>
      <c r="G946" s="35">
        <v>0.12699036627294302</v>
      </c>
      <c r="H946" s="35">
        <v>0.32267295908431465</v>
      </c>
      <c r="I946" s="35">
        <v>3.9480173570845212</v>
      </c>
      <c r="J946" t="s">
        <v>2373</v>
      </c>
      <c r="K946" t="s">
        <v>40</v>
      </c>
    </row>
    <row r="947" spans="1:11">
      <c r="A947" s="1">
        <v>38047</v>
      </c>
      <c r="B947" t="s">
        <v>134</v>
      </c>
      <c r="C947" t="s">
        <v>2441</v>
      </c>
      <c r="D947" s="35">
        <v>60.121521165295697</v>
      </c>
      <c r="E947" s="35">
        <v>0.36604951801471414</v>
      </c>
      <c r="F947" s="35">
        <v>3.715976249234898</v>
      </c>
      <c r="G947" s="35">
        <v>6.1109136241099093E-2</v>
      </c>
      <c r="H947" s="35">
        <v>0.30494038177361504</v>
      </c>
      <c r="I947" s="35">
        <v>3.7270605779595067</v>
      </c>
      <c r="J947" t="s">
        <v>2373</v>
      </c>
      <c r="K947" t="s">
        <v>40</v>
      </c>
    </row>
    <row r="948" spans="1:11">
      <c r="A948" s="1">
        <v>38078</v>
      </c>
      <c r="B948" t="s">
        <v>134</v>
      </c>
      <c r="C948" t="s">
        <v>2441</v>
      </c>
      <c r="D948" s="35">
        <v>60.319548729649398</v>
      </c>
      <c r="E948" s="35">
        <v>0.32883756840183981</v>
      </c>
      <c r="F948" s="35">
        <v>3.7063279968569951</v>
      </c>
      <c r="G948" s="35">
        <v>1.5467613080731302E-2</v>
      </c>
      <c r="H948" s="35">
        <v>0.31336995532110851</v>
      </c>
      <c r="I948" s="35">
        <v>3.8320386505519943</v>
      </c>
      <c r="J948" t="s">
        <v>2374</v>
      </c>
      <c r="K948" t="s">
        <v>40</v>
      </c>
    </row>
    <row r="949" spans="1:11">
      <c r="A949" s="1">
        <v>38108</v>
      </c>
      <c r="B949" t="s">
        <v>134</v>
      </c>
      <c r="C949" t="s">
        <v>2441</v>
      </c>
      <c r="D949" s="35">
        <v>60.458742633681702</v>
      </c>
      <c r="E949" s="35">
        <v>0.23049500715206259</v>
      </c>
      <c r="F949" s="35">
        <v>3.6706269766302535</v>
      </c>
      <c r="G949" s="35">
        <v>-9.2177951932252061E-2</v>
      </c>
      <c r="H949" s="35">
        <v>0.32267295908431465</v>
      </c>
      <c r="I949" s="35">
        <v>3.9480173570845212</v>
      </c>
      <c r="J949" t="s">
        <v>2374</v>
      </c>
      <c r="K949" t="s">
        <v>40</v>
      </c>
    </row>
    <row r="950" spans="1:11">
      <c r="A950" s="1">
        <v>38139</v>
      </c>
      <c r="B950" t="s">
        <v>134</v>
      </c>
      <c r="C950" t="s">
        <v>2441</v>
      </c>
      <c r="D950" s="35">
        <v>60.619554364922003</v>
      </c>
      <c r="E950" s="35">
        <v>0.26563278437998605</v>
      </c>
      <c r="F950" s="35">
        <v>3.8333447697114442</v>
      </c>
      <c r="G950" s="35">
        <v>-6.8631876269193037E-2</v>
      </c>
      <c r="H950" s="35">
        <v>0.33426466064917909</v>
      </c>
      <c r="I950" s="35">
        <v>4.0927100953120465</v>
      </c>
      <c r="J950" t="s">
        <v>2374</v>
      </c>
      <c r="K950" t="s">
        <v>40</v>
      </c>
    </row>
    <row r="951" spans="1:11">
      <c r="A951" s="1">
        <v>38169</v>
      </c>
      <c r="B951" t="s">
        <v>134</v>
      </c>
      <c r="C951" t="s">
        <v>2441</v>
      </c>
      <c r="D951" s="35">
        <v>60.725137445639</v>
      </c>
      <c r="E951" s="35">
        <v>0.17402179821282937</v>
      </c>
      <c r="F951" s="35">
        <v>3.8732388494017833</v>
      </c>
      <c r="G951" s="35">
        <v>-6.3321577930948281E-2</v>
      </c>
      <c r="H951" s="35">
        <v>0.23734337614377765</v>
      </c>
      <c r="I951" s="35">
        <v>2.8890672793820071</v>
      </c>
      <c r="J951" t="s">
        <v>2375</v>
      </c>
      <c r="K951" t="s">
        <v>40</v>
      </c>
    </row>
    <row r="952" spans="1:11">
      <c r="A952" s="1">
        <v>38200</v>
      </c>
      <c r="B952" t="s">
        <v>134</v>
      </c>
      <c r="C952" t="s">
        <v>2441</v>
      </c>
      <c r="D952" s="35">
        <v>60.893896288252698</v>
      </c>
      <c r="E952" s="35">
        <v>0.277520624435728</v>
      </c>
      <c r="F952" s="35">
        <v>3.79027511868677</v>
      </c>
      <c r="G952" s="35">
        <v>-8.7706074905278902E-2</v>
      </c>
      <c r="H952" s="35">
        <v>0.36522669934100693</v>
      </c>
      <c r="I952" s="35">
        <v>4.4801801634708482</v>
      </c>
      <c r="J952" t="s">
        <v>2375</v>
      </c>
      <c r="K952" t="s">
        <v>40</v>
      </c>
    </row>
    <row r="953" spans="1:11">
      <c r="A953" s="1">
        <v>38231</v>
      </c>
      <c r="B953" t="s">
        <v>134</v>
      </c>
      <c r="C953" t="s">
        <v>2441</v>
      </c>
      <c r="D953" s="35">
        <v>61.242453161459899</v>
      </c>
      <c r="E953" s="35">
        <v>0.57076836018241395</v>
      </c>
      <c r="F953" s="35">
        <v>3.8864125461701482</v>
      </c>
      <c r="G953" s="35">
        <v>5.9710091602400539E-2</v>
      </c>
      <c r="H953" s="35">
        <v>0.51105826858001335</v>
      </c>
      <c r="I953" s="35">
        <v>6.324653070383901</v>
      </c>
      <c r="J953" t="s">
        <v>2375</v>
      </c>
      <c r="K953" t="s">
        <v>40</v>
      </c>
    </row>
    <row r="954" spans="1:11">
      <c r="A954" s="1">
        <v>38261</v>
      </c>
      <c r="B954" t="s">
        <v>134</v>
      </c>
      <c r="C954" t="s">
        <v>2441</v>
      </c>
      <c r="D954" s="35">
        <v>61.418346719531499</v>
      </c>
      <c r="E954" s="35">
        <v>0.28679688833957012</v>
      </c>
      <c r="F954" s="35">
        <v>3.9616469896727846</v>
      </c>
      <c r="G954" s="35">
        <v>-6.7152525649730843E-2</v>
      </c>
      <c r="H954" s="35">
        <v>0.35394941398930096</v>
      </c>
      <c r="I954" s="35">
        <v>4.3388854536437593</v>
      </c>
      <c r="J954" t="s">
        <v>2376</v>
      </c>
      <c r="K954" t="s">
        <v>40</v>
      </c>
    </row>
    <row r="955" spans="1:11">
      <c r="A955" s="1">
        <v>38292</v>
      </c>
      <c r="B955" t="s">
        <v>134</v>
      </c>
      <c r="C955" t="s">
        <v>2441</v>
      </c>
      <c r="D955" s="35">
        <v>61.564212224970603</v>
      </c>
      <c r="E955" s="35">
        <v>0.23721343105885759</v>
      </c>
      <c r="F955" s="35">
        <v>3.935488793418096</v>
      </c>
      <c r="G955" s="35">
        <v>-9.1034986847382593E-2</v>
      </c>
      <c r="H955" s="35">
        <v>0.32824841790624015</v>
      </c>
      <c r="I955" s="35">
        <v>4.0175875744897116</v>
      </c>
      <c r="J955" t="s">
        <v>2376</v>
      </c>
      <c r="K955" t="s">
        <v>40</v>
      </c>
    </row>
    <row r="956" spans="1:11">
      <c r="A956" s="1">
        <v>38322</v>
      </c>
      <c r="B956" t="s">
        <v>134</v>
      </c>
      <c r="C956" t="s">
        <v>2441</v>
      </c>
      <c r="D956" s="35">
        <v>61.735929001622502</v>
      </c>
      <c r="E956" s="35">
        <v>0.27853477856692443</v>
      </c>
      <c r="F956" s="35">
        <v>3.924735669619861</v>
      </c>
      <c r="G956" s="35">
        <v>9.1165377259296132E-2</v>
      </c>
      <c r="H956" s="35">
        <v>0.1873694013076283</v>
      </c>
      <c r="I956" s="35">
        <v>2.2739005833633641</v>
      </c>
      <c r="J956" t="s">
        <v>2376</v>
      </c>
      <c r="K956" t="s">
        <v>40</v>
      </c>
    </row>
    <row r="957" spans="1:11">
      <c r="A957" s="1">
        <v>38353</v>
      </c>
      <c r="B957" t="s">
        <v>134</v>
      </c>
      <c r="C957" t="s">
        <v>2441</v>
      </c>
      <c r="D957" s="35">
        <v>61.967209627535503</v>
      </c>
      <c r="E957" s="35">
        <v>0.37392890424906228</v>
      </c>
      <c r="F957" s="35">
        <v>3.914122815680332</v>
      </c>
      <c r="G957" s="35">
        <v>0.11558240907831546</v>
      </c>
      <c r="H957" s="35">
        <v>0.25834649517074681</v>
      </c>
      <c r="I957" s="35">
        <v>3.1487133037148896</v>
      </c>
      <c r="J957" t="s">
        <v>2377</v>
      </c>
      <c r="K957" t="s">
        <v>40</v>
      </c>
    </row>
    <row r="958" spans="1:11">
      <c r="A958" s="1">
        <v>38384</v>
      </c>
      <c r="B958" t="s">
        <v>134</v>
      </c>
      <c r="C958" t="s">
        <v>2441</v>
      </c>
      <c r="D958" s="35">
        <v>62.207804472043399</v>
      </c>
      <c r="E958" s="35">
        <v>0.38750975359160844</v>
      </c>
      <c r="F958" s="35">
        <v>3.8495565439819801</v>
      </c>
      <c r="G958" s="35">
        <v>0.12699036627294302</v>
      </c>
      <c r="H958" s="35">
        <v>0.26051938731866542</v>
      </c>
      <c r="I958" s="35">
        <v>3.1756125340147268</v>
      </c>
      <c r="J958" t="s">
        <v>2377</v>
      </c>
      <c r="K958" t="s">
        <v>40</v>
      </c>
    </row>
    <row r="959" spans="1:11">
      <c r="A959" s="1">
        <v>38412</v>
      </c>
      <c r="B959" t="s">
        <v>134</v>
      </c>
      <c r="C959" t="s">
        <v>2441</v>
      </c>
      <c r="D959" s="35">
        <v>62.385186143859499</v>
      </c>
      <c r="E959" s="35">
        <v>0.2847379949446513</v>
      </c>
      <c r="F959" s="35">
        <v>3.7651492089499472</v>
      </c>
      <c r="G959" s="35">
        <v>6.1109136241099093E-2</v>
      </c>
      <c r="H959" s="35">
        <v>0.2236288587035522</v>
      </c>
      <c r="I959" s="35">
        <v>2.7198776698866611</v>
      </c>
      <c r="J959" t="s">
        <v>2377</v>
      </c>
      <c r="K959" t="s">
        <v>40</v>
      </c>
    </row>
    <row r="960" spans="1:11">
      <c r="A960" s="1">
        <v>38443</v>
      </c>
      <c r="B960" t="s">
        <v>134</v>
      </c>
      <c r="C960" t="s">
        <v>2441</v>
      </c>
      <c r="D960" s="35">
        <v>62.5037856735687</v>
      </c>
      <c r="E960" s="35">
        <v>0.18992800346572952</v>
      </c>
      <c r="F960" s="35">
        <v>3.6211095572166618</v>
      </c>
      <c r="G960" s="35">
        <v>1.5467613080731302E-2</v>
      </c>
      <c r="H960" s="35">
        <v>0.17446039038499822</v>
      </c>
      <c r="I960" s="35">
        <v>2.115592642988573</v>
      </c>
      <c r="J960" t="s">
        <v>2378</v>
      </c>
      <c r="K960" t="s">
        <v>40</v>
      </c>
    </row>
    <row r="961" spans="1:11">
      <c r="A961" s="1">
        <v>38473</v>
      </c>
      <c r="B961" t="s">
        <v>134</v>
      </c>
      <c r="C961" t="s">
        <v>2441</v>
      </c>
      <c r="D961" s="35">
        <v>62.624792079817901</v>
      </c>
      <c r="E961" s="35">
        <v>0.19341136316496205</v>
      </c>
      <c r="F961" s="35">
        <v>3.5826901979425063</v>
      </c>
      <c r="G961" s="35">
        <v>-9.2177951932252061E-2</v>
      </c>
      <c r="H961" s="35">
        <v>0.28558931509721408</v>
      </c>
      <c r="I961" s="35">
        <v>3.4864725123643137</v>
      </c>
      <c r="J961" t="s">
        <v>2378</v>
      </c>
      <c r="K961" t="s">
        <v>40</v>
      </c>
    </row>
    <row r="962" spans="1:11">
      <c r="A962" s="1">
        <v>38504</v>
      </c>
      <c r="B962" t="s">
        <v>134</v>
      </c>
      <c r="C962" t="s">
        <v>2441</v>
      </c>
      <c r="D962" s="35">
        <v>62.776811003457702</v>
      </c>
      <c r="E962" s="35">
        <v>0.2424514429950341</v>
      </c>
      <c r="F962" s="35">
        <v>3.5586811238322413</v>
      </c>
      <c r="G962" s="35">
        <v>-6.8631876269193037E-2</v>
      </c>
      <c r="H962" s="35">
        <v>0.31108331926422716</v>
      </c>
      <c r="I962" s="35">
        <v>3.8035514291126615</v>
      </c>
      <c r="J962" t="s">
        <v>2378</v>
      </c>
      <c r="K962" t="s">
        <v>40</v>
      </c>
    </row>
    <row r="963" spans="1:11">
      <c r="A963" s="1">
        <v>38534</v>
      </c>
      <c r="B963" t="s">
        <v>134</v>
      </c>
      <c r="C963" t="s">
        <v>2441</v>
      </c>
      <c r="D963" s="35">
        <v>62.9059475957038</v>
      </c>
      <c r="E963" s="35">
        <v>0.20549618599931349</v>
      </c>
      <c r="F963" s="35">
        <v>3.5912807147074011</v>
      </c>
      <c r="G963" s="35">
        <v>-6.3321577930948281E-2</v>
      </c>
      <c r="H963" s="35">
        <v>0.2688177639302618</v>
      </c>
      <c r="I963" s="35">
        <v>3.278406517704413</v>
      </c>
      <c r="J963" t="s">
        <v>2379</v>
      </c>
      <c r="K963" t="s">
        <v>40</v>
      </c>
    </row>
    <row r="964" spans="1:11">
      <c r="A964" s="1">
        <v>38565</v>
      </c>
      <c r="B964" t="s">
        <v>134</v>
      </c>
      <c r="C964" t="s">
        <v>2441</v>
      </c>
      <c r="D964" s="35">
        <v>62.992780427611301</v>
      </c>
      <c r="E964" s="35">
        <v>0.13794078310301114</v>
      </c>
      <c r="F964" s="35">
        <v>3.4467890335398099</v>
      </c>
      <c r="G964" s="35">
        <v>-8.7706074905278902E-2</v>
      </c>
      <c r="H964" s="35">
        <v>0.22564685800829004</v>
      </c>
      <c r="I964" s="35">
        <v>2.7447553189562601</v>
      </c>
      <c r="J964" t="s">
        <v>2379</v>
      </c>
      <c r="K964" t="s">
        <v>40</v>
      </c>
    </row>
    <row r="965" spans="1:11">
      <c r="A965" s="1">
        <v>38596</v>
      </c>
      <c r="B965" t="s">
        <v>134</v>
      </c>
      <c r="C965" t="s">
        <v>2441</v>
      </c>
      <c r="D965" s="35">
        <v>63.295588433742701</v>
      </c>
      <c r="E965" s="35">
        <v>0.47955102938715938</v>
      </c>
      <c r="F965" s="35">
        <v>3.3524706576823604</v>
      </c>
      <c r="G965" s="35">
        <v>5.9710091602400539E-2</v>
      </c>
      <c r="H965" s="35">
        <v>0.41984093778475884</v>
      </c>
      <c r="I965" s="35">
        <v>5.1671614989882819</v>
      </c>
      <c r="J965" t="s">
        <v>2379</v>
      </c>
      <c r="K965" t="s">
        <v>40</v>
      </c>
    </row>
    <row r="966" spans="1:11">
      <c r="A966" s="1">
        <v>38626</v>
      </c>
      <c r="B966" t="s">
        <v>134</v>
      </c>
      <c r="C966" t="s">
        <v>2441</v>
      </c>
      <c r="D966" s="35">
        <v>63.446666786418596</v>
      </c>
      <c r="E966" s="35">
        <v>0.23840261319154676</v>
      </c>
      <c r="F966" s="35">
        <v>3.3024660793125493</v>
      </c>
      <c r="G966" s="35">
        <v>-6.7152525649730843E-2</v>
      </c>
      <c r="H966" s="35">
        <v>0.30555513884127761</v>
      </c>
      <c r="I966" s="35">
        <v>3.7347128934467122</v>
      </c>
      <c r="J966" t="s">
        <v>2380</v>
      </c>
      <c r="K966" t="s">
        <v>40</v>
      </c>
    </row>
    <row r="967" spans="1:11">
      <c r="A967" s="1">
        <v>38657</v>
      </c>
      <c r="B967" t="s">
        <v>134</v>
      </c>
      <c r="C967" t="s">
        <v>2441</v>
      </c>
      <c r="D967" s="35">
        <v>63.577255819442797</v>
      </c>
      <c r="E967" s="35">
        <v>0.2056133621960935</v>
      </c>
      <c r="F967" s="35">
        <v>3.2698275860593151</v>
      </c>
      <c r="G967" s="35">
        <v>-9.1034986847382593E-2</v>
      </c>
      <c r="H967" s="35">
        <v>0.29664834904347609</v>
      </c>
      <c r="I967" s="35">
        <v>3.6238989298994051</v>
      </c>
      <c r="J967" t="s">
        <v>2380</v>
      </c>
      <c r="K967" t="s">
        <v>40</v>
      </c>
    </row>
    <row r="968" spans="1:11">
      <c r="A968" s="1">
        <v>38687</v>
      </c>
      <c r="B968" t="s">
        <v>134</v>
      </c>
      <c r="C968" t="s">
        <v>2441</v>
      </c>
      <c r="D968" s="35">
        <v>63.756892383944297</v>
      </c>
      <c r="E968" s="35">
        <v>0.28215005355269673</v>
      </c>
      <c r="F968" s="35">
        <v>3.2735611417926247</v>
      </c>
      <c r="G968" s="35">
        <v>9.1165377259296132E-2</v>
      </c>
      <c r="H968" s="35">
        <v>0.1909846762934006</v>
      </c>
      <c r="I968" s="35">
        <v>2.3182800022326422</v>
      </c>
      <c r="J968" t="s">
        <v>2380</v>
      </c>
      <c r="K968" t="s">
        <v>40</v>
      </c>
    </row>
    <row r="969" spans="1:11">
      <c r="A969" s="1">
        <v>38718</v>
      </c>
      <c r="B969" t="s">
        <v>134</v>
      </c>
      <c r="C969" t="s">
        <v>2441</v>
      </c>
      <c r="D969" s="35">
        <v>63.895720984020997</v>
      </c>
      <c r="E969" s="35">
        <v>0.21751008639427052</v>
      </c>
      <c r="F969" s="35">
        <v>3.1121481313700183</v>
      </c>
      <c r="G969" s="35">
        <v>0.11558240907831546</v>
      </c>
      <c r="H969" s="35">
        <v>0.10192767731595506</v>
      </c>
      <c r="I969" s="35">
        <v>1.2306429801126395</v>
      </c>
      <c r="J969" t="s">
        <v>2381</v>
      </c>
      <c r="K969" t="s">
        <v>40</v>
      </c>
    </row>
    <row r="970" spans="1:11">
      <c r="A970" s="1">
        <v>38749</v>
      </c>
      <c r="B970" t="s">
        <v>134</v>
      </c>
      <c r="C970" t="s">
        <v>2441</v>
      </c>
      <c r="D970" s="35">
        <v>64.104560902592297</v>
      </c>
      <c r="E970" s="35">
        <v>0.32631194369711092</v>
      </c>
      <c r="F970" s="35">
        <v>3.0490650596764146</v>
      </c>
      <c r="G970" s="35">
        <v>0.12699036627294302</v>
      </c>
      <c r="H970" s="35">
        <v>0.1993215774241679</v>
      </c>
      <c r="I970" s="35">
        <v>2.4206933083772197</v>
      </c>
      <c r="J970" t="s">
        <v>2381</v>
      </c>
      <c r="K970" t="s">
        <v>40</v>
      </c>
    </row>
    <row r="971" spans="1:11">
      <c r="A971" s="1">
        <v>38777</v>
      </c>
      <c r="B971" t="s">
        <v>134</v>
      </c>
      <c r="C971" t="s">
        <v>2441</v>
      </c>
      <c r="D971" s="35">
        <v>64.358728740813206</v>
      </c>
      <c r="E971" s="35">
        <v>0.39570552891662336</v>
      </c>
      <c r="F971" s="35">
        <v>3.163479535674929</v>
      </c>
      <c r="G971" s="35">
        <v>6.1109136241099093E-2</v>
      </c>
      <c r="H971" s="35">
        <v>0.33459639267552427</v>
      </c>
      <c r="I971" s="35">
        <v>4.0968538840668645</v>
      </c>
      <c r="J971" t="s">
        <v>2381</v>
      </c>
      <c r="K971" t="s">
        <v>40</v>
      </c>
    </row>
    <row r="972" spans="1:11">
      <c r="A972" s="1">
        <v>38808</v>
      </c>
      <c r="B972" t="s">
        <v>134</v>
      </c>
      <c r="C972" t="s">
        <v>2441</v>
      </c>
      <c r="D972" s="35">
        <v>64.577158457287297</v>
      </c>
      <c r="E972" s="35">
        <v>0.3388194399288581</v>
      </c>
      <c r="F972" s="35">
        <v>3.3171955288387789</v>
      </c>
      <c r="G972" s="35">
        <v>1.5467613080731302E-2</v>
      </c>
      <c r="H972" s="35">
        <v>0.3233518268481268</v>
      </c>
      <c r="I972" s="35">
        <v>3.9564857369859485</v>
      </c>
      <c r="J972" t="s">
        <v>2382</v>
      </c>
      <c r="K972" t="s">
        <v>40</v>
      </c>
    </row>
    <row r="973" spans="1:11">
      <c r="A973" s="1">
        <v>38838</v>
      </c>
      <c r="B973" t="s">
        <v>134</v>
      </c>
      <c r="C973" t="s">
        <v>2441</v>
      </c>
      <c r="D973" s="35">
        <v>64.664462920463805</v>
      </c>
      <c r="E973" s="35">
        <v>0.13510272546162155</v>
      </c>
      <c r="F973" s="35">
        <v>3.2569702395917943</v>
      </c>
      <c r="G973" s="35">
        <v>-9.2177951932252061E-2</v>
      </c>
      <c r="H973" s="35">
        <v>0.22728067739387361</v>
      </c>
      <c r="I973" s="35">
        <v>2.764901258542185</v>
      </c>
      <c r="J973" t="s">
        <v>2382</v>
      </c>
      <c r="K973" t="s">
        <v>40</v>
      </c>
    </row>
    <row r="974" spans="1:11">
      <c r="A974" s="1">
        <v>38869</v>
      </c>
      <c r="B974" t="s">
        <v>134</v>
      </c>
      <c r="C974" t="s">
        <v>2441</v>
      </c>
      <c r="D974" s="35">
        <v>64.8598096803277</v>
      </c>
      <c r="E974" s="35">
        <v>0.30163752948424782</v>
      </c>
      <c r="F974" s="35">
        <v>3.3181020882938173</v>
      </c>
      <c r="G974" s="35">
        <v>-6.8631876269193037E-2</v>
      </c>
      <c r="H974" s="35">
        <v>0.37026940575344086</v>
      </c>
      <c r="I974" s="35">
        <v>4.5434228413343769</v>
      </c>
      <c r="J974" t="s">
        <v>2382</v>
      </c>
      <c r="K974" t="s">
        <v>40</v>
      </c>
    </row>
    <row r="975" spans="1:11">
      <c r="A975" s="1">
        <v>38899</v>
      </c>
      <c r="B975" t="s">
        <v>134</v>
      </c>
      <c r="C975" t="s">
        <v>2441</v>
      </c>
      <c r="D975" s="35">
        <v>65.027519220764205</v>
      </c>
      <c r="E975" s="35">
        <v>0.25823863660304403</v>
      </c>
      <c r="F975" s="35">
        <v>3.3726089601189058</v>
      </c>
      <c r="G975" s="35">
        <v>-6.3321577930948281E-2</v>
      </c>
      <c r="H975" s="35">
        <v>0.32156021453399231</v>
      </c>
      <c r="I975" s="35">
        <v>3.9341381729646185</v>
      </c>
      <c r="J975" t="s">
        <v>2383</v>
      </c>
      <c r="K975" t="s">
        <v>40</v>
      </c>
    </row>
    <row r="976" spans="1:11">
      <c r="A976" s="1">
        <v>38930</v>
      </c>
      <c r="B976" t="s">
        <v>134</v>
      </c>
      <c r="C976" t="s">
        <v>2441</v>
      </c>
      <c r="D976" s="35">
        <v>65.140822709091296</v>
      </c>
      <c r="E976" s="35">
        <v>0.17408767026230401</v>
      </c>
      <c r="F976" s="35">
        <v>3.4099816945664774</v>
      </c>
      <c r="G976" s="35">
        <v>-8.7706074905278902E-2</v>
      </c>
      <c r="H976" s="35">
        <v>0.26179374516758291</v>
      </c>
      <c r="I976" s="35">
        <v>3.1913916586770119</v>
      </c>
      <c r="J976" t="s">
        <v>2383</v>
      </c>
      <c r="K976" t="s">
        <v>40</v>
      </c>
    </row>
    <row r="977" spans="1:11">
      <c r="A977" s="1">
        <v>38961</v>
      </c>
      <c r="B977" t="s">
        <v>134</v>
      </c>
      <c r="C977" t="s">
        <v>2441</v>
      </c>
      <c r="D977" s="35">
        <v>65.497158080719998</v>
      </c>
      <c r="E977" s="35">
        <v>0.54553239908068629</v>
      </c>
      <c r="F977" s="35">
        <v>3.4782355318204949</v>
      </c>
      <c r="G977" s="35">
        <v>5.9710091602400539E-2</v>
      </c>
      <c r="H977" s="35">
        <v>0.48582230747828575</v>
      </c>
      <c r="I977" s="35">
        <v>6.0031555369503664</v>
      </c>
      <c r="J977" t="s">
        <v>2383</v>
      </c>
      <c r="K977" t="s">
        <v>40</v>
      </c>
    </row>
    <row r="978" spans="1:11">
      <c r="A978" s="1">
        <v>38991</v>
      </c>
      <c r="B978" t="s">
        <v>134</v>
      </c>
      <c r="C978" t="s">
        <v>2441</v>
      </c>
      <c r="D978" s="35">
        <v>65.648491923189695</v>
      </c>
      <c r="E978" s="35">
        <v>0.23078753986246406</v>
      </c>
      <c r="F978" s="35">
        <v>3.470355888329224</v>
      </c>
      <c r="G978" s="35">
        <v>-6.7152525649730843E-2</v>
      </c>
      <c r="H978" s="35">
        <v>0.29794006551219487</v>
      </c>
      <c r="I978" s="35">
        <v>3.6399624984578827</v>
      </c>
      <c r="J978" t="s">
        <v>2384</v>
      </c>
      <c r="K978" t="s">
        <v>40</v>
      </c>
    </row>
    <row r="979" spans="1:11">
      <c r="A979" s="1">
        <v>39022</v>
      </c>
      <c r="B979" t="s">
        <v>134</v>
      </c>
      <c r="C979" t="s">
        <v>2441</v>
      </c>
      <c r="D979" s="35">
        <v>65.820487842728994</v>
      </c>
      <c r="E979" s="35">
        <v>0.26165262402159017</v>
      </c>
      <c r="F979" s="35">
        <v>3.5283561619219528</v>
      </c>
      <c r="G979" s="35">
        <v>-9.1034986847382593E-2</v>
      </c>
      <c r="H979" s="35">
        <v>0.35268761086897277</v>
      </c>
      <c r="I979" s="35">
        <v>4.3230880339195199</v>
      </c>
      <c r="J979" t="s">
        <v>2384</v>
      </c>
      <c r="K979" t="s">
        <v>40</v>
      </c>
    </row>
    <row r="980" spans="1:11">
      <c r="A980" s="1">
        <v>39052</v>
      </c>
      <c r="B980" t="s">
        <v>134</v>
      </c>
      <c r="C980" t="s">
        <v>2441</v>
      </c>
      <c r="D980" s="35">
        <v>66.0809725590223</v>
      </c>
      <c r="E980" s="35">
        <v>0.39496917491491834</v>
      </c>
      <c r="F980" s="35">
        <v>3.6452218547327941</v>
      </c>
      <c r="G980" s="35">
        <v>9.1165377259296132E-2</v>
      </c>
      <c r="H980" s="35">
        <v>0.30380379765562221</v>
      </c>
      <c r="I980" s="35">
        <v>3.7129141991353309</v>
      </c>
      <c r="J980" t="s">
        <v>2384</v>
      </c>
      <c r="K980" t="s">
        <v>40</v>
      </c>
    </row>
    <row r="981" spans="1:11">
      <c r="A981" s="1">
        <v>39083</v>
      </c>
      <c r="B981" t="s">
        <v>134</v>
      </c>
      <c r="C981" t="s">
        <v>2441</v>
      </c>
      <c r="D981" s="35">
        <v>66.387752332203505</v>
      </c>
      <c r="E981" s="35">
        <v>0.46317396333173499</v>
      </c>
      <c r="F981" s="35">
        <v>3.9001537345602744</v>
      </c>
      <c r="G981" s="35">
        <v>0.11558240907831546</v>
      </c>
      <c r="H981" s="35">
        <v>0.34759155425341953</v>
      </c>
      <c r="I981" s="35">
        <v>4.2593111729850586</v>
      </c>
      <c r="J981" t="s">
        <v>2385</v>
      </c>
      <c r="K981" t="s">
        <v>40</v>
      </c>
    </row>
    <row r="982" spans="1:11">
      <c r="A982" s="1">
        <v>39114</v>
      </c>
      <c r="B982" t="s">
        <v>134</v>
      </c>
      <c r="C982" t="s">
        <v>2441</v>
      </c>
      <c r="D982" s="35">
        <v>66.640275822252704</v>
      </c>
      <c r="E982" s="35">
        <v>0.3796550198795372</v>
      </c>
      <c r="F982" s="35">
        <v>3.9555920576594517</v>
      </c>
      <c r="G982" s="35">
        <v>0.12699036627294302</v>
      </c>
      <c r="H982" s="35">
        <v>0.25266465360659418</v>
      </c>
      <c r="I982" s="35">
        <v>3.0784083165618314</v>
      </c>
      <c r="J982" t="s">
        <v>2385</v>
      </c>
      <c r="K982" t="s">
        <v>40</v>
      </c>
    </row>
    <row r="983" spans="1:11">
      <c r="A983" s="1">
        <v>39142</v>
      </c>
      <c r="B983" t="s">
        <v>134</v>
      </c>
      <c r="C983" t="s">
        <v>2441</v>
      </c>
      <c r="D983" s="35">
        <v>66.836656126265893</v>
      </c>
      <c r="E983" s="35">
        <v>0.29425376032158401</v>
      </c>
      <c r="F983" s="35">
        <v>3.8501807508222408</v>
      </c>
      <c r="G983" s="35">
        <v>6.1109136241099093E-2</v>
      </c>
      <c r="H983" s="35">
        <v>0.23314462408048492</v>
      </c>
      <c r="I983" s="35">
        <v>2.8372396551355372</v>
      </c>
      <c r="J983" t="s">
        <v>2385</v>
      </c>
      <c r="K983" t="s">
        <v>40</v>
      </c>
    </row>
    <row r="984" spans="1:11">
      <c r="A984" s="1">
        <v>39173</v>
      </c>
      <c r="B984" t="s">
        <v>134</v>
      </c>
      <c r="C984" t="s">
        <v>2441</v>
      </c>
      <c r="D984" s="35">
        <v>66.9659788962921</v>
      </c>
      <c r="E984" s="35">
        <v>0.1933038318322382</v>
      </c>
      <c r="F984" s="35">
        <v>3.6991724257808833</v>
      </c>
      <c r="G984" s="35">
        <v>1.5467613080731302E-2</v>
      </c>
      <c r="H984" s="35">
        <v>0.1778362187515069</v>
      </c>
      <c r="I984" s="35">
        <v>2.1569679887035509</v>
      </c>
      <c r="J984" t="s">
        <v>2386</v>
      </c>
      <c r="K984" t="s">
        <v>40</v>
      </c>
    </row>
    <row r="985" spans="1:11">
      <c r="A985" s="1">
        <v>39203</v>
      </c>
      <c r="B985" t="s">
        <v>134</v>
      </c>
      <c r="C985" t="s">
        <v>2441</v>
      </c>
      <c r="D985" s="35">
        <v>67.098430514519805</v>
      </c>
      <c r="E985" s="35">
        <v>0.19759406975273755</v>
      </c>
      <c r="F985" s="35">
        <v>3.7639956850020306</v>
      </c>
      <c r="G985" s="35">
        <v>-9.2177951932252061E-2</v>
      </c>
      <c r="H985" s="35">
        <v>0.28977202168498961</v>
      </c>
      <c r="I985" s="35">
        <v>3.5384279761799808</v>
      </c>
      <c r="J985" t="s">
        <v>2386</v>
      </c>
      <c r="K985" t="s">
        <v>40</v>
      </c>
    </row>
    <row r="986" spans="1:11">
      <c r="A986" s="1">
        <v>39234</v>
      </c>
      <c r="B986" t="s">
        <v>134</v>
      </c>
      <c r="C986" t="s">
        <v>2441</v>
      </c>
      <c r="D986" s="35">
        <v>67.290177029570103</v>
      </c>
      <c r="E986" s="35">
        <v>0.28536145834417209</v>
      </c>
      <c r="F986" s="35">
        <v>3.7471083575805642</v>
      </c>
      <c r="G986" s="35">
        <v>-6.8631876269193037E-2</v>
      </c>
      <c r="H986" s="35">
        <v>0.35399333461336513</v>
      </c>
      <c r="I986" s="35">
        <v>4.3394353705685118</v>
      </c>
      <c r="J986" t="s">
        <v>2386</v>
      </c>
      <c r="K986" t="s">
        <v>40</v>
      </c>
    </row>
    <row r="987" spans="1:11">
      <c r="A987" s="1">
        <v>39264</v>
      </c>
      <c r="B987" t="s">
        <v>134</v>
      </c>
      <c r="C987" t="s">
        <v>2441</v>
      </c>
      <c r="D987" s="35">
        <v>67.494555930533295</v>
      </c>
      <c r="E987" s="35">
        <v>0.3032673702962016</v>
      </c>
      <c r="F987" s="35">
        <v>3.7938348861097815</v>
      </c>
      <c r="G987" s="35">
        <v>-6.3321577930948281E-2</v>
      </c>
      <c r="H987" s="35">
        <v>0.36658894822714988</v>
      </c>
      <c r="I987" s="35">
        <v>4.4972609206135772</v>
      </c>
      <c r="J987" t="s">
        <v>2387</v>
      </c>
      <c r="K987" t="s">
        <v>40</v>
      </c>
    </row>
    <row r="988" spans="1:11">
      <c r="A988" s="1">
        <v>39295</v>
      </c>
      <c r="B988" t="s">
        <v>134</v>
      </c>
      <c r="C988" t="s">
        <v>2441</v>
      </c>
      <c r="D988" s="35">
        <v>67.677198318407903</v>
      </c>
      <c r="E988" s="35">
        <v>0.27023766916408015</v>
      </c>
      <c r="F988" s="35">
        <v>3.8936806503713672</v>
      </c>
      <c r="G988" s="35">
        <v>-8.7706074905278902E-2</v>
      </c>
      <c r="H988" s="35">
        <v>0.35794374406935903</v>
      </c>
      <c r="I988" s="35">
        <v>4.3889091151894544</v>
      </c>
      <c r="J988" t="s">
        <v>2387</v>
      </c>
      <c r="K988" t="s">
        <v>40</v>
      </c>
    </row>
    <row r="989" spans="1:11">
      <c r="A989" s="1">
        <v>39326</v>
      </c>
      <c r="B989" t="s">
        <v>134</v>
      </c>
      <c r="C989" t="s">
        <v>2441</v>
      </c>
      <c r="D989" s="35">
        <v>68.000911920485805</v>
      </c>
      <c r="E989" s="35">
        <v>0.47717972450466317</v>
      </c>
      <c r="F989" s="35">
        <v>3.8226908054241449</v>
      </c>
      <c r="G989" s="35">
        <v>5.9710091602400539E-2</v>
      </c>
      <c r="H989" s="35">
        <v>0.41746963290226263</v>
      </c>
      <c r="I989" s="35">
        <v>5.1372397479809262</v>
      </c>
      <c r="J989" t="s">
        <v>2387</v>
      </c>
      <c r="K989" t="s">
        <v>40</v>
      </c>
    </row>
    <row r="990" spans="1:11">
      <c r="A990" s="1">
        <v>39356</v>
      </c>
      <c r="B990" t="s">
        <v>134</v>
      </c>
      <c r="C990" t="s">
        <v>2441</v>
      </c>
      <c r="D990" s="35">
        <v>68.223751567932993</v>
      </c>
      <c r="E990" s="35">
        <v>0.32716519976373321</v>
      </c>
      <c r="F990" s="35">
        <v>3.9228009194124613</v>
      </c>
      <c r="G990" s="35">
        <v>-6.7152525649730843E-2</v>
      </c>
      <c r="H990" s="35">
        <v>0.39431772541346405</v>
      </c>
      <c r="I990" s="35">
        <v>4.8455498085165472</v>
      </c>
      <c r="J990" t="s">
        <v>2388</v>
      </c>
      <c r="K990" t="s">
        <v>40</v>
      </c>
    </row>
    <row r="991" spans="1:11">
      <c r="A991" s="1">
        <v>39387</v>
      </c>
      <c r="B991" t="s">
        <v>134</v>
      </c>
      <c r="C991" t="s">
        <v>2441</v>
      </c>
      <c r="D991" s="35">
        <v>68.378478698995394</v>
      </c>
      <c r="E991" s="35">
        <v>0.22653685365213566</v>
      </c>
      <c r="F991" s="35">
        <v>3.886314033980498</v>
      </c>
      <c r="G991" s="35">
        <v>-9.1034986847382593E-2</v>
      </c>
      <c r="H991" s="35">
        <v>0.31757184049951825</v>
      </c>
      <c r="I991" s="35">
        <v>3.8844066886214446</v>
      </c>
      <c r="J991" t="s">
        <v>2388</v>
      </c>
      <c r="K991" t="s">
        <v>40</v>
      </c>
    </row>
    <row r="992" spans="1:11">
      <c r="A992" s="1">
        <v>39417</v>
      </c>
      <c r="B992" t="s">
        <v>134</v>
      </c>
      <c r="C992" t="s">
        <v>2441</v>
      </c>
      <c r="D992" s="35">
        <v>68.639821133101506</v>
      </c>
      <c r="E992" s="35">
        <v>0.38147130908546611</v>
      </c>
      <c r="F992" s="35">
        <v>3.8722925450191958</v>
      </c>
      <c r="G992" s="35">
        <v>9.1165377259296132E-2</v>
      </c>
      <c r="H992" s="35">
        <v>0.29030593182616998</v>
      </c>
      <c r="I992" s="35">
        <v>3.5450618146939172</v>
      </c>
      <c r="J992" t="s">
        <v>2388</v>
      </c>
      <c r="K992" t="s">
        <v>40</v>
      </c>
    </row>
    <row r="993" spans="1:11">
      <c r="A993" s="1">
        <v>39448</v>
      </c>
      <c r="B993" t="s">
        <v>134</v>
      </c>
      <c r="C993" t="s">
        <v>2441</v>
      </c>
      <c r="D993" s="35">
        <v>68.937511905044403</v>
      </c>
      <c r="E993" s="35">
        <v>0.43276204004284524</v>
      </c>
      <c r="F993" s="35">
        <v>3.8407077861017713</v>
      </c>
      <c r="G993" s="35">
        <v>0.11558240907831546</v>
      </c>
      <c r="H993" s="35">
        <v>0.31717963096452978</v>
      </c>
      <c r="I993" s="35">
        <v>3.8795174690974488</v>
      </c>
      <c r="J993" t="s">
        <v>2389</v>
      </c>
      <c r="K993" t="s">
        <v>40</v>
      </c>
    </row>
    <row r="994" spans="1:11">
      <c r="A994" s="1">
        <v>39479</v>
      </c>
      <c r="B994" t="s">
        <v>134</v>
      </c>
      <c r="C994" t="s">
        <v>2441</v>
      </c>
      <c r="D994" s="35">
        <v>69.233882567485395</v>
      </c>
      <c r="E994" s="35">
        <v>0.42899055638617395</v>
      </c>
      <c r="F994" s="35">
        <v>3.8919507958678379</v>
      </c>
      <c r="G994" s="35">
        <v>0.12699036627294302</v>
      </c>
      <c r="H994" s="35">
        <v>0.30200019011323093</v>
      </c>
      <c r="I994" s="35">
        <v>3.6904697407674547</v>
      </c>
      <c r="J994" t="s">
        <v>2389</v>
      </c>
      <c r="K994" t="s">
        <v>40</v>
      </c>
    </row>
    <row r="995" spans="1:11">
      <c r="A995" s="1">
        <v>39508</v>
      </c>
      <c r="B995" t="s">
        <v>134</v>
      </c>
      <c r="C995" t="s">
        <v>2441</v>
      </c>
      <c r="D995" s="35">
        <v>69.571475577337694</v>
      </c>
      <c r="E995" s="35">
        <v>0.4864274405797388</v>
      </c>
      <c r="F995" s="35">
        <v>4.0917957443969977</v>
      </c>
      <c r="G995" s="35">
        <v>6.1109136241099093E-2</v>
      </c>
      <c r="H995" s="35">
        <v>0.42531830433863971</v>
      </c>
      <c r="I995" s="35">
        <v>5.2363089123979467</v>
      </c>
      <c r="J995" t="s">
        <v>2389</v>
      </c>
      <c r="K995" t="s">
        <v>40</v>
      </c>
    </row>
    <row r="996" spans="1:11">
      <c r="A996" s="1">
        <v>39539</v>
      </c>
      <c r="B996" t="s">
        <v>134</v>
      </c>
      <c r="C996" t="s">
        <v>2441</v>
      </c>
      <c r="D996" s="35">
        <v>69.845045998697699</v>
      </c>
      <c r="E996" s="35">
        <v>0.39245100851741438</v>
      </c>
      <c r="F996" s="35">
        <v>4.2992981658108942</v>
      </c>
      <c r="G996" s="35">
        <v>1.5467613080731302E-2</v>
      </c>
      <c r="H996" s="35">
        <v>0.37698339543668308</v>
      </c>
      <c r="I996" s="35">
        <v>4.6276851964602406</v>
      </c>
      <c r="J996" t="s">
        <v>2390</v>
      </c>
      <c r="K996" t="s">
        <v>40</v>
      </c>
    </row>
    <row r="997" spans="1:11">
      <c r="A997" s="1">
        <v>39569</v>
      </c>
      <c r="B997" t="s">
        <v>134</v>
      </c>
      <c r="C997" t="s">
        <v>2441</v>
      </c>
      <c r="D997" s="35">
        <v>70.178062078251102</v>
      </c>
      <c r="E997" s="35">
        <v>0.47565964219284029</v>
      </c>
      <c r="F997" s="35">
        <v>4.5897222038075558</v>
      </c>
      <c r="G997" s="35">
        <v>-9.2177951932252061E-2</v>
      </c>
      <c r="H997" s="35">
        <v>0.56783759412509238</v>
      </c>
      <c r="I997" s="35">
        <v>7.0515717461236749</v>
      </c>
      <c r="J997" t="s">
        <v>2390</v>
      </c>
      <c r="K997" t="s">
        <v>40</v>
      </c>
    </row>
    <row r="998" spans="1:11">
      <c r="A998" s="1">
        <v>39600</v>
      </c>
      <c r="B998" t="s">
        <v>134</v>
      </c>
      <c r="C998" t="s">
        <v>2441</v>
      </c>
      <c r="D998" s="35">
        <v>70.507678166293701</v>
      </c>
      <c r="E998" s="35">
        <v>0.46858578643679077</v>
      </c>
      <c r="F998" s="35">
        <v>4.7815316867270141</v>
      </c>
      <c r="G998" s="35">
        <v>-6.8631876269193037E-2</v>
      </c>
      <c r="H998" s="35">
        <v>0.53721766270598381</v>
      </c>
      <c r="I998" s="35">
        <v>6.658944107528586</v>
      </c>
      <c r="J998" t="s">
        <v>2390</v>
      </c>
      <c r="K998" t="s">
        <v>40</v>
      </c>
    </row>
    <row r="999" spans="1:11">
      <c r="A999" s="1">
        <v>39630</v>
      </c>
      <c r="B999" t="s">
        <v>134</v>
      </c>
      <c r="C999" t="s">
        <v>2441</v>
      </c>
      <c r="D999" s="35">
        <v>70.790646970137601</v>
      </c>
      <c r="E999" s="35">
        <v>0.40052729833519657</v>
      </c>
      <c r="F999" s="35">
        <v>4.8834917041260528</v>
      </c>
      <c r="G999" s="35">
        <v>-6.3321577930948281E-2</v>
      </c>
      <c r="H999" s="35">
        <v>0.46384887626614485</v>
      </c>
      <c r="I999" s="35">
        <v>5.7240133558003947</v>
      </c>
      <c r="J999" t="s">
        <v>2391</v>
      </c>
      <c r="K999" t="s">
        <v>40</v>
      </c>
    </row>
    <row r="1000" spans="1:11">
      <c r="A1000" s="1">
        <v>39661</v>
      </c>
      <c r="B1000" t="s">
        <v>134</v>
      </c>
      <c r="C1000" t="s">
        <v>2441</v>
      </c>
      <c r="D1000" s="35">
        <v>71.083043743792501</v>
      </c>
      <c r="E1000" s="35">
        <v>0.41219367195893436</v>
      </c>
      <c r="F1000" s="35">
        <v>5.0324858445835341</v>
      </c>
      <c r="G1000" s="35">
        <v>-8.7706074905278902E-2</v>
      </c>
      <c r="H1000" s="35">
        <v>0.49989974686421323</v>
      </c>
      <c r="I1000" s="35">
        <v>6.1823772328980953</v>
      </c>
      <c r="J1000" t="s">
        <v>2391</v>
      </c>
      <c r="K1000" t="s">
        <v>40</v>
      </c>
    </row>
    <row r="1001" spans="1:11">
      <c r="A1001" s="1">
        <v>39692</v>
      </c>
      <c r="B1001" t="s">
        <v>134</v>
      </c>
      <c r="C1001" t="s">
        <v>2441</v>
      </c>
      <c r="D1001" s="35">
        <v>71.497967084862495</v>
      </c>
      <c r="E1001" s="35">
        <v>0.58201931651308325</v>
      </c>
      <c r="F1001" s="35">
        <v>5.1426592167849616</v>
      </c>
      <c r="G1001" s="35">
        <v>5.9710091602400539E-2</v>
      </c>
      <c r="H1001" s="35">
        <v>0.52230922491068266</v>
      </c>
      <c r="I1001" s="35">
        <v>6.4683005022509343</v>
      </c>
      <c r="J1001" t="s">
        <v>2391</v>
      </c>
      <c r="K1001" t="s">
        <v>40</v>
      </c>
    </row>
    <row r="1002" spans="1:11">
      <c r="A1002" s="1">
        <v>39722</v>
      </c>
      <c r="B1002" t="s">
        <v>134</v>
      </c>
      <c r="C1002" t="s">
        <v>2441</v>
      </c>
      <c r="D1002" s="35">
        <v>71.702654506011996</v>
      </c>
      <c r="E1002" s="35">
        <v>0.28587524031054828</v>
      </c>
      <c r="F1002" s="35">
        <v>5.0992548168725671</v>
      </c>
      <c r="G1002" s="35">
        <v>-6.7152525649730843E-2</v>
      </c>
      <c r="H1002" s="35">
        <v>0.35302776596027913</v>
      </c>
      <c r="I1002" s="35">
        <v>4.3273464443743803</v>
      </c>
      <c r="J1002" t="s">
        <v>2392</v>
      </c>
      <c r="K1002" t="s">
        <v>40</v>
      </c>
    </row>
    <row r="1003" spans="1:11">
      <c r="A1003" s="1">
        <v>39753</v>
      </c>
      <c r="B1003" t="s">
        <v>134</v>
      </c>
      <c r="C1003" t="s">
        <v>2441</v>
      </c>
      <c r="D1003" s="35">
        <v>72.029105344778003</v>
      </c>
      <c r="E1003" s="35">
        <v>0.45425089130956875</v>
      </c>
      <c r="F1003" s="35">
        <v>5.3388532696856394</v>
      </c>
      <c r="G1003" s="35">
        <v>-9.1034986847382593E-2</v>
      </c>
      <c r="H1003" s="35">
        <v>0.5452858781569514</v>
      </c>
      <c r="I1003" s="35">
        <v>6.7622597947513574</v>
      </c>
      <c r="J1003" t="s">
        <v>2392</v>
      </c>
      <c r="K1003" t="s">
        <v>40</v>
      </c>
    </row>
    <row r="1004" spans="1:11">
      <c r="A1004" s="1">
        <v>39783</v>
      </c>
      <c r="B1004" t="s">
        <v>134</v>
      </c>
      <c r="C1004" t="s">
        <v>2441</v>
      </c>
      <c r="D1004" s="35">
        <v>72.440647125646905</v>
      </c>
      <c r="E1004" s="35">
        <v>0.56972880069395115</v>
      </c>
      <c r="F1004" s="35">
        <v>5.5373483348319041</v>
      </c>
      <c r="G1004" s="35">
        <v>9.1165377259296132E-2</v>
      </c>
      <c r="H1004" s="35">
        <v>0.47856342343465502</v>
      </c>
      <c r="I1004" s="35">
        <v>5.9108599868317402</v>
      </c>
      <c r="J1004" t="s">
        <v>2392</v>
      </c>
      <c r="K1004" t="s">
        <v>40</v>
      </c>
    </row>
    <row r="1005" spans="1:11">
      <c r="A1005" s="1">
        <v>39814</v>
      </c>
      <c r="B1005" t="s">
        <v>134</v>
      </c>
      <c r="C1005" t="s">
        <v>2441</v>
      </c>
      <c r="D1005" s="35">
        <v>72.7588188434692</v>
      </c>
      <c r="E1005" s="35">
        <v>0.43825536816263011</v>
      </c>
      <c r="F1005" s="35">
        <v>5.5431460069059746</v>
      </c>
      <c r="G1005" s="35">
        <v>0.11558240907831546</v>
      </c>
      <c r="H1005" s="35">
        <v>0.32267295908431465</v>
      </c>
      <c r="I1005" s="35">
        <v>3.9480173570845212</v>
      </c>
      <c r="J1005" t="s">
        <v>2393</v>
      </c>
      <c r="K1005" t="s">
        <v>40</v>
      </c>
    </row>
    <row r="1006" spans="1:11">
      <c r="A1006" s="1">
        <v>39845</v>
      </c>
      <c r="B1006" t="s">
        <v>134</v>
      </c>
      <c r="C1006" t="s">
        <v>2441</v>
      </c>
      <c r="D1006" s="35">
        <v>73.097273820638506</v>
      </c>
      <c r="E1006" s="35">
        <v>0.46409523040104206</v>
      </c>
      <c r="F1006" s="35">
        <v>5.580203088259994</v>
      </c>
      <c r="G1006" s="35">
        <v>0.12699036627294302</v>
      </c>
      <c r="H1006" s="35">
        <v>0.33710486412809904</v>
      </c>
      <c r="I1006" s="35">
        <v>4.1281934790514896</v>
      </c>
      <c r="J1006" t="s">
        <v>2393</v>
      </c>
      <c r="K1006" t="s">
        <v>40</v>
      </c>
    </row>
    <row r="1007" spans="1:11">
      <c r="A1007" s="1">
        <v>39873</v>
      </c>
      <c r="B1007" t="s">
        <v>134</v>
      </c>
      <c r="C1007" t="s">
        <v>2441</v>
      </c>
      <c r="D1007" s="35">
        <v>73.473848939076305</v>
      </c>
      <c r="E1007" s="35">
        <v>0.513847393586368</v>
      </c>
      <c r="F1007" s="35">
        <v>5.6091570997378382</v>
      </c>
      <c r="G1007" s="35">
        <v>6.1109136241099093E-2</v>
      </c>
      <c r="H1007" s="35">
        <v>0.4527382573452689</v>
      </c>
      <c r="I1007" s="35">
        <v>5.5831481758456647</v>
      </c>
      <c r="J1007" t="s">
        <v>2393</v>
      </c>
      <c r="K1007" t="s">
        <v>40</v>
      </c>
    </row>
    <row r="1008" spans="1:11">
      <c r="A1008" s="1">
        <v>39904</v>
      </c>
      <c r="B1008" t="s">
        <v>134</v>
      </c>
      <c r="C1008" t="s">
        <v>2441</v>
      </c>
      <c r="D1008" s="35">
        <v>73.784801212976504</v>
      </c>
      <c r="E1008" s="35">
        <v>0.42232186122405158</v>
      </c>
      <c r="F1008" s="35">
        <v>5.6407081675517334</v>
      </c>
      <c r="G1008" s="35">
        <v>1.5467613080731302E-2</v>
      </c>
      <c r="H1008" s="35">
        <v>0.40685424814332027</v>
      </c>
      <c r="I1008" s="35">
        <v>5.0033963437435824</v>
      </c>
      <c r="J1008" t="s">
        <v>2394</v>
      </c>
      <c r="K1008" t="s">
        <v>40</v>
      </c>
    </row>
    <row r="1009" spans="1:11">
      <c r="A1009" s="1">
        <v>39934</v>
      </c>
      <c r="B1009" t="s">
        <v>134</v>
      </c>
      <c r="C1009" t="s">
        <v>2441</v>
      </c>
      <c r="D1009" s="35">
        <v>73.931562414724993</v>
      </c>
      <c r="E1009" s="35">
        <v>0.19870682764463798</v>
      </c>
      <c r="F1009" s="35">
        <v>5.3485380264399529</v>
      </c>
      <c r="G1009" s="35">
        <v>-9.2177951932252061E-2</v>
      </c>
      <c r="H1009" s="35">
        <v>0.29088477957689007</v>
      </c>
      <c r="I1009" s="35">
        <v>3.5522544836342096</v>
      </c>
      <c r="J1009" t="s">
        <v>2394</v>
      </c>
      <c r="K1009" t="s">
        <v>40</v>
      </c>
    </row>
    <row r="1010" spans="1:11">
      <c r="A1010" s="1">
        <v>39965</v>
      </c>
      <c r="B1010" t="s">
        <v>134</v>
      </c>
      <c r="C1010" t="s">
        <v>2441</v>
      </c>
      <c r="D1010" s="35">
        <v>74.117893784570995</v>
      </c>
      <c r="E1010" s="35">
        <v>0.25171516736805738</v>
      </c>
      <c r="F1010" s="35">
        <v>5.1203155630263897</v>
      </c>
      <c r="G1010" s="35">
        <v>-6.8631876269193037E-2</v>
      </c>
      <c r="H1010" s="35">
        <v>0.32034704363725042</v>
      </c>
      <c r="I1010" s="35">
        <v>3.9190084896916888</v>
      </c>
      <c r="J1010" t="s">
        <v>2394</v>
      </c>
      <c r="K1010" t="s">
        <v>40</v>
      </c>
    </row>
    <row r="1011" spans="1:11">
      <c r="A1011" s="1">
        <v>39995</v>
      </c>
      <c r="B1011" t="s">
        <v>134</v>
      </c>
      <c r="C1011" t="s">
        <v>2441</v>
      </c>
      <c r="D1011" s="35">
        <v>74.344849786531398</v>
      </c>
      <c r="E1011" s="35">
        <v>0.30574159320513855</v>
      </c>
      <c r="F1011" s="35">
        <v>5.020723737548427</v>
      </c>
      <c r="G1011" s="35">
        <v>-6.3321577930948281E-2</v>
      </c>
      <c r="H1011" s="35">
        <v>0.36906317113608683</v>
      </c>
      <c r="I1011" s="35">
        <v>4.5282914690021547</v>
      </c>
      <c r="J1011" t="s">
        <v>2395</v>
      </c>
      <c r="K1011" t="s">
        <v>40</v>
      </c>
    </row>
    <row r="1012" spans="1:11">
      <c r="A1012" s="1">
        <v>40026</v>
      </c>
      <c r="B1012" t="s">
        <v>134</v>
      </c>
      <c r="C1012" t="s">
        <v>2441</v>
      </c>
      <c r="D1012" s="35">
        <v>74.459213094981706</v>
      </c>
      <c r="E1012" s="35">
        <v>0.15370995758134512</v>
      </c>
      <c r="F1012" s="35">
        <v>4.7496128097131995</v>
      </c>
      <c r="G1012" s="35">
        <v>-8.7706074905278902E-2</v>
      </c>
      <c r="H1012" s="35">
        <v>0.24141603248662402</v>
      </c>
      <c r="I1012" s="35">
        <v>2.9393633862022206</v>
      </c>
      <c r="J1012" t="s">
        <v>2395</v>
      </c>
      <c r="K1012" t="s">
        <v>40</v>
      </c>
    </row>
    <row r="1013" spans="1:11">
      <c r="A1013" s="1">
        <v>40057</v>
      </c>
      <c r="B1013" t="s">
        <v>134</v>
      </c>
      <c r="C1013" t="s">
        <v>2441</v>
      </c>
      <c r="D1013" s="35">
        <v>74.753596383356097</v>
      </c>
      <c r="E1013" s="35">
        <v>0.39458230342824435</v>
      </c>
      <c r="F1013" s="35">
        <v>4.5534571558229375</v>
      </c>
      <c r="G1013" s="35">
        <v>5.9710091602400539E-2</v>
      </c>
      <c r="H1013" s="35">
        <v>0.33487221182584381</v>
      </c>
      <c r="I1013" s="35">
        <v>4.100299369781113</v>
      </c>
      <c r="J1013" t="s">
        <v>2395</v>
      </c>
      <c r="K1013" t="s">
        <v>40</v>
      </c>
    </row>
    <row r="1014" spans="1:11">
      <c r="A1014" s="1">
        <v>40087</v>
      </c>
      <c r="B1014" t="s">
        <v>134</v>
      </c>
      <c r="C1014" t="s">
        <v>2441</v>
      </c>
      <c r="D1014" s="35">
        <v>74.995048934251798</v>
      </c>
      <c r="E1014" s="35">
        <v>0.32247738819360827</v>
      </c>
      <c r="F1014" s="35">
        <v>4.5917329712859445</v>
      </c>
      <c r="G1014" s="35">
        <v>-6.7152525649730843E-2</v>
      </c>
      <c r="H1014" s="35">
        <v>0.38962991384333912</v>
      </c>
      <c r="I1014" s="35">
        <v>4.7865868527288136</v>
      </c>
      <c r="J1014" t="s">
        <v>2396</v>
      </c>
      <c r="K1014" t="s">
        <v>40</v>
      </c>
    </row>
    <row r="1015" spans="1:11">
      <c r="A1015" s="1">
        <v>40118</v>
      </c>
      <c r="B1015" t="s">
        <v>134</v>
      </c>
      <c r="C1015" t="s">
        <v>2441</v>
      </c>
      <c r="D1015" s="35">
        <v>75.1029020177061</v>
      </c>
      <c r="E1015" s="35">
        <v>0.1437102922889594</v>
      </c>
      <c r="F1015" s="35">
        <v>4.2674369731720452</v>
      </c>
      <c r="G1015" s="35">
        <v>-9.1034986847382593E-2</v>
      </c>
      <c r="H1015" s="35">
        <v>0.23474527913634199</v>
      </c>
      <c r="I1015" s="35">
        <v>2.8569943860155211</v>
      </c>
      <c r="J1015" t="s">
        <v>2396</v>
      </c>
      <c r="K1015" t="s">
        <v>40</v>
      </c>
    </row>
    <row r="1016" spans="1:11">
      <c r="A1016" s="1">
        <v>40148</v>
      </c>
      <c r="B1016" t="s">
        <v>134</v>
      </c>
      <c r="C1016" t="s">
        <v>2441</v>
      </c>
      <c r="D1016" s="35">
        <v>75.452249618825306</v>
      </c>
      <c r="E1016" s="35">
        <v>0.46408007207205487</v>
      </c>
      <c r="F1016" s="35">
        <v>4.1573379210084083</v>
      </c>
      <c r="G1016" s="35">
        <v>9.1165377259296132E-2</v>
      </c>
      <c r="H1016" s="35">
        <v>0.37291469481275874</v>
      </c>
      <c r="I1016" s="35">
        <v>4.5766138177591786</v>
      </c>
      <c r="J1016" t="s">
        <v>2396</v>
      </c>
      <c r="K1016" t="s">
        <v>40</v>
      </c>
    </row>
    <row r="1017" spans="1:11">
      <c r="A1017" s="1">
        <v>40179</v>
      </c>
      <c r="B1017" t="s">
        <v>134</v>
      </c>
      <c r="C1017" t="s">
        <v>2441</v>
      </c>
      <c r="D1017" s="35">
        <v>76.019221949418494</v>
      </c>
      <c r="E1017" s="35">
        <v>0.74862279035368151</v>
      </c>
      <c r="F1017" s="35">
        <v>4.481110548212186</v>
      </c>
      <c r="G1017" s="35">
        <v>0.11558240907831546</v>
      </c>
      <c r="H1017" s="35">
        <v>0.63304038127536599</v>
      </c>
      <c r="I1017" s="35">
        <v>7.8924644707190073</v>
      </c>
      <c r="J1017" t="s">
        <v>2397</v>
      </c>
      <c r="K1017" t="s">
        <v>40</v>
      </c>
    </row>
    <row r="1018" spans="1:11">
      <c r="A1018" s="1">
        <v>40210</v>
      </c>
      <c r="B1018" t="s">
        <v>134</v>
      </c>
      <c r="C1018" t="s">
        <v>2441</v>
      </c>
      <c r="D1018" s="35">
        <v>76.333279988991407</v>
      </c>
      <c r="E1018" s="35">
        <v>0.41227873572646173</v>
      </c>
      <c r="F1018" s="35">
        <v>4.4269861230299856</v>
      </c>
      <c r="G1018" s="35">
        <v>0.12699036627294302</v>
      </c>
      <c r="H1018" s="35">
        <v>0.28528836945351871</v>
      </c>
      <c r="I1018" s="35">
        <v>3.4827353234760716</v>
      </c>
      <c r="J1018" t="s">
        <v>2397</v>
      </c>
      <c r="K1018" t="s">
        <v>40</v>
      </c>
    </row>
    <row r="1019" spans="1:11">
      <c r="A1019" s="1">
        <v>40238</v>
      </c>
      <c r="B1019" t="s">
        <v>134</v>
      </c>
      <c r="C1019" t="s">
        <v>2441</v>
      </c>
      <c r="D1019" s="35">
        <v>76.601138619114593</v>
      </c>
      <c r="E1019" s="35">
        <v>0.35029250636610515</v>
      </c>
      <c r="F1019" s="35">
        <v>4.2563302796773339</v>
      </c>
      <c r="G1019" s="35">
        <v>6.1109136241099093E-2</v>
      </c>
      <c r="H1019" s="35">
        <v>0.28918337012500606</v>
      </c>
      <c r="I1019" s="35">
        <v>3.5311144676319461</v>
      </c>
      <c r="J1019" t="s">
        <v>2397</v>
      </c>
      <c r="K1019" t="s">
        <v>40</v>
      </c>
    </row>
    <row r="1020" spans="1:11">
      <c r="A1020" s="1">
        <v>40269</v>
      </c>
      <c r="B1020" t="s">
        <v>134</v>
      </c>
      <c r="C1020" t="s">
        <v>2441</v>
      </c>
      <c r="D1020" s="35">
        <v>76.683688509286796</v>
      </c>
      <c r="E1020" s="35">
        <v>0.10770785301999193</v>
      </c>
      <c r="F1020" s="35">
        <v>3.9288406943630338</v>
      </c>
      <c r="G1020" s="35">
        <v>1.5467613080731302E-2</v>
      </c>
      <c r="H1020" s="35">
        <v>9.2240239939260629E-2</v>
      </c>
      <c r="I1020" s="35">
        <v>1.1130314928559093</v>
      </c>
      <c r="J1020" t="s">
        <v>2398</v>
      </c>
      <c r="K1020" t="s">
        <v>40</v>
      </c>
    </row>
    <row r="1021" spans="1:11">
      <c r="A1021" s="1">
        <v>40299</v>
      </c>
      <c r="B1021" t="s">
        <v>134</v>
      </c>
      <c r="C1021" t="s">
        <v>2441</v>
      </c>
      <c r="D1021" s="35">
        <v>76.862499794011399</v>
      </c>
      <c r="E1021" s="35">
        <v>0.232908895405286</v>
      </c>
      <c r="F1021" s="35">
        <v>3.9643925862747009</v>
      </c>
      <c r="G1021" s="35">
        <v>-9.2177951932252061E-2</v>
      </c>
      <c r="H1021" s="35">
        <v>0.32508684733753807</v>
      </c>
      <c r="I1021" s="35">
        <v>3.9781319862402187</v>
      </c>
      <c r="J1021" t="s">
        <v>2398</v>
      </c>
      <c r="K1021" t="s">
        <v>40</v>
      </c>
    </row>
    <row r="1022" spans="1:11">
      <c r="A1022" s="1">
        <v>40330</v>
      </c>
      <c r="B1022" t="s">
        <v>134</v>
      </c>
      <c r="C1022" t="s">
        <v>2441</v>
      </c>
      <c r="D1022" s="35">
        <v>76.968327127710694</v>
      </c>
      <c r="E1022" s="35">
        <v>0.13758926284407436</v>
      </c>
      <c r="F1022" s="35">
        <v>3.8458099624696374</v>
      </c>
      <c r="G1022" s="35">
        <v>-6.8631876269193037E-2</v>
      </c>
      <c r="H1022" s="35">
        <v>0.20622113911326739</v>
      </c>
      <c r="I1022" s="35">
        <v>2.5055273696079849</v>
      </c>
      <c r="J1022" t="s">
        <v>2398</v>
      </c>
      <c r="K1022" t="s">
        <v>40</v>
      </c>
    </row>
    <row r="1023" spans="1:11">
      <c r="A1023" s="1">
        <v>40360</v>
      </c>
      <c r="B1023" t="s">
        <v>134</v>
      </c>
      <c r="C1023" t="s">
        <v>2441</v>
      </c>
      <c r="D1023" s="35">
        <v>77.128705295445798</v>
      </c>
      <c r="E1023" s="35">
        <v>0.20815225721031871</v>
      </c>
      <c r="F1023" s="35">
        <v>3.7445169596922456</v>
      </c>
      <c r="G1023" s="35">
        <v>-6.3321577930948281E-2</v>
      </c>
      <c r="H1023" s="35">
        <v>0.27147383514126699</v>
      </c>
      <c r="I1023" s="35">
        <v>3.3113295404516796</v>
      </c>
      <c r="J1023" t="s">
        <v>2399</v>
      </c>
      <c r="K1023" t="s">
        <v>40</v>
      </c>
    </row>
    <row r="1024" spans="1:11">
      <c r="A1024" s="1">
        <v>40391</v>
      </c>
      <c r="B1024" t="s">
        <v>134</v>
      </c>
      <c r="C1024" t="s">
        <v>2441</v>
      </c>
      <c r="D1024" s="35">
        <v>77.203400262647804</v>
      </c>
      <c r="E1024" s="35">
        <v>9.6797711356559429E-2</v>
      </c>
      <c r="F1024" s="35">
        <v>3.6854904230126051</v>
      </c>
      <c r="G1024" s="35">
        <v>-8.7706074905278902E-2</v>
      </c>
      <c r="H1024" s="35">
        <v>0.18450378626183833</v>
      </c>
      <c r="I1024" s="35">
        <v>2.2387373141770528</v>
      </c>
      <c r="J1024" t="s">
        <v>2399</v>
      </c>
      <c r="K1024" t="s">
        <v>40</v>
      </c>
    </row>
    <row r="1025" spans="1:11">
      <c r="A1025" s="1">
        <v>40422</v>
      </c>
      <c r="B1025" t="s">
        <v>134</v>
      </c>
      <c r="C1025" t="s">
        <v>2441</v>
      </c>
      <c r="D1025" s="35">
        <v>77.482807874370593</v>
      </c>
      <c r="E1025" s="35">
        <v>0.36125769577024919</v>
      </c>
      <c r="F1025" s="35">
        <v>3.6509433967810478</v>
      </c>
      <c r="G1025" s="35">
        <v>5.9710091602400539E-2</v>
      </c>
      <c r="H1025" s="35">
        <v>0.30154760416784865</v>
      </c>
      <c r="I1025" s="35">
        <v>3.6848384317749394</v>
      </c>
      <c r="J1025" t="s">
        <v>2399</v>
      </c>
      <c r="K1025" t="s">
        <v>40</v>
      </c>
    </row>
    <row r="1026" spans="1:11">
      <c r="A1026" s="1">
        <v>40452</v>
      </c>
      <c r="B1026" t="s">
        <v>134</v>
      </c>
      <c r="C1026" t="s">
        <v>2441</v>
      </c>
      <c r="D1026" s="35">
        <v>77.630944915229705</v>
      </c>
      <c r="E1026" s="35">
        <v>0.19100445090390433</v>
      </c>
      <c r="F1026" s="35">
        <v>3.5147599987417788</v>
      </c>
      <c r="G1026" s="35">
        <v>-6.7152525649730843E-2</v>
      </c>
      <c r="H1026" s="35">
        <v>0.25815697655363518</v>
      </c>
      <c r="I1026" s="35">
        <v>3.1463674982091572</v>
      </c>
      <c r="J1026" t="s">
        <v>2400</v>
      </c>
      <c r="K1026" t="s">
        <v>40</v>
      </c>
    </row>
    <row r="1027" spans="1:11">
      <c r="A1027" s="1">
        <v>40483</v>
      </c>
      <c r="B1027" t="s">
        <v>134</v>
      </c>
      <c r="C1027" t="s">
        <v>2441</v>
      </c>
      <c r="D1027" s="35">
        <v>77.814945423046495</v>
      </c>
      <c r="E1027" s="35">
        <v>0.23673909082172845</v>
      </c>
      <c r="F1027" s="35">
        <v>3.6111033428521955</v>
      </c>
      <c r="G1027" s="35">
        <v>-9.1034986847382593E-2</v>
      </c>
      <c r="H1027" s="35">
        <v>0.32777407766911104</v>
      </c>
      <c r="I1027" s="35">
        <v>4.0116669757353174</v>
      </c>
      <c r="J1027" t="s">
        <v>2400</v>
      </c>
      <c r="K1027" t="s">
        <v>40</v>
      </c>
    </row>
    <row r="1028" spans="1:11">
      <c r="A1028" s="1">
        <v>40513</v>
      </c>
      <c r="B1028" t="s">
        <v>134</v>
      </c>
      <c r="C1028" t="s">
        <v>2441</v>
      </c>
      <c r="D1028" s="35">
        <v>78.150823186655202</v>
      </c>
      <c r="E1028" s="35">
        <v>0.43070769418080596</v>
      </c>
      <c r="F1028" s="35">
        <v>3.5765316229307009</v>
      </c>
      <c r="G1028" s="35">
        <v>9.1165377259296132E-2</v>
      </c>
      <c r="H1028" s="35">
        <v>0.33954231692150982</v>
      </c>
      <c r="I1028" s="35">
        <v>4.1586548404503487</v>
      </c>
      <c r="J1028" t="s">
        <v>2400</v>
      </c>
      <c r="K1028" t="s">
        <v>40</v>
      </c>
    </row>
    <row r="1029" spans="1:11">
      <c r="A1029" s="1">
        <v>40544</v>
      </c>
      <c r="B1029" t="s">
        <v>134</v>
      </c>
      <c r="C1029" t="s">
        <v>2441</v>
      </c>
      <c r="D1029" s="35">
        <v>78.508111879688897</v>
      </c>
      <c r="E1029" s="35">
        <v>0.45613652660514215</v>
      </c>
      <c r="F1029" s="35">
        <v>3.2740271032061452</v>
      </c>
      <c r="G1029" s="35">
        <v>0.11558240907831546</v>
      </c>
      <c r="H1029" s="35">
        <v>0.34055411752682668</v>
      </c>
      <c r="I1029" s="35">
        <v>4.1713021430296982</v>
      </c>
      <c r="J1029" t="s">
        <v>2401</v>
      </c>
      <c r="K1029" t="s">
        <v>40</v>
      </c>
    </row>
    <row r="1030" spans="1:11">
      <c r="A1030" s="1">
        <v>40575</v>
      </c>
      <c r="B1030" t="s">
        <v>134</v>
      </c>
      <c r="C1030" t="s">
        <v>2441</v>
      </c>
      <c r="D1030" s="35">
        <v>78.824086507428405</v>
      </c>
      <c r="E1030" s="35">
        <v>0.40166609987663032</v>
      </c>
      <c r="F1030" s="35">
        <v>3.263067588339208</v>
      </c>
      <c r="G1030" s="35">
        <v>0.12699036627294302</v>
      </c>
      <c r="H1030" s="35">
        <v>0.2746757336036873</v>
      </c>
      <c r="I1030" s="35">
        <v>3.351032253871411</v>
      </c>
      <c r="J1030" t="s">
        <v>2401</v>
      </c>
      <c r="K1030" t="s">
        <v>40</v>
      </c>
    </row>
    <row r="1031" spans="1:11">
      <c r="A1031" s="1">
        <v>40603</v>
      </c>
      <c r="B1031" t="s">
        <v>134</v>
      </c>
      <c r="C1031" t="s">
        <v>2441</v>
      </c>
      <c r="D1031" s="35">
        <v>79.059362439055306</v>
      </c>
      <c r="E1031" s="35">
        <v>0.29803770737579799</v>
      </c>
      <c r="F1031" s="35">
        <v>3.2091217758051682</v>
      </c>
      <c r="G1031" s="35">
        <v>6.1109136241099093E-2</v>
      </c>
      <c r="H1031" s="35">
        <v>0.2369285711346989</v>
      </c>
      <c r="I1031" s="35">
        <v>2.8839459387860922</v>
      </c>
      <c r="J1031" t="s">
        <v>2401</v>
      </c>
      <c r="K1031" t="s">
        <v>40</v>
      </c>
    </row>
    <row r="1032" spans="1:11">
      <c r="A1032" s="1">
        <v>40634</v>
      </c>
      <c r="B1032" t="s">
        <v>134</v>
      </c>
      <c r="C1032" t="s">
        <v>2441</v>
      </c>
      <c r="D1032" s="35">
        <v>79.118986338782307</v>
      </c>
      <c r="E1032" s="35">
        <v>7.538819694548568E-2</v>
      </c>
      <c r="F1032" s="35">
        <v>3.1757703324359232</v>
      </c>
      <c r="G1032" s="35">
        <v>1.5467613080731302E-2</v>
      </c>
      <c r="H1032" s="35">
        <v>5.9920583864754379E-2</v>
      </c>
      <c r="I1032" s="35">
        <v>0.72163835664935672</v>
      </c>
      <c r="J1032" t="s">
        <v>2402</v>
      </c>
      <c r="K1032" t="s">
        <v>40</v>
      </c>
    </row>
    <row r="1033" spans="1:11">
      <c r="A1033" s="1">
        <v>40664</v>
      </c>
      <c r="B1033" t="s">
        <v>134</v>
      </c>
      <c r="C1033" t="s">
        <v>2441</v>
      </c>
      <c r="D1033" s="35">
        <v>79.259856091581696</v>
      </c>
      <c r="E1033" s="35">
        <v>0.17788965721166899</v>
      </c>
      <c r="F1033" s="35">
        <v>3.1190194229892665</v>
      </c>
      <c r="G1033" s="35">
        <v>-9.2177951932252061E-2</v>
      </c>
      <c r="H1033" s="35">
        <v>0.27006760914392103</v>
      </c>
      <c r="I1033" s="35">
        <v>3.2938975220040856</v>
      </c>
      <c r="J1033" t="s">
        <v>2402</v>
      </c>
      <c r="K1033" t="s">
        <v>40</v>
      </c>
    </row>
    <row r="1034" spans="1:11">
      <c r="A1034" s="1">
        <v>40695</v>
      </c>
      <c r="B1034" t="s">
        <v>134</v>
      </c>
      <c r="C1034" t="s">
        <v>2441</v>
      </c>
      <c r="D1034" s="35">
        <v>79.413225287095301</v>
      </c>
      <c r="E1034" s="35">
        <v>0.19331476006325865</v>
      </c>
      <c r="F1034" s="35">
        <v>3.1764990231993417</v>
      </c>
      <c r="G1034" s="35">
        <v>-6.8631876269193037E-2</v>
      </c>
      <c r="H1034" s="35">
        <v>0.26194663633245169</v>
      </c>
      <c r="I1034" s="35">
        <v>3.1932849222937598</v>
      </c>
      <c r="J1034" t="s">
        <v>2402</v>
      </c>
      <c r="K1034" t="s">
        <v>40</v>
      </c>
    </row>
    <row r="1035" spans="1:11">
      <c r="A1035" s="1">
        <v>40725</v>
      </c>
      <c r="B1035" t="s">
        <v>134</v>
      </c>
      <c r="C1035" t="s">
        <v>2441</v>
      </c>
      <c r="D1035" s="35">
        <v>79.591636503597798</v>
      </c>
      <c r="E1035" s="35">
        <v>0.22440985686369722</v>
      </c>
      <c r="F1035" s="35">
        <v>3.1932744089474996</v>
      </c>
      <c r="G1035" s="35">
        <v>-6.3321577930948281E-2</v>
      </c>
      <c r="H1035" s="35">
        <v>0.28773143479464547</v>
      </c>
      <c r="I1035" s="35">
        <v>3.5130775810346737</v>
      </c>
      <c r="J1035" t="s">
        <v>2403</v>
      </c>
      <c r="K1035" t="s">
        <v>40</v>
      </c>
    </row>
    <row r="1036" spans="1:11">
      <c r="A1036" s="1">
        <v>40756</v>
      </c>
      <c r="B1036" t="s">
        <v>134</v>
      </c>
      <c r="C1036" t="s">
        <v>2441</v>
      </c>
      <c r="D1036" s="35">
        <v>79.687015734094302</v>
      </c>
      <c r="E1036" s="35">
        <v>0.119763999201473</v>
      </c>
      <c r="F1036" s="35">
        <v>3.2169767950597672</v>
      </c>
      <c r="G1036" s="35">
        <v>-8.7706074905278902E-2</v>
      </c>
      <c r="H1036" s="35">
        <v>0.20747007410675189</v>
      </c>
      <c r="I1036" s="35">
        <v>2.5208912497073799</v>
      </c>
      <c r="J1036" t="s">
        <v>2403</v>
      </c>
      <c r="K1036" t="s">
        <v>40</v>
      </c>
    </row>
    <row r="1037" spans="1:11">
      <c r="A1037" s="1">
        <v>40787</v>
      </c>
      <c r="B1037" t="s">
        <v>134</v>
      </c>
      <c r="C1037" t="s">
        <v>2441</v>
      </c>
      <c r="D1037" s="35">
        <v>79.898958535706001</v>
      </c>
      <c r="E1037" s="35">
        <v>0.26561598184229535</v>
      </c>
      <c r="F1037" s="35">
        <v>3.1183055023676021</v>
      </c>
      <c r="G1037" s="35">
        <v>5.9710091602400539E-2</v>
      </c>
      <c r="H1037" s="35">
        <v>0.20590589023989481</v>
      </c>
      <c r="I1037" s="35">
        <v>2.5016496727127135</v>
      </c>
      <c r="J1037" t="s">
        <v>2403</v>
      </c>
      <c r="K1037" t="s">
        <v>40</v>
      </c>
    </row>
    <row r="1038" spans="1:11">
      <c r="A1038" s="1">
        <v>40817</v>
      </c>
      <c r="B1038" t="s">
        <v>134</v>
      </c>
      <c r="C1038" t="s">
        <v>2441</v>
      </c>
      <c r="D1038" s="35">
        <v>80.106073710676199</v>
      </c>
      <c r="E1038" s="35">
        <v>0.25888597094676069</v>
      </c>
      <c r="F1038" s="35">
        <v>3.1883275389076537</v>
      </c>
      <c r="G1038" s="35">
        <v>-6.7152525649730843E-2</v>
      </c>
      <c r="H1038" s="35">
        <v>0.32603849659649153</v>
      </c>
      <c r="I1038" s="35">
        <v>3.990006749734154</v>
      </c>
      <c r="J1038" t="s">
        <v>2404</v>
      </c>
      <c r="K1038" t="s">
        <v>40</v>
      </c>
    </row>
    <row r="1039" spans="1:11">
      <c r="A1039" s="1">
        <v>40848</v>
      </c>
      <c r="B1039" t="s">
        <v>134</v>
      </c>
      <c r="C1039" t="s">
        <v>2441</v>
      </c>
      <c r="D1039" s="35">
        <v>80.364584818471997</v>
      </c>
      <c r="E1039" s="35">
        <v>0.32219140096148968</v>
      </c>
      <c r="F1039" s="35">
        <v>3.2765420338781936</v>
      </c>
      <c r="G1039" s="35">
        <v>-9.1034986847382593E-2</v>
      </c>
      <c r="H1039" s="35">
        <v>0.41322638780887228</v>
      </c>
      <c r="I1039" s="35">
        <v>5.0837186061334805</v>
      </c>
      <c r="J1039" t="s">
        <v>2404</v>
      </c>
      <c r="K1039" t="s">
        <v>40</v>
      </c>
    </row>
    <row r="1040" spans="1:11">
      <c r="A1040" s="1">
        <v>40878</v>
      </c>
      <c r="B1040" t="s">
        <v>134</v>
      </c>
      <c r="C1040" t="s">
        <v>2441</v>
      </c>
      <c r="D1040" s="35">
        <v>80.771268913896293</v>
      </c>
      <c r="E1040" s="35">
        <v>0.50477277342659221</v>
      </c>
      <c r="F1040" s="35">
        <v>3.3530622204483107</v>
      </c>
      <c r="G1040" s="35">
        <v>9.1165377259296132E-2</v>
      </c>
      <c r="H1040" s="35">
        <v>0.41360739616729608</v>
      </c>
      <c r="I1040" s="35">
        <v>5.0885232489839893</v>
      </c>
      <c r="J1040" t="s">
        <v>2404</v>
      </c>
      <c r="K1040" t="s">
        <v>40</v>
      </c>
    </row>
    <row r="1041" spans="1:11">
      <c r="A1041" s="1">
        <v>40909</v>
      </c>
      <c r="B1041" t="s">
        <v>134</v>
      </c>
      <c r="C1041" t="s">
        <v>2441</v>
      </c>
      <c r="D1041" s="35">
        <v>81.133182184576299</v>
      </c>
      <c r="E1041" s="35">
        <v>0.44707093724520913</v>
      </c>
      <c r="F1041" s="35">
        <v>3.3436930809267684</v>
      </c>
      <c r="G1041" s="35">
        <v>0.11558240907831546</v>
      </c>
      <c r="H1041" s="35">
        <v>0.33148852816689367</v>
      </c>
      <c r="I1041" s="35">
        <v>4.0580388523107525</v>
      </c>
      <c r="J1041" t="s">
        <v>2405</v>
      </c>
      <c r="K1041" t="s">
        <v>40</v>
      </c>
    </row>
    <row r="1042" spans="1:11">
      <c r="A1042" s="1">
        <v>40940</v>
      </c>
      <c r="B1042" t="s">
        <v>134</v>
      </c>
      <c r="C1042" t="s">
        <v>2441</v>
      </c>
      <c r="D1042" s="35">
        <v>81.478175951844804</v>
      </c>
      <c r="E1042" s="35">
        <v>0.42431757392998642</v>
      </c>
      <c r="F1042" s="35">
        <v>3.3671046021780171</v>
      </c>
      <c r="G1042" s="35">
        <v>0.12699036627294302</v>
      </c>
      <c r="H1042" s="35">
        <v>0.2973272076570434</v>
      </c>
      <c r="I1042" s="35">
        <v>3.632340790907751</v>
      </c>
      <c r="J1042" t="s">
        <v>2405</v>
      </c>
      <c r="K1042" t="s">
        <v>40</v>
      </c>
    </row>
    <row r="1043" spans="1:11">
      <c r="A1043" s="1">
        <v>40969</v>
      </c>
      <c r="B1043" t="s">
        <v>134</v>
      </c>
      <c r="C1043" t="s">
        <v>2441</v>
      </c>
      <c r="D1043" s="35">
        <v>81.677294482163504</v>
      </c>
      <c r="E1043" s="35">
        <v>0.24408452704259084</v>
      </c>
      <c r="F1043" s="35">
        <v>3.3113498039227141</v>
      </c>
      <c r="G1043" s="35">
        <v>6.1109136241099093E-2</v>
      </c>
      <c r="H1043" s="35">
        <v>0.18297539080149175</v>
      </c>
      <c r="I1043" s="35">
        <v>2.2199876870024227</v>
      </c>
      <c r="J1043" t="s">
        <v>2405</v>
      </c>
      <c r="K1043" t="s">
        <v>40</v>
      </c>
    </row>
    <row r="1044" spans="1:11">
      <c r="A1044" s="1">
        <v>41000</v>
      </c>
      <c r="B1044" t="s">
        <v>134</v>
      </c>
      <c r="C1044" t="s">
        <v>2441</v>
      </c>
      <c r="D1044" s="35">
        <v>81.800316100672504</v>
      </c>
      <c r="E1044" s="35">
        <v>0.15050579867514979</v>
      </c>
      <c r="F1044" s="35">
        <v>3.3889839670201427</v>
      </c>
      <c r="G1044" s="35">
        <v>1.5467613080731302E-2</v>
      </c>
      <c r="H1044" s="35">
        <v>0.13503818559441849</v>
      </c>
      <c r="I1044" s="35">
        <v>1.6336588586446377</v>
      </c>
      <c r="J1044" t="s">
        <v>2406</v>
      </c>
      <c r="K1044" t="s">
        <v>40</v>
      </c>
    </row>
    <row r="1045" spans="1:11">
      <c r="A1045" s="1">
        <v>41030</v>
      </c>
      <c r="B1045" t="s">
        <v>134</v>
      </c>
      <c r="C1045" t="s">
        <v>2441</v>
      </c>
      <c r="D1045" s="35">
        <v>82.017577718921601</v>
      </c>
      <c r="E1045" s="35">
        <v>0.26524788051495829</v>
      </c>
      <c r="F1045" s="35">
        <v>3.4793422084358427</v>
      </c>
      <c r="G1045" s="35">
        <v>-9.2177951932252061E-2</v>
      </c>
      <c r="H1045" s="35">
        <v>0.35742583244721038</v>
      </c>
      <c r="I1045" s="35">
        <v>4.3824216092783308</v>
      </c>
      <c r="J1045" t="s">
        <v>2406</v>
      </c>
      <c r="K1045" t="s">
        <v>40</v>
      </c>
    </row>
    <row r="1046" spans="1:11">
      <c r="A1046" s="1">
        <v>41061</v>
      </c>
      <c r="B1046" t="s">
        <v>134</v>
      </c>
      <c r="C1046" t="s">
        <v>2441</v>
      </c>
      <c r="D1046" s="35">
        <v>82.194640995307907</v>
      </c>
      <c r="E1046" s="35">
        <v>0.21565185147994803</v>
      </c>
      <c r="F1046" s="35">
        <v>3.5024590654229248</v>
      </c>
      <c r="G1046" s="35">
        <v>-6.8631876269193037E-2</v>
      </c>
      <c r="H1046" s="35">
        <v>0.28428372774914107</v>
      </c>
      <c r="I1046" s="35">
        <v>3.4702605068637649</v>
      </c>
      <c r="J1046" t="s">
        <v>2406</v>
      </c>
      <c r="K1046" t="s">
        <v>40</v>
      </c>
    </row>
    <row r="1047" spans="1:11">
      <c r="A1047" s="1">
        <v>41091</v>
      </c>
      <c r="B1047" t="s">
        <v>134</v>
      </c>
      <c r="C1047" t="s">
        <v>2441</v>
      </c>
      <c r="D1047" s="35">
        <v>82.450633434713296</v>
      </c>
      <c r="E1047" s="35">
        <v>0.31096263961907017</v>
      </c>
      <c r="F1047" s="35">
        <v>3.5920821039862272</v>
      </c>
      <c r="G1047" s="35">
        <v>-6.3321577930948281E-2</v>
      </c>
      <c r="H1047" s="35">
        <v>0.37428421755001845</v>
      </c>
      <c r="I1047" s="35">
        <v>4.5938016361160461</v>
      </c>
      <c r="J1047" t="s">
        <v>2407</v>
      </c>
      <c r="K1047" t="s">
        <v>40</v>
      </c>
    </row>
    <row r="1048" spans="1:11">
      <c r="A1048" s="1">
        <v>41122</v>
      </c>
      <c r="B1048" t="s">
        <v>134</v>
      </c>
      <c r="C1048" t="s">
        <v>2441</v>
      </c>
      <c r="D1048" s="35">
        <v>82.635630076969704</v>
      </c>
      <c r="E1048" s="35">
        <v>0.22412127545711666</v>
      </c>
      <c r="F1048" s="35">
        <v>3.7002444070870499</v>
      </c>
      <c r="G1048" s="35">
        <v>-8.7706074905278902E-2</v>
      </c>
      <c r="H1048" s="35">
        <v>0.31182735036239556</v>
      </c>
      <c r="I1048" s="35">
        <v>3.8128198113080103</v>
      </c>
      <c r="J1048" t="s">
        <v>2407</v>
      </c>
      <c r="K1048" t="s">
        <v>40</v>
      </c>
    </row>
    <row r="1049" spans="1:11">
      <c r="A1049" s="1">
        <v>41153</v>
      </c>
      <c r="B1049" t="s">
        <v>134</v>
      </c>
      <c r="C1049" t="s">
        <v>2441</v>
      </c>
      <c r="D1049" s="35">
        <v>82.781926734818001</v>
      </c>
      <c r="E1049" s="35">
        <v>0.17688170326214517</v>
      </c>
      <c r="F1049" s="35">
        <v>3.6082675568588796</v>
      </c>
      <c r="G1049" s="35">
        <v>5.9710091602400539E-2</v>
      </c>
      <c r="H1049" s="35">
        <v>0.11717161165974463</v>
      </c>
      <c r="I1049" s="35">
        <v>1.4159908472911154</v>
      </c>
      <c r="J1049" t="s">
        <v>2407</v>
      </c>
      <c r="K1049" t="s">
        <v>40</v>
      </c>
    </row>
    <row r="1050" spans="1:11">
      <c r="A1050" s="1">
        <v>41183</v>
      </c>
      <c r="B1050" t="s">
        <v>134</v>
      </c>
      <c r="C1050" t="s">
        <v>2441</v>
      </c>
      <c r="D1050" s="35">
        <v>82.970474436260403</v>
      </c>
      <c r="E1050" s="35">
        <v>0.22750534102081696</v>
      </c>
      <c r="F1050" s="35">
        <v>3.5757597306912414</v>
      </c>
      <c r="G1050" s="35">
        <v>-6.7152525649730843E-2</v>
      </c>
      <c r="H1050" s="35">
        <v>0.29465786667054783</v>
      </c>
      <c r="I1050" s="35">
        <v>3.5991505003877489</v>
      </c>
      <c r="J1050" t="s">
        <v>2408</v>
      </c>
      <c r="K1050" t="s">
        <v>40</v>
      </c>
    </row>
    <row r="1051" spans="1:11">
      <c r="A1051" s="1">
        <v>41214</v>
      </c>
      <c r="B1051" t="s">
        <v>134</v>
      </c>
      <c r="C1051" t="s">
        <v>2441</v>
      </c>
      <c r="D1051" s="35">
        <v>83.013381649786794</v>
      </c>
      <c r="E1051" s="35">
        <v>5.170046713444211E-2</v>
      </c>
      <c r="F1051" s="35">
        <v>3.2959752573822332</v>
      </c>
      <c r="G1051" s="35">
        <v>-9.1034986847382593E-2</v>
      </c>
      <c r="H1051" s="35">
        <v>0.14273545398182469</v>
      </c>
      <c r="I1051" s="35">
        <v>1.7275784133398364</v>
      </c>
      <c r="J1051" t="s">
        <v>2408</v>
      </c>
      <c r="K1051" t="s">
        <v>40</v>
      </c>
    </row>
    <row r="1052" spans="1:11">
      <c r="A1052" s="1">
        <v>41244</v>
      </c>
      <c r="B1052" t="s">
        <v>134</v>
      </c>
      <c r="C1052" t="s">
        <v>2441</v>
      </c>
      <c r="D1052" s="35">
        <v>83.113736730984101</v>
      </c>
      <c r="E1052" s="35">
        <v>0.12081723246951542</v>
      </c>
      <c r="F1052" s="35">
        <v>2.9001250674728363</v>
      </c>
      <c r="G1052" s="35">
        <v>9.1165377259296132E-2</v>
      </c>
      <c r="H1052" s="35">
        <v>2.9651855210219291E-2</v>
      </c>
      <c r="I1052" s="35">
        <v>0.35645606144476538</v>
      </c>
      <c r="J1052" t="s">
        <v>2408</v>
      </c>
      <c r="K1052" t="s">
        <v>40</v>
      </c>
    </row>
    <row r="1053" spans="1:11">
      <c r="A1053" s="1">
        <v>41275</v>
      </c>
      <c r="B1053" t="s">
        <v>134</v>
      </c>
      <c r="C1053" t="s">
        <v>2441</v>
      </c>
      <c r="D1053" s="35">
        <v>83.466489108412105</v>
      </c>
      <c r="E1053" s="35">
        <v>0.42352314379740841</v>
      </c>
      <c r="F1053" s="35">
        <v>2.8758972112391534</v>
      </c>
      <c r="G1053" s="35">
        <v>0.11558240907831546</v>
      </c>
      <c r="H1053" s="35">
        <v>0.30794073471909295</v>
      </c>
      <c r="I1053" s="35">
        <v>3.7644134368693072</v>
      </c>
      <c r="J1053" t="s">
        <v>2409</v>
      </c>
      <c r="K1053" t="s">
        <v>40</v>
      </c>
    </row>
    <row r="1054" spans="1:11">
      <c r="A1054" s="1">
        <v>41306</v>
      </c>
      <c r="B1054" t="s">
        <v>134</v>
      </c>
      <c r="C1054" t="s">
        <v>2441</v>
      </c>
      <c r="D1054" s="35">
        <v>83.891258852078806</v>
      </c>
      <c r="E1054" s="35">
        <v>0.50761994703917246</v>
      </c>
      <c r="F1054" s="35">
        <v>2.9616309791473228</v>
      </c>
      <c r="G1054" s="35">
        <v>0.12699036627294302</v>
      </c>
      <c r="H1054" s="35">
        <v>0.38062958076622944</v>
      </c>
      <c r="I1054" s="35">
        <v>4.6734742447504196</v>
      </c>
      <c r="J1054" t="s">
        <v>2409</v>
      </c>
      <c r="K1054" t="s">
        <v>40</v>
      </c>
    </row>
    <row r="1055" spans="1:11">
      <c r="A1055" s="1">
        <v>41334</v>
      </c>
      <c r="B1055" t="s">
        <v>134</v>
      </c>
      <c r="C1055" t="s">
        <v>2441</v>
      </c>
      <c r="D1055" s="35">
        <v>84.143653962464199</v>
      </c>
      <c r="E1055" s="35">
        <v>0.30040816633828155</v>
      </c>
      <c r="F1055" s="35">
        <v>3.0196390513881344</v>
      </c>
      <c r="G1055" s="35">
        <v>6.1109136241099093E-2</v>
      </c>
      <c r="H1055" s="35">
        <v>0.23929903009718245</v>
      </c>
      <c r="I1055" s="35">
        <v>2.9132159622016429</v>
      </c>
      <c r="J1055" t="s">
        <v>2409</v>
      </c>
      <c r="K1055" t="s">
        <v>40</v>
      </c>
    </row>
    <row r="1056" spans="1:11">
      <c r="A1056" s="1">
        <v>41365</v>
      </c>
      <c r="B1056" t="s">
        <v>134</v>
      </c>
      <c r="C1056" t="s">
        <v>2441</v>
      </c>
      <c r="D1056" s="35">
        <v>84.2110006163675</v>
      </c>
      <c r="E1056" s="35">
        <v>8.0005697097123102E-2</v>
      </c>
      <c r="F1056" s="35">
        <v>2.9470356969380607</v>
      </c>
      <c r="G1056" s="35">
        <v>1.5467613080731302E-2</v>
      </c>
      <c r="H1056" s="35">
        <v>6.45380840163918E-2</v>
      </c>
      <c r="I1056" s="35">
        <v>0.7774636832744708</v>
      </c>
      <c r="J1056" t="s">
        <v>2410</v>
      </c>
      <c r="K1056" t="s">
        <v>40</v>
      </c>
    </row>
    <row r="1057" spans="1:11">
      <c r="A1057" s="1">
        <v>41395</v>
      </c>
      <c r="B1057" t="s">
        <v>134</v>
      </c>
      <c r="C1057" t="s">
        <v>2441</v>
      </c>
      <c r="D1057" s="35">
        <v>84.377260424392304</v>
      </c>
      <c r="E1057" s="35">
        <v>0.19723776839277127</v>
      </c>
      <c r="F1057" s="35">
        <v>2.8770451055716961</v>
      </c>
      <c r="G1057" s="35">
        <v>-9.2177951932252061E-2</v>
      </c>
      <c r="H1057" s="35">
        <v>0.28941572032502333</v>
      </c>
      <c r="I1057" s="35">
        <v>3.5340011648937741</v>
      </c>
      <c r="J1057" t="s">
        <v>2410</v>
      </c>
      <c r="K1057" t="s">
        <v>40</v>
      </c>
    </row>
    <row r="1058" spans="1:11">
      <c r="A1058" s="1">
        <v>41426</v>
      </c>
      <c r="B1058" t="s">
        <v>134</v>
      </c>
      <c r="C1058" t="s">
        <v>2441</v>
      </c>
      <c r="D1058" s="35">
        <v>84.485573925848101</v>
      </c>
      <c r="E1058" s="35">
        <v>0.12828579684463071</v>
      </c>
      <c r="F1058" s="35">
        <v>2.7872047408431078</v>
      </c>
      <c r="G1058" s="35">
        <v>-6.8631876269193037E-2</v>
      </c>
      <c r="H1058" s="35">
        <v>0.19691767311382374</v>
      </c>
      <c r="I1058" s="35">
        <v>2.3911524238561466</v>
      </c>
      <c r="J1058" t="s">
        <v>2410</v>
      </c>
      <c r="K1058" t="s">
        <v>40</v>
      </c>
    </row>
    <row r="1059" spans="1:11">
      <c r="A1059" s="1">
        <v>41456</v>
      </c>
      <c r="B1059" t="s">
        <v>134</v>
      </c>
      <c r="C1059" t="s">
        <v>2441</v>
      </c>
      <c r="D1059" s="35">
        <v>84.5142658816916</v>
      </c>
      <c r="E1059" s="35">
        <v>3.3955009841239628E-2</v>
      </c>
      <c r="F1059" s="35">
        <v>2.5028703370876482</v>
      </c>
      <c r="G1059" s="35">
        <v>-6.3321577930948281E-2</v>
      </c>
      <c r="H1059" s="35">
        <v>9.7276587772187909E-2</v>
      </c>
      <c r="I1059" s="35">
        <v>1.1741588101460199</v>
      </c>
      <c r="J1059" t="s">
        <v>2411</v>
      </c>
      <c r="K1059" t="s">
        <v>40</v>
      </c>
    </row>
    <row r="1060" spans="1:11">
      <c r="A1060" s="1">
        <v>41487</v>
      </c>
      <c r="B1060" t="s">
        <v>134</v>
      </c>
      <c r="C1060" t="s">
        <v>2441</v>
      </c>
      <c r="D1060" s="35">
        <v>84.590638506335793</v>
      </c>
      <c r="E1060" s="35">
        <v>9.0325742015723284E-2</v>
      </c>
      <c r="F1060" s="35">
        <v>2.3658177804720903</v>
      </c>
      <c r="G1060" s="35">
        <v>-8.7706074905278902E-2</v>
      </c>
      <c r="H1060" s="35">
        <v>0.17803181692100217</v>
      </c>
      <c r="I1060" s="35">
        <v>2.159365822756909</v>
      </c>
      <c r="J1060" t="s">
        <v>2411</v>
      </c>
      <c r="K1060" t="s">
        <v>40</v>
      </c>
    </row>
    <row r="1061" spans="1:11">
      <c r="A1061" s="1">
        <v>41518</v>
      </c>
      <c r="B1061" t="s">
        <v>134</v>
      </c>
      <c r="C1061" t="s">
        <v>2441</v>
      </c>
      <c r="D1061" s="35">
        <v>84.8646543799927</v>
      </c>
      <c r="E1061" s="35">
        <v>0.32340814833656845</v>
      </c>
      <c r="F1061" s="35">
        <v>2.5159207176301601</v>
      </c>
      <c r="G1061" s="35">
        <v>5.9710091602400539E-2</v>
      </c>
      <c r="H1061" s="35">
        <v>0.26369805673416791</v>
      </c>
      <c r="I1061" s="35">
        <v>3.2149753805045478</v>
      </c>
      <c r="J1061" t="s">
        <v>2411</v>
      </c>
      <c r="K1061" t="s">
        <v>40</v>
      </c>
    </row>
    <row r="1062" spans="1:11">
      <c r="A1062" s="1">
        <v>41548</v>
      </c>
      <c r="B1062" t="s">
        <v>134</v>
      </c>
      <c r="C1062" t="s">
        <v>2441</v>
      </c>
      <c r="D1062" s="35">
        <v>85.027682942087793</v>
      </c>
      <c r="E1062" s="35">
        <v>0.1919199119930034</v>
      </c>
      <c r="F1062" s="35">
        <v>2.479446477563263</v>
      </c>
      <c r="G1062" s="35">
        <v>-6.7152525649730843E-2</v>
      </c>
      <c r="H1062" s="35">
        <v>0.25907243764273424</v>
      </c>
      <c r="I1062" s="35">
        <v>3.157699298938299</v>
      </c>
      <c r="J1062" t="s">
        <v>2412</v>
      </c>
      <c r="K1062" t="s">
        <v>40</v>
      </c>
    </row>
    <row r="1063" spans="1:11">
      <c r="A1063" s="1">
        <v>41579</v>
      </c>
      <c r="B1063" t="s">
        <v>134</v>
      </c>
      <c r="C1063" t="s">
        <v>2441</v>
      </c>
      <c r="D1063" s="35">
        <v>85.142664164219497</v>
      </c>
      <c r="E1063" s="35">
        <v>0.13513663406705884</v>
      </c>
      <c r="F1063" s="35">
        <v>2.5649870805355635</v>
      </c>
      <c r="G1063" s="35">
        <v>-9.1034986847382593E-2</v>
      </c>
      <c r="H1063" s="35">
        <v>0.22617162091444143</v>
      </c>
      <c r="I1063" s="35">
        <v>2.7512255190405455</v>
      </c>
      <c r="J1063" t="s">
        <v>2412</v>
      </c>
      <c r="K1063" t="s">
        <v>40</v>
      </c>
    </row>
    <row r="1064" spans="1:11">
      <c r="A1064" s="1">
        <v>41609</v>
      </c>
      <c r="B1064" t="s">
        <v>134</v>
      </c>
      <c r="C1064" t="s">
        <v>2441</v>
      </c>
      <c r="D1064" s="35">
        <v>85.421719341550101</v>
      </c>
      <c r="E1064" s="35">
        <v>0.3272141822106337</v>
      </c>
      <c r="F1064" s="35">
        <v>2.7768966976377207</v>
      </c>
      <c r="G1064" s="35">
        <v>9.1165377259296132E-2</v>
      </c>
      <c r="H1064" s="35">
        <v>0.23604880495133757</v>
      </c>
      <c r="I1064" s="35">
        <v>2.8730848541353549</v>
      </c>
      <c r="J1064" t="s">
        <v>2412</v>
      </c>
      <c r="K1064" t="s">
        <v>40</v>
      </c>
    </row>
    <row r="1065" spans="1:11">
      <c r="A1065" s="1">
        <v>41640</v>
      </c>
      <c r="B1065" t="s">
        <v>134</v>
      </c>
      <c r="C1065" t="s">
        <v>2441</v>
      </c>
      <c r="D1065" s="35">
        <v>86.149899128566304</v>
      </c>
      <c r="E1065" s="35">
        <v>0.84883987898896718</v>
      </c>
      <c r="F1065" s="35">
        <v>3.214954946372317</v>
      </c>
      <c r="G1065" s="35">
        <v>0.11558240907831546</v>
      </c>
      <c r="H1065" s="35">
        <v>0.73325746991065177</v>
      </c>
      <c r="I1065" s="35">
        <v>9.1978181038671281</v>
      </c>
      <c r="J1065" t="s">
        <v>2413</v>
      </c>
      <c r="K1065" t="s">
        <v>40</v>
      </c>
    </row>
    <row r="1066" spans="1:11">
      <c r="A1066" s="1">
        <v>41671</v>
      </c>
      <c r="B1066" t="s">
        <v>134</v>
      </c>
      <c r="C1066" t="s">
        <v>2441</v>
      </c>
      <c r="D1066" s="35">
        <v>86.392560022296195</v>
      </c>
      <c r="E1066" s="35">
        <v>0.28127691573638458</v>
      </c>
      <c r="F1066" s="35">
        <v>2.9815992803586377</v>
      </c>
      <c r="G1066" s="35">
        <v>0.12699036627294302</v>
      </c>
      <c r="H1066" s="35">
        <v>0.15428654946344156</v>
      </c>
      <c r="I1066" s="35">
        <v>1.8686839827452006</v>
      </c>
      <c r="J1066" t="s">
        <v>2413</v>
      </c>
      <c r="K1066" t="s">
        <v>40</v>
      </c>
    </row>
    <row r="1067" spans="1:11">
      <c r="A1067" s="1">
        <v>41699</v>
      </c>
      <c r="B1067" t="s">
        <v>134</v>
      </c>
      <c r="C1067" t="s">
        <v>2441</v>
      </c>
      <c r="D1067" s="35">
        <v>86.578119376829406</v>
      </c>
      <c r="E1067" s="35">
        <v>0.21455593093795486</v>
      </c>
      <c r="F1067" s="35">
        <v>2.8932252163083039</v>
      </c>
      <c r="G1067" s="35">
        <v>6.1109136241099093E-2</v>
      </c>
      <c r="H1067" s="35">
        <v>0.15344679469685577</v>
      </c>
      <c r="I1067" s="35">
        <v>1.858419134398348</v>
      </c>
      <c r="J1067" t="s">
        <v>2413</v>
      </c>
      <c r="K1067" t="s">
        <v>40</v>
      </c>
    </row>
    <row r="1068" spans="1:11">
      <c r="A1068" s="1">
        <v>41730</v>
      </c>
      <c r="B1068" t="s">
        <v>134</v>
      </c>
      <c r="C1068" t="s">
        <v>2441</v>
      </c>
      <c r="D1068" s="35">
        <v>86.8300868580246</v>
      </c>
      <c r="E1068" s="35">
        <v>0.29060638362222108</v>
      </c>
      <c r="F1068" s="35">
        <v>3.1101473946244074</v>
      </c>
      <c r="G1068" s="35">
        <v>1.5467613080731302E-2</v>
      </c>
      <c r="H1068" s="35">
        <v>0.27513877054148977</v>
      </c>
      <c r="I1068" s="35">
        <v>3.3567750548769038</v>
      </c>
      <c r="J1068" t="s">
        <v>2414</v>
      </c>
      <c r="K1068" t="s">
        <v>40</v>
      </c>
    </row>
    <row r="1069" spans="1:11">
      <c r="A1069" s="1">
        <v>41760</v>
      </c>
      <c r="B1069" t="s">
        <v>134</v>
      </c>
      <c r="C1069" t="s">
        <v>2441</v>
      </c>
      <c r="D1069" s="35">
        <v>86.911554603451506</v>
      </c>
      <c r="E1069" s="35">
        <v>9.378034040931485E-2</v>
      </c>
      <c r="F1069" s="35">
        <v>3.0035274507757892</v>
      </c>
      <c r="G1069" s="35">
        <v>-9.2177951932252061E-2</v>
      </c>
      <c r="H1069" s="35">
        <v>0.18595829234156691</v>
      </c>
      <c r="I1069" s="35">
        <v>2.2565836953928109</v>
      </c>
      <c r="J1069" t="s">
        <v>2414</v>
      </c>
      <c r="K1069" t="s">
        <v>40</v>
      </c>
    </row>
    <row r="1070" spans="1:11">
      <c r="A1070" s="1">
        <v>41791</v>
      </c>
      <c r="B1070" t="s">
        <v>134</v>
      </c>
      <c r="C1070" t="s">
        <v>2441</v>
      </c>
      <c r="D1070" s="35">
        <v>87.096253976009507</v>
      </c>
      <c r="E1070" s="35">
        <v>0.21228868224984943</v>
      </c>
      <c r="F1070" s="35">
        <v>3.0900897382229564</v>
      </c>
      <c r="G1070" s="35">
        <v>-6.8631876269193037E-2</v>
      </c>
      <c r="H1070" s="35">
        <v>0.28092055851904246</v>
      </c>
      <c r="I1070" s="35">
        <v>3.4285103726324095</v>
      </c>
      <c r="J1070" t="s">
        <v>2414</v>
      </c>
      <c r="K1070" t="s">
        <v>40</v>
      </c>
    </row>
    <row r="1071" spans="1:11">
      <c r="A1071" s="1">
        <v>41821</v>
      </c>
      <c r="B1071" t="s">
        <v>134</v>
      </c>
      <c r="C1071" t="s">
        <v>2441</v>
      </c>
      <c r="D1071" s="35">
        <v>87.259947963349305</v>
      </c>
      <c r="E1071" s="35">
        <v>0.18776967336326433</v>
      </c>
      <c r="F1071" s="35">
        <v>3.2487794255957825</v>
      </c>
      <c r="G1071" s="35">
        <v>-6.3321577930948281E-2</v>
      </c>
      <c r="H1071" s="35">
        <v>0.25109125129421261</v>
      </c>
      <c r="I1071" s="35">
        <v>3.0589480970246941</v>
      </c>
      <c r="J1071" t="s">
        <v>2415</v>
      </c>
      <c r="K1071" t="s">
        <v>40</v>
      </c>
    </row>
    <row r="1072" spans="1:11">
      <c r="A1072" s="1">
        <v>41852</v>
      </c>
      <c r="B1072" t="s">
        <v>134</v>
      </c>
      <c r="C1072" t="s">
        <v>2441</v>
      </c>
      <c r="D1072" s="35">
        <v>87.445215909892596</v>
      </c>
      <c r="E1072" s="35">
        <v>0.21209220367075682</v>
      </c>
      <c r="F1072" s="35">
        <v>3.3745783859321365</v>
      </c>
      <c r="G1072" s="35">
        <v>-8.7706074905278902E-2</v>
      </c>
      <c r="H1072" s="35">
        <v>0.29979827857603569</v>
      </c>
      <c r="I1072" s="35">
        <v>3.6630752911417819</v>
      </c>
      <c r="J1072" t="s">
        <v>2415</v>
      </c>
      <c r="K1072" t="s">
        <v>40</v>
      </c>
    </row>
    <row r="1073" spans="1:11">
      <c r="A1073" s="1">
        <v>41883</v>
      </c>
      <c r="B1073" t="s">
        <v>134</v>
      </c>
      <c r="C1073" t="s">
        <v>2441</v>
      </c>
      <c r="D1073" s="35">
        <v>87.701417958490694</v>
      </c>
      <c r="E1073" s="35">
        <v>0.29255741395105828</v>
      </c>
      <c r="F1073" s="35">
        <v>3.3426914882561221</v>
      </c>
      <c r="G1073" s="35">
        <v>5.9710091602400539E-2</v>
      </c>
      <c r="H1073" s="35">
        <v>0.23284732234865774</v>
      </c>
      <c r="I1073" s="35">
        <v>2.8335708778464808</v>
      </c>
      <c r="J1073" t="s">
        <v>2415</v>
      </c>
      <c r="K1073" t="s">
        <v>40</v>
      </c>
    </row>
    <row r="1074" spans="1:11">
      <c r="A1074" s="1">
        <v>41913</v>
      </c>
      <c r="B1074" t="s">
        <v>134</v>
      </c>
      <c r="C1074" t="s">
        <v>2441</v>
      </c>
      <c r="D1074" s="35">
        <v>87.847485756167799</v>
      </c>
      <c r="E1074" s="35">
        <v>0.16641269560253638</v>
      </c>
      <c r="F1074" s="35">
        <v>3.3163350058598828</v>
      </c>
      <c r="G1074" s="35">
        <v>-6.7152525649730843E-2</v>
      </c>
      <c r="H1074" s="35">
        <v>0.23356522125226722</v>
      </c>
      <c r="I1074" s="35">
        <v>2.842430152379305</v>
      </c>
      <c r="J1074" t="s">
        <v>2416</v>
      </c>
      <c r="K1074" t="s">
        <v>40</v>
      </c>
    </row>
    <row r="1075" spans="1:11">
      <c r="A1075" s="1">
        <v>41944</v>
      </c>
      <c r="B1075" t="s">
        <v>134</v>
      </c>
      <c r="C1075" t="s">
        <v>2441</v>
      </c>
      <c r="D1075" s="35">
        <v>87.989243382163906</v>
      </c>
      <c r="E1075" s="35">
        <v>0.16123782261207542</v>
      </c>
      <c r="F1075" s="35">
        <v>3.3433053168903104</v>
      </c>
      <c r="G1075" s="35">
        <v>-9.1034986847382593E-2</v>
      </c>
      <c r="H1075" s="35">
        <v>0.25227280945945801</v>
      </c>
      <c r="I1075" s="35">
        <v>3.0735615499939639</v>
      </c>
      <c r="J1075" t="s">
        <v>2416</v>
      </c>
      <c r="K1075" t="s">
        <v>40</v>
      </c>
    </row>
    <row r="1076" spans="1:11">
      <c r="A1076" s="1">
        <v>41974</v>
      </c>
      <c r="B1076" t="s">
        <v>134</v>
      </c>
      <c r="C1076" t="s">
        <v>2441</v>
      </c>
      <c r="D1076" s="35">
        <v>88.193498439979095</v>
      </c>
      <c r="E1076" s="35">
        <v>0.23186737499165228</v>
      </c>
      <c r="F1076" s="35">
        <v>3.2448177346399598</v>
      </c>
      <c r="G1076" s="35">
        <v>9.1165377259296132E-2</v>
      </c>
      <c r="H1076" s="35">
        <v>0.14070199773235614</v>
      </c>
      <c r="I1076" s="35">
        <v>1.7027584120780315</v>
      </c>
      <c r="J1076" t="s">
        <v>2416</v>
      </c>
      <c r="K1076" t="s">
        <v>40</v>
      </c>
    </row>
    <row r="1077" spans="1:11">
      <c r="A1077" s="1">
        <v>42005</v>
      </c>
      <c r="B1077" t="s">
        <v>134</v>
      </c>
      <c r="C1077" t="s">
        <v>2441</v>
      </c>
      <c r="D1077" s="35">
        <v>88.164428225716605</v>
      </c>
      <c r="E1077" s="35">
        <v>-3.2967289960129272E-2</v>
      </c>
      <c r="F1077" s="35">
        <v>2.3383998327658029</v>
      </c>
      <c r="G1077" s="35">
        <v>0.11558240907831546</v>
      </c>
      <c r="H1077" s="35">
        <v>-0.14854969903844473</v>
      </c>
      <c r="I1077" s="35">
        <v>-1.7668021275954238</v>
      </c>
      <c r="J1077" t="s">
        <v>2417</v>
      </c>
      <c r="K1077" t="s">
        <v>40</v>
      </c>
    </row>
    <row r="1078" spans="1:11">
      <c r="A1078" s="1">
        <v>42036</v>
      </c>
      <c r="B1078" t="s">
        <v>134</v>
      </c>
      <c r="C1078" t="s">
        <v>2441</v>
      </c>
      <c r="D1078" s="35">
        <v>88.464176432064406</v>
      </c>
      <c r="E1078" s="35">
        <v>0.33941104238062569</v>
      </c>
      <c r="F1078" s="35">
        <v>2.3979106641053072</v>
      </c>
      <c r="G1078" s="35">
        <v>0.12699036627294302</v>
      </c>
      <c r="H1078" s="35">
        <v>0.21242067610768267</v>
      </c>
      <c r="I1078" s="35">
        <v>2.5818141597434119</v>
      </c>
      <c r="J1078" t="s">
        <v>2417</v>
      </c>
      <c r="K1078" t="s">
        <v>40</v>
      </c>
    </row>
    <row r="1079" spans="1:11">
      <c r="A1079" s="1">
        <v>42064</v>
      </c>
      <c r="B1079" t="s">
        <v>134</v>
      </c>
      <c r="C1079" t="s">
        <v>2441</v>
      </c>
      <c r="D1079" s="35">
        <v>88.696160654997897</v>
      </c>
      <c r="E1079" s="35">
        <v>0.2618919780139975</v>
      </c>
      <c r="F1079" s="35">
        <v>2.446393261269364</v>
      </c>
      <c r="G1079" s="35">
        <v>6.1109136241099093E-2</v>
      </c>
      <c r="H1079" s="35">
        <v>0.2007828417728984</v>
      </c>
      <c r="I1079" s="35">
        <v>2.4386545280210337</v>
      </c>
      <c r="J1079" t="s">
        <v>2417</v>
      </c>
      <c r="K1079" t="s">
        <v>40</v>
      </c>
    </row>
    <row r="1080" spans="1:11">
      <c r="A1080" s="1">
        <v>42095</v>
      </c>
      <c r="B1080" t="s">
        <v>134</v>
      </c>
      <c r="C1080" t="s">
        <v>2441</v>
      </c>
      <c r="D1080" s="35">
        <v>88.834260270727697</v>
      </c>
      <c r="E1080" s="35">
        <v>0.15557856829852446</v>
      </c>
      <c r="F1080" s="35">
        <v>2.3081554852986796</v>
      </c>
      <c r="G1080" s="35">
        <v>1.5467613080731302E-2</v>
      </c>
      <c r="H1080" s="35">
        <v>0.14011095521779315</v>
      </c>
      <c r="I1080" s="35">
        <v>1.695545389384856</v>
      </c>
      <c r="J1080" t="s">
        <v>2418</v>
      </c>
      <c r="K1080" t="s">
        <v>40</v>
      </c>
    </row>
    <row r="1081" spans="1:11">
      <c r="A1081" s="1">
        <v>42125</v>
      </c>
      <c r="B1081" t="s">
        <v>134</v>
      </c>
      <c r="C1081" t="s">
        <v>2441</v>
      </c>
      <c r="D1081" s="35">
        <v>88.937106663406496</v>
      </c>
      <c r="E1081" s="35">
        <v>0.11570637715927784</v>
      </c>
      <c r="F1081" s="35">
        <v>2.3305900684861935</v>
      </c>
      <c r="G1081" s="35">
        <v>-9.2177951932252061E-2</v>
      </c>
      <c r="H1081" s="35">
        <v>0.2078843290915299</v>
      </c>
      <c r="I1081" s="35">
        <v>2.5259877512106899</v>
      </c>
      <c r="J1081" t="s">
        <v>2418</v>
      </c>
      <c r="K1081" t="s">
        <v>40</v>
      </c>
    </row>
    <row r="1082" spans="1:11">
      <c r="A1082" s="1">
        <v>42156</v>
      </c>
      <c r="B1082" t="s">
        <v>134</v>
      </c>
      <c r="C1082" t="s">
        <v>2441</v>
      </c>
      <c r="D1082" s="35">
        <v>89.122943522379998</v>
      </c>
      <c r="E1082" s="35">
        <v>0.20873511633227709</v>
      </c>
      <c r="F1082" s="35">
        <v>2.3269537481241498</v>
      </c>
      <c r="G1082" s="35">
        <v>-6.8631876269193037E-2</v>
      </c>
      <c r="H1082" s="35">
        <v>0.27736699260147013</v>
      </c>
      <c r="I1082" s="35">
        <v>3.384414971531613</v>
      </c>
      <c r="J1082" t="s">
        <v>2418</v>
      </c>
      <c r="K1082" t="s">
        <v>40</v>
      </c>
    </row>
    <row r="1083" spans="1:11">
      <c r="A1083" s="1">
        <v>42186</v>
      </c>
      <c r="B1083" t="s">
        <v>134</v>
      </c>
      <c r="C1083" t="s">
        <v>2441</v>
      </c>
      <c r="D1083" s="35">
        <v>89.276738783977294</v>
      </c>
      <c r="E1083" s="35">
        <v>0.17241656230388344</v>
      </c>
      <c r="F1083" s="35">
        <v>2.311244583225136</v>
      </c>
      <c r="G1083" s="35">
        <v>-6.3321577930948281E-2</v>
      </c>
      <c r="H1083" s="35">
        <v>0.23573814023483172</v>
      </c>
      <c r="I1083" s="35">
        <v>2.8692498410909151</v>
      </c>
      <c r="J1083" t="s">
        <v>2419</v>
      </c>
      <c r="K1083" t="s">
        <v>40</v>
      </c>
    </row>
    <row r="1084" spans="1:11">
      <c r="A1084" s="1">
        <v>42217</v>
      </c>
      <c r="B1084" t="s">
        <v>134</v>
      </c>
      <c r="C1084" t="s">
        <v>2441</v>
      </c>
      <c r="D1084" s="35">
        <v>89.455996486682594</v>
      </c>
      <c r="E1084" s="35">
        <v>0.20058750014424181</v>
      </c>
      <c r="F1084" s="35">
        <v>2.2994746549222178</v>
      </c>
      <c r="G1084" s="35">
        <v>-8.7706074905278902E-2</v>
      </c>
      <c r="H1084" s="35">
        <v>0.28829357504952069</v>
      </c>
      <c r="I1084" s="35">
        <v>3.5200604806918889</v>
      </c>
      <c r="J1084" t="s">
        <v>2419</v>
      </c>
      <c r="K1084" t="s">
        <v>40</v>
      </c>
    </row>
    <row r="1085" spans="1:11">
      <c r="A1085" s="1">
        <v>42248</v>
      </c>
      <c r="B1085" t="s">
        <v>134</v>
      </c>
      <c r="C1085" t="s">
        <v>2441</v>
      </c>
      <c r="D1085" s="35">
        <v>89.787761783790302</v>
      </c>
      <c r="E1085" s="35">
        <v>0.37018379794518597</v>
      </c>
      <c r="F1085" s="35">
        <v>2.3789168680112827</v>
      </c>
      <c r="G1085" s="35">
        <v>5.9710091602400539E-2</v>
      </c>
      <c r="H1085" s="35">
        <v>0.31047370634278543</v>
      </c>
      <c r="I1085" s="35">
        <v>3.7959581085061034</v>
      </c>
      <c r="J1085" t="s">
        <v>2419</v>
      </c>
      <c r="K1085" t="s">
        <v>40</v>
      </c>
    </row>
    <row r="1086" spans="1:11">
      <c r="A1086" s="1">
        <v>42278</v>
      </c>
      <c r="B1086" t="s">
        <v>134</v>
      </c>
      <c r="C1086" t="s">
        <v>2441</v>
      </c>
      <c r="D1086" s="35">
        <v>90.013525460683198</v>
      </c>
      <c r="E1086" s="35">
        <v>0.25112589459124252</v>
      </c>
      <c r="F1086" s="35">
        <v>2.4656820691801196</v>
      </c>
      <c r="G1086" s="35">
        <v>-6.7152525649730843E-2</v>
      </c>
      <c r="H1086" s="35">
        <v>0.31827842024097336</v>
      </c>
      <c r="I1086" s="35">
        <v>3.8932153761248811</v>
      </c>
      <c r="J1086" t="s">
        <v>2420</v>
      </c>
      <c r="K1086" t="s">
        <v>40</v>
      </c>
    </row>
    <row r="1087" spans="1:11">
      <c r="A1087" s="1">
        <v>42309</v>
      </c>
      <c r="B1087" t="s">
        <v>134</v>
      </c>
      <c r="C1087" t="s">
        <v>2441</v>
      </c>
      <c r="D1087" s="35">
        <v>90.045181348062698</v>
      </c>
      <c r="E1087" s="35">
        <v>3.5161740597498423E-2</v>
      </c>
      <c r="F1087" s="35">
        <v>2.3365787531201221</v>
      </c>
      <c r="G1087" s="35">
        <v>-9.1034986847382593E-2</v>
      </c>
      <c r="H1087" s="35">
        <v>0.12619672744488103</v>
      </c>
      <c r="I1087" s="35">
        <v>1.5258852723276206</v>
      </c>
      <c r="J1087" t="s">
        <v>2420</v>
      </c>
      <c r="K1087" t="s">
        <v>40</v>
      </c>
    </row>
    <row r="1088" spans="1:11">
      <c r="A1088" s="1">
        <v>42339</v>
      </c>
      <c r="B1088" t="s">
        <v>134</v>
      </c>
      <c r="C1088" t="s">
        <v>2441</v>
      </c>
      <c r="D1088" s="35">
        <v>90.320686706441407</v>
      </c>
      <c r="E1088" s="35">
        <v>0.30549635096721806</v>
      </c>
      <c r="F1088" s="35">
        <v>2.4119558744004177</v>
      </c>
      <c r="G1088" s="35">
        <v>9.1165377259296132E-2</v>
      </c>
      <c r="H1088" s="35">
        <v>0.21433097370792192</v>
      </c>
      <c r="I1088" s="35">
        <v>2.6053322704459481</v>
      </c>
      <c r="J1088" t="s">
        <v>2420</v>
      </c>
      <c r="K1088" t="s">
        <v>40</v>
      </c>
    </row>
    <row r="1089" spans="1:11">
      <c r="A1089" s="1">
        <v>42370</v>
      </c>
      <c r="B1089" t="s">
        <v>134</v>
      </c>
      <c r="C1089" t="s">
        <v>2441</v>
      </c>
      <c r="D1089" s="35">
        <v>90.494986695568997</v>
      </c>
      <c r="E1089" s="35">
        <v>0.19279306913651562</v>
      </c>
      <c r="F1089" s="35">
        <v>2.6434226555473783</v>
      </c>
      <c r="G1089" s="35">
        <v>0.11558240907831546</v>
      </c>
      <c r="H1089" s="35">
        <v>7.7210660058200153E-2</v>
      </c>
      <c r="I1089" s="35">
        <v>0.93083347776032888</v>
      </c>
      <c r="J1089" t="s">
        <v>2421</v>
      </c>
      <c r="K1089" t="s">
        <v>40</v>
      </c>
    </row>
    <row r="1090" spans="1:11">
      <c r="A1090" s="1">
        <v>42401</v>
      </c>
      <c r="B1090" t="s">
        <v>134</v>
      </c>
      <c r="C1090" t="s">
        <v>2441</v>
      </c>
      <c r="D1090" s="35">
        <v>90.819430285018399</v>
      </c>
      <c r="E1090" s="35">
        <v>0.35787990953657961</v>
      </c>
      <c r="F1090" s="35">
        <v>2.6623814836084447</v>
      </c>
      <c r="G1090" s="35">
        <v>0.12699036627294302</v>
      </c>
      <c r="H1090" s="35">
        <v>0.23088954326363659</v>
      </c>
      <c r="I1090" s="35">
        <v>2.8094146657928531</v>
      </c>
      <c r="J1090" t="s">
        <v>2421</v>
      </c>
      <c r="K1090" t="s">
        <v>40</v>
      </c>
    </row>
    <row r="1091" spans="1:11">
      <c r="A1091" s="1">
        <v>42430</v>
      </c>
      <c r="B1091" t="s">
        <v>134</v>
      </c>
      <c r="C1091" t="s">
        <v>2441</v>
      </c>
      <c r="D1091" s="35">
        <v>91.144749854281798</v>
      </c>
      <c r="E1091" s="35">
        <v>0.35756478623666443</v>
      </c>
      <c r="F1091" s="35">
        <v>2.7606484668577735</v>
      </c>
      <c r="G1091" s="35">
        <v>6.1109136241099093E-2</v>
      </c>
      <c r="H1091" s="35">
        <v>0.29645564999556534</v>
      </c>
      <c r="I1091" s="35">
        <v>3.6215027704040281</v>
      </c>
      <c r="J1091" t="s">
        <v>2421</v>
      </c>
      <c r="K1091" t="s">
        <v>40</v>
      </c>
    </row>
    <row r="1092" spans="1:11">
      <c r="A1092" s="1">
        <v>42461</v>
      </c>
      <c r="B1092" t="s">
        <v>134</v>
      </c>
      <c r="C1092" t="s">
        <v>2441</v>
      </c>
      <c r="D1092" s="35">
        <v>91.345751738304998</v>
      </c>
      <c r="E1092" s="35">
        <v>0.22028759146576654</v>
      </c>
      <c r="F1092" s="35">
        <v>2.8271653975880273</v>
      </c>
      <c r="G1092" s="35">
        <v>1.5467613080731302E-2</v>
      </c>
      <c r="H1092" s="35">
        <v>0.20481997838503524</v>
      </c>
      <c r="I1092" s="35">
        <v>2.4882936121592092</v>
      </c>
      <c r="J1092" t="s">
        <v>2422</v>
      </c>
      <c r="K1092" t="s">
        <v>40</v>
      </c>
    </row>
    <row r="1093" spans="1:11">
      <c r="A1093" s="1">
        <v>42491</v>
      </c>
      <c r="B1093" t="s">
        <v>134</v>
      </c>
      <c r="C1093" t="s">
        <v>2441</v>
      </c>
      <c r="D1093" s="35">
        <v>91.541000478500607</v>
      </c>
      <c r="E1093" s="35">
        <v>0.21351881643440609</v>
      </c>
      <c r="F1093" s="35">
        <v>2.9277923611219725</v>
      </c>
      <c r="G1093" s="35">
        <v>-9.2177951932252061E-2</v>
      </c>
      <c r="H1093" s="35">
        <v>0.30569676836665816</v>
      </c>
      <c r="I1093" s="35">
        <v>3.7364759362069178</v>
      </c>
      <c r="J1093" t="s">
        <v>2422</v>
      </c>
      <c r="K1093" t="s">
        <v>40</v>
      </c>
    </row>
    <row r="1094" spans="1:11">
      <c r="A1094" s="1">
        <v>42522</v>
      </c>
      <c r="B1094" t="s">
        <v>134</v>
      </c>
      <c r="C1094" t="s">
        <v>2441</v>
      </c>
      <c r="D1094" s="35">
        <v>91.7738478661214</v>
      </c>
      <c r="E1094" s="35">
        <v>0.25404108281512161</v>
      </c>
      <c r="F1094" s="35">
        <v>2.9744353574629345</v>
      </c>
      <c r="G1094" s="35">
        <v>-6.8631876269193037E-2</v>
      </c>
      <c r="H1094" s="35">
        <v>0.32267295908431465</v>
      </c>
      <c r="I1094" s="35">
        <v>3.9480173570845212</v>
      </c>
      <c r="J1094" t="s">
        <v>2422</v>
      </c>
      <c r="K1094" t="s">
        <v>40</v>
      </c>
    </row>
    <row r="1095" spans="1:11">
      <c r="A1095" s="1">
        <v>42552</v>
      </c>
      <c r="B1095" t="s">
        <v>134</v>
      </c>
      <c r="C1095" t="s">
        <v>2441</v>
      </c>
      <c r="D1095" s="35">
        <v>91.930523412822495</v>
      </c>
      <c r="E1095" s="35">
        <v>0.17057360540533983</v>
      </c>
      <c r="F1095" s="35">
        <v>2.972537600490277</v>
      </c>
      <c r="G1095" s="35">
        <v>-6.3321577930948281E-2</v>
      </c>
      <c r="H1095" s="35">
        <v>0.23389518333628811</v>
      </c>
      <c r="I1095" s="35">
        <v>2.8465023253079869</v>
      </c>
      <c r="J1095" t="s">
        <v>2423</v>
      </c>
      <c r="K1095" t="s">
        <v>40</v>
      </c>
    </row>
    <row r="1096" spans="1:11">
      <c r="A1096" s="1">
        <v>42583</v>
      </c>
      <c r="B1096" t="s">
        <v>134</v>
      </c>
      <c r="C1096" t="s">
        <v>2441</v>
      </c>
      <c r="D1096" s="35">
        <v>92.104716247020505</v>
      </c>
      <c r="E1096" s="35">
        <v>0.18930383826454691</v>
      </c>
      <c r="F1096" s="35">
        <v>2.9609191830222592</v>
      </c>
      <c r="G1096" s="35">
        <v>-8.7706074905278902E-2</v>
      </c>
      <c r="H1096" s="35">
        <v>0.27700991316982582</v>
      </c>
      <c r="I1096" s="35">
        <v>3.3799850926647501</v>
      </c>
      <c r="J1096" t="s">
        <v>2423</v>
      </c>
      <c r="K1096" t="s">
        <v>40</v>
      </c>
    </row>
    <row r="1097" spans="1:11">
      <c r="A1097" s="1">
        <v>42614</v>
      </c>
      <c r="B1097" t="s">
        <v>134</v>
      </c>
      <c r="C1097" t="s">
        <v>2441</v>
      </c>
      <c r="D1097" s="35">
        <v>92.543400906140107</v>
      </c>
      <c r="E1097" s="35">
        <v>0.47515836202546163</v>
      </c>
      <c r="F1097" s="35">
        <v>3.069058708675021</v>
      </c>
      <c r="G1097" s="35">
        <v>5.9710091602400539E-2</v>
      </c>
      <c r="H1097" s="35">
        <v>0.41544827042306109</v>
      </c>
      <c r="I1097" s="35">
        <v>5.1117403841221876</v>
      </c>
      <c r="J1097" t="s">
        <v>2423</v>
      </c>
      <c r="K1097" t="s">
        <v>40</v>
      </c>
    </row>
    <row r="1098" spans="1:11">
      <c r="A1098" s="1">
        <v>42644</v>
      </c>
      <c r="B1098" t="s">
        <v>134</v>
      </c>
      <c r="C1098" t="s">
        <v>2441</v>
      </c>
      <c r="D1098" s="35">
        <v>92.802148924556107</v>
      </c>
      <c r="E1098" s="35">
        <v>0.27920625744071076</v>
      </c>
      <c r="F1098" s="35">
        <v>3.0980049382589137</v>
      </c>
      <c r="G1098" s="35">
        <v>-6.7152525649730843E-2</v>
      </c>
      <c r="H1098" s="35">
        <v>0.3463587830904416</v>
      </c>
      <c r="I1098" s="35">
        <v>4.2438889690617598</v>
      </c>
      <c r="J1098" t="s">
        <v>2424</v>
      </c>
      <c r="K1098" t="s">
        <v>40</v>
      </c>
    </row>
    <row r="1099" spans="1:11">
      <c r="A1099" s="1">
        <v>42675</v>
      </c>
      <c r="B1099" t="s">
        <v>134</v>
      </c>
      <c r="C1099" t="s">
        <v>2441</v>
      </c>
      <c r="D1099" s="35">
        <v>93.010425318165005</v>
      </c>
      <c r="E1099" s="35">
        <v>0.22417910271609476</v>
      </c>
      <c r="F1099" s="35">
        <v>3.2930623557082761</v>
      </c>
      <c r="G1099" s="35">
        <v>-9.1034986847382593E-2</v>
      </c>
      <c r="H1099" s="35">
        <v>0.31521408956347735</v>
      </c>
      <c r="I1099" s="35">
        <v>3.8550188193208434</v>
      </c>
      <c r="J1099" t="s">
        <v>2424</v>
      </c>
      <c r="K1099" t="s">
        <v>40</v>
      </c>
    </row>
    <row r="1100" spans="1:11">
      <c r="A1100" s="1">
        <v>42705</v>
      </c>
      <c r="B1100" t="s">
        <v>134</v>
      </c>
      <c r="C1100" t="s">
        <v>2441</v>
      </c>
      <c r="D1100" s="35">
        <v>93.425339280633693</v>
      </c>
      <c r="E1100" s="35">
        <v>0.44510198820456148</v>
      </c>
      <c r="F1100" s="35">
        <v>3.4373659982047888</v>
      </c>
      <c r="G1100" s="35">
        <v>9.1165377259296132E-2</v>
      </c>
      <c r="H1100" s="35">
        <v>0.35393661094526535</v>
      </c>
      <c r="I1100" s="35">
        <v>4.3387251511254998</v>
      </c>
      <c r="J1100" t="s">
        <v>2424</v>
      </c>
      <c r="K1100" t="s">
        <v>40</v>
      </c>
    </row>
    <row r="1101" spans="1:11">
      <c r="A1101" s="1">
        <v>42736</v>
      </c>
      <c r="B1101" t="s">
        <v>134</v>
      </c>
      <c r="C1101" t="s">
        <v>2441</v>
      </c>
      <c r="D1101" s="35">
        <v>93.966136968665694</v>
      </c>
      <c r="E1101" s="35">
        <v>0.57718654041191197</v>
      </c>
      <c r="F1101" s="35">
        <v>3.8357376467426541</v>
      </c>
      <c r="G1101" s="35">
        <v>0.11558240907831546</v>
      </c>
      <c r="H1101" s="35">
        <v>0.46160413133359651</v>
      </c>
      <c r="I1101" s="35">
        <v>5.6955383779288216</v>
      </c>
      <c r="J1101" t="s">
        <v>2425</v>
      </c>
      <c r="K1101" t="s">
        <v>40</v>
      </c>
    </row>
    <row r="1102" spans="1:11">
      <c r="A1102" s="1">
        <v>42767</v>
      </c>
      <c r="B1102" t="s">
        <v>134</v>
      </c>
      <c r="C1102" t="s">
        <v>2441</v>
      </c>
      <c r="D1102" s="35">
        <v>94.684255361601103</v>
      </c>
      <c r="E1102" s="35">
        <v>0.76132559564085678</v>
      </c>
      <c r="F1102" s="35">
        <v>4.255504647467756</v>
      </c>
      <c r="G1102" s="35">
        <v>0.12699036627294302</v>
      </c>
      <c r="H1102" s="35">
        <v>0.63433522936791376</v>
      </c>
      <c r="I1102" s="35">
        <v>7.9092302954554716</v>
      </c>
      <c r="J1102" t="s">
        <v>2425</v>
      </c>
      <c r="K1102" t="s">
        <v>40</v>
      </c>
    </row>
    <row r="1103" spans="1:11">
      <c r="A1103" s="1">
        <v>42795</v>
      </c>
      <c r="B1103" t="s">
        <v>134</v>
      </c>
      <c r="C1103" t="s">
        <v>2441</v>
      </c>
      <c r="D1103" s="35">
        <v>95.226519330966397</v>
      </c>
      <c r="E1103" s="35">
        <v>0.5710739097973565</v>
      </c>
      <c r="F1103" s="35">
        <v>4.4783374612474613</v>
      </c>
      <c r="G1103" s="35">
        <v>6.1109136241099093E-2</v>
      </c>
      <c r="H1103" s="35">
        <v>0.50996477355625736</v>
      </c>
      <c r="I1103" s="35">
        <v>6.3107021282368558</v>
      </c>
      <c r="J1103" t="s">
        <v>2425</v>
      </c>
      <c r="K1103" t="s">
        <v>40</v>
      </c>
    </row>
    <row r="1104" spans="1:11">
      <c r="A1104" s="1">
        <v>42826</v>
      </c>
      <c r="B1104" t="s">
        <v>134</v>
      </c>
      <c r="C1104" t="s">
        <v>2441</v>
      </c>
      <c r="D1104" s="35">
        <v>95.654828821857294</v>
      </c>
      <c r="E1104" s="35">
        <v>0.44877114905741128</v>
      </c>
      <c r="F1104" s="35">
        <v>4.7173262046135367</v>
      </c>
      <c r="G1104" s="35">
        <v>1.5467613080731302E-2</v>
      </c>
      <c r="H1104" s="35">
        <v>0.43330353597667998</v>
      </c>
      <c r="I1104" s="35">
        <v>5.3371975982575925</v>
      </c>
      <c r="J1104" t="s">
        <v>2426</v>
      </c>
      <c r="K1104" t="s">
        <v>40</v>
      </c>
    </row>
    <row r="1105" spans="1:11">
      <c r="A1105" s="1">
        <v>42856</v>
      </c>
      <c r="B1105" t="s">
        <v>134</v>
      </c>
      <c r="C1105" t="s">
        <v>2441</v>
      </c>
      <c r="D1105" s="35">
        <v>95.918104493257104</v>
      </c>
      <c r="E1105" s="35">
        <v>0.27485702973788922</v>
      </c>
      <c r="F1105" s="35">
        <v>4.7815776448548952</v>
      </c>
      <c r="G1105" s="35">
        <v>-9.2177951932252061E-2</v>
      </c>
      <c r="H1105" s="35">
        <v>0.36703498167014126</v>
      </c>
      <c r="I1105" s="35">
        <v>4.5028541830677504</v>
      </c>
      <c r="J1105" t="s">
        <v>2426</v>
      </c>
      <c r="K1105" t="s">
        <v>40</v>
      </c>
    </row>
    <row r="1106" spans="1:11">
      <c r="A1106" s="1">
        <v>42887</v>
      </c>
      <c r="B1106" t="s">
        <v>134</v>
      </c>
      <c r="C1106" t="s">
        <v>2441</v>
      </c>
      <c r="D1106" s="35">
        <v>96.210052333253103</v>
      </c>
      <c r="E1106" s="35">
        <v>0.30390971268705125</v>
      </c>
      <c r="F1106" s="35">
        <v>4.833843813112404</v>
      </c>
      <c r="G1106" s="35">
        <v>-6.8631876269193037E-2</v>
      </c>
      <c r="H1106" s="35">
        <v>0.37254158895624429</v>
      </c>
      <c r="I1106" s="35">
        <v>4.5719317449260943</v>
      </c>
      <c r="J1106" t="s">
        <v>2426</v>
      </c>
      <c r="K1106" t="s">
        <v>40</v>
      </c>
    </row>
    <row r="1107" spans="1:11">
      <c r="A1107" s="1">
        <v>42917</v>
      </c>
      <c r="B1107" t="s">
        <v>134</v>
      </c>
      <c r="C1107" t="s">
        <v>2441</v>
      </c>
      <c r="D1107" s="35">
        <v>96.467769878232005</v>
      </c>
      <c r="E1107" s="35">
        <v>0.26751153372157899</v>
      </c>
      <c r="F1107" s="35">
        <v>4.935516841380938</v>
      </c>
      <c r="G1107" s="35">
        <v>-6.3321577930948281E-2</v>
      </c>
      <c r="H1107" s="35">
        <v>0.33083311165252727</v>
      </c>
      <c r="I1107" s="35">
        <v>4.0498550112904708</v>
      </c>
      <c r="J1107" t="s">
        <v>2427</v>
      </c>
      <c r="K1107" t="s">
        <v>40</v>
      </c>
    </row>
    <row r="1108" spans="1:11">
      <c r="A1108" s="1">
        <v>42948</v>
      </c>
      <c r="B1108" t="s">
        <v>134</v>
      </c>
      <c r="C1108" t="s">
        <v>2441</v>
      </c>
      <c r="D1108" s="35">
        <v>96.712676571628506</v>
      </c>
      <c r="E1108" s="35">
        <v>0.25355239529007262</v>
      </c>
      <c r="F1108" s="35">
        <v>5.0029580594436407</v>
      </c>
      <c r="G1108" s="35">
        <v>-8.7706074905278902E-2</v>
      </c>
      <c r="H1108" s="35">
        <v>0.34125847019535149</v>
      </c>
      <c r="I1108" s="35">
        <v>4.1801073152990309</v>
      </c>
      <c r="J1108" t="s">
        <v>2427</v>
      </c>
      <c r="K1108" t="s">
        <v>40</v>
      </c>
    </row>
    <row r="1109" spans="1:11">
      <c r="A1109" s="1">
        <v>42979</v>
      </c>
      <c r="B1109" t="s">
        <v>134</v>
      </c>
      <c r="C1109" t="s">
        <v>2441</v>
      </c>
      <c r="D1109" s="35">
        <v>96.985621518179698</v>
      </c>
      <c r="E1109" s="35">
        <v>0.28182501333162596</v>
      </c>
      <c r="F1109" s="35">
        <v>4.8001484368885627</v>
      </c>
      <c r="G1109" s="35">
        <v>5.9710091602400539E-2</v>
      </c>
      <c r="H1109" s="35">
        <v>0.22211492172922542</v>
      </c>
      <c r="I1109" s="35">
        <v>2.7012179944160053</v>
      </c>
      <c r="J1109" t="s">
        <v>2427</v>
      </c>
      <c r="K1109" t="s">
        <v>40</v>
      </c>
    </row>
    <row r="1110" spans="1:11">
      <c r="A1110" s="1">
        <v>43009</v>
      </c>
      <c r="B1110" t="s">
        <v>134</v>
      </c>
      <c r="C1110" t="s">
        <v>2441</v>
      </c>
      <c r="D1110" s="35">
        <v>97.230484097929505</v>
      </c>
      <c r="E1110" s="35">
        <v>0.25215489592240692</v>
      </c>
      <c r="F1110" s="35">
        <v>4.7718024040299234</v>
      </c>
      <c r="G1110" s="35">
        <v>-6.7152525649730843E-2</v>
      </c>
      <c r="H1110" s="35">
        <v>0.31930742157213776</v>
      </c>
      <c r="I1110" s="35">
        <v>3.9060449190361002</v>
      </c>
      <c r="J1110" t="s">
        <v>2428</v>
      </c>
      <c r="K1110" t="s">
        <v>40</v>
      </c>
    </row>
    <row r="1111" spans="1:11">
      <c r="A1111" s="1">
        <v>43040</v>
      </c>
      <c r="B1111" t="s">
        <v>134</v>
      </c>
      <c r="C1111" t="s">
        <v>2441</v>
      </c>
      <c r="D1111" s="35">
        <v>97.565242042348203</v>
      </c>
      <c r="E1111" s="35">
        <v>0.34370186717709</v>
      </c>
      <c r="F1111" s="35">
        <v>4.8971034253443291</v>
      </c>
      <c r="G1111" s="35">
        <v>-9.1034986847382593E-2</v>
      </c>
      <c r="H1111" s="35">
        <v>0.4347368540244726</v>
      </c>
      <c r="I1111" s="35">
        <v>5.3553169612321039</v>
      </c>
      <c r="J1111" t="s">
        <v>2428</v>
      </c>
      <c r="K1111" t="s">
        <v>40</v>
      </c>
    </row>
    <row r="1112" spans="1:11">
      <c r="A1112" s="1">
        <v>43070</v>
      </c>
      <c r="B1112" t="s">
        <v>134</v>
      </c>
      <c r="C1112" t="s">
        <v>2441</v>
      </c>
      <c r="D1112" s="35">
        <v>97.974011984485102</v>
      </c>
      <c r="E1112" s="35">
        <v>0.41809562957180202</v>
      </c>
      <c r="F1112" s="35">
        <v>4.8687783623541092</v>
      </c>
      <c r="G1112" s="35">
        <v>9.1165377259296132E-2</v>
      </c>
      <c r="H1112" s="35">
        <v>0.32693025231250589</v>
      </c>
      <c r="I1112" s="35">
        <v>4.0011353871163946</v>
      </c>
      <c r="J1112" t="s">
        <v>2428</v>
      </c>
      <c r="K1112" t="s">
        <v>40</v>
      </c>
    </row>
    <row r="1113" spans="1:11">
      <c r="A1113" s="1">
        <v>43101</v>
      </c>
      <c r="B1113" t="s">
        <v>134</v>
      </c>
      <c r="C1113" t="s">
        <v>2441</v>
      </c>
      <c r="D1113" s="35">
        <v>98.252014009990603</v>
      </c>
      <c r="E1113" s="35">
        <v>0.28334896973557738</v>
      </c>
      <c r="F1113" s="35">
        <v>4.5610867697520652</v>
      </c>
      <c r="G1113" s="35">
        <v>0.11558240907831546</v>
      </c>
      <c r="H1113" s="35">
        <v>0.16776656065726192</v>
      </c>
      <c r="I1113" s="35">
        <v>2.0336002512199025</v>
      </c>
      <c r="J1113" t="s">
        <v>2429</v>
      </c>
      <c r="K1113" t="s">
        <v>40</v>
      </c>
    </row>
    <row r="1114" spans="1:11">
      <c r="A1114" s="1">
        <v>43132</v>
      </c>
      <c r="B1114" t="s">
        <v>134</v>
      </c>
      <c r="C1114" t="s">
        <v>2441</v>
      </c>
      <c r="D1114" s="35">
        <v>98.731688018981103</v>
      </c>
      <c r="E1114" s="35">
        <v>0.48701994343565763</v>
      </c>
      <c r="F1114" s="35">
        <v>4.2746628168778056</v>
      </c>
      <c r="G1114" s="35">
        <v>0.12699036627294302</v>
      </c>
      <c r="H1114" s="35">
        <v>0.36002957716271461</v>
      </c>
      <c r="I1114" s="35">
        <v>4.4150409263942203</v>
      </c>
      <c r="J1114" t="s">
        <v>2429</v>
      </c>
      <c r="K1114" t="s">
        <v>40</v>
      </c>
    </row>
    <row r="1115" spans="1:11">
      <c r="A1115" s="1">
        <v>43160</v>
      </c>
      <c r="B1115" t="s">
        <v>134</v>
      </c>
      <c r="C1115" t="s">
        <v>2441</v>
      </c>
      <c r="D1115" s="35">
        <v>99.057357158277199</v>
      </c>
      <c r="E1115" s="35">
        <v>0.32930987994211597</v>
      </c>
      <c r="F1115" s="35">
        <v>4.0228686863965413</v>
      </c>
      <c r="G1115" s="35">
        <v>6.1109136241099093E-2</v>
      </c>
      <c r="H1115" s="35">
        <v>0.26820074370101687</v>
      </c>
      <c r="I1115" s="35">
        <v>3.2707598168701724</v>
      </c>
      <c r="J1115" t="s">
        <v>2429</v>
      </c>
      <c r="K1115" t="s">
        <v>40</v>
      </c>
    </row>
    <row r="1116" spans="1:11">
      <c r="A1116" s="1">
        <v>43191</v>
      </c>
      <c r="B1116" t="s">
        <v>134</v>
      </c>
      <c r="C1116" t="s">
        <v>2441</v>
      </c>
      <c r="D1116" s="35">
        <v>99.203206319556699</v>
      </c>
      <c r="E1116" s="35">
        <v>0.14712879357435524</v>
      </c>
      <c r="F1116" s="35">
        <v>3.7095644217896462</v>
      </c>
      <c r="G1116" s="35">
        <v>1.5467613080731302E-2</v>
      </c>
      <c r="H1116" s="35">
        <v>0.13166118049362394</v>
      </c>
      <c r="I1116" s="35">
        <v>1.5924811165294983</v>
      </c>
      <c r="J1116" t="s">
        <v>2430</v>
      </c>
      <c r="K1116" t="s">
        <v>40</v>
      </c>
    </row>
    <row r="1117" spans="1:11">
      <c r="A1117" s="1">
        <v>43221</v>
      </c>
      <c r="B1117" t="s">
        <v>134</v>
      </c>
      <c r="C1117" t="s">
        <v>2441</v>
      </c>
      <c r="D1117" s="35">
        <v>99.458111616161005</v>
      </c>
      <c r="E1117" s="35">
        <v>0.25662312033748719</v>
      </c>
      <c r="F1117" s="35">
        <v>3.6906558377128418</v>
      </c>
      <c r="G1117" s="35">
        <v>-9.2177951932252061E-2</v>
      </c>
      <c r="H1117" s="35">
        <v>0.34880107226973922</v>
      </c>
      <c r="I1117" s="35">
        <v>4.2744446930423452</v>
      </c>
      <c r="J1117" t="s">
        <v>2430</v>
      </c>
      <c r="K1117" t="s">
        <v>40</v>
      </c>
    </row>
    <row r="1118" spans="1:11">
      <c r="A1118" s="1">
        <v>43252</v>
      </c>
      <c r="B1118" t="s">
        <v>134</v>
      </c>
      <c r="C1118" t="s">
        <v>2441</v>
      </c>
      <c r="D1118" s="35">
        <v>99.688327009027205</v>
      </c>
      <c r="E1118" s="35">
        <v>0.23120222184822622</v>
      </c>
      <c r="F1118" s="35">
        <v>3.6152923643841595</v>
      </c>
      <c r="G1118" s="35">
        <v>-6.8631876269193037E-2</v>
      </c>
      <c r="H1118" s="35">
        <v>0.29983409811741923</v>
      </c>
      <c r="I1118" s="35">
        <v>3.6635208717572532</v>
      </c>
      <c r="J1118" t="s">
        <v>2430</v>
      </c>
      <c r="K1118" t="s">
        <v>40</v>
      </c>
    </row>
    <row r="1119" spans="1:11">
      <c r="A1119" s="1">
        <v>43282</v>
      </c>
      <c r="B1119" t="s">
        <v>134</v>
      </c>
      <c r="C1119" t="s">
        <v>2441</v>
      </c>
      <c r="D1119" s="35">
        <v>99.974291946130506</v>
      </c>
      <c r="E1119" s="35">
        <v>0.28644834384582302</v>
      </c>
      <c r="F1119" s="35">
        <v>3.6349156535127491</v>
      </c>
      <c r="G1119" s="35">
        <v>-6.3321577930948281E-2</v>
      </c>
      <c r="H1119" s="35">
        <v>0.3497699217767713</v>
      </c>
      <c r="I1119" s="35">
        <v>4.2865685471205062</v>
      </c>
      <c r="J1119" t="s">
        <v>2431</v>
      </c>
      <c r="K1119" t="s">
        <v>40</v>
      </c>
    </row>
    <row r="1120" spans="1:11">
      <c r="A1120" s="1">
        <v>43313</v>
      </c>
      <c r="B1120" t="s">
        <v>134</v>
      </c>
      <c r="C1120" t="s">
        <v>2441</v>
      </c>
      <c r="D1120" s="35">
        <v>100.2203435343</v>
      </c>
      <c r="E1120" s="35">
        <v>0.24581249290095483</v>
      </c>
      <c r="F1120" s="35">
        <v>3.6268947226102188</v>
      </c>
      <c r="G1120" s="35">
        <v>-8.7706074905278902E-2</v>
      </c>
      <c r="H1120" s="35">
        <v>0.33351856780623373</v>
      </c>
      <c r="I1120" s="35">
        <v>4.0833909733734908</v>
      </c>
      <c r="J1120" t="s">
        <v>2431</v>
      </c>
      <c r="K1120" t="s">
        <v>40</v>
      </c>
    </row>
    <row r="1121" spans="1:11">
      <c r="A1121" s="1">
        <v>43344</v>
      </c>
      <c r="B1121" t="s">
        <v>134</v>
      </c>
      <c r="C1121" t="s">
        <v>2441</v>
      </c>
      <c r="D1121" s="35">
        <v>100.5447730689</v>
      </c>
      <c r="E1121" s="35">
        <v>0.32319341376500638</v>
      </c>
      <c r="F1121" s="35">
        <v>3.6697723796647042</v>
      </c>
      <c r="G1121" s="35">
        <v>5.9710091602400539E-2</v>
      </c>
      <c r="H1121" s="35">
        <v>0.26348332216260584</v>
      </c>
      <c r="I1121" s="35">
        <v>3.2123157559494464</v>
      </c>
      <c r="J1121" t="s">
        <v>2431</v>
      </c>
      <c r="K1121" t="s">
        <v>40</v>
      </c>
    </row>
    <row r="1122" spans="1:11">
      <c r="A1122" s="1">
        <v>43374</v>
      </c>
      <c r="B1122" t="s">
        <v>134</v>
      </c>
      <c r="C1122" t="s">
        <v>2441</v>
      </c>
      <c r="D1122" s="35">
        <v>100.85660569540001</v>
      </c>
      <c r="E1122" s="35">
        <v>0.30966309922672069</v>
      </c>
      <c r="F1122" s="35">
        <v>3.7294081492161624</v>
      </c>
      <c r="G1122" s="35">
        <v>-6.7152525649730843E-2</v>
      </c>
      <c r="H1122" s="35">
        <v>0.37681562487645154</v>
      </c>
      <c r="I1122" s="35">
        <v>4.6255788042204093</v>
      </c>
      <c r="J1122" t="s">
        <v>2432</v>
      </c>
      <c r="K1122" t="s">
        <v>40</v>
      </c>
    </row>
    <row r="1123" spans="1:11">
      <c r="A1123" s="1">
        <v>43405</v>
      </c>
      <c r="B1123" t="s">
        <v>134</v>
      </c>
      <c r="C1123" t="s">
        <v>2441</v>
      </c>
      <c r="D1123" s="35">
        <v>101.1104428605</v>
      </c>
      <c r="E1123" s="35">
        <v>0.25136506234014472</v>
      </c>
      <c r="F1123" s="35">
        <v>3.6336719347377811</v>
      </c>
      <c r="G1123" s="35">
        <v>-9.1034986847382593E-2</v>
      </c>
      <c r="H1123" s="35">
        <v>0.34240004918752731</v>
      </c>
      <c r="I1123" s="35">
        <v>4.1943798715013969</v>
      </c>
      <c r="J1123" t="s">
        <v>2432</v>
      </c>
      <c r="K1123" t="s">
        <v>40</v>
      </c>
    </row>
    <row r="1124" spans="1:11">
      <c r="A1124" s="1">
        <v>43435</v>
      </c>
      <c r="B1124" t="s">
        <v>134</v>
      </c>
      <c r="C1124" t="s">
        <v>2441</v>
      </c>
      <c r="D1124" s="35">
        <v>101.5824749997</v>
      </c>
      <c r="E1124" s="35">
        <v>0.46576170249514265</v>
      </c>
      <c r="F1124" s="35">
        <v>3.6830818113137154</v>
      </c>
      <c r="G1124" s="35">
        <v>9.1165377259296132E-2</v>
      </c>
      <c r="H1124" s="35">
        <v>0.37459632523584652</v>
      </c>
      <c r="I1124" s="35">
        <v>4.5977190530006151</v>
      </c>
      <c r="J1124" t="s">
        <v>2432</v>
      </c>
      <c r="K1124" t="s">
        <v>40</v>
      </c>
    </row>
    <row r="1125" spans="1:11">
      <c r="A1125" s="1">
        <v>43466</v>
      </c>
      <c r="B1125" t="s">
        <v>134</v>
      </c>
      <c r="C1125" t="s">
        <v>2441</v>
      </c>
      <c r="D1125" s="35">
        <v>101.7847955923</v>
      </c>
      <c r="E1125" s="35">
        <v>0.1989707181090383</v>
      </c>
      <c r="F1125" s="35">
        <v>3.5956327388364517</v>
      </c>
      <c r="G1125" s="35">
        <v>0.11558240907831546</v>
      </c>
      <c r="H1125" s="35">
        <v>8.3388309030722835E-2</v>
      </c>
      <c r="I1125" s="35">
        <v>1.0056830491627533</v>
      </c>
      <c r="J1125" t="s">
        <v>2433</v>
      </c>
      <c r="K1125" t="s">
        <v>40</v>
      </c>
    </row>
    <row r="1126" spans="1:11">
      <c r="A1126" s="1">
        <v>43497</v>
      </c>
      <c r="B1126" t="s">
        <v>134</v>
      </c>
      <c r="C1126" t="s">
        <v>2441</v>
      </c>
      <c r="D1126" s="35">
        <v>102.2241726646</v>
      </c>
      <c r="E1126" s="35">
        <v>0.43074356525027913</v>
      </c>
      <c r="F1126" s="35">
        <v>3.537349270223622</v>
      </c>
      <c r="G1126" s="35">
        <v>0.12699036627294302</v>
      </c>
      <c r="H1126" s="35">
        <v>0.3037531989773361</v>
      </c>
      <c r="I1126" s="35">
        <v>3.7122844726815707</v>
      </c>
      <c r="J1126" t="s">
        <v>2433</v>
      </c>
      <c r="K1126" t="s">
        <v>40</v>
      </c>
    </row>
    <row r="1127" spans="1:11">
      <c r="A1127" s="1">
        <v>43525</v>
      </c>
      <c r="B1127" t="s">
        <v>134</v>
      </c>
      <c r="C1127" t="s">
        <v>2441</v>
      </c>
      <c r="D1127" s="35">
        <v>102.5761403006</v>
      </c>
      <c r="E1127" s="35">
        <v>0.34371820767514438</v>
      </c>
      <c r="F1127" s="35">
        <v>3.5522683456014059</v>
      </c>
      <c r="G1127" s="35">
        <v>6.1109136241099093E-2</v>
      </c>
      <c r="H1127" s="35">
        <v>0.28260907143404529</v>
      </c>
      <c r="I1127" s="35">
        <v>3.4494693409952815</v>
      </c>
      <c r="J1127" t="s">
        <v>2433</v>
      </c>
      <c r="K1127" t="s">
        <v>40</v>
      </c>
    </row>
    <row r="1128" spans="1:11">
      <c r="A1128" s="1">
        <v>43556</v>
      </c>
      <c r="B1128" t="s">
        <v>134</v>
      </c>
      <c r="C1128" t="s">
        <v>2441</v>
      </c>
      <c r="D1128" s="35">
        <v>103.0432843305</v>
      </c>
      <c r="E1128" s="35">
        <v>0.45437811574181636</v>
      </c>
      <c r="F1128" s="35">
        <v>3.8709212669734816</v>
      </c>
      <c r="G1128" s="35">
        <v>1.5467613080731302E-2</v>
      </c>
      <c r="H1128" s="35">
        <v>0.43891050266108506</v>
      </c>
      <c r="I1128" s="35">
        <v>5.4080961060245958</v>
      </c>
      <c r="J1128" t="s">
        <v>2434</v>
      </c>
      <c r="K1128" t="s">
        <v>40</v>
      </c>
    </row>
    <row r="1129" spans="1:11">
      <c r="A1129" s="1">
        <v>43586</v>
      </c>
      <c r="B1129" t="s">
        <v>134</v>
      </c>
      <c r="C1129" t="s">
        <v>2441</v>
      </c>
      <c r="D1129" s="35">
        <v>103.2122482569</v>
      </c>
      <c r="E1129" s="35">
        <v>0.16383944913063425</v>
      </c>
      <c r="F1129" s="35">
        <v>3.7745907093303277</v>
      </c>
      <c r="G1129" s="35">
        <v>-9.2177951932252061E-2</v>
      </c>
      <c r="H1129" s="35">
        <v>0.25601740106288629</v>
      </c>
      <c r="I1129" s="35">
        <v>3.1198881648434984</v>
      </c>
      <c r="J1129" t="s">
        <v>2434</v>
      </c>
      <c r="K1129" t="s">
        <v>40</v>
      </c>
    </row>
    <row r="1130" spans="1:11">
      <c r="A1130" s="1">
        <v>43617</v>
      </c>
      <c r="B1130" t="s">
        <v>134</v>
      </c>
      <c r="C1130" t="s">
        <v>2441</v>
      </c>
      <c r="D1130" s="35">
        <v>103.52556173089999</v>
      </c>
      <c r="E1130" s="35">
        <v>0.30310247930838596</v>
      </c>
      <c r="F1130" s="35">
        <v>3.8492317375587115</v>
      </c>
      <c r="G1130" s="35">
        <v>-6.8631876269193037E-2</v>
      </c>
      <c r="H1130" s="35">
        <v>0.371734355577579</v>
      </c>
      <c r="I1130" s="35">
        <v>4.5618025610778101</v>
      </c>
      <c r="J1130" t="s">
        <v>2434</v>
      </c>
      <c r="K1130" t="s">
        <v>40</v>
      </c>
    </row>
    <row r="1131" spans="1:11">
      <c r="A1131" s="1">
        <v>43647</v>
      </c>
      <c r="B1131" t="s">
        <v>134</v>
      </c>
      <c r="C1131" t="s">
        <v>2441</v>
      </c>
      <c r="D1131" s="35">
        <v>103.79440517899999</v>
      </c>
      <c r="E1131" s="35">
        <v>0.25935138115336637</v>
      </c>
      <c r="F1131" s="35">
        <v>3.8210955621750253</v>
      </c>
      <c r="G1131" s="35">
        <v>-6.3321577930948281E-2</v>
      </c>
      <c r="H1131" s="35">
        <v>0.32267295908431465</v>
      </c>
      <c r="I1131" s="35">
        <v>3.9480173570845212</v>
      </c>
      <c r="J1131" t="s">
        <v>2435</v>
      </c>
      <c r="K1131" t="s">
        <v>40</v>
      </c>
    </row>
    <row r="1132" spans="1:11">
      <c r="A1132" s="1">
        <v>43678</v>
      </c>
      <c r="B1132" t="s">
        <v>134</v>
      </c>
      <c r="C1132" t="s">
        <v>2441</v>
      </c>
      <c r="D1132" s="35">
        <v>104.0053856573</v>
      </c>
      <c r="E1132" s="35">
        <v>0.20306136974166605</v>
      </c>
      <c r="F1132" s="35">
        <v>3.7767203638696234</v>
      </c>
      <c r="G1132" s="35">
        <v>-8.7706074905278902E-2</v>
      </c>
      <c r="H1132" s="35">
        <v>0.29076744464694493</v>
      </c>
      <c r="I1132" s="35">
        <v>3.5507964583157969</v>
      </c>
      <c r="J1132" t="s">
        <v>2435</v>
      </c>
      <c r="K1132" t="s">
        <v>40</v>
      </c>
    </row>
    <row r="1133" spans="1:11">
      <c r="A1133" s="1">
        <v>43709</v>
      </c>
      <c r="B1133" t="s">
        <v>134</v>
      </c>
      <c r="C1133" t="s">
        <v>2441</v>
      </c>
      <c r="D1133" s="35">
        <v>104.3153131489</v>
      </c>
      <c r="E1133" s="35">
        <v>0.2975486565074672</v>
      </c>
      <c r="F1133" s="35">
        <v>3.7501104880073521</v>
      </c>
      <c r="G1133" s="35">
        <v>5.9710091602400539E-2</v>
      </c>
      <c r="H1133" s="35">
        <v>0.23783856490506666</v>
      </c>
      <c r="I1133" s="35">
        <v>2.8951814022120548</v>
      </c>
      <c r="J1133" t="s">
        <v>2435</v>
      </c>
      <c r="K1133" t="s">
        <v>40</v>
      </c>
    </row>
    <row r="1134" spans="1:11">
      <c r="A1134" s="1">
        <v>43739</v>
      </c>
      <c r="B1134" t="s">
        <v>134</v>
      </c>
      <c r="C1134" t="s">
        <v>2441</v>
      </c>
      <c r="D1134" s="35">
        <v>104.57202799229999</v>
      </c>
      <c r="E1134" s="35">
        <v>0.24579275243845475</v>
      </c>
      <c r="F1134" s="35">
        <v>3.6838660901607589</v>
      </c>
      <c r="G1134" s="35">
        <v>-6.7152525649730843E-2</v>
      </c>
      <c r="H1134" s="35">
        <v>0.31294527808818562</v>
      </c>
      <c r="I1134" s="35">
        <v>3.8267473730347001</v>
      </c>
      <c r="J1134" t="s">
        <v>2436</v>
      </c>
      <c r="K1134" t="s">
        <v>40</v>
      </c>
    </row>
    <row r="1135" spans="1:11">
      <c r="A1135" s="1">
        <v>43770</v>
      </c>
      <c r="B1135" t="s">
        <v>134</v>
      </c>
      <c r="C1135" t="s">
        <v>2441</v>
      </c>
      <c r="D1135" s="35">
        <v>104.8036582209</v>
      </c>
      <c r="E1135" s="35">
        <v>0.2212580909322098</v>
      </c>
      <c r="F1135" s="35">
        <v>3.6526547168777235</v>
      </c>
      <c r="G1135" s="35">
        <v>-9.1034986847382593E-2</v>
      </c>
      <c r="H1135" s="35">
        <v>0.31229307777959237</v>
      </c>
      <c r="I1135" s="35">
        <v>3.8186217906080566</v>
      </c>
      <c r="J1135" t="s">
        <v>2436</v>
      </c>
      <c r="K1135" t="s">
        <v>40</v>
      </c>
    </row>
    <row r="1136" spans="1:11">
      <c r="A1136" s="1">
        <v>43800</v>
      </c>
      <c r="B1136" t="s">
        <v>134</v>
      </c>
      <c r="C1136" t="s">
        <v>2441</v>
      </c>
      <c r="D1136" s="35">
        <v>105.23379441429999</v>
      </c>
      <c r="E1136" s="35">
        <v>0.4095810431154196</v>
      </c>
      <c r="F1136" s="35">
        <v>3.5944383267003222</v>
      </c>
      <c r="G1136" s="35">
        <v>9.1165377259296132E-2</v>
      </c>
      <c r="H1136" s="35">
        <v>0.31841566585612346</v>
      </c>
      <c r="I1136" s="35">
        <v>3.8949264568056474</v>
      </c>
      <c r="J1136" t="s">
        <v>2436</v>
      </c>
      <c r="K1136" t="s">
        <v>40</v>
      </c>
    </row>
    <row r="1137" spans="1:11">
      <c r="A1137" s="1">
        <v>43831</v>
      </c>
      <c r="B1137" t="s">
        <v>134</v>
      </c>
      <c r="C1137" t="s">
        <v>2441</v>
      </c>
      <c r="D1137" s="35">
        <v>105.5770987249</v>
      </c>
      <c r="E1137" s="35">
        <v>0.32569912206011348</v>
      </c>
      <c r="F1137" s="35">
        <v>3.7258051269170922</v>
      </c>
      <c r="G1137" s="35">
        <v>0.11558240907831546</v>
      </c>
      <c r="H1137" s="35">
        <v>0.21011671298179802</v>
      </c>
      <c r="I1137" s="35">
        <v>2.5534567139293696</v>
      </c>
      <c r="J1137" t="s">
        <v>2437</v>
      </c>
      <c r="K1137" t="s">
        <v>40</v>
      </c>
    </row>
    <row r="1138" spans="1:11">
      <c r="A1138" s="1">
        <v>43862</v>
      </c>
      <c r="B1138" t="s">
        <v>134</v>
      </c>
      <c r="C1138" t="s">
        <v>2441</v>
      </c>
      <c r="D1138" s="35">
        <v>105.96143035190001</v>
      </c>
      <c r="E1138" s="35">
        <v>0.36336836751124035</v>
      </c>
      <c r="F1138" s="35">
        <v>3.6559431980555557</v>
      </c>
      <c r="G1138" s="35">
        <v>0.12699036627294302</v>
      </c>
      <c r="H1138" s="35">
        <v>0.23637800123829733</v>
      </c>
      <c r="I1138" s="35">
        <v>2.8771487869121648</v>
      </c>
      <c r="J1138" t="s">
        <v>2437</v>
      </c>
      <c r="K1138" t="s">
        <v>40</v>
      </c>
    </row>
    <row r="1139" spans="1:11">
      <c r="A1139" s="1">
        <v>43891</v>
      </c>
      <c r="B1139" t="s">
        <v>134</v>
      </c>
      <c r="C1139" t="s">
        <v>2441</v>
      </c>
      <c r="D1139" s="35">
        <v>106.272453486</v>
      </c>
      <c r="E1139" s="35">
        <v>0.29309491126331816</v>
      </c>
      <c r="F1139" s="35">
        <v>3.6034824224892237</v>
      </c>
      <c r="G1139" s="35">
        <v>6.1109136241099093E-2</v>
      </c>
      <c r="H1139" s="35">
        <v>0.23198577502221907</v>
      </c>
      <c r="I1139" s="35">
        <v>2.8229399088339546</v>
      </c>
      <c r="J1139" t="s">
        <v>2437</v>
      </c>
      <c r="K1139" t="s">
        <v>40</v>
      </c>
    </row>
    <row r="1140" spans="1:11">
      <c r="A1140" s="1">
        <v>43922</v>
      </c>
      <c r="B1140" t="s">
        <v>134</v>
      </c>
      <c r="C1140" t="s">
        <v>2441</v>
      </c>
      <c r="D1140" s="35">
        <v>106.6539270353</v>
      </c>
      <c r="E1140" s="35">
        <v>0.35831535435912243</v>
      </c>
      <c r="F1140" s="35">
        <v>3.5040058440094501</v>
      </c>
      <c r="G1140" s="35">
        <v>1.5467613080731302E-2</v>
      </c>
      <c r="H1140" s="35">
        <v>0.34284774127839113</v>
      </c>
      <c r="I1140" s="35">
        <v>4.1999776618389495</v>
      </c>
      <c r="J1140" t="s">
        <v>2438</v>
      </c>
      <c r="K1140" t="s">
        <v>40</v>
      </c>
    </row>
    <row r="1141" spans="1:11">
      <c r="A1141" s="1">
        <v>43952</v>
      </c>
      <c r="B1141" t="s">
        <v>134</v>
      </c>
      <c r="C1141" t="s">
        <v>2441</v>
      </c>
      <c r="D1141" s="35">
        <v>106.9723900602</v>
      </c>
      <c r="E1141" s="35">
        <v>0.29814983953303559</v>
      </c>
      <c r="F1141" s="35">
        <v>3.6431158770428462</v>
      </c>
      <c r="G1141" s="35">
        <v>-9.2177951932252061E-2</v>
      </c>
      <c r="H1141" s="35">
        <v>0.39032779146528762</v>
      </c>
      <c r="I1141" s="35">
        <v>4.7953626058731658</v>
      </c>
      <c r="J1141" t="s">
        <v>2438</v>
      </c>
      <c r="K1141" t="s">
        <v>40</v>
      </c>
    </row>
    <row r="1142" spans="1:11">
      <c r="A1142" s="1">
        <v>43983</v>
      </c>
      <c r="B1142" t="s">
        <v>134</v>
      </c>
      <c r="C1142" t="s">
        <v>2441</v>
      </c>
      <c r="D1142" s="35">
        <v>107.36589626999999</v>
      </c>
      <c r="E1142" s="35">
        <v>0.3671827918866552</v>
      </c>
      <c r="F1142" s="35">
        <v>3.7095519936249266</v>
      </c>
      <c r="G1142" s="35">
        <v>-6.8631876269193037E-2</v>
      </c>
      <c r="H1142" s="35">
        <v>0.43581466815584824</v>
      </c>
      <c r="I1142" s="35">
        <v>5.3689442564069489</v>
      </c>
      <c r="J1142" t="s">
        <v>2438</v>
      </c>
      <c r="K1142" t="s">
        <v>40</v>
      </c>
    </row>
    <row r="1143" spans="1:11">
      <c r="A1143" s="1">
        <v>44013</v>
      </c>
      <c r="B1143" t="s">
        <v>134</v>
      </c>
      <c r="C1143" t="s">
        <v>2441</v>
      </c>
      <c r="D1143" s="35">
        <v>107.79097173389999</v>
      </c>
      <c r="E1143" s="35">
        <v>0.39513125553228695</v>
      </c>
      <c r="F1143" s="35">
        <v>3.8504643366929825</v>
      </c>
      <c r="G1143" s="35">
        <v>-6.3321577930948281E-2</v>
      </c>
      <c r="H1143" s="35">
        <v>0.45845283346323523</v>
      </c>
      <c r="I1143" s="35">
        <v>5.6555765593010232</v>
      </c>
      <c r="J1143" t="s">
        <v>2439</v>
      </c>
      <c r="K1143" t="s">
        <v>40</v>
      </c>
    </row>
    <row r="1144" spans="1:11">
      <c r="A1144" s="1">
        <v>44044</v>
      </c>
      <c r="B1144" t="s">
        <v>134</v>
      </c>
      <c r="C1144" t="s">
        <v>2441</v>
      </c>
      <c r="D1144" s="35">
        <v>108.1324538714</v>
      </c>
      <c r="E1144" s="35">
        <v>0.3162995596613537</v>
      </c>
      <c r="F1144" s="35">
        <v>3.9681293310125154</v>
      </c>
      <c r="G1144" s="35">
        <v>-8.7706074905278902E-2</v>
      </c>
      <c r="H1144" s="35">
        <v>0.40400563456663263</v>
      </c>
      <c r="I1144" s="35">
        <v>4.9675087858293443</v>
      </c>
      <c r="J1144" t="s">
        <v>2439</v>
      </c>
      <c r="K1144" t="s">
        <v>40</v>
      </c>
    </row>
    <row r="1145" spans="1:11">
      <c r="A1145" s="1">
        <v>44075</v>
      </c>
      <c r="B1145" t="s">
        <v>134</v>
      </c>
      <c r="C1145" t="s">
        <v>2441</v>
      </c>
      <c r="D1145" s="35">
        <v>108.4737242942</v>
      </c>
      <c r="E1145" s="35">
        <v>0.31510708334357923</v>
      </c>
      <c r="F1145" s="35">
        <v>3.9863861016879332</v>
      </c>
      <c r="G1145" s="35">
        <v>5.9710091602400539E-2</v>
      </c>
      <c r="H1145" s="35">
        <v>0.25539699174117869</v>
      </c>
      <c r="I1145" s="35">
        <v>3.1122112658317214</v>
      </c>
      <c r="J1145" t="s">
        <v>2439</v>
      </c>
      <c r="K1145" t="s">
        <v>40</v>
      </c>
    </row>
    <row r="1146" spans="1:11">
      <c r="A1146" s="1">
        <v>44105</v>
      </c>
      <c r="B1146" t="s">
        <v>134</v>
      </c>
      <c r="C1146" t="s">
        <v>2441</v>
      </c>
      <c r="D1146" s="35">
        <v>108.7334478102</v>
      </c>
      <c r="E1146" s="35">
        <v>0.23914830920886257</v>
      </c>
      <c r="F1146" s="35">
        <v>3.9794770148346315</v>
      </c>
      <c r="G1146" s="35">
        <v>-6.7152525649730843E-2</v>
      </c>
      <c r="H1146" s="35">
        <v>0.30630083485859338</v>
      </c>
      <c r="I1146" s="35">
        <v>3.7439958562480724</v>
      </c>
      <c r="J1146" t="s">
        <v>2440</v>
      </c>
      <c r="K1146" t="s">
        <v>40</v>
      </c>
    </row>
    <row r="1147" spans="1:11">
      <c r="A1147" s="1">
        <v>44136</v>
      </c>
      <c r="B1147" t="s">
        <v>134</v>
      </c>
      <c r="C1147" t="s">
        <v>2441</v>
      </c>
      <c r="D1147" s="35">
        <v>108.6418313236</v>
      </c>
      <c r="E1147" s="35">
        <v>-8.4293386432734208E-2</v>
      </c>
      <c r="F1147" s="35">
        <v>3.6622510777344131</v>
      </c>
      <c r="G1147" s="35">
        <v>-9.1034986847382593E-2</v>
      </c>
      <c r="H1147" s="35">
        <v>6.7416004146483854E-3</v>
      </c>
      <c r="I1147" s="35">
        <v>8.0931937208728044E-2</v>
      </c>
      <c r="J1147" t="s">
        <v>2440</v>
      </c>
      <c r="K1147" t="s">
        <v>40</v>
      </c>
    </row>
    <row r="1148" spans="1:11">
      <c r="A1148" s="1">
        <v>44166</v>
      </c>
      <c r="B1148" t="s">
        <v>134</v>
      </c>
      <c r="C1148" t="s">
        <v>2441</v>
      </c>
      <c r="D1148" s="35">
        <v>109.2367108017</v>
      </c>
      <c r="E1148" s="35">
        <v>0.54606658417671261</v>
      </c>
      <c r="F1148" s="35">
        <v>3.8038316585266685</v>
      </c>
      <c r="G1148" s="35">
        <v>9.1165377259296132E-2</v>
      </c>
      <c r="H1148" s="35">
        <v>0.45490120691741648</v>
      </c>
      <c r="I1148" s="35">
        <v>5.610556255650212</v>
      </c>
      <c r="J1148" t="s">
        <v>2440</v>
      </c>
      <c r="K1148" t="s">
        <v>40</v>
      </c>
    </row>
    <row r="1149" spans="1:11">
      <c r="A1149" s="1">
        <v>44197</v>
      </c>
      <c r="B1149" t="s">
        <v>134</v>
      </c>
      <c r="C1149" t="s">
        <v>2441</v>
      </c>
      <c r="D1149" s="35">
        <v>109.6288967959</v>
      </c>
      <c r="E1149" s="35">
        <v>0.35838103415571593</v>
      </c>
      <c r="F1149" s="35">
        <v>3.8377622798270838</v>
      </c>
      <c r="G1149" s="35">
        <v>0.11558240907831546</v>
      </c>
      <c r="H1149" s="35">
        <v>0.24279862507740047</v>
      </c>
      <c r="I1149" s="35">
        <v>2.9564435871946459</v>
      </c>
      <c r="J1149" t="s">
        <v>132</v>
      </c>
      <c r="K1149" t="s">
        <v>40</v>
      </c>
    </row>
    <row r="1150" spans="1:11">
      <c r="A1150" s="1">
        <v>44228</v>
      </c>
      <c r="B1150" t="s">
        <v>134</v>
      </c>
      <c r="C1150" t="s">
        <v>2441</v>
      </c>
      <c r="D1150" s="35">
        <v>110.0609027981</v>
      </c>
      <c r="E1150" s="35">
        <v>0.39328777197389131</v>
      </c>
      <c r="F1150" s="35">
        <v>3.8688345679985359</v>
      </c>
      <c r="G1150" s="35">
        <v>0.12699036627294302</v>
      </c>
      <c r="H1150" s="35">
        <v>0.26629740570094829</v>
      </c>
      <c r="I1150" s="35">
        <v>3.2471754109438145</v>
      </c>
      <c r="J1150" t="s">
        <v>132</v>
      </c>
      <c r="K1150" t="s">
        <v>40</v>
      </c>
    </row>
    <row r="1151" spans="1:11">
      <c r="A1151" s="1">
        <v>44256</v>
      </c>
      <c r="B1151" t="s">
        <v>134</v>
      </c>
      <c r="C1151" t="s">
        <v>2441</v>
      </c>
      <c r="D1151" s="35">
        <v>110.653978256</v>
      </c>
      <c r="E1151" s="35">
        <v>0.53741449826372401</v>
      </c>
      <c r="F1151" s="35">
        <v>4.1229167354992935</v>
      </c>
      <c r="G1151" s="35">
        <v>6.1109136241099093E-2</v>
      </c>
      <c r="H1151" s="35">
        <v>0.47630536202262491</v>
      </c>
      <c r="I1151" s="35">
        <v>5.8821654875176765</v>
      </c>
      <c r="J1151" t="s">
        <v>132</v>
      </c>
      <c r="K1151" t="s">
        <v>40</v>
      </c>
    </row>
    <row r="1152" spans="1:11">
      <c r="A1152" s="1">
        <v>44287</v>
      </c>
      <c r="B1152" t="s">
        <v>134</v>
      </c>
      <c r="C1152" t="s">
        <v>2441</v>
      </c>
      <c r="D1152" s="35">
        <v>111.0609307746</v>
      </c>
      <c r="E1152" s="35">
        <v>0.36709572431046888</v>
      </c>
      <c r="F1152" s="35">
        <v>4.1320595141718375</v>
      </c>
      <c r="G1152" s="35">
        <v>1.5467613080731302E-2</v>
      </c>
      <c r="H1152" s="35">
        <v>0.35162811122973758</v>
      </c>
      <c r="I1152" s="35">
        <v>4.3098252441563289</v>
      </c>
      <c r="J1152" t="s">
        <v>136</v>
      </c>
      <c r="K1152" t="s">
        <v>40</v>
      </c>
    </row>
    <row r="1153" spans="1:11">
      <c r="A1153" s="1">
        <v>44317</v>
      </c>
      <c r="B1153" t="s">
        <v>134</v>
      </c>
      <c r="C1153" t="s">
        <v>2441</v>
      </c>
      <c r="D1153" s="35">
        <v>111.6442229006</v>
      </c>
      <c r="E1153" s="35">
        <v>0.523825740119778</v>
      </c>
      <c r="F1153" s="35">
        <v>4.3673258471376375</v>
      </c>
      <c r="G1153" s="35">
        <v>-9.2177951932252061E-2</v>
      </c>
      <c r="H1153" s="35">
        <v>0.61600369205203009</v>
      </c>
      <c r="I1153" s="35">
        <v>7.6721141434621609</v>
      </c>
      <c r="J1153" t="s">
        <v>136</v>
      </c>
      <c r="K1153" t="s">
        <v>40</v>
      </c>
    </row>
    <row r="1154" spans="1:11">
      <c r="A1154" s="1">
        <v>44348</v>
      </c>
      <c r="B1154" t="s">
        <v>134</v>
      </c>
      <c r="C1154" t="s">
        <v>2441</v>
      </c>
      <c r="D1154" s="35">
        <v>112.2811333585</v>
      </c>
      <c r="E1154" s="35">
        <v>0.56886114738455773</v>
      </c>
      <c r="F1154" s="35">
        <v>4.5780245490051552</v>
      </c>
      <c r="G1154" s="35">
        <v>-6.8631876269193037E-2</v>
      </c>
      <c r="H1154" s="35">
        <v>0.63749302365375082</v>
      </c>
      <c r="I1154" s="35">
        <v>7.9501286619817035</v>
      </c>
      <c r="J1154" t="s">
        <v>136</v>
      </c>
      <c r="K1154" t="s">
        <v>40</v>
      </c>
    </row>
    <row r="1155" spans="1:11">
      <c r="A1155" s="1">
        <v>44378</v>
      </c>
      <c r="B1155" t="s">
        <v>134</v>
      </c>
      <c r="C1155" t="s">
        <v>2441</v>
      </c>
      <c r="D1155" s="35">
        <v>112.8150767927</v>
      </c>
      <c r="E1155" s="35">
        <v>0.47441441621081926</v>
      </c>
      <c r="F1155" s="35">
        <v>4.6609701888603805</v>
      </c>
      <c r="G1155" s="35">
        <v>-6.3321577930948281E-2</v>
      </c>
      <c r="H1155" s="35">
        <v>0.53773599414176754</v>
      </c>
      <c r="I1155" s="35">
        <v>6.665578475891154</v>
      </c>
      <c r="J1155" t="s">
        <v>139</v>
      </c>
      <c r="K1155" t="s">
        <v>40</v>
      </c>
    </row>
    <row r="1156" spans="1:11">
      <c r="A1156" s="1">
        <v>44409</v>
      </c>
      <c r="B1156" t="s">
        <v>134</v>
      </c>
      <c r="C1156" t="s">
        <v>2441</v>
      </c>
      <c r="D1156" s="35">
        <v>113.2966539131</v>
      </c>
      <c r="E1156" s="35">
        <v>0.42596449734318592</v>
      </c>
      <c r="F1156" s="35">
        <v>4.775809534334341</v>
      </c>
      <c r="G1156" s="35">
        <v>-8.7706074905278902E-2</v>
      </c>
      <c r="H1156" s="35">
        <v>0.5136705722484648</v>
      </c>
      <c r="I1156" s="35">
        <v>6.3579885688091142</v>
      </c>
      <c r="J1156" t="s">
        <v>139</v>
      </c>
      <c r="K1156" t="s">
        <v>40</v>
      </c>
    </row>
    <row r="1157" spans="1:11">
      <c r="A1157" s="1">
        <v>44440</v>
      </c>
      <c r="B1157" t="s">
        <v>134</v>
      </c>
      <c r="C1157" t="s">
        <v>2441</v>
      </c>
      <c r="D1157" s="35">
        <v>113.8153930916</v>
      </c>
      <c r="E1157" s="35">
        <v>0.45681423546247862</v>
      </c>
      <c r="F1157" s="35">
        <v>4.924389599560941</v>
      </c>
      <c r="G1157" s="35">
        <v>5.9710091602400539E-2</v>
      </c>
      <c r="H1157" s="35">
        <v>0.39710414386007808</v>
      </c>
      <c r="I1157" s="35">
        <v>4.8806128991002451</v>
      </c>
      <c r="J1157" t="s">
        <v>139</v>
      </c>
      <c r="K1157" t="s">
        <v>40</v>
      </c>
    </row>
    <row r="1158" spans="1:11">
      <c r="A1158" s="1">
        <v>44470</v>
      </c>
      <c r="B1158" t="s">
        <v>134</v>
      </c>
      <c r="C1158" t="s">
        <v>2441</v>
      </c>
      <c r="D1158" s="35">
        <v>114.37796442769999</v>
      </c>
      <c r="E1158" s="35">
        <v>0.49306647832283446</v>
      </c>
      <c r="F1158" s="35">
        <v>5.1911502221035022</v>
      </c>
      <c r="G1158" s="35">
        <v>-6.7152525649730843E-2</v>
      </c>
      <c r="H1158" s="35">
        <v>0.5602190039725653</v>
      </c>
      <c r="I1158" s="35">
        <v>6.9537466242698187</v>
      </c>
      <c r="J1158" t="s">
        <v>142</v>
      </c>
      <c r="K1158" t="s">
        <v>40</v>
      </c>
    </row>
    <row r="1159" spans="1:11">
      <c r="A1159" s="1">
        <v>44501</v>
      </c>
      <c r="B1159" t="s">
        <v>134</v>
      </c>
      <c r="C1159" t="s">
        <v>2441</v>
      </c>
      <c r="D1159" s="35">
        <v>114.7990637102</v>
      </c>
      <c r="E1159" s="35">
        <v>0.36748862643532909</v>
      </c>
      <c r="F1159" s="35">
        <v>5.6674600488462845</v>
      </c>
      <c r="G1159" s="35">
        <v>-9.1034986847382593E-2</v>
      </c>
      <c r="H1159" s="35">
        <v>0.45852361328271168</v>
      </c>
      <c r="I1159" s="35">
        <v>5.6564739570283518</v>
      </c>
      <c r="J1159" t="s">
        <v>142</v>
      </c>
      <c r="K1159" t="s">
        <v>40</v>
      </c>
    </row>
    <row r="1160" spans="1:11">
      <c r="A1160" s="1">
        <v>44531</v>
      </c>
      <c r="B1160" t="s">
        <v>134</v>
      </c>
      <c r="C1160" t="s">
        <v>2441</v>
      </c>
      <c r="D1160" s="35">
        <v>115.7207053553</v>
      </c>
      <c r="E1160" s="35">
        <v>0.79962474337262091</v>
      </c>
      <c r="F1160" s="35">
        <v>5.9357284799343324</v>
      </c>
      <c r="G1160" s="35">
        <v>9.1165377259296132E-2</v>
      </c>
      <c r="H1160" s="35">
        <v>0.70845936611332472</v>
      </c>
      <c r="I1160" s="35">
        <v>8.8733532507537127</v>
      </c>
      <c r="J1160" t="s">
        <v>142</v>
      </c>
      <c r="K1160" t="s">
        <v>40</v>
      </c>
    </row>
    <row r="1161" spans="1:11">
      <c r="A1161" s="1">
        <v>44562</v>
      </c>
      <c r="B1161" t="s">
        <v>134</v>
      </c>
      <c r="C1161" t="s">
        <v>2441</v>
      </c>
      <c r="D1161" s="35">
        <v>116.4327212899</v>
      </c>
      <c r="E1161" s="35">
        <v>0.6134031079651</v>
      </c>
      <c r="F1161" s="35">
        <v>6.2062327478008994</v>
      </c>
      <c r="G1161" s="35">
        <v>0.11558240907831546</v>
      </c>
      <c r="H1161" s="35">
        <v>0.49782069888678454</v>
      </c>
      <c r="I1161" s="35">
        <v>6.1558895463907914</v>
      </c>
      <c r="J1161" t="s">
        <v>145</v>
      </c>
      <c r="K1161" t="s">
        <v>40</v>
      </c>
    </row>
    <row r="1162" spans="1:11">
      <c r="A1162" s="1">
        <v>44593</v>
      </c>
      <c r="B1162" t="s">
        <v>134</v>
      </c>
      <c r="C1162" t="s">
        <v>2441</v>
      </c>
      <c r="D1162" s="35">
        <v>117.31658513249999</v>
      </c>
      <c r="E1162" s="35">
        <v>0.75625298625133786</v>
      </c>
      <c r="F1162" s="35">
        <v>6.5924248756255466</v>
      </c>
      <c r="G1162" s="35">
        <v>0.12699036627294302</v>
      </c>
      <c r="H1162" s="35">
        <v>0.62926261997839483</v>
      </c>
      <c r="I1162" s="35">
        <v>7.8435645183158487</v>
      </c>
      <c r="J1162" t="s">
        <v>145</v>
      </c>
      <c r="K1162" t="s">
        <v>40</v>
      </c>
    </row>
    <row r="1163" spans="1:11">
      <c r="A1163" s="1">
        <v>44621</v>
      </c>
      <c r="B1163" t="s">
        <v>134</v>
      </c>
      <c r="C1163" t="s">
        <v>2441</v>
      </c>
      <c r="D1163" s="35">
        <v>118.1558694559</v>
      </c>
      <c r="E1163" s="35">
        <v>0.71285440070956185</v>
      </c>
      <c r="F1163" s="35">
        <v>6.779594659077004</v>
      </c>
      <c r="G1163" s="35">
        <v>6.1109136241099093E-2</v>
      </c>
      <c r="H1163" s="35">
        <v>0.6517452644684627</v>
      </c>
      <c r="I1163" s="35">
        <v>8.1349103777118579</v>
      </c>
      <c r="J1163" t="s">
        <v>145</v>
      </c>
      <c r="K1163" t="s">
        <v>40</v>
      </c>
    </row>
    <row r="1164" spans="1:11">
      <c r="A1164" s="1">
        <v>44652</v>
      </c>
      <c r="B1164" t="s">
        <v>134</v>
      </c>
      <c r="C1164" t="s">
        <v>2441</v>
      </c>
      <c r="D1164" s="35">
        <v>119.0742421729</v>
      </c>
      <c r="E1164" s="35">
        <v>0.77425019821187502</v>
      </c>
      <c r="F1164" s="35">
        <v>7.2152388264808964</v>
      </c>
      <c r="G1164" s="35">
        <v>1.5467613080731302E-2</v>
      </c>
      <c r="H1164" s="35">
        <v>0.75878258513114372</v>
      </c>
      <c r="I1164" s="35">
        <v>9.5328053038454144</v>
      </c>
      <c r="J1164" t="s">
        <v>148</v>
      </c>
      <c r="K1164" t="s">
        <v>40</v>
      </c>
    </row>
    <row r="1165" spans="1:11">
      <c r="A1165" s="1">
        <v>44682</v>
      </c>
      <c r="B1165" t="s">
        <v>134</v>
      </c>
      <c r="C1165" t="s">
        <v>2441</v>
      </c>
      <c r="D1165" s="35">
        <v>119.77402591489999</v>
      </c>
      <c r="E1165" s="35">
        <v>0.5859667728794179</v>
      </c>
      <c r="F1165" s="35">
        <v>7.2818841880767815</v>
      </c>
      <c r="G1165" s="35">
        <v>-9.2177951932252061E-2</v>
      </c>
      <c r="H1165" s="35">
        <v>0.67814472481166999</v>
      </c>
      <c r="I1165" s="35">
        <v>8.4780179554463597</v>
      </c>
      <c r="J1165" t="s">
        <v>148</v>
      </c>
      <c r="K1165" t="s">
        <v>40</v>
      </c>
    </row>
    <row r="1166" spans="1:11">
      <c r="A1166" s="1">
        <v>44713</v>
      </c>
      <c r="B1166" t="s">
        <v>134</v>
      </c>
      <c r="C1166" t="s">
        <v>2441</v>
      </c>
      <c r="D1166" s="35">
        <v>120.696375742</v>
      </c>
      <c r="E1166" s="35">
        <v>0.76712505485117333</v>
      </c>
      <c r="F1166" s="35">
        <v>7.4947964380009946</v>
      </c>
      <c r="G1166" s="35">
        <v>-6.8631876269193037E-2</v>
      </c>
      <c r="H1166" s="35">
        <v>0.83575693112036631</v>
      </c>
      <c r="I1166" s="35">
        <v>10.549238359452984</v>
      </c>
      <c r="J1166" t="s">
        <v>148</v>
      </c>
      <c r="K1166" t="s">
        <v>40</v>
      </c>
    </row>
    <row r="1167" spans="1:11">
      <c r="A1167" s="1">
        <v>44743</v>
      </c>
      <c r="B1167" t="s">
        <v>134</v>
      </c>
      <c r="C1167" t="s">
        <v>2441</v>
      </c>
      <c r="D1167" s="35">
        <v>121.4473270209</v>
      </c>
      <c r="E1167" s="35">
        <v>0.62025456607214757</v>
      </c>
      <c r="F1167" s="35">
        <v>7.6516813830317609</v>
      </c>
      <c r="G1167" s="35">
        <v>-6.3321577930948281E-2</v>
      </c>
      <c r="H1167" s="35">
        <v>0.68357614400309585</v>
      </c>
      <c r="I1167" s="35">
        <v>8.5487437520581189</v>
      </c>
      <c r="J1167" t="s">
        <v>151</v>
      </c>
      <c r="K1167" t="s">
        <v>40</v>
      </c>
    </row>
    <row r="1168" spans="1:11">
      <c r="A1168" s="1">
        <v>44774</v>
      </c>
      <c r="B1168" t="s">
        <v>134</v>
      </c>
      <c r="C1168" t="s">
        <v>2441</v>
      </c>
      <c r="D1168" s="35">
        <v>122.4172935096</v>
      </c>
      <c r="E1168" s="35">
        <v>0.79550006204725054</v>
      </c>
      <c r="F1168" s="35">
        <v>8.0502285649986192</v>
      </c>
      <c r="G1168" s="35">
        <v>-8.7706074905278902E-2</v>
      </c>
      <c r="H1168" s="35">
        <v>0.88320613695252947</v>
      </c>
      <c r="I1168" s="35">
        <v>11.180490626978944</v>
      </c>
      <c r="J1168" t="s">
        <v>151</v>
      </c>
      <c r="K1168" t="s">
        <v>40</v>
      </c>
    </row>
    <row r="1169" spans="1:11">
      <c r="A1169" s="1">
        <v>44805</v>
      </c>
      <c r="B1169" t="s">
        <v>134</v>
      </c>
      <c r="C1169" t="s">
        <v>2441</v>
      </c>
      <c r="D1169" s="35">
        <v>123.23917545899999</v>
      </c>
      <c r="E1169" s="35">
        <v>0.66913362340966365</v>
      </c>
      <c r="F1169" s="35">
        <v>8.2798838640530938</v>
      </c>
      <c r="G1169" s="35">
        <v>5.9710091602400539E-2</v>
      </c>
      <c r="H1169" s="35">
        <v>0.60942353180726316</v>
      </c>
      <c r="I1169" s="35">
        <v>7.5871277295364248</v>
      </c>
      <c r="J1169" t="s">
        <v>151</v>
      </c>
      <c r="K1169" t="s">
        <v>40</v>
      </c>
    </row>
    <row r="1170" spans="1:11">
      <c r="A1170" s="1">
        <v>44835</v>
      </c>
      <c r="B1170" t="s">
        <v>134</v>
      </c>
      <c r="C1170" t="s">
        <v>2441</v>
      </c>
      <c r="D1170" s="35">
        <v>124.0132188462</v>
      </c>
      <c r="E1170" s="35">
        <v>0.62611803462506066</v>
      </c>
      <c r="F1170" s="35">
        <v>8.4240478196222934</v>
      </c>
      <c r="G1170" s="35">
        <v>-6.7152525649730843E-2</v>
      </c>
      <c r="H1170" s="35">
        <v>0.6932705602747915</v>
      </c>
      <c r="I1170" s="35">
        <v>8.6750952369661682</v>
      </c>
      <c r="J1170" t="s">
        <v>154</v>
      </c>
      <c r="K1170" t="s">
        <v>40</v>
      </c>
    </row>
    <row r="1171" spans="1:11">
      <c r="A1171" s="1">
        <v>44866</v>
      </c>
      <c r="B1171" t="s">
        <v>134</v>
      </c>
      <c r="C1171" t="s">
        <v>2441</v>
      </c>
      <c r="D1171" s="35">
        <v>124.57402117540001</v>
      </c>
      <c r="E1171" s="35">
        <v>0.45119233032755574</v>
      </c>
      <c r="F1171" s="35">
        <v>8.5148407567817941</v>
      </c>
      <c r="G1171" s="35">
        <v>-9.1034986847382593E-2</v>
      </c>
      <c r="H1171" s="35">
        <v>0.54222731717493833</v>
      </c>
      <c r="I1171" s="35">
        <v>6.723082318933904</v>
      </c>
      <c r="J1171" t="s">
        <v>154</v>
      </c>
      <c r="K1171" t="s">
        <v>40</v>
      </c>
    </row>
    <row r="1172" spans="1:11">
      <c r="A1172" s="1">
        <v>44896</v>
      </c>
      <c r="B1172" t="s">
        <v>134</v>
      </c>
      <c r="C1172" t="s">
        <v>2441</v>
      </c>
      <c r="D1172" s="35">
        <v>125.37887351800001</v>
      </c>
      <c r="E1172" s="35">
        <v>0.64400544375320878</v>
      </c>
      <c r="F1172" s="35">
        <v>8.3461020506626848</v>
      </c>
      <c r="G1172" s="35">
        <v>9.1165377259296132E-2</v>
      </c>
      <c r="H1172" s="35">
        <v>0.5528400664939126</v>
      </c>
      <c r="I1172" s="35">
        <v>6.8590839399229164</v>
      </c>
      <c r="J1172" t="s">
        <v>154</v>
      </c>
      <c r="K1172" t="s">
        <v>40</v>
      </c>
    </row>
    <row r="1173" spans="1:11">
      <c r="A1173" s="1">
        <v>44927</v>
      </c>
      <c r="B1173" t="s">
        <v>134</v>
      </c>
      <c r="C1173" t="s">
        <v>2441</v>
      </c>
      <c r="D1173" s="35">
        <v>126.27508456370001</v>
      </c>
      <c r="E1173" s="35">
        <v>0.71225967702955673</v>
      </c>
      <c r="F1173" s="35">
        <v>8.4532622485856024</v>
      </c>
      <c r="G1173" s="35">
        <v>0.11558240907831546</v>
      </c>
      <c r="H1173" s="35">
        <v>0.59667726795124132</v>
      </c>
      <c r="I1173" s="35">
        <v>7.4226934468536232</v>
      </c>
      <c r="J1173" t="s">
        <v>157</v>
      </c>
      <c r="K1173" t="s">
        <v>40</v>
      </c>
    </row>
    <row r="1174" spans="1:11">
      <c r="A1174" s="1">
        <v>44958</v>
      </c>
      <c r="B1174" t="s">
        <v>134</v>
      </c>
      <c r="C1174" t="s">
        <v>2441</v>
      </c>
      <c r="D1174" s="35">
        <v>127.0465123709</v>
      </c>
      <c r="E1174" s="35">
        <v>0.60905205175846944</v>
      </c>
      <c r="F1174" s="35">
        <v>8.2937354743242828</v>
      </c>
      <c r="G1174" s="35">
        <v>0.12699036627294302</v>
      </c>
      <c r="H1174" s="35">
        <v>0.48206168548552641</v>
      </c>
      <c r="I1174" s="35">
        <v>5.9553297932729121</v>
      </c>
      <c r="J1174" t="s">
        <v>157</v>
      </c>
      <c r="K1174" t="s">
        <v>40</v>
      </c>
    </row>
    <row r="1175" spans="1:11">
      <c r="A1175" s="1">
        <v>44986</v>
      </c>
      <c r="B1175" t="s">
        <v>134</v>
      </c>
      <c r="C1175" t="s">
        <v>2441</v>
      </c>
      <c r="D1175" s="35">
        <v>127.7123939566</v>
      </c>
      <c r="E1175" s="35">
        <v>0.52275550377857372</v>
      </c>
      <c r="F1175" s="35">
        <v>8.0880658275438666</v>
      </c>
      <c r="G1175" s="35">
        <v>6.1109136241099093E-2</v>
      </c>
      <c r="H1175" s="35">
        <v>0.46164636753747462</v>
      </c>
      <c r="I1175" s="35">
        <v>5.6960740806833332</v>
      </c>
      <c r="J1175" t="s">
        <v>157</v>
      </c>
      <c r="K1175" t="s">
        <v>40</v>
      </c>
    </row>
    <row r="1176" spans="1:11">
      <c r="A1176" s="1">
        <v>45017</v>
      </c>
      <c r="B1176" t="s">
        <v>134</v>
      </c>
      <c r="C1176" t="s">
        <v>2441</v>
      </c>
      <c r="D1176" s="35">
        <v>128.20621836800001</v>
      </c>
      <c r="E1176" s="35">
        <v>0.38592349327006592</v>
      </c>
      <c r="F1176" s="35">
        <v>7.6691449203935003</v>
      </c>
      <c r="G1176" s="35">
        <v>1.5467613080731302E-2</v>
      </c>
      <c r="H1176" s="35">
        <v>0.37045588018933462</v>
      </c>
      <c r="I1176" s="35">
        <v>4.5457622286045218</v>
      </c>
      <c r="J1176" t="s">
        <v>160</v>
      </c>
      <c r="K1176" t="s">
        <v>40</v>
      </c>
    </row>
    <row r="1177" spans="1:11">
      <c r="A1177" s="1">
        <v>45047</v>
      </c>
      <c r="B1177" t="s">
        <v>134</v>
      </c>
      <c r="C1177" t="s">
        <v>2441</v>
      </c>
      <c r="D1177" s="35">
        <v>128.62112980929999</v>
      </c>
      <c r="E1177" s="35">
        <v>0.3231056234532379</v>
      </c>
      <c r="F1177" s="35">
        <v>7.3864962180413718</v>
      </c>
      <c r="G1177" s="35">
        <v>-9.2177951932252061E-2</v>
      </c>
      <c r="H1177" s="35">
        <v>0.41528357538548999</v>
      </c>
      <c r="I1177" s="35">
        <v>5.1096630388061559</v>
      </c>
      <c r="J1177" t="s">
        <v>160</v>
      </c>
      <c r="K1177" t="s">
        <v>40</v>
      </c>
    </row>
    <row r="1178" spans="1:11">
      <c r="A1178" s="1">
        <v>45078</v>
      </c>
      <c r="B1178" t="s">
        <v>134</v>
      </c>
      <c r="C1178" t="s">
        <v>2441</v>
      </c>
      <c r="D1178" s="35">
        <v>129.00761887440001</v>
      </c>
      <c r="E1178" s="35">
        <v>0.30003589041270706</v>
      </c>
      <c r="F1178" s="35">
        <v>6.8860751462546776</v>
      </c>
      <c r="G1178" s="35">
        <v>-6.8631876269193037E-2</v>
      </c>
      <c r="H1178" s="35">
        <v>0.3686677666819001</v>
      </c>
      <c r="I1178" s="35">
        <v>4.5233318724216209</v>
      </c>
      <c r="J1178" t="s">
        <v>160</v>
      </c>
      <c r="K1178" t="s">
        <v>40</v>
      </c>
    </row>
    <row r="1179" spans="1:11">
      <c r="A1179" s="1">
        <v>45108</v>
      </c>
      <c r="B1179" t="s">
        <v>134</v>
      </c>
      <c r="C1179" t="s">
        <v>2441</v>
      </c>
      <c r="D1179" s="35">
        <v>129.51140391780001</v>
      </c>
      <c r="E1179" s="35">
        <v>0.38974747442524876</v>
      </c>
      <c r="F1179" s="35">
        <v>6.6399789066681203</v>
      </c>
      <c r="G1179" s="35">
        <v>-6.3321577930948281E-2</v>
      </c>
      <c r="H1179" s="35">
        <v>0.45306905235619704</v>
      </c>
      <c r="I1179" s="35">
        <v>5.5873394244703167</v>
      </c>
      <c r="J1179" t="s">
        <v>183</v>
      </c>
      <c r="K1179" t="s">
        <v>40</v>
      </c>
    </row>
    <row r="1180" spans="1:11">
      <c r="A1180" s="1">
        <v>45139</v>
      </c>
      <c r="B1180" t="s">
        <v>134</v>
      </c>
      <c r="C1180" t="s">
        <v>2441</v>
      </c>
      <c r="D1180" s="35">
        <v>129.86377276190001</v>
      </c>
      <c r="E1180" s="35">
        <v>0.27170607873011687</v>
      </c>
      <c r="F1180" s="35">
        <v>6.0828654504733404</v>
      </c>
      <c r="G1180" s="35">
        <v>-8.7706074905278902E-2</v>
      </c>
      <c r="H1180" s="35">
        <v>0.3594121536353958</v>
      </c>
      <c r="I1180" s="35">
        <v>4.4073050166328676</v>
      </c>
      <c r="J1180" t="s">
        <v>183</v>
      </c>
      <c r="K1180" t="s">
        <v>40</v>
      </c>
    </row>
    <row r="1181" spans="1:11">
      <c r="A1181" s="1">
        <v>45170</v>
      </c>
      <c r="B1181" t="s">
        <v>134</v>
      </c>
      <c r="C1181" t="s">
        <v>2441</v>
      </c>
      <c r="D1181" s="35">
        <v>130.333655136</v>
      </c>
      <c r="E1181" s="35">
        <v>0.36117411973252006</v>
      </c>
      <c r="F1181" s="35">
        <v>5.7566757084968057</v>
      </c>
      <c r="G1181" s="35">
        <v>5.9710091602400539E-2</v>
      </c>
      <c r="H1181" s="35">
        <v>0.30146402813011952</v>
      </c>
      <c r="I1181" s="35">
        <v>3.6837985688331631</v>
      </c>
      <c r="J1181" t="s">
        <v>183</v>
      </c>
      <c r="K1181" t="s">
        <v>40</v>
      </c>
    </row>
    <row r="1182" spans="1:11">
      <c r="A1182" s="1">
        <v>45200</v>
      </c>
      <c r="B1182" t="s">
        <v>134</v>
      </c>
      <c r="C1182" t="s">
        <v>2441</v>
      </c>
      <c r="D1182" s="35">
        <v>130.8367707205</v>
      </c>
      <c r="E1182" s="35">
        <v>0.38527808437767125</v>
      </c>
      <c r="F1182" s="35">
        <v>5.5022778521397031</v>
      </c>
      <c r="G1182" s="35">
        <v>-6.7152525649730843E-2</v>
      </c>
      <c r="H1182" s="35">
        <v>0.45243061002740209</v>
      </c>
      <c r="I1182" s="35">
        <v>5.5792503631134194</v>
      </c>
      <c r="J1182" t="s">
        <v>254</v>
      </c>
      <c r="K1182" t="s">
        <v>40</v>
      </c>
    </row>
    <row r="1183" spans="1:11">
      <c r="A1183" s="1">
        <v>45231</v>
      </c>
      <c r="B1183" t="s">
        <v>134</v>
      </c>
      <c r="C1183" t="s">
        <v>2441</v>
      </c>
      <c r="D1183" s="35">
        <v>131.1825241256</v>
      </c>
      <c r="E1183" s="35">
        <v>0.26391461436972535</v>
      </c>
      <c r="F1183" s="35">
        <v>5.3048804942205541</v>
      </c>
      <c r="G1183" s="35">
        <v>-9.1034986847382593E-2</v>
      </c>
      <c r="H1183" s="35">
        <v>0.35494960121710795</v>
      </c>
      <c r="I1183" s="35">
        <v>4.3514092156664574</v>
      </c>
      <c r="J1183" t="s">
        <v>254</v>
      </c>
      <c r="K1183" t="s">
        <v>40</v>
      </c>
    </row>
    <row r="1184" spans="1:11">
      <c r="A1184" s="1">
        <v>45261</v>
      </c>
      <c r="B1184" t="s">
        <v>134</v>
      </c>
      <c r="C1184" t="s">
        <v>2441</v>
      </c>
      <c r="D1184" s="35">
        <v>131.75777905449999</v>
      </c>
      <c r="E1184" s="35">
        <v>0.43755623595152254</v>
      </c>
      <c r="F1184" s="35">
        <v>5.0877036597271719</v>
      </c>
      <c r="G1184" s="35">
        <v>9.1165377259296132E-2</v>
      </c>
      <c r="H1184" s="35">
        <v>0.34639085869222641</v>
      </c>
      <c r="I1184" s="35">
        <v>4.2442902120904957</v>
      </c>
      <c r="J1184" t="s">
        <v>254</v>
      </c>
      <c r="K1184" t="s">
        <v>40</v>
      </c>
    </row>
    <row r="1185" spans="1:11">
      <c r="A1185" s="1">
        <v>45292</v>
      </c>
      <c r="B1185" t="s">
        <v>134</v>
      </c>
      <c r="C1185" t="s">
        <v>2441</v>
      </c>
      <c r="D1185" s="35">
        <v>132.29122103029999</v>
      </c>
      <c r="E1185" s="35">
        <v>0.4040482647948358</v>
      </c>
      <c r="F1185" s="35">
        <v>4.7643099882979101</v>
      </c>
      <c r="G1185" s="35">
        <v>0.11558240907831546</v>
      </c>
      <c r="H1185" s="35">
        <v>0.28846585571652034</v>
      </c>
      <c r="I1185" s="35">
        <v>3.5222006434224351</v>
      </c>
      <c r="J1185" t="s">
        <v>355</v>
      </c>
      <c r="K1185" t="s">
        <v>40</v>
      </c>
    </row>
    <row r="1186" spans="1:11">
      <c r="A1186" s="1">
        <v>45323</v>
      </c>
      <c r="B1186" t="s">
        <v>134</v>
      </c>
      <c r="C1186" t="s">
        <v>2441</v>
      </c>
      <c r="D1186" s="35">
        <v>132.945408001</v>
      </c>
      <c r="E1186" s="35">
        <v>0.49328654162519969</v>
      </c>
      <c r="F1186" s="35">
        <v>4.6430992240690028</v>
      </c>
      <c r="G1186" s="35">
        <v>0.12699036627294302</v>
      </c>
      <c r="H1186" s="35">
        <v>0.36629617535225667</v>
      </c>
      <c r="I1186" s="35">
        <v>4.4935897094840138</v>
      </c>
      <c r="J1186" t="s">
        <v>355</v>
      </c>
      <c r="K1186" t="s">
        <v>40</v>
      </c>
    </row>
    <row r="1187" spans="1:11">
      <c r="A1187" s="1">
        <v>45352</v>
      </c>
      <c r="B1187" t="s">
        <v>134</v>
      </c>
      <c r="C1187" t="s">
        <v>2441</v>
      </c>
      <c r="D1187" s="35">
        <v>133.524017418</v>
      </c>
      <c r="E1187" s="35">
        <v>0.43427896124475385</v>
      </c>
      <c r="F1187" s="35">
        <v>4.5505555736234493</v>
      </c>
      <c r="G1187" s="35">
        <v>6.1109136241099093E-2</v>
      </c>
      <c r="H1187" s="35">
        <v>0.37316982500365475</v>
      </c>
      <c r="I1187" s="35">
        <v>4.5798155449439548</v>
      </c>
      <c r="J1187" t="s">
        <v>355</v>
      </c>
      <c r="K1187" t="s">
        <v>40</v>
      </c>
    </row>
    <row r="1188" spans="1:11">
      <c r="A1188" s="1">
        <v>45383</v>
      </c>
      <c r="B1188" t="s">
        <v>134</v>
      </c>
      <c r="C1188" t="s">
        <v>2441</v>
      </c>
      <c r="D1188" s="35">
        <v>133.8030322674</v>
      </c>
      <c r="E1188" s="35">
        <v>0.20874427114180535</v>
      </c>
      <c r="F1188" s="35">
        <v>4.3654777206945106</v>
      </c>
      <c r="G1188" s="35">
        <v>1.5467613080731302E-2</v>
      </c>
      <c r="H1188" s="35">
        <v>0.19327665806107405</v>
      </c>
      <c r="I1188" s="35">
        <v>2.3464252684332276</v>
      </c>
      <c r="J1188" t="s">
        <v>460</v>
      </c>
      <c r="K1188" t="s">
        <v>40</v>
      </c>
    </row>
    <row r="1189" spans="1:11">
      <c r="A1189" s="1">
        <v>45413</v>
      </c>
      <c r="B1189" t="s">
        <v>134</v>
      </c>
      <c r="C1189" t="s">
        <v>2441</v>
      </c>
      <c r="D1189" s="35">
        <v>134.03534683199999</v>
      </c>
      <c r="E1189" s="35">
        <v>0.17347373713960584</v>
      </c>
      <c r="F1189" s="35">
        <v>4.2094304650623027</v>
      </c>
      <c r="G1189" s="35">
        <v>-9.2177951932252061E-2</v>
      </c>
      <c r="H1189" s="35">
        <v>0.26565168907185788</v>
      </c>
      <c r="I1189" s="35">
        <v>3.2391755107195941</v>
      </c>
      <c r="J1189" t="s">
        <v>460</v>
      </c>
      <c r="K1189" t="s">
        <v>40</v>
      </c>
    </row>
    <row r="1190" spans="1:11">
      <c r="A1190" s="1">
        <v>45444</v>
      </c>
      <c r="B1190" t="s">
        <v>134</v>
      </c>
      <c r="C1190" t="s">
        <v>2441</v>
      </c>
      <c r="D1190" s="35">
        <v>134.32931346289999</v>
      </c>
      <c r="E1190" s="35">
        <v>0.21908007421990411</v>
      </c>
      <c r="F1190" s="35">
        <v>4.1251010094846441</v>
      </c>
      <c r="G1190" s="35">
        <v>-6.8631876269193037E-2</v>
      </c>
      <c r="H1190" s="35">
        <v>0.28771195048909715</v>
      </c>
      <c r="I1190" s="35">
        <v>3.5128355556657942</v>
      </c>
      <c r="J1190" t="s">
        <v>460</v>
      </c>
      <c r="K1190" t="s">
        <v>40</v>
      </c>
    </row>
    <row r="1191" spans="1:11">
      <c r="A1191" s="1">
        <v>45474</v>
      </c>
      <c r="B1191" t="s">
        <v>134</v>
      </c>
      <c r="C1191" t="s">
        <v>2441</v>
      </c>
      <c r="D1191" s="35">
        <v>134.753021593</v>
      </c>
      <c r="E1191" s="35">
        <v>0.3149284996404958</v>
      </c>
      <c r="F1191" s="35">
        <v>4.0472248131344646</v>
      </c>
      <c r="G1191" s="35">
        <v>-6.3321577930948281E-2</v>
      </c>
      <c r="H1191" s="35">
        <v>0.37825007757144408</v>
      </c>
      <c r="I1191" s="35">
        <v>4.643590007566778</v>
      </c>
      <c r="J1191" t="s">
        <v>565</v>
      </c>
      <c r="K1191" t="s">
        <v>40</v>
      </c>
    </row>
    <row r="1192" spans="1:11">
      <c r="A1192" s="1">
        <v>45505</v>
      </c>
      <c r="B1192" t="s">
        <v>134</v>
      </c>
      <c r="C1192" t="s">
        <v>2441</v>
      </c>
      <c r="D1192" s="35">
        <v>135.05314295919999</v>
      </c>
      <c r="E1192" s="35">
        <v>0.222471929418319</v>
      </c>
      <c r="F1192" s="35">
        <v>3.9960106555771091</v>
      </c>
      <c r="G1192" s="35">
        <v>-8.7706074905278902E-2</v>
      </c>
      <c r="H1192" s="35">
        <v>0.31017800432359788</v>
      </c>
      <c r="I1192" s="35">
        <v>3.7922750529241656</v>
      </c>
      <c r="J1192" t="s">
        <v>565</v>
      </c>
      <c r="K1192" t="s">
        <v>40</v>
      </c>
    </row>
    <row r="1193" spans="1:11">
      <c r="A1193" s="1">
        <v>45536</v>
      </c>
      <c r="B1193" t="s">
        <v>134</v>
      </c>
      <c r="C1193" t="s">
        <v>2441</v>
      </c>
      <c r="D1193" s="35">
        <v>135.43335850240001</v>
      </c>
      <c r="E1193" s="35">
        <v>0.2811347638943047</v>
      </c>
      <c r="F1193" s="35">
        <v>3.9128062211395642</v>
      </c>
      <c r="G1193" s="35">
        <v>5.9710091602400539E-2</v>
      </c>
      <c r="H1193" s="35">
        <v>0.22142467229190416</v>
      </c>
      <c r="I1193" s="35">
        <v>2.6927116117604788</v>
      </c>
      <c r="J1193" t="s">
        <v>565</v>
      </c>
      <c r="K1193" t="s">
        <v>40</v>
      </c>
    </row>
    <row r="1194" spans="1:11">
      <c r="A1194" s="1">
        <v>45566</v>
      </c>
      <c r="B1194" t="s">
        <v>134</v>
      </c>
      <c r="C1194" t="s">
        <v>2441</v>
      </c>
      <c r="D1194" s="35">
        <v>135.81250229829999</v>
      </c>
      <c r="E1194" s="35">
        <v>0.27955747726853036</v>
      </c>
      <c r="F1194" s="35">
        <v>3.8030070219551515</v>
      </c>
      <c r="G1194" s="35">
        <v>-6.7152525649730843E-2</v>
      </c>
      <c r="H1194" s="35">
        <v>0.34671000291826121</v>
      </c>
      <c r="I1194" s="35">
        <v>4.2482825641363631</v>
      </c>
      <c r="J1194" t="s">
        <v>670</v>
      </c>
      <c r="K1194" t="s">
        <v>40</v>
      </c>
    </row>
    <row r="1195" spans="1:11">
      <c r="A1195" s="1">
        <v>45597</v>
      </c>
      <c r="B1195" t="s">
        <v>134</v>
      </c>
      <c r="C1195" t="s">
        <v>2441</v>
      </c>
      <c r="D1195" s="35">
        <v>135.87558485400001</v>
      </c>
      <c r="E1195" s="35">
        <v>4.6437484613205862E-2</v>
      </c>
      <c r="F1195" s="35">
        <v>3.5775045187472321</v>
      </c>
      <c r="G1195" s="35">
        <v>-9.1034986847382593E-2</v>
      </c>
      <c r="H1195" s="35">
        <v>0.13747247146058844</v>
      </c>
      <c r="I1195" s="35">
        <v>1.663351840820293</v>
      </c>
      <c r="J1195" t="s">
        <v>670</v>
      </c>
      <c r="K1195" t="s">
        <v>40</v>
      </c>
    </row>
    <row r="1196" spans="1:11">
      <c r="A1196" s="1">
        <v>45627</v>
      </c>
      <c r="B1196" t="s">
        <v>134</v>
      </c>
      <c r="C1196" t="s">
        <v>2441</v>
      </c>
      <c r="D1196" s="35">
        <v>136.56745187000001</v>
      </c>
      <c r="E1196" s="35">
        <v>0.50789956800775149</v>
      </c>
      <c r="F1196" s="35">
        <v>3.6503900187256244</v>
      </c>
      <c r="G1196" s="35">
        <v>9.1165377259296132E-2</v>
      </c>
      <c r="H1196" s="35">
        <v>0.41673419074845536</v>
      </c>
      <c r="I1196" s="35">
        <v>5.1279614744395019</v>
      </c>
      <c r="J1196" t="s">
        <v>670</v>
      </c>
      <c r="K1196" t="s">
        <v>40</v>
      </c>
    </row>
    <row r="1197" spans="1:11">
      <c r="A1197" s="1">
        <v>45658</v>
      </c>
      <c r="B1197" t="s">
        <v>134</v>
      </c>
      <c r="C1197" t="s">
        <v>2441</v>
      </c>
      <c r="D1197" s="35">
        <v>137.1340065789</v>
      </c>
      <c r="E1197" s="35">
        <v>0.41399524964317064</v>
      </c>
      <c r="F1197" s="35">
        <v>3.6607006201045067</v>
      </c>
      <c r="G1197" s="35">
        <v>0.11558240907831546</v>
      </c>
      <c r="H1197" s="35">
        <v>0.29841284056485518</v>
      </c>
      <c r="I1197" s="35">
        <v>3.6458424718979421</v>
      </c>
      <c r="J1197" t="s">
        <v>771</v>
      </c>
      <c r="K1197" t="s">
        <v>40</v>
      </c>
    </row>
    <row r="1198" spans="1:11">
      <c r="A1198" s="1">
        <v>45689</v>
      </c>
      <c r="B1198" t="s">
        <v>134</v>
      </c>
      <c r="C1198" t="s">
        <v>2441</v>
      </c>
      <c r="D1198" s="35">
        <v>137.79265784770001</v>
      </c>
      <c r="E1198" s="35">
        <v>0.47914779768432042</v>
      </c>
      <c r="F1198" s="35">
        <v>3.6460453351375266</v>
      </c>
      <c r="G1198" s="35">
        <v>0.12699036627294302</v>
      </c>
      <c r="H1198" s="35">
        <v>0.3521574314113774</v>
      </c>
      <c r="I1198" s="35">
        <v>4.3164510500618869</v>
      </c>
      <c r="J1198" t="s">
        <v>771</v>
      </c>
      <c r="K1198" t="s">
        <v>40</v>
      </c>
    </row>
    <row r="1199" spans="1:11">
      <c r="A1199" s="1">
        <v>45717</v>
      </c>
      <c r="B1199" t="s">
        <v>134</v>
      </c>
      <c r="C1199" t="s">
        <v>2441</v>
      </c>
      <c r="D1199" s="35">
        <v>138.3860988941</v>
      </c>
      <c r="E1199" s="35">
        <v>0.42975206836355589</v>
      </c>
      <c r="F1199" s="35">
        <v>3.6413534958876781</v>
      </c>
      <c r="G1199" s="35">
        <v>6.1109136241099093E-2</v>
      </c>
      <c r="H1199" s="35">
        <v>0.3686429321224568</v>
      </c>
      <c r="I1199" s="35">
        <v>4.5230203779779377</v>
      </c>
      <c r="J1199" t="s">
        <v>771</v>
      </c>
      <c r="K1199" t="s">
        <v>40</v>
      </c>
    </row>
    <row r="1200" spans="1:11">
      <c r="A1200" s="1">
        <v>45748</v>
      </c>
      <c r="B1200" t="s">
        <v>134</v>
      </c>
      <c r="C1200" t="s">
        <v>2441</v>
      </c>
      <c r="D1200" s="35">
        <v>139.0654947674</v>
      </c>
      <c r="E1200" s="35">
        <v>0.48974109123344306</v>
      </c>
      <c r="F1200" s="35">
        <v>3.9329919590186613</v>
      </c>
      <c r="G1200" s="35">
        <v>1.5467613080731302E-2</v>
      </c>
      <c r="H1200" s="35">
        <v>0.47427347815271176</v>
      </c>
      <c r="I1200" s="35">
        <v>5.8563518029702388</v>
      </c>
      <c r="J1200" t="s">
        <v>876</v>
      </c>
      <c r="K1200" t="s">
        <v>40</v>
      </c>
    </row>
    <row r="1201" spans="1:11">
      <c r="A1201" s="1">
        <v>45778</v>
      </c>
      <c r="B1201" t="s">
        <v>134</v>
      </c>
      <c r="C1201" t="s">
        <v>2441</v>
      </c>
      <c r="D1201" s="35">
        <v>139.47605225390001</v>
      </c>
      <c r="E1201" s="35">
        <v>0.29479105591860022</v>
      </c>
      <c r="F1201" s="35">
        <v>4.059157192855567</v>
      </c>
      <c r="G1201" s="35">
        <v>-9.2177951932252061E-2</v>
      </c>
      <c r="H1201" s="35">
        <v>0.38696900785085231</v>
      </c>
      <c r="I1201" s="35">
        <v>4.7531329232521013</v>
      </c>
      <c r="J1201" t="s">
        <v>876</v>
      </c>
      <c r="K1201" t="s">
        <v>40</v>
      </c>
    </row>
    <row r="1202" spans="1:11">
      <c r="A1202" s="1">
        <v>45809</v>
      </c>
      <c r="B1202" t="s">
        <v>134</v>
      </c>
      <c r="C1202" t="s">
        <v>2441</v>
      </c>
      <c r="D1202" s="35">
        <v>140.0255596335</v>
      </c>
      <c r="E1202" s="35">
        <v>0.39320566624770764</v>
      </c>
      <c r="F1202" s="35">
        <v>4.2405086602137931</v>
      </c>
      <c r="G1202" s="35">
        <v>-6.8631876269193037E-2</v>
      </c>
      <c r="H1202" s="35">
        <v>0.46183754251690068</v>
      </c>
      <c r="I1202" s="35">
        <v>5.6984988818714388</v>
      </c>
      <c r="J1202" t="s">
        <v>876</v>
      </c>
      <c r="K1202" t="s">
        <v>40</v>
      </c>
    </row>
    <row r="1203" spans="1:11">
      <c r="A1203" s="1">
        <v>45839</v>
      </c>
      <c r="B1203" t="s">
        <v>134</v>
      </c>
      <c r="C1203" t="s">
        <v>2441</v>
      </c>
      <c r="D1203" s="35">
        <v>140.45448039199999</v>
      </c>
      <c r="E1203" s="35">
        <v>0.30584785485275834</v>
      </c>
      <c r="F1203" s="35">
        <v>4.2310433796581837</v>
      </c>
      <c r="G1203" s="35">
        <v>-6.3321577930948281E-2</v>
      </c>
      <c r="H1203" s="35">
        <v>0.36916943278370662</v>
      </c>
      <c r="I1203" s="35">
        <v>4.5296243593171637</v>
      </c>
      <c r="J1203" t="s">
        <v>981</v>
      </c>
      <c r="K1203" t="s">
        <v>40</v>
      </c>
    </row>
    <row r="1204" spans="1:11">
      <c r="A1204" s="1">
        <v>45870</v>
      </c>
      <c r="B1204" t="s">
        <v>134</v>
      </c>
      <c r="C1204" t="s">
        <v>2441</v>
      </c>
      <c r="D1204" s="35">
        <v>140.7618912625</v>
      </c>
      <c r="E1204" s="35">
        <v>0.21862951373739273</v>
      </c>
      <c r="F1204" s="35">
        <v>4.2270384666461602</v>
      </c>
      <c r="G1204" s="35">
        <v>-8.7706074905278902E-2</v>
      </c>
      <c r="H1204" s="35">
        <v>0.30633558864267163</v>
      </c>
      <c r="I1204" s="35">
        <v>3.7444285167220315</v>
      </c>
      <c r="J1204" t="s">
        <v>981</v>
      </c>
      <c r="K1204" t="s">
        <v>40</v>
      </c>
    </row>
    <row r="1205" spans="1:11">
      <c r="A1205" s="1">
        <v>45901</v>
      </c>
      <c r="B1205" t="s">
        <v>134</v>
      </c>
      <c r="C1205" t="s">
        <v>2441</v>
      </c>
      <c r="D1205" s="35">
        <v>141.2271011213</v>
      </c>
      <c r="E1205" s="35">
        <v>0.32994924866771708</v>
      </c>
      <c r="F1205" s="35">
        <v>4.2779287783794473</v>
      </c>
      <c r="G1205" s="35">
        <v>5.9710091602400539E-2</v>
      </c>
      <c r="H1205" s="35">
        <v>0.27023915706531654</v>
      </c>
      <c r="I1205" s="35">
        <v>3.296023926300351</v>
      </c>
      <c r="J1205" t="s">
        <v>981</v>
      </c>
      <c r="K1205" t="s">
        <v>40</v>
      </c>
    </row>
    <row r="1206" spans="1:11">
      <c r="A1206" s="1">
        <v>45931</v>
      </c>
      <c r="B1206" t="s">
        <v>134</v>
      </c>
      <c r="C1206" t="s">
        <v>2441</v>
      </c>
      <c r="D1206" s="35">
        <v>141.630370924</v>
      </c>
      <c r="E1206" s="35">
        <v>0.28514012588439469</v>
      </c>
      <c r="F1206" s="35">
        <v>4.2837504112261948</v>
      </c>
      <c r="G1206" s="35">
        <v>-6.7152525649730843E-2</v>
      </c>
      <c r="H1206" s="35">
        <v>0.35229265153412553</v>
      </c>
      <c r="I1206" s="35">
        <v>4.3181437457929128</v>
      </c>
      <c r="J1206" t="s">
        <v>1086</v>
      </c>
      <c r="K1206" t="s">
        <v>40</v>
      </c>
    </row>
    <row r="1207" spans="1:11">
      <c r="A1207" s="1">
        <v>45962</v>
      </c>
      <c r="B1207" t="s">
        <v>134</v>
      </c>
      <c r="C1207" t="s">
        <v>2441</v>
      </c>
      <c r="D1207" s="35">
        <v>141.89567221429999</v>
      </c>
      <c r="E1207" s="35">
        <v>0.18714426709713455</v>
      </c>
      <c r="F1207" s="35">
        <v>4.4305880020819366</v>
      </c>
      <c r="G1207" s="35">
        <v>-9.1034986847382593E-2</v>
      </c>
      <c r="H1207" s="35">
        <v>0.27817925394451715</v>
      </c>
      <c r="I1207" s="35">
        <v>3.3944924823085865</v>
      </c>
      <c r="J1207" t="s">
        <v>1086</v>
      </c>
      <c r="K1207" t="s">
        <v>40</v>
      </c>
    </row>
    <row r="1208" spans="1:11">
      <c r="A1208" s="1">
        <v>45992</v>
      </c>
      <c r="B1208" t="s">
        <v>134</v>
      </c>
      <c r="C1208" t="s">
        <v>2441</v>
      </c>
      <c r="D1208" s="35">
        <v>142.47448303979999</v>
      </c>
      <c r="E1208" s="35">
        <v>0.40708324282816105</v>
      </c>
      <c r="F1208" s="35">
        <v>4.3253579743312009</v>
      </c>
      <c r="G1208" s="35">
        <v>9.1165377259296132E-2</v>
      </c>
      <c r="H1208" s="35">
        <v>0.31591786556886492</v>
      </c>
      <c r="I1208" s="35">
        <v>3.8637900701294692</v>
      </c>
      <c r="J1208" t="s">
        <v>1086</v>
      </c>
      <c r="K1208" t="s">
        <v>40</v>
      </c>
    </row>
    <row r="1209" spans="1:11">
      <c r="A1209" s="1">
        <v>46023</v>
      </c>
      <c r="B1209" t="s">
        <v>134</v>
      </c>
      <c r="C1209" t="s">
        <v>2441</v>
      </c>
      <c r="D1209" s="35">
        <v>143.33132591270001</v>
      </c>
      <c r="E1209" s="35">
        <v>0.5995997374154266</v>
      </c>
      <c r="F1209" s="35">
        <v>4.5191703271896921</v>
      </c>
      <c r="G1209" s="35">
        <v>0.11558240907831546</v>
      </c>
      <c r="H1209" s="35">
        <v>0.48401732833711114</v>
      </c>
      <c r="I1209" s="35">
        <v>5.9801980051549242</v>
      </c>
      <c r="J1209" t="s">
        <v>1183</v>
      </c>
      <c r="K1209" t="s">
        <v>40</v>
      </c>
    </row>
    <row r="1210" spans="1:11">
      <c r="A1210" s="1">
        <v>46054</v>
      </c>
      <c r="B1210" t="s">
        <v>134</v>
      </c>
      <c r="C1210" t="s">
        <v>2441</v>
      </c>
      <c r="D1210" s="35">
        <v>143.989760225</v>
      </c>
      <c r="E1210" s="35">
        <v>0.45832728377944099</v>
      </c>
      <c r="F1210" s="35">
        <v>4.4974111640618375</v>
      </c>
      <c r="G1210" s="35">
        <v>0.12699036627294302</v>
      </c>
      <c r="H1210" s="35">
        <v>0.33133691750649796</v>
      </c>
      <c r="I1210" s="35">
        <v>4.0561457125732225</v>
      </c>
      <c r="J1210" t="s">
        <v>1183</v>
      </c>
      <c r="K1210" t="s">
        <v>40</v>
      </c>
    </row>
    <row r="1211" spans="1:11">
      <c r="A1211" s="1">
        <v>46082</v>
      </c>
      <c r="B1211" t="s">
        <v>134</v>
      </c>
      <c r="C1211" t="s">
        <v>2441</v>
      </c>
      <c r="D1211" s="35">
        <v>144.5434289049</v>
      </c>
      <c r="E1211" s="35">
        <v>0.38378209532541374</v>
      </c>
      <c r="F1211" s="35">
        <v>4.4493847720296742</v>
      </c>
      <c r="G1211" s="35">
        <v>6.1109136241099093E-2</v>
      </c>
      <c r="H1211" s="35">
        <v>0.32267295908431465</v>
      </c>
      <c r="I1211" s="35">
        <v>3.9480173570845212</v>
      </c>
      <c r="J1211" t="s">
        <v>1183</v>
      </c>
      <c r="K1211" t="s">
        <v>40</v>
      </c>
    </row>
    <row r="1212" spans="1:11">
      <c r="A1212" s="1">
        <v>46113</v>
      </c>
      <c r="B1212" t="s">
        <v>134</v>
      </c>
      <c r="C1212" t="s">
        <v>2441</v>
      </c>
      <c r="D1212" s="35">
        <v>144.99132903860001</v>
      </c>
      <c r="E1212" s="35">
        <v>0.30939324464661655</v>
      </c>
      <c r="F1212" s="35">
        <v>4.2611823163693607</v>
      </c>
      <c r="G1212" s="35">
        <v>1.5467613080731302E-2</v>
      </c>
      <c r="H1212" s="35">
        <v>0.29392563156588525</v>
      </c>
      <c r="I1212" s="35">
        <v>3.5900478281342352</v>
      </c>
      <c r="J1212" t="s">
        <v>1276</v>
      </c>
      <c r="K1212" t="s">
        <v>40</v>
      </c>
    </row>
    <row r="1213" spans="1:11">
      <c r="A1213" s="1">
        <v>46143</v>
      </c>
      <c r="B1213" t="s">
        <v>134</v>
      </c>
      <c r="C1213" t="s">
        <v>2441</v>
      </c>
      <c r="D1213" s="35">
        <v>145.3152989928</v>
      </c>
      <c r="E1213" s="35">
        <v>0.22319165833972052</v>
      </c>
      <c r="F1213" s="35">
        <v>4.1865586561557588</v>
      </c>
      <c r="G1213" s="35">
        <v>-9.2177951932252061E-2</v>
      </c>
      <c r="H1213" s="35">
        <v>0.31536961027197258</v>
      </c>
      <c r="I1213" s="35">
        <v>3.8569570301395961</v>
      </c>
      <c r="J1213" t="s">
        <v>1276</v>
      </c>
      <c r="K1213" t="s">
        <v>40</v>
      </c>
    </row>
    <row r="1214" spans="1:11">
      <c r="A1214" s="1">
        <v>46174</v>
      </c>
      <c r="B1214" t="s">
        <v>134</v>
      </c>
      <c r="C1214" t="s">
        <v>2441</v>
      </c>
      <c r="D1214" s="35">
        <v>145.67127859070001</v>
      </c>
      <c r="E1214" s="35">
        <v>0.24467092499055598</v>
      </c>
      <c r="F1214" s="35">
        <v>4.0319202951068389</v>
      </c>
      <c r="G1214" s="35">
        <v>-6.8631876269193037E-2</v>
      </c>
      <c r="H1214" s="35">
        <v>0.31330280125974902</v>
      </c>
      <c r="I1214" s="35">
        <v>3.8312019247520146</v>
      </c>
      <c r="J1214" t="s">
        <v>1276</v>
      </c>
      <c r="K1214" t="s">
        <v>40</v>
      </c>
    </row>
    <row r="1215" spans="1:11">
      <c r="A1215" s="1">
        <v>46204</v>
      </c>
      <c r="B1215" t="s">
        <v>134</v>
      </c>
      <c r="C1215" t="s">
        <v>2441</v>
      </c>
      <c r="D1215" s="35">
        <v>146.00009259780001</v>
      </c>
      <c r="E1215" s="35">
        <v>0.22546892076335859</v>
      </c>
      <c r="F1215" s="35">
        <v>3.9483341437899</v>
      </c>
      <c r="G1215" s="35">
        <v>-6.3321577930948281E-2</v>
      </c>
      <c r="H1215" s="35">
        <v>0.28879049869430684</v>
      </c>
      <c r="I1215" s="35">
        <v>3.5262336526372673</v>
      </c>
      <c r="J1215" t="s">
        <v>21</v>
      </c>
      <c r="K1215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E487A-F261-4253-A93E-48322E766161}">
  <dimension ref="A1:F407"/>
  <sheetViews>
    <sheetView showGridLines="0" topLeftCell="A369" workbookViewId="0">
      <selection activeCell="N389" sqref="N389"/>
    </sheetView>
  </sheetViews>
  <sheetFormatPr defaultRowHeight="13.8"/>
  <cols>
    <col min="1" max="1" width="6.69921875" customWidth="1"/>
    <col min="2" max="2" width="7.69921875" customWidth="1"/>
    <col min="3" max="3" width="21.8984375" customWidth="1"/>
    <col min="4" max="4" width="26.69921875" customWidth="1"/>
    <col min="5" max="5" width="30.3984375" customWidth="1"/>
    <col min="6" max="6" width="14.3984375" customWidth="1"/>
  </cols>
  <sheetData>
    <row r="1" spans="1:6">
      <c r="A1" s="31" t="s">
        <v>2204</v>
      </c>
      <c r="B1" s="31" t="s">
        <v>128</v>
      </c>
      <c r="C1" s="31" t="s">
        <v>2442</v>
      </c>
      <c r="D1" s="31" t="s">
        <v>2443</v>
      </c>
      <c r="E1" s="31" t="s">
        <v>2444</v>
      </c>
      <c r="F1" s="31" t="s">
        <v>2236</v>
      </c>
    </row>
    <row r="2" spans="1:6">
      <c r="A2" t="s">
        <v>22</v>
      </c>
      <c r="B2" t="s">
        <v>2238</v>
      </c>
      <c r="C2" s="35">
        <v>1.2208618385269668E-2</v>
      </c>
      <c r="D2" s="35"/>
      <c r="E2" s="35"/>
      <c r="F2" t="s">
        <v>36</v>
      </c>
    </row>
    <row r="3" spans="1:6">
      <c r="A3" t="s">
        <v>22</v>
      </c>
      <c r="B3" t="s">
        <v>2239</v>
      </c>
      <c r="C3" s="35">
        <v>1.2289946109792333E-2</v>
      </c>
      <c r="D3" s="35"/>
      <c r="E3" s="35">
        <v>8.0966551286388633</v>
      </c>
      <c r="F3" t="s">
        <v>36</v>
      </c>
    </row>
    <row r="4" spans="1:6">
      <c r="A4" t="s">
        <v>22</v>
      </c>
      <c r="B4" t="s">
        <v>2240</v>
      </c>
      <c r="C4" s="35">
        <v>1.2456904869583667E-2</v>
      </c>
      <c r="D4" s="35"/>
      <c r="E4" s="35">
        <v>4.4287344747681701</v>
      </c>
      <c r="F4" t="s">
        <v>36</v>
      </c>
    </row>
    <row r="5" spans="1:6">
      <c r="A5" t="s">
        <v>22</v>
      </c>
      <c r="B5" t="s">
        <v>2241</v>
      </c>
      <c r="C5" s="35">
        <v>1.2580809806027667E-2</v>
      </c>
      <c r="D5" s="35"/>
      <c r="E5" s="35">
        <v>2.9220951283966512</v>
      </c>
      <c r="F5" t="s">
        <v>36</v>
      </c>
    </row>
    <row r="6" spans="1:6">
      <c r="A6" t="s">
        <v>22</v>
      </c>
      <c r="B6" t="s">
        <v>2242</v>
      </c>
      <c r="C6" s="35">
        <v>1.2850623201764666E-2</v>
      </c>
      <c r="D6" s="35">
        <v>5.2586197408677426</v>
      </c>
      <c r="E6" s="35">
        <v>6.4962862563527457</v>
      </c>
      <c r="F6" t="s">
        <v>36</v>
      </c>
    </row>
    <row r="7" spans="1:6">
      <c r="A7" t="s">
        <v>22</v>
      </c>
      <c r="B7" t="s">
        <v>2243</v>
      </c>
      <c r="C7" s="35">
        <v>1.3004668577087666E-2</v>
      </c>
      <c r="D7" s="35">
        <v>5.8155052992938661</v>
      </c>
      <c r="E7" s="35">
        <v>9.080220404935325</v>
      </c>
      <c r="F7" t="s">
        <v>36</v>
      </c>
    </row>
    <row r="8" spans="1:6">
      <c r="A8" t="s">
        <v>22</v>
      </c>
      <c r="B8" t="s">
        <v>2244</v>
      </c>
      <c r="C8" s="35">
        <v>1.3136703523098333E-2</v>
      </c>
      <c r="D8" s="35">
        <v>5.4572035399784502</v>
      </c>
      <c r="E8" s="35">
        <v>4.2981732868359712</v>
      </c>
      <c r="F8" t="s">
        <v>36</v>
      </c>
    </row>
    <row r="9" spans="1:6">
      <c r="A9" t="s">
        <v>22</v>
      </c>
      <c r="B9" t="s">
        <v>2245</v>
      </c>
      <c r="C9" s="35">
        <v>1.3253433398441332E-2</v>
      </c>
      <c r="D9" s="35">
        <v>5.3464252523029332</v>
      </c>
      <c r="E9" s="35">
        <v>0.16943738177221945</v>
      </c>
      <c r="F9" t="s">
        <v>36</v>
      </c>
    </row>
    <row r="10" spans="1:6">
      <c r="A10" t="s">
        <v>22</v>
      </c>
      <c r="B10" t="s">
        <v>2246</v>
      </c>
      <c r="C10" s="35">
        <v>1.3413695433920333E-2</v>
      </c>
      <c r="D10" s="35">
        <v>4.3816725719445726</v>
      </c>
      <c r="E10" s="35">
        <v>4.4863275307862382</v>
      </c>
      <c r="F10" t="s">
        <v>36</v>
      </c>
    </row>
    <row r="11" spans="1:6">
      <c r="A11" t="s">
        <v>22</v>
      </c>
      <c r="B11" t="s">
        <v>2247</v>
      </c>
      <c r="C11" s="35">
        <v>1.3612706254883334E-2</v>
      </c>
      <c r="D11" s="35">
        <v>4.6755338222685738</v>
      </c>
      <c r="E11" s="35">
        <v>10.80176708761693</v>
      </c>
      <c r="F11" t="s">
        <v>36</v>
      </c>
    </row>
    <row r="12" spans="1:6">
      <c r="A12" t="s">
        <v>22</v>
      </c>
      <c r="B12" t="s">
        <v>2248</v>
      </c>
      <c r="C12" s="35">
        <v>1.3821765615671666E-2</v>
      </c>
      <c r="D12" s="35">
        <v>5.2148706208432261</v>
      </c>
      <c r="E12" s="35">
        <v>5.6816366570417109</v>
      </c>
      <c r="F12" t="s">
        <v>36</v>
      </c>
    </row>
    <row r="13" spans="1:6">
      <c r="A13" t="s">
        <v>22</v>
      </c>
      <c r="B13" t="s">
        <v>2249</v>
      </c>
      <c r="C13" s="35">
        <v>1.3980112574623666E-2</v>
      </c>
      <c r="D13" s="35">
        <v>5.4829503747141795</v>
      </c>
      <c r="E13" s="35">
        <v>1.4678831052820973</v>
      </c>
      <c r="F13" t="s">
        <v>36</v>
      </c>
    </row>
    <row r="14" spans="1:6">
      <c r="A14" t="s">
        <v>22</v>
      </c>
      <c r="B14" t="s">
        <v>2250</v>
      </c>
      <c r="C14" s="35">
        <v>1.4366177507913332E-2</v>
      </c>
      <c r="D14" s="35">
        <v>7.1008178073312944</v>
      </c>
      <c r="E14" s="35">
        <v>12.476045054130648</v>
      </c>
      <c r="F14" t="s">
        <v>36</v>
      </c>
    </row>
    <row r="15" spans="1:6">
      <c r="A15" t="s">
        <v>22</v>
      </c>
      <c r="B15" t="s">
        <v>2251</v>
      </c>
      <c r="C15" s="35">
        <v>1.4864185488160334E-2</v>
      </c>
      <c r="D15" s="35">
        <v>9.1934638847294146</v>
      </c>
      <c r="E15" s="35">
        <v>19.466946903448946</v>
      </c>
      <c r="F15" t="s">
        <v>36</v>
      </c>
    </row>
    <row r="16" spans="1:6">
      <c r="A16" t="s">
        <v>22</v>
      </c>
      <c r="B16" t="s">
        <v>2252</v>
      </c>
      <c r="C16" s="35">
        <v>1.5670757376996001E-2</v>
      </c>
      <c r="D16" s="35">
        <v>13.377391953658035</v>
      </c>
      <c r="E16" s="35">
        <v>29.010855555865021</v>
      </c>
      <c r="F16" t="s">
        <v>36</v>
      </c>
    </row>
    <row r="17" spans="1:6">
      <c r="A17" t="s">
        <v>22</v>
      </c>
      <c r="B17" t="s">
        <v>2253</v>
      </c>
      <c r="C17" s="35">
        <v>1.6551481928251E-2</v>
      </c>
      <c r="D17" s="35">
        <v>18.393051843479547</v>
      </c>
      <c r="E17" s="35">
        <v>25.179787047085256</v>
      </c>
      <c r="F17" t="s">
        <v>36</v>
      </c>
    </row>
    <row r="18" spans="1:6">
      <c r="A18" t="s">
        <v>22</v>
      </c>
      <c r="B18" t="s">
        <v>2254</v>
      </c>
      <c r="C18" s="35">
        <v>1.7965136546667333E-2</v>
      </c>
      <c r="D18" s="35">
        <v>25.05161193206462</v>
      </c>
      <c r="E18" s="35">
        <v>28.761601697508432</v>
      </c>
      <c r="F18" t="s">
        <v>36</v>
      </c>
    </row>
    <row r="19" spans="1:6">
      <c r="A19" t="s">
        <v>22</v>
      </c>
      <c r="B19" t="s">
        <v>2255</v>
      </c>
      <c r="C19" s="35">
        <v>1.8595661264449E-2</v>
      </c>
      <c r="D19" s="35">
        <v>25.103802554542078</v>
      </c>
      <c r="E19" s="35">
        <v>17.893005290132336</v>
      </c>
      <c r="F19" t="s">
        <v>36</v>
      </c>
    </row>
    <row r="20" spans="1:6">
      <c r="A20" t="s">
        <v>22</v>
      </c>
      <c r="B20" t="s">
        <v>2256</v>
      </c>
      <c r="C20" s="35">
        <v>1.9244364531873E-2</v>
      </c>
      <c r="D20" s="35">
        <v>22.804304022490342</v>
      </c>
      <c r="E20" s="35">
        <v>15.054217832264506</v>
      </c>
      <c r="F20" t="s">
        <v>36</v>
      </c>
    </row>
    <row r="21" spans="1:6">
      <c r="A21" t="s">
        <v>22</v>
      </c>
      <c r="B21" t="s">
        <v>2257</v>
      </c>
      <c r="C21" s="35">
        <v>2.0263342416411333E-2</v>
      </c>
      <c r="D21" s="35">
        <v>22.426151955763672</v>
      </c>
      <c r="E21" s="35">
        <v>21.11062490433444</v>
      </c>
      <c r="F21" t="s">
        <v>36</v>
      </c>
    </row>
    <row r="22" spans="1:6">
      <c r="A22" t="s">
        <v>22</v>
      </c>
      <c r="B22" t="s">
        <v>2258</v>
      </c>
      <c r="C22" s="35">
        <v>2.0936442619247667E-2</v>
      </c>
      <c r="D22" s="35">
        <v>16.539290223939517</v>
      </c>
      <c r="E22" s="35">
        <v>9.4122015728979278</v>
      </c>
      <c r="F22" t="s">
        <v>36</v>
      </c>
    </row>
    <row r="23" spans="1:6">
      <c r="A23" t="s">
        <v>22</v>
      </c>
      <c r="B23" t="s">
        <v>2259</v>
      </c>
      <c r="C23" s="35">
        <v>2.1552135423052333E-2</v>
      </c>
      <c r="D23" s="35">
        <v>15.898730981164345</v>
      </c>
      <c r="E23" s="35">
        <v>21.442484813553154</v>
      </c>
      <c r="F23" t="s">
        <v>36</v>
      </c>
    </row>
    <row r="24" spans="1:6">
      <c r="A24" t="s">
        <v>22</v>
      </c>
      <c r="B24" t="s">
        <v>2260</v>
      </c>
      <c r="C24" s="35">
        <v>2.2247242601718998E-2</v>
      </c>
      <c r="D24" s="35">
        <v>15.603934673304254</v>
      </c>
      <c r="E24" s="35">
        <v>9.5372760505542331</v>
      </c>
      <c r="F24" t="s">
        <v>36</v>
      </c>
    </row>
    <row r="25" spans="1:6">
      <c r="A25" t="s">
        <v>22</v>
      </c>
      <c r="B25" t="s">
        <v>2261</v>
      </c>
      <c r="C25" s="35">
        <v>2.2700761747000336E-2</v>
      </c>
      <c r="D25" s="35">
        <v>12.028713133796387</v>
      </c>
      <c r="E25" s="35">
        <v>5.4536105338556018</v>
      </c>
      <c r="F25" t="s">
        <v>36</v>
      </c>
    </row>
    <row r="26" spans="1:6">
      <c r="A26" t="s">
        <v>22</v>
      </c>
      <c r="B26" t="s">
        <v>2262</v>
      </c>
      <c r="C26" s="35">
        <v>2.3687209232325663E-2</v>
      </c>
      <c r="D26" s="35">
        <v>13.138653319017578</v>
      </c>
      <c r="E26" s="35">
        <v>19.921421742236213</v>
      </c>
      <c r="F26" t="s">
        <v>36</v>
      </c>
    </row>
    <row r="27" spans="1:6">
      <c r="A27" t="s">
        <v>22</v>
      </c>
      <c r="B27" t="s">
        <v>2263</v>
      </c>
      <c r="C27" s="35">
        <v>2.4300988686469665E-2</v>
      </c>
      <c r="D27" s="35">
        <v>12.754435741328617</v>
      </c>
      <c r="E27" s="35">
        <v>11.838356688970663</v>
      </c>
      <c r="F27" t="s">
        <v>36</v>
      </c>
    </row>
    <row r="28" spans="1:6">
      <c r="A28" t="s">
        <v>22</v>
      </c>
      <c r="B28" t="s">
        <v>2264</v>
      </c>
      <c r="C28" s="35">
        <v>2.5068811789069667E-2</v>
      </c>
      <c r="D28" s="35">
        <v>12.682781582705683</v>
      </c>
      <c r="E28" s="35">
        <v>22.343276396687429</v>
      </c>
      <c r="F28" t="s">
        <v>36</v>
      </c>
    </row>
    <row r="29" spans="1:6">
      <c r="A29" t="s">
        <v>22</v>
      </c>
      <c r="B29" t="s">
        <v>2265</v>
      </c>
      <c r="C29" s="35">
        <v>2.8216166759070335E-2</v>
      </c>
      <c r="D29" s="35">
        <v>24.296123070842768</v>
      </c>
      <c r="E29" s="35">
        <v>59.554127257334841</v>
      </c>
      <c r="F29" t="s">
        <v>36</v>
      </c>
    </row>
    <row r="30" spans="1:6">
      <c r="A30" t="s">
        <v>22</v>
      </c>
      <c r="B30" t="s">
        <v>2266</v>
      </c>
      <c r="C30" s="35">
        <v>3.0647367703387666E-2</v>
      </c>
      <c r="D30" s="35">
        <v>29.383615447460798</v>
      </c>
      <c r="E30" s="35">
        <v>31.521160096035249</v>
      </c>
      <c r="F30" t="s">
        <v>36</v>
      </c>
    </row>
    <row r="31" spans="1:6">
      <c r="A31" t="s">
        <v>22</v>
      </c>
      <c r="B31" t="s">
        <v>2267</v>
      </c>
      <c r="C31" s="35">
        <v>3.2013660008363996E-2</v>
      </c>
      <c r="D31" s="35">
        <v>31.738096837963646</v>
      </c>
      <c r="E31" s="35">
        <v>20.17151710858791</v>
      </c>
      <c r="F31" t="s">
        <v>36</v>
      </c>
    </row>
    <row r="32" spans="1:6">
      <c r="A32" t="s">
        <v>22</v>
      </c>
      <c r="B32" t="s">
        <v>2268</v>
      </c>
      <c r="C32" s="35">
        <v>3.3378999092243004E-2</v>
      </c>
      <c r="D32" s="35">
        <v>33.149506139723343</v>
      </c>
      <c r="E32" s="35">
        <v>21.20416230225317</v>
      </c>
      <c r="F32" t="s">
        <v>36</v>
      </c>
    </row>
    <row r="33" spans="1:6">
      <c r="A33" t="s">
        <v>22</v>
      </c>
      <c r="B33" t="s">
        <v>2269</v>
      </c>
      <c r="C33" s="35">
        <v>3.4667313761594334E-2</v>
      </c>
      <c r="D33" s="35">
        <v>22.863300524158614</v>
      </c>
      <c r="E33" s="35">
        <v>10.646363447080077</v>
      </c>
      <c r="F33" t="s">
        <v>36</v>
      </c>
    </row>
    <row r="34" spans="1:6">
      <c r="A34" t="s">
        <v>22</v>
      </c>
      <c r="B34" t="s">
        <v>2270</v>
      </c>
      <c r="C34" s="35">
        <v>3.6362263601077666E-2</v>
      </c>
      <c r="D34" s="35">
        <v>18.64726508651604</v>
      </c>
      <c r="E34" s="35">
        <v>19.53019374220526</v>
      </c>
      <c r="F34" t="s">
        <v>36</v>
      </c>
    </row>
    <row r="35" spans="1:6">
      <c r="A35" t="s">
        <v>22</v>
      </c>
      <c r="B35" t="s">
        <v>2271</v>
      </c>
      <c r="C35" s="35">
        <v>3.7610872809613997E-2</v>
      </c>
      <c r="D35" s="35">
        <v>17.483826590860453</v>
      </c>
      <c r="E35" s="35">
        <v>19.471678973777685</v>
      </c>
      <c r="F35" t="s">
        <v>36</v>
      </c>
    </row>
    <row r="36" spans="1:6">
      <c r="A36" t="s">
        <v>22</v>
      </c>
      <c r="B36" t="s">
        <v>2272</v>
      </c>
      <c r="C36" s="35">
        <v>3.9128818802963004E-2</v>
      </c>
      <c r="D36" s="35">
        <v>17.225860172830075</v>
      </c>
      <c r="E36" s="35">
        <v>15.961323280686424</v>
      </c>
      <c r="F36" t="s">
        <v>36</v>
      </c>
    </row>
    <row r="37" spans="1:6">
      <c r="A37" t="s">
        <v>22</v>
      </c>
      <c r="B37" t="s">
        <v>2273</v>
      </c>
      <c r="C37" s="35">
        <v>4.0423351858835666E-2</v>
      </c>
      <c r="D37" s="35">
        <v>16.603646122758065</v>
      </c>
      <c r="E37" s="35">
        <v>9.9817899331751558</v>
      </c>
      <c r="F37" t="s">
        <v>36</v>
      </c>
    </row>
    <row r="38" spans="1:6">
      <c r="A38" t="s">
        <v>22</v>
      </c>
      <c r="B38" t="s">
        <v>2274</v>
      </c>
      <c r="C38" s="35">
        <v>4.2835892462738001E-2</v>
      </c>
      <c r="D38" s="35">
        <v>17.80315145580893</v>
      </c>
      <c r="E38" s="35">
        <v>27.447696761221742</v>
      </c>
      <c r="F38" t="s">
        <v>36</v>
      </c>
    </row>
    <row r="39" spans="1:6">
      <c r="A39" t="s">
        <v>22</v>
      </c>
      <c r="B39" t="s">
        <v>2275</v>
      </c>
      <c r="C39" s="35">
        <v>4.4361493582346333E-2</v>
      </c>
      <c r="D39" s="35">
        <v>17.948588449153881</v>
      </c>
      <c r="E39" s="35">
        <v>18.752360007044231</v>
      </c>
      <c r="F39" t="s">
        <v>36</v>
      </c>
    </row>
    <row r="40" spans="1:6">
      <c r="A40" t="s">
        <v>22</v>
      </c>
      <c r="B40" t="s">
        <v>2276</v>
      </c>
      <c r="C40" s="35">
        <v>4.6071751945980337E-2</v>
      </c>
      <c r="D40" s="35">
        <v>17.743784135113174</v>
      </c>
      <c r="E40" s="35">
        <v>16.504009779353133</v>
      </c>
      <c r="F40" t="s">
        <v>36</v>
      </c>
    </row>
    <row r="41" spans="1:6">
      <c r="A41" t="s">
        <v>22</v>
      </c>
      <c r="B41" t="s">
        <v>2277</v>
      </c>
      <c r="C41" s="35">
        <v>4.8184342169250667E-2</v>
      </c>
      <c r="D41" s="35">
        <v>19.19927456168784</v>
      </c>
      <c r="E41" s="35">
        <v>17.680708746991634</v>
      </c>
      <c r="F41" t="s">
        <v>36</v>
      </c>
    </row>
    <row r="42" spans="1:6">
      <c r="A42" t="s">
        <v>22</v>
      </c>
      <c r="B42" t="s">
        <v>2278</v>
      </c>
      <c r="C42" s="35">
        <v>5.2493716911323006E-2</v>
      </c>
      <c r="D42" s="35">
        <v>22.546103030271002</v>
      </c>
      <c r="E42" s="35">
        <v>42.65905261699303</v>
      </c>
      <c r="F42" t="s">
        <v>36</v>
      </c>
    </row>
    <row r="43" spans="1:6">
      <c r="A43" t="s">
        <v>22</v>
      </c>
      <c r="B43" t="s">
        <v>2279</v>
      </c>
      <c r="C43" s="35">
        <v>5.5506643520994998E-2</v>
      </c>
      <c r="D43" s="35">
        <v>25.123477679939697</v>
      </c>
      <c r="E43" s="35">
        <v>28.738402856958611</v>
      </c>
      <c r="F43" t="s">
        <v>36</v>
      </c>
    </row>
    <row r="44" spans="1:6">
      <c r="A44" t="s">
        <v>22</v>
      </c>
      <c r="B44" t="s">
        <v>2280</v>
      </c>
      <c r="C44" s="35">
        <v>5.9137176284381997E-2</v>
      </c>
      <c r="D44" s="35">
        <v>28.358861529123146</v>
      </c>
      <c r="E44" s="35">
        <v>26.125406126066597</v>
      </c>
      <c r="F44" t="s">
        <v>36</v>
      </c>
    </row>
    <row r="45" spans="1:6">
      <c r="A45" t="s">
        <v>22</v>
      </c>
      <c r="B45" t="s">
        <v>2281</v>
      </c>
      <c r="C45" s="35">
        <v>6.2131924344662331E-2</v>
      </c>
      <c r="D45" s="35">
        <v>28.946295720754822</v>
      </c>
      <c r="E45" s="35">
        <v>22.719446684261293</v>
      </c>
      <c r="F45" t="s">
        <v>36</v>
      </c>
    </row>
    <row r="46" spans="1:6">
      <c r="A46" t="s">
        <v>22</v>
      </c>
      <c r="B46" t="s">
        <v>2282</v>
      </c>
      <c r="C46" s="35">
        <v>6.7168936664613335E-2</v>
      </c>
      <c r="D46" s="35">
        <v>27.956145262262531</v>
      </c>
      <c r="E46" s="35">
        <v>35.063274268802893</v>
      </c>
      <c r="F46" t="s">
        <v>36</v>
      </c>
    </row>
    <row r="47" spans="1:6">
      <c r="A47" t="s">
        <v>22</v>
      </c>
      <c r="B47" t="s">
        <v>2283</v>
      </c>
      <c r="C47" s="35">
        <v>7.1253465183955325E-2</v>
      </c>
      <c r="D47" s="35">
        <v>28.369255757653946</v>
      </c>
      <c r="E47" s="35">
        <v>27.734990319765274</v>
      </c>
      <c r="F47" t="s">
        <v>36</v>
      </c>
    </row>
    <row r="48" spans="1:6">
      <c r="A48" t="s">
        <v>22</v>
      </c>
      <c r="B48" t="s">
        <v>2284</v>
      </c>
      <c r="C48" s="35">
        <v>7.5020341383696995E-2</v>
      </c>
      <c r="D48" s="35">
        <v>26.858172975549579</v>
      </c>
      <c r="E48" s="35">
        <v>24.72024704309397</v>
      </c>
      <c r="F48" t="s">
        <v>36</v>
      </c>
    </row>
    <row r="49" spans="1:6">
      <c r="A49" t="s">
        <v>22</v>
      </c>
      <c r="B49" t="s">
        <v>2285</v>
      </c>
      <c r="C49" s="35">
        <v>7.9870301318438988E-2</v>
      </c>
      <c r="D49" s="35">
        <v>28.549537393010958</v>
      </c>
      <c r="E49" s="35">
        <v>27.444951932132568</v>
      </c>
      <c r="F49" t="s">
        <v>36</v>
      </c>
    </row>
    <row r="50" spans="1:6">
      <c r="A50" t="s">
        <v>22</v>
      </c>
      <c r="B50" t="s">
        <v>2286</v>
      </c>
      <c r="C50" s="35">
        <v>8.9201379856311339E-2</v>
      </c>
      <c r="D50" s="35">
        <v>32.801536373442964</v>
      </c>
      <c r="E50" s="35">
        <v>62.19567436556288</v>
      </c>
      <c r="F50" t="s">
        <v>36</v>
      </c>
    </row>
    <row r="51" spans="1:6">
      <c r="A51" t="s">
        <v>22</v>
      </c>
      <c r="B51" t="s">
        <v>2287</v>
      </c>
      <c r="C51" s="35">
        <v>0.10281982788704234</v>
      </c>
      <c r="D51" s="35">
        <v>44.301512384825116</v>
      </c>
      <c r="E51" s="35">
        <v>93.105676474844429</v>
      </c>
      <c r="F51" t="s">
        <v>36</v>
      </c>
    </row>
    <row r="52" spans="1:6">
      <c r="A52" t="s">
        <v>22</v>
      </c>
      <c r="B52" t="s">
        <v>2288</v>
      </c>
      <c r="C52" s="35">
        <v>0.12425619356356532</v>
      </c>
      <c r="D52" s="35">
        <v>65.630002838894015</v>
      </c>
      <c r="E52" s="35">
        <v>129.36841171522966</v>
      </c>
      <c r="F52" t="s">
        <v>36</v>
      </c>
    </row>
    <row r="53" spans="1:6">
      <c r="A53" t="s">
        <v>22</v>
      </c>
      <c r="B53" t="s">
        <v>2289</v>
      </c>
      <c r="C53" s="35">
        <v>0.14983641023499</v>
      </c>
      <c r="D53" s="35">
        <v>87.599655643716119</v>
      </c>
      <c r="E53" s="35">
        <v>117.610740545227</v>
      </c>
      <c r="F53" t="s">
        <v>36</v>
      </c>
    </row>
    <row r="54" spans="1:6">
      <c r="A54" t="s">
        <v>22</v>
      </c>
      <c r="B54" t="s">
        <v>2290</v>
      </c>
      <c r="C54" s="35">
        <v>0.1898736971607867</v>
      </c>
      <c r="D54" s="35">
        <v>112.85959641727716</v>
      </c>
      <c r="E54" s="35">
        <v>123.29582021772092</v>
      </c>
      <c r="F54" t="s">
        <v>36</v>
      </c>
    </row>
    <row r="55" spans="1:6">
      <c r="A55" t="s">
        <v>22</v>
      </c>
      <c r="B55" t="s">
        <v>2291</v>
      </c>
      <c r="C55" s="35">
        <v>0.22076121788518932</v>
      </c>
      <c r="D55" s="35">
        <v>114.70685413684718</v>
      </c>
      <c r="E55" s="35">
        <v>82.956010774286867</v>
      </c>
      <c r="F55" t="s">
        <v>36</v>
      </c>
    </row>
    <row r="56" spans="1:6">
      <c r="A56" t="s">
        <v>22</v>
      </c>
      <c r="B56" t="s">
        <v>2292</v>
      </c>
      <c r="C56" s="35">
        <v>0.24954141182487932</v>
      </c>
      <c r="D56" s="35">
        <v>100.82814761038233</v>
      </c>
      <c r="E56" s="35">
        <v>58.778612074563256</v>
      </c>
      <c r="F56" t="s">
        <v>36</v>
      </c>
    </row>
    <row r="57" spans="1:6">
      <c r="A57" t="s">
        <v>22</v>
      </c>
      <c r="B57" t="s">
        <v>2293</v>
      </c>
      <c r="C57" s="35">
        <v>0.28079059881954066</v>
      </c>
      <c r="D57" s="35">
        <v>87.398108630054509</v>
      </c>
      <c r="E57" s="35">
        <v>64.651307388898942</v>
      </c>
      <c r="F57" t="s">
        <v>36</v>
      </c>
    </row>
    <row r="58" spans="1:6">
      <c r="A58" t="s">
        <v>22</v>
      </c>
      <c r="B58" t="s">
        <v>2294</v>
      </c>
      <c r="C58" s="35">
        <v>0.32842143895867132</v>
      </c>
      <c r="D58" s="35">
        <v>72.968369958352469</v>
      </c>
      <c r="E58" s="35">
        <v>84.321599431004529</v>
      </c>
      <c r="F58" t="s">
        <v>36</v>
      </c>
    </row>
    <row r="59" spans="1:6">
      <c r="A59" t="s">
        <v>22</v>
      </c>
      <c r="B59" t="s">
        <v>2295</v>
      </c>
      <c r="C59" s="35">
        <v>0.37053687063174895</v>
      </c>
      <c r="D59" s="35">
        <v>67.845092621500697</v>
      </c>
      <c r="E59" s="35">
        <v>61.94883371397524</v>
      </c>
      <c r="F59" t="s">
        <v>36</v>
      </c>
    </row>
    <row r="60" spans="1:6">
      <c r="A60" t="s">
        <v>22</v>
      </c>
      <c r="B60" t="s">
        <v>2296</v>
      </c>
      <c r="C60" s="35">
        <v>0.407540660711531</v>
      </c>
      <c r="D60" s="35">
        <v>63.315843142512485</v>
      </c>
      <c r="E60" s="35">
        <v>42.516796182792447</v>
      </c>
      <c r="F60" t="s">
        <v>36</v>
      </c>
    </row>
    <row r="61" spans="1:6">
      <c r="A61" t="s">
        <v>22</v>
      </c>
      <c r="B61" t="s">
        <v>2297</v>
      </c>
      <c r="C61" s="35">
        <v>0.45031962756651039</v>
      </c>
      <c r="D61" s="35">
        <v>60.375607110665122</v>
      </c>
      <c r="E61" s="35">
        <v>50.826798936859419</v>
      </c>
      <c r="F61" t="s">
        <v>36</v>
      </c>
    </row>
    <row r="62" spans="1:6">
      <c r="A62" t="s">
        <v>22</v>
      </c>
      <c r="B62" t="s">
        <v>2298</v>
      </c>
      <c r="C62" s="35">
        <v>0.52339768930174102</v>
      </c>
      <c r="D62" s="35">
        <v>59.367698698745919</v>
      </c>
      <c r="E62" s="35">
        <v>80.963227976499169</v>
      </c>
      <c r="F62" t="s">
        <v>36</v>
      </c>
    </row>
    <row r="63" spans="1:6">
      <c r="A63" t="s">
        <v>22</v>
      </c>
      <c r="B63" t="s">
        <v>2299</v>
      </c>
      <c r="C63" s="35">
        <v>0.57426629882004132</v>
      </c>
      <c r="D63" s="35">
        <v>54.982228311299423</v>
      </c>
      <c r="E63" s="35">
        <v>42.453812227623501</v>
      </c>
      <c r="F63" t="s">
        <v>36</v>
      </c>
    </row>
    <row r="64" spans="1:6">
      <c r="A64" t="s">
        <v>22</v>
      </c>
      <c r="B64" t="s">
        <v>2300</v>
      </c>
      <c r="C64" s="35">
        <v>0.63496399658307812</v>
      </c>
      <c r="D64" s="35">
        <v>55.803839419233768</v>
      </c>
      <c r="E64" s="35">
        <v>58.481718694873727</v>
      </c>
      <c r="F64" t="s">
        <v>36</v>
      </c>
    </row>
    <row r="65" spans="1:6">
      <c r="A65" t="s">
        <v>22</v>
      </c>
      <c r="B65" t="s">
        <v>2301</v>
      </c>
      <c r="C65" s="35">
        <v>0.72322915956487799</v>
      </c>
      <c r="D65" s="35">
        <v>60.603516989287783</v>
      </c>
      <c r="E65" s="35">
        <v>75.984659466148656</v>
      </c>
      <c r="F65" t="s">
        <v>36</v>
      </c>
    </row>
    <row r="66" spans="1:6">
      <c r="A66" t="s">
        <v>22</v>
      </c>
      <c r="B66" t="s">
        <v>2302</v>
      </c>
      <c r="C66" s="35">
        <v>0.87231114187225811</v>
      </c>
      <c r="D66" s="35">
        <v>66.663162582165512</v>
      </c>
      <c r="E66" s="35">
        <v>98.694907709977457</v>
      </c>
      <c r="F66" t="s">
        <v>36</v>
      </c>
    </row>
    <row r="67" spans="1:6">
      <c r="A67" t="s">
        <v>22</v>
      </c>
      <c r="B67" t="s">
        <v>2303</v>
      </c>
      <c r="C67" s="35">
        <v>1.01646661816766</v>
      </c>
      <c r="D67" s="35">
        <v>77.002658915596882</v>
      </c>
      <c r="E67" s="35">
        <v>103.14798277225505</v>
      </c>
      <c r="F67" t="s">
        <v>36</v>
      </c>
    </row>
    <row r="68" spans="1:6">
      <c r="A68" t="s">
        <v>22</v>
      </c>
      <c r="B68" t="s">
        <v>2304</v>
      </c>
      <c r="C68" s="35">
        <v>1.2158919350519366</v>
      </c>
      <c r="D68" s="35">
        <v>91.489902040902635</v>
      </c>
      <c r="E68" s="35">
        <v>107.58577245310339</v>
      </c>
      <c r="F68" t="s">
        <v>36</v>
      </c>
    </row>
    <row r="69" spans="1:6">
      <c r="A69" t="s">
        <v>22</v>
      </c>
      <c r="B69" t="s">
        <v>2305</v>
      </c>
      <c r="C69" s="35">
        <v>1.4689543265530769</v>
      </c>
      <c r="D69" s="35">
        <v>103.11049507971379</v>
      </c>
      <c r="E69" s="35">
        <v>113.87070943895216</v>
      </c>
      <c r="F69" t="s">
        <v>36</v>
      </c>
    </row>
    <row r="70" spans="1:6">
      <c r="A70" t="s">
        <v>22</v>
      </c>
      <c r="B70" t="s">
        <v>2306</v>
      </c>
      <c r="C70" s="35">
        <v>1.8266467940969502</v>
      </c>
      <c r="D70" s="35">
        <v>109.40312537753249</v>
      </c>
      <c r="E70" s="35">
        <v>131.19911659153573</v>
      </c>
      <c r="F70" t="s">
        <v>36</v>
      </c>
    </row>
    <row r="71" spans="1:6">
      <c r="A71" t="s">
        <v>22</v>
      </c>
      <c r="B71" t="s">
        <v>2307</v>
      </c>
      <c r="C71" s="35">
        <v>2.2800257504575101</v>
      </c>
      <c r="D71" s="35">
        <v>124.30896496803929</v>
      </c>
      <c r="E71" s="35">
        <v>157.4458350488234</v>
      </c>
      <c r="F71" t="s">
        <v>36</v>
      </c>
    </row>
    <row r="72" spans="1:6">
      <c r="A72" t="s">
        <v>22</v>
      </c>
      <c r="B72" t="s">
        <v>2308</v>
      </c>
      <c r="C72" s="35">
        <v>2.8476581566532935</v>
      </c>
      <c r="D72" s="35">
        <v>134.20322765210679</v>
      </c>
      <c r="E72" s="35">
        <v>140.29561925030714</v>
      </c>
      <c r="F72" t="s">
        <v>36</v>
      </c>
    </row>
    <row r="73" spans="1:6">
      <c r="A73" t="s">
        <v>22</v>
      </c>
      <c r="B73" t="s">
        <v>2309</v>
      </c>
      <c r="C73" s="35">
        <v>3.6485828382667731</v>
      </c>
      <c r="D73" s="35">
        <v>148.37959712663272</v>
      </c>
      <c r="E73" s="35">
        <v>215.43362160642897</v>
      </c>
      <c r="F73" t="s">
        <v>36</v>
      </c>
    </row>
    <row r="74" spans="1:6">
      <c r="A74" t="s">
        <v>22</v>
      </c>
      <c r="B74" t="s">
        <v>2310</v>
      </c>
      <c r="C74" s="35">
        <v>5.0678588004362233</v>
      </c>
      <c r="D74" s="35">
        <v>177.44054388695596</v>
      </c>
      <c r="E74" s="35">
        <v>196.62835313431182</v>
      </c>
      <c r="F74" t="s">
        <v>36</v>
      </c>
    </row>
    <row r="75" spans="1:6">
      <c r="A75" t="s">
        <v>22</v>
      </c>
      <c r="B75" t="s">
        <v>2311</v>
      </c>
      <c r="C75" s="35">
        <v>5.6487805205185602</v>
      </c>
      <c r="D75" s="35">
        <v>147.750733489965</v>
      </c>
      <c r="E75" s="35">
        <v>37.535750147819847</v>
      </c>
      <c r="F75" t="s">
        <v>36</v>
      </c>
    </row>
    <row r="76" spans="1:6">
      <c r="A76" t="s">
        <v>22</v>
      </c>
      <c r="B76" t="s">
        <v>2312</v>
      </c>
      <c r="C76" s="35">
        <v>5.9046463026579099</v>
      </c>
      <c r="D76" s="35">
        <v>107.35095218020612</v>
      </c>
      <c r="E76" s="35">
        <v>12.905784377312401</v>
      </c>
      <c r="F76" t="s">
        <v>36</v>
      </c>
    </row>
    <row r="77" spans="1:6">
      <c r="A77" t="s">
        <v>22</v>
      </c>
      <c r="B77" t="s">
        <v>2313</v>
      </c>
      <c r="C77" s="35">
        <v>6.0861524051159934</v>
      </c>
      <c r="D77" s="35">
        <v>66.808667225085287</v>
      </c>
      <c r="E77" s="35">
        <v>14.844426574874126</v>
      </c>
      <c r="F77" t="s">
        <v>36</v>
      </c>
    </row>
    <row r="78" spans="1:6">
      <c r="A78" t="s">
        <v>22</v>
      </c>
      <c r="B78" t="s">
        <v>2314</v>
      </c>
      <c r="C78" s="35">
        <v>6.4297174114337325</v>
      </c>
      <c r="D78" s="35">
        <v>26.872465564357984</v>
      </c>
      <c r="E78" s="35">
        <v>20.417173063413486</v>
      </c>
      <c r="F78" t="s">
        <v>36</v>
      </c>
    </row>
    <row r="79" spans="1:6">
      <c r="A79" t="s">
        <v>22</v>
      </c>
      <c r="B79" t="s">
        <v>2315</v>
      </c>
      <c r="C79" s="35">
        <v>6.68990261685473</v>
      </c>
      <c r="D79" s="35">
        <v>18.43091783358215</v>
      </c>
      <c r="E79" s="35">
        <v>22.42927356273303</v>
      </c>
      <c r="F79" t="s">
        <v>36</v>
      </c>
    </row>
    <row r="80" spans="1:6">
      <c r="A80" t="s">
        <v>22</v>
      </c>
      <c r="B80" t="s">
        <v>2316</v>
      </c>
      <c r="C80" s="35">
        <v>6.9076245961178033</v>
      </c>
      <c r="D80" s="35">
        <v>16.986255264915929</v>
      </c>
      <c r="E80" s="35">
        <v>11.800779711267673</v>
      </c>
      <c r="F80" t="s">
        <v>36</v>
      </c>
    </row>
    <row r="81" spans="1:6">
      <c r="A81" t="s">
        <v>22</v>
      </c>
      <c r="B81" t="s">
        <v>2317</v>
      </c>
      <c r="C81" s="35">
        <v>7.2234700103714671</v>
      </c>
      <c r="D81" s="35">
        <v>18.686972155009606</v>
      </c>
      <c r="E81" s="35">
        <v>24.543491597126032</v>
      </c>
      <c r="F81" t="s">
        <v>36</v>
      </c>
    </row>
    <row r="82" spans="1:6">
      <c r="A82" t="s">
        <v>22</v>
      </c>
      <c r="B82" t="s">
        <v>2318</v>
      </c>
      <c r="C82" s="35">
        <v>7.9401556917212561</v>
      </c>
      <c r="D82" s="35">
        <v>23.491518890108075</v>
      </c>
      <c r="E82" s="35">
        <v>40.496141602402226</v>
      </c>
      <c r="F82" t="s">
        <v>36</v>
      </c>
    </row>
    <row r="83" spans="1:6">
      <c r="A83" t="s">
        <v>22</v>
      </c>
      <c r="B83" t="s">
        <v>2319</v>
      </c>
      <c r="C83" s="35">
        <v>8.372415938178376</v>
      </c>
      <c r="D83" s="35">
        <v>25.150042051205258</v>
      </c>
      <c r="E83" s="35">
        <v>29.276464155999136</v>
      </c>
      <c r="F83" t="s">
        <v>36</v>
      </c>
    </row>
    <row r="84" spans="1:6">
      <c r="A84" t="s">
        <v>22</v>
      </c>
      <c r="B84" t="s">
        <v>2320</v>
      </c>
      <c r="C84" s="35">
        <v>8.8395822146788667</v>
      </c>
      <c r="D84" s="35">
        <v>27.968480216004423</v>
      </c>
      <c r="E84" s="35">
        <v>21.194004981162283</v>
      </c>
      <c r="F84" t="s">
        <v>36</v>
      </c>
    </row>
    <row r="85" spans="1:6">
      <c r="A85" t="s">
        <v>22</v>
      </c>
      <c r="B85" t="s">
        <v>2321</v>
      </c>
      <c r="C85" s="35">
        <v>9.3613323147281964</v>
      </c>
      <c r="D85" s="35">
        <v>29.596057037506675</v>
      </c>
      <c r="E85" s="35">
        <v>29.469362052325245</v>
      </c>
      <c r="F85" t="s">
        <v>36</v>
      </c>
    </row>
    <row r="86" spans="1:6">
      <c r="A86" t="s">
        <v>22</v>
      </c>
      <c r="B86" t="s">
        <v>2322</v>
      </c>
      <c r="C86" s="35">
        <v>10.046714753500057</v>
      </c>
      <c r="D86" s="35">
        <v>26.530450328262312</v>
      </c>
      <c r="E86" s="35">
        <v>24.42731723621079</v>
      </c>
      <c r="F86" t="s">
        <v>36</v>
      </c>
    </row>
    <row r="87" spans="1:6">
      <c r="A87" t="s">
        <v>22</v>
      </c>
      <c r="B87" t="s">
        <v>2323</v>
      </c>
      <c r="C87" s="35">
        <v>10.410258935261766</v>
      </c>
      <c r="D87" s="35">
        <v>24.33996366318576</v>
      </c>
      <c r="E87" s="35">
        <v>17.629503091079755</v>
      </c>
      <c r="F87" t="s">
        <v>36</v>
      </c>
    </row>
    <row r="88" spans="1:6">
      <c r="A88" t="s">
        <v>22</v>
      </c>
      <c r="B88" t="s">
        <v>2324</v>
      </c>
      <c r="C88" s="35">
        <v>10.6942858736285</v>
      </c>
      <c r="D88" s="35">
        <v>20.981802238003322</v>
      </c>
      <c r="E88" s="35">
        <v>10.331654073014796</v>
      </c>
      <c r="F88" t="s">
        <v>36</v>
      </c>
    </row>
    <row r="89" spans="1:6">
      <c r="A89" t="s">
        <v>22</v>
      </c>
      <c r="B89" t="s">
        <v>2325</v>
      </c>
      <c r="C89" s="35">
        <v>11.183798900731468</v>
      </c>
      <c r="D89" s="35">
        <v>19.468025754581774</v>
      </c>
      <c r="E89" s="35">
        <v>23.32609945253521</v>
      </c>
      <c r="F89" t="s">
        <v>36</v>
      </c>
    </row>
    <row r="90" spans="1:6">
      <c r="A90" t="s">
        <v>22</v>
      </c>
      <c r="B90" t="s">
        <v>2326</v>
      </c>
      <c r="C90" s="35">
        <v>11.789875540248568</v>
      </c>
      <c r="D90" s="35">
        <v>17.350555176668394</v>
      </c>
      <c r="E90" s="35">
        <v>16.377652557257917</v>
      </c>
      <c r="F90" t="s">
        <v>36</v>
      </c>
    </row>
    <row r="91" spans="1:6">
      <c r="A91" t="s">
        <v>22</v>
      </c>
      <c r="B91" t="s">
        <v>2327</v>
      </c>
      <c r="C91" s="35">
        <v>12.102318134532799</v>
      </c>
      <c r="D91" s="35">
        <v>16.253766691044234</v>
      </c>
      <c r="E91" s="35">
        <v>13.744968868476647</v>
      </c>
      <c r="F91" t="s">
        <v>36</v>
      </c>
    </row>
    <row r="92" spans="1:6">
      <c r="A92" t="s">
        <v>22</v>
      </c>
      <c r="B92" t="s">
        <v>2328</v>
      </c>
      <c r="C92" s="35">
        <v>12.346253723482732</v>
      </c>
      <c r="D92" s="35">
        <v>15.447201144378342</v>
      </c>
      <c r="E92" s="35">
        <v>8.3346748619221209</v>
      </c>
      <c r="F92" t="s">
        <v>36</v>
      </c>
    </row>
    <row r="93" spans="1:6">
      <c r="A93" t="s">
        <v>22</v>
      </c>
      <c r="B93" t="s">
        <v>2329</v>
      </c>
      <c r="C93" s="35">
        <v>12.661889119973667</v>
      </c>
      <c r="D93" s="35">
        <v>13.216351906555879</v>
      </c>
      <c r="E93" s="35">
        <v>9.4819104725765158</v>
      </c>
      <c r="F93" t="s">
        <v>36</v>
      </c>
    </row>
    <row r="94" spans="1:6">
      <c r="A94" t="s">
        <v>22</v>
      </c>
      <c r="B94" t="s">
        <v>2330</v>
      </c>
      <c r="C94" s="35">
        <v>13.073419588031667</v>
      </c>
      <c r="D94" s="35">
        <v>10.886832888110698</v>
      </c>
      <c r="E94" s="35">
        <v>10.258864920215993</v>
      </c>
      <c r="F94" t="s">
        <v>36</v>
      </c>
    </row>
    <row r="95" spans="1:6">
      <c r="A95" t="s">
        <v>22</v>
      </c>
      <c r="B95" t="s">
        <v>2331</v>
      </c>
      <c r="C95" s="35">
        <v>13.3108050054961</v>
      </c>
      <c r="D95" s="35">
        <v>9.9855817499541644</v>
      </c>
      <c r="E95" s="35">
        <v>11.426217472861611</v>
      </c>
      <c r="F95" t="s">
        <v>36</v>
      </c>
    </row>
    <row r="96" spans="1:6">
      <c r="A96" t="s">
        <v>22</v>
      </c>
      <c r="B96" t="s">
        <v>2332</v>
      </c>
      <c r="C96" s="35">
        <v>13.531498769168799</v>
      </c>
      <c r="D96" s="35">
        <v>9.60003797290927</v>
      </c>
      <c r="E96" s="35">
        <v>6.7990810016155256</v>
      </c>
      <c r="F96" t="s">
        <v>36</v>
      </c>
    </row>
    <row r="97" spans="1:6">
      <c r="A97" t="s">
        <v>22</v>
      </c>
      <c r="B97" t="s">
        <v>2333</v>
      </c>
      <c r="C97" s="35">
        <v>13.753110092829333</v>
      </c>
      <c r="D97" s="35">
        <v>8.6181529668768455</v>
      </c>
      <c r="E97" s="35">
        <v>3.7228227713829831</v>
      </c>
      <c r="F97" t="s">
        <v>36</v>
      </c>
    </row>
    <row r="98" spans="1:6">
      <c r="A98" t="s">
        <v>22</v>
      </c>
      <c r="B98" t="s">
        <v>2334</v>
      </c>
      <c r="C98" s="35">
        <v>14.022241268529733</v>
      </c>
      <c r="D98" s="35">
        <v>7.2576396260293219</v>
      </c>
      <c r="E98" s="35">
        <v>6.6020654582439997</v>
      </c>
      <c r="F98" t="s">
        <v>36</v>
      </c>
    </row>
    <row r="99" spans="1:6">
      <c r="A99" t="s">
        <v>22</v>
      </c>
      <c r="B99" t="s">
        <v>2335</v>
      </c>
      <c r="C99" s="35">
        <v>14.232609372716468</v>
      </c>
      <c r="D99" s="35">
        <v>6.9252337994565316</v>
      </c>
      <c r="E99" s="35">
        <v>10.385323033275906</v>
      </c>
      <c r="F99" t="s">
        <v>36</v>
      </c>
    </row>
    <row r="100" spans="1:6">
      <c r="A100" t="s">
        <v>22</v>
      </c>
      <c r="B100" t="s">
        <v>2336</v>
      </c>
      <c r="C100" s="35">
        <v>14.4451833532867</v>
      </c>
      <c r="D100" s="35">
        <v>6.7522792537934473</v>
      </c>
      <c r="E100" s="35">
        <v>6.2243444648759638</v>
      </c>
      <c r="F100" t="s">
        <v>36</v>
      </c>
    </row>
    <row r="101" spans="1:6">
      <c r="A101" t="s">
        <v>22</v>
      </c>
      <c r="B101" t="s">
        <v>2337</v>
      </c>
      <c r="C101" s="35">
        <v>14.707270176220767</v>
      </c>
      <c r="D101" s="35">
        <v>6.9377768152159236</v>
      </c>
      <c r="E101" s="35">
        <v>5.068074333608763</v>
      </c>
      <c r="F101" t="s">
        <v>36</v>
      </c>
    </row>
    <row r="102" spans="1:6">
      <c r="A102" t="s">
        <v>22</v>
      </c>
      <c r="B102" t="s">
        <v>2338</v>
      </c>
      <c r="C102" s="35">
        <v>16.126438498652998</v>
      </c>
      <c r="D102" s="35">
        <v>15.006140529372702</v>
      </c>
      <c r="E102" s="35">
        <v>70.736618964349034</v>
      </c>
      <c r="F102" t="s">
        <v>36</v>
      </c>
    </row>
    <row r="103" spans="1:6">
      <c r="A103" t="s">
        <v>22</v>
      </c>
      <c r="B103" t="s">
        <v>2339</v>
      </c>
      <c r="C103" s="35">
        <v>19.03874923832937</v>
      </c>
      <c r="D103" s="35">
        <v>33.768508217657846</v>
      </c>
      <c r="E103" s="35">
        <v>88.787577673240264</v>
      </c>
      <c r="F103" t="s">
        <v>36</v>
      </c>
    </row>
    <row r="104" spans="1:6">
      <c r="A104" t="s">
        <v>22</v>
      </c>
      <c r="B104" t="s">
        <v>2340</v>
      </c>
      <c r="C104" s="35">
        <v>20.462737383711467</v>
      </c>
      <c r="D104" s="35">
        <v>41.657858424175686</v>
      </c>
      <c r="E104" s="35">
        <v>25.127090961488975</v>
      </c>
      <c r="F104" t="s">
        <v>36</v>
      </c>
    </row>
    <row r="105" spans="1:6">
      <c r="A105" t="s">
        <v>22</v>
      </c>
      <c r="B105" t="s">
        <v>2341</v>
      </c>
      <c r="C105" s="35">
        <v>21.871512590718101</v>
      </c>
      <c r="D105" s="35">
        <v>48.712251346825283</v>
      </c>
      <c r="E105" s="35">
        <v>32.231662913684666</v>
      </c>
      <c r="F105" t="s">
        <v>36</v>
      </c>
    </row>
    <row r="106" spans="1:6">
      <c r="A106" t="s">
        <v>22</v>
      </c>
      <c r="B106" t="s">
        <v>2342</v>
      </c>
      <c r="C106" s="35">
        <v>23.867947223469699</v>
      </c>
      <c r="D106" s="35">
        <v>48.005073937827802</v>
      </c>
      <c r="E106" s="35">
        <v>36.706471201717036</v>
      </c>
      <c r="F106" t="s">
        <v>36</v>
      </c>
    </row>
    <row r="107" spans="1:6">
      <c r="A107" t="s">
        <v>22</v>
      </c>
      <c r="B107" t="s">
        <v>2343</v>
      </c>
      <c r="C107" s="35">
        <v>25.537064549571067</v>
      </c>
      <c r="D107" s="35">
        <v>34.132049484422524</v>
      </c>
      <c r="E107" s="35">
        <v>33.510057898787778</v>
      </c>
      <c r="F107" t="s">
        <v>36</v>
      </c>
    </row>
    <row r="108" spans="1:6">
      <c r="A108" t="s">
        <v>22</v>
      </c>
      <c r="B108" t="s">
        <v>2344</v>
      </c>
      <c r="C108" s="35">
        <v>26.7116179644635</v>
      </c>
      <c r="D108" s="35">
        <v>30.537852602879024</v>
      </c>
      <c r="E108" s="35">
        <v>18.348173466558393</v>
      </c>
      <c r="F108" t="s">
        <v>36</v>
      </c>
    </row>
    <row r="109" spans="1:6">
      <c r="A109" t="s">
        <v>22</v>
      </c>
      <c r="B109" t="s">
        <v>2345</v>
      </c>
      <c r="C109" s="35">
        <v>28.025862480586031</v>
      </c>
      <c r="D109" s="35">
        <v>28.138656914290117</v>
      </c>
      <c r="E109" s="35">
        <v>23.13014240409337</v>
      </c>
      <c r="F109" t="s">
        <v>36</v>
      </c>
    </row>
    <row r="110" spans="1:6">
      <c r="A110" t="s">
        <v>22</v>
      </c>
      <c r="B110" t="s">
        <v>2346</v>
      </c>
      <c r="C110" s="35">
        <v>29.953791064677365</v>
      </c>
      <c r="D110" s="35">
        <v>25.497977619220503</v>
      </c>
      <c r="E110" s="35">
        <v>23.330809823111597</v>
      </c>
      <c r="F110" t="s">
        <v>36</v>
      </c>
    </row>
    <row r="111" spans="1:6">
      <c r="A111" t="s">
        <v>22</v>
      </c>
      <c r="B111" t="s">
        <v>2347</v>
      </c>
      <c r="C111" s="35">
        <v>30.974349389879734</v>
      </c>
      <c r="D111" s="35">
        <v>21.29173785716101</v>
      </c>
      <c r="E111" s="35">
        <v>16.728046741910397</v>
      </c>
      <c r="F111" t="s">
        <v>36</v>
      </c>
    </row>
    <row r="112" spans="1:6">
      <c r="A112" t="s">
        <v>22</v>
      </c>
      <c r="B112" t="s">
        <v>2348</v>
      </c>
      <c r="C112" s="35">
        <v>31.842108608847699</v>
      </c>
      <c r="D112" s="35">
        <v>19.206963244269517</v>
      </c>
      <c r="E112" s="35">
        <v>12.226916070150695</v>
      </c>
      <c r="F112" t="s">
        <v>36</v>
      </c>
    </row>
    <row r="113" spans="1:6">
      <c r="A113" t="s">
        <v>22</v>
      </c>
      <c r="B113" t="s">
        <v>2349</v>
      </c>
      <c r="C113" s="35">
        <v>32.852285780514428</v>
      </c>
      <c r="D113" s="35">
        <v>17.22131942691054</v>
      </c>
      <c r="E113" s="35">
        <v>10.985806670154652</v>
      </c>
      <c r="F113" t="s">
        <v>36</v>
      </c>
    </row>
    <row r="114" spans="1:6">
      <c r="A114" t="s">
        <v>22</v>
      </c>
      <c r="B114" t="s">
        <v>2350</v>
      </c>
      <c r="C114" s="35">
        <v>34.535898450772002</v>
      </c>
      <c r="D114" s="35">
        <v>15.297253613743834</v>
      </c>
      <c r="E114" s="35">
        <v>21.422470293064588</v>
      </c>
      <c r="F114" t="s">
        <v>36</v>
      </c>
    </row>
    <row r="115" spans="1:6">
      <c r="A115" t="s">
        <v>22</v>
      </c>
      <c r="B115" t="s">
        <v>2351</v>
      </c>
      <c r="C115" s="35">
        <v>35.65998127951547</v>
      </c>
      <c r="D115" s="35">
        <v>15.127458629257529</v>
      </c>
      <c r="E115" s="35">
        <v>16.883537762018939</v>
      </c>
      <c r="F115" t="s">
        <v>36</v>
      </c>
    </row>
    <row r="116" spans="1:6">
      <c r="A116" t="s">
        <v>22</v>
      </c>
      <c r="B116" t="s">
        <v>2352</v>
      </c>
      <c r="C116" s="35">
        <v>36.813628867111397</v>
      </c>
      <c r="D116" s="35">
        <v>15.61303718712368</v>
      </c>
      <c r="E116" s="35">
        <v>14.653527896407258</v>
      </c>
      <c r="F116" t="s">
        <v>36</v>
      </c>
    </row>
    <row r="117" spans="1:6">
      <c r="A117" t="s">
        <v>22</v>
      </c>
      <c r="B117" t="s">
        <v>2353</v>
      </c>
      <c r="C117" s="35">
        <v>38.622676492515069</v>
      </c>
      <c r="D117" s="35">
        <v>17.564655167535449</v>
      </c>
      <c r="E117" s="35">
        <v>21.627800681196806</v>
      </c>
      <c r="F117" t="s">
        <v>36</v>
      </c>
    </row>
    <row r="118" spans="1:6">
      <c r="A118" t="s">
        <v>22</v>
      </c>
      <c r="B118" t="s">
        <v>2354</v>
      </c>
      <c r="C118" s="35">
        <v>40.959365625323763</v>
      </c>
      <c r="D118" s="35">
        <v>18.599392118632352</v>
      </c>
      <c r="E118" s="35">
        <v>19.979619706676456</v>
      </c>
      <c r="F118" t="s">
        <v>36</v>
      </c>
    </row>
    <row r="119" spans="1:6">
      <c r="A119" t="s">
        <v>22</v>
      </c>
      <c r="B119" t="s">
        <v>2355</v>
      </c>
      <c r="C119" s="35">
        <v>42.03415329691537</v>
      </c>
      <c r="D119" s="35">
        <v>17.874860806675418</v>
      </c>
      <c r="E119" s="35">
        <v>13.513087545851633</v>
      </c>
      <c r="F119" t="s">
        <v>36</v>
      </c>
    </row>
    <row r="120" spans="1:6">
      <c r="A120" t="s">
        <v>22</v>
      </c>
      <c r="B120" t="s">
        <v>2356</v>
      </c>
      <c r="C120" s="35">
        <v>42.879284473514303</v>
      </c>
      <c r="D120" s="35">
        <v>16.476657675608418</v>
      </c>
      <c r="E120" s="35">
        <v>8.6541846438059835</v>
      </c>
      <c r="F120" t="s">
        <v>36</v>
      </c>
    </row>
    <row r="121" spans="1:6">
      <c r="A121" t="s">
        <v>22</v>
      </c>
      <c r="B121" t="s">
        <v>2357</v>
      </c>
      <c r="C121" s="35">
        <v>43.913381354034932</v>
      </c>
      <c r="D121" s="35">
        <v>13.698441801528659</v>
      </c>
      <c r="E121" s="35">
        <v>7.5493528513954633</v>
      </c>
      <c r="F121" t="s">
        <v>36</v>
      </c>
    </row>
    <row r="122" spans="1:6">
      <c r="A122" t="s">
        <v>22</v>
      </c>
      <c r="B122" t="s">
        <v>2208</v>
      </c>
      <c r="C122" s="35">
        <v>45.2802970709783</v>
      </c>
      <c r="D122" s="35">
        <v>10.549312421438128</v>
      </c>
      <c r="E122" s="35">
        <v>10.826790665026675</v>
      </c>
      <c r="F122" t="s">
        <v>40</v>
      </c>
    </row>
    <row r="123" spans="1:6">
      <c r="A123" t="s">
        <v>22</v>
      </c>
      <c r="B123" t="s">
        <v>2358</v>
      </c>
      <c r="C123" s="35">
        <v>46.045105862125638</v>
      </c>
      <c r="D123" s="35">
        <v>9.5421276524311658</v>
      </c>
      <c r="E123" s="35">
        <v>10.656689137941644</v>
      </c>
      <c r="F123" t="s">
        <v>40</v>
      </c>
    </row>
    <row r="124" spans="1:6">
      <c r="A124" t="s">
        <v>22</v>
      </c>
      <c r="B124" t="s">
        <v>2359</v>
      </c>
      <c r="C124" s="35">
        <v>46.748441000670368</v>
      </c>
      <c r="D124" s="35">
        <v>9.0233700833929795</v>
      </c>
      <c r="E124" s="35">
        <v>6.4325397086341329</v>
      </c>
      <c r="F124" t="s">
        <v>40</v>
      </c>
    </row>
    <row r="125" spans="1:6">
      <c r="A125" t="s">
        <v>22</v>
      </c>
      <c r="B125" t="s">
        <v>2360</v>
      </c>
      <c r="C125" s="35">
        <v>47.827698289809064</v>
      </c>
      <c r="D125" s="35">
        <v>8.9137224578914598</v>
      </c>
      <c r="E125" s="35">
        <v>7.9842625625594854</v>
      </c>
      <c r="F125" t="s">
        <v>40</v>
      </c>
    </row>
    <row r="126" spans="1:6">
      <c r="A126" t="s">
        <v>22</v>
      </c>
      <c r="B126" t="s">
        <v>2361</v>
      </c>
      <c r="C126" s="35">
        <v>48.656564063074462</v>
      </c>
      <c r="D126" s="35">
        <v>7.4563711161253154</v>
      </c>
      <c r="E126" s="35">
        <v>3.7418644650851096</v>
      </c>
      <c r="F126" t="s">
        <v>40</v>
      </c>
    </row>
    <row r="127" spans="1:6">
      <c r="A127" t="s">
        <v>22</v>
      </c>
      <c r="B127" t="s">
        <v>2362</v>
      </c>
      <c r="C127" s="35">
        <v>49.211214287733135</v>
      </c>
      <c r="D127" s="35">
        <v>6.8761019576931259</v>
      </c>
      <c r="E127" s="35">
        <v>8.194932007531385</v>
      </c>
      <c r="F127" t="s">
        <v>40</v>
      </c>
    </row>
    <row r="128" spans="1:6">
      <c r="A128" t="s">
        <v>22</v>
      </c>
      <c r="B128" t="s">
        <v>2363</v>
      </c>
      <c r="C128" s="35">
        <v>49.546090220329496</v>
      </c>
      <c r="D128" s="35">
        <v>5.9844759734747344</v>
      </c>
      <c r="E128" s="35">
        <v>4.7096104022294583</v>
      </c>
      <c r="F128" t="s">
        <v>40</v>
      </c>
    </row>
    <row r="129" spans="1:6">
      <c r="A129" t="s">
        <v>22</v>
      </c>
      <c r="B129" t="s">
        <v>2364</v>
      </c>
      <c r="C129" s="35">
        <v>50.325394353906233</v>
      </c>
      <c r="D129" s="35">
        <v>5.2222794602460931</v>
      </c>
      <c r="E129" s="35">
        <v>1.0910476808338343</v>
      </c>
      <c r="F129" t="s">
        <v>40</v>
      </c>
    </row>
    <row r="130" spans="1:6">
      <c r="A130" t="s">
        <v>22</v>
      </c>
      <c r="B130" t="s">
        <v>2365</v>
      </c>
      <c r="C130" s="35">
        <v>50.965390101097597</v>
      </c>
      <c r="D130" s="35">
        <v>4.7451481264278339</v>
      </c>
      <c r="E130" s="35">
        <v>4.7701255156960665</v>
      </c>
      <c r="F130" t="s">
        <v>40</v>
      </c>
    </row>
    <row r="131" spans="1:6">
      <c r="A131" t="s">
        <v>22</v>
      </c>
      <c r="B131" t="s">
        <v>2366</v>
      </c>
      <c r="C131" s="35">
        <v>51.560416793639433</v>
      </c>
      <c r="D131" s="35">
        <v>4.7737137559149545</v>
      </c>
      <c r="E131" s="35">
        <v>9.3479776260787304</v>
      </c>
      <c r="F131" t="s">
        <v>40</v>
      </c>
    </row>
    <row r="132" spans="1:6">
      <c r="A132" t="s">
        <v>22</v>
      </c>
      <c r="B132" t="s">
        <v>2367</v>
      </c>
      <c r="C132" s="35">
        <v>52.147241739873401</v>
      </c>
      <c r="D132" s="35">
        <v>5.2499632321676426</v>
      </c>
      <c r="E132" s="35">
        <v>4.7460505518100549</v>
      </c>
      <c r="F132" t="s">
        <v>40</v>
      </c>
    </row>
    <row r="133" spans="1:6">
      <c r="A133" t="s">
        <v>22</v>
      </c>
      <c r="B133" t="s">
        <v>2368</v>
      </c>
      <c r="C133" s="35">
        <v>53.013947723708135</v>
      </c>
      <c r="D133" s="35">
        <v>5.3423393980681633</v>
      </c>
      <c r="E133" s="35">
        <v>4.0212221225882638</v>
      </c>
      <c r="F133" t="s">
        <v>40</v>
      </c>
    </row>
    <row r="134" spans="1:6">
      <c r="A134" t="s">
        <v>22</v>
      </c>
      <c r="B134" t="s">
        <v>2369</v>
      </c>
      <c r="C134" s="35">
        <v>53.737497847690399</v>
      </c>
      <c r="D134" s="35">
        <v>5.4391965627927252</v>
      </c>
      <c r="E134" s="35">
        <v>4.5411155006682025</v>
      </c>
      <c r="F134" t="s">
        <v>40</v>
      </c>
    </row>
    <row r="135" spans="1:6">
      <c r="A135" t="s">
        <v>22</v>
      </c>
      <c r="B135" t="s">
        <v>2370</v>
      </c>
      <c r="C135" s="35">
        <v>54.003605423121904</v>
      </c>
      <c r="D135" s="35">
        <v>4.7384966635565684</v>
      </c>
      <c r="E135" s="35">
        <v>3.7919369346425258</v>
      </c>
      <c r="F135" t="s">
        <v>40</v>
      </c>
    </row>
    <row r="136" spans="1:6">
      <c r="A136" t="s">
        <v>22</v>
      </c>
      <c r="B136" t="s">
        <v>2371</v>
      </c>
      <c r="C136" s="35">
        <v>54.269022258577735</v>
      </c>
      <c r="D136" s="35">
        <v>4.0688259779652958</v>
      </c>
      <c r="E136" s="35">
        <v>3.7953549088320715</v>
      </c>
      <c r="F136" t="s">
        <v>40</v>
      </c>
    </row>
    <row r="137" spans="1:6">
      <c r="A137" t="s">
        <v>22</v>
      </c>
      <c r="B137" t="s">
        <v>2372</v>
      </c>
      <c r="C137" s="35">
        <v>55.120186592971571</v>
      </c>
      <c r="D137" s="35">
        <v>3.9729900520528716</v>
      </c>
      <c r="E137" s="35">
        <v>3.7797157746758625</v>
      </c>
      <c r="F137" t="s">
        <v>40</v>
      </c>
    </row>
    <row r="138" spans="1:6">
      <c r="A138" t="s">
        <v>22</v>
      </c>
      <c r="B138" t="s">
        <v>2373</v>
      </c>
      <c r="C138" s="35">
        <v>56.060111014173266</v>
      </c>
      <c r="D138" s="35">
        <v>4.3221460981788029</v>
      </c>
      <c r="E138" s="35">
        <v>5.5672196128985441</v>
      </c>
      <c r="F138" t="s">
        <v>40</v>
      </c>
    </row>
    <row r="139" spans="1:6">
      <c r="A139" t="s">
        <v>22</v>
      </c>
      <c r="B139" t="s">
        <v>2374</v>
      </c>
      <c r="C139" s="35">
        <v>56.318793134871406</v>
      </c>
      <c r="D139" s="35">
        <v>4.2870984142814983</v>
      </c>
      <c r="E139" s="35">
        <v>4.3323773319363434</v>
      </c>
      <c r="F139" t="s">
        <v>40</v>
      </c>
    </row>
    <row r="140" spans="1:6">
      <c r="A140" t="s">
        <v>22</v>
      </c>
      <c r="B140" t="s">
        <v>2375</v>
      </c>
      <c r="C140" s="35">
        <v>56.868449470106867</v>
      </c>
      <c r="D140" s="35">
        <v>4.7898913659132125</v>
      </c>
      <c r="E140" s="35">
        <v>6.5835686233079782</v>
      </c>
      <c r="F140" t="s">
        <v>40</v>
      </c>
    </row>
    <row r="141" spans="1:6">
      <c r="A141" t="s">
        <v>22</v>
      </c>
      <c r="B141" t="s">
        <v>2376</v>
      </c>
      <c r="C141" s="35">
        <v>58.062911572156032</v>
      </c>
      <c r="D141" s="35">
        <v>5.338742774792582</v>
      </c>
      <c r="E141" s="35">
        <v>4.2973766826221782</v>
      </c>
      <c r="F141" t="s">
        <v>40</v>
      </c>
    </row>
    <row r="142" spans="1:6">
      <c r="A142" t="s">
        <v>22</v>
      </c>
      <c r="B142" t="s">
        <v>2377</v>
      </c>
      <c r="C142" s="35">
        <v>58.526570780483603</v>
      </c>
      <c r="D142" s="35">
        <v>4.3996697860386957</v>
      </c>
      <c r="E142" s="35">
        <v>2.3719223634240283</v>
      </c>
      <c r="F142" t="s">
        <v>40</v>
      </c>
    </row>
    <row r="143" spans="1:6">
      <c r="A143" t="s">
        <v>22</v>
      </c>
      <c r="B143" t="s">
        <v>2378</v>
      </c>
      <c r="C143" s="35">
        <v>58.858816708536665</v>
      </c>
      <c r="D143" s="35">
        <v>4.5100816837151392</v>
      </c>
      <c r="E143" s="35">
        <v>4.116167908647772</v>
      </c>
      <c r="F143" t="s">
        <v>40</v>
      </c>
    </row>
    <row r="144" spans="1:6">
      <c r="A144" t="s">
        <v>22</v>
      </c>
      <c r="B144" t="s">
        <v>2379</v>
      </c>
      <c r="C144" s="35">
        <v>59.127687243868301</v>
      </c>
      <c r="D144" s="35">
        <v>3.9727437530172383</v>
      </c>
      <c r="E144" s="35">
        <v>3.2654019576997317</v>
      </c>
      <c r="F144" t="s">
        <v>40</v>
      </c>
    </row>
    <row r="145" spans="1:6">
      <c r="A145" t="s">
        <v>22</v>
      </c>
      <c r="B145" t="s">
        <v>2380</v>
      </c>
      <c r="C145" s="35">
        <v>59.862461892447236</v>
      </c>
      <c r="D145" s="35">
        <v>3.0993111980870403</v>
      </c>
      <c r="E145" s="35">
        <v>3.5852515215774483</v>
      </c>
      <c r="F145" t="s">
        <v>40</v>
      </c>
    </row>
    <row r="146" spans="1:6">
      <c r="A146" t="s">
        <v>22</v>
      </c>
      <c r="B146" t="s">
        <v>2381</v>
      </c>
      <c r="C146" s="35">
        <v>60.690831807660466</v>
      </c>
      <c r="D146" s="35">
        <v>3.6979119027738427</v>
      </c>
      <c r="E146" s="35">
        <v>2.6881067590720509</v>
      </c>
      <c r="F146" t="s">
        <v>40</v>
      </c>
    </row>
    <row r="147" spans="1:6">
      <c r="A147" t="s">
        <v>22</v>
      </c>
      <c r="B147" t="s">
        <v>2382</v>
      </c>
      <c r="C147" s="35">
        <v>60.698429947387162</v>
      </c>
      <c r="D147" s="35">
        <v>3.1254675879063054</v>
      </c>
      <c r="E147" s="35">
        <v>3.1987088740945691</v>
      </c>
      <c r="F147" t="s">
        <v>40</v>
      </c>
    </row>
    <row r="148" spans="1:6">
      <c r="A148" t="s">
        <v>22</v>
      </c>
      <c r="B148" t="s">
        <v>2383</v>
      </c>
      <c r="C148" s="35">
        <v>61.221838163566268</v>
      </c>
      <c r="D148" s="35">
        <v>3.5417433309386404</v>
      </c>
      <c r="E148" s="35">
        <v>6.9538054971071128</v>
      </c>
      <c r="F148" t="s">
        <v>40</v>
      </c>
    </row>
    <row r="149" spans="1:6">
      <c r="A149" t="s">
        <v>22</v>
      </c>
      <c r="B149" t="s">
        <v>2384</v>
      </c>
      <c r="C149" s="35">
        <v>62.343599883229636</v>
      </c>
      <c r="D149" s="35">
        <v>4.1447309588439118</v>
      </c>
      <c r="E149" s="35">
        <v>3.4266295482187292</v>
      </c>
      <c r="F149" t="s">
        <v>40</v>
      </c>
    </row>
    <row r="150" spans="1:6">
      <c r="A150" t="s">
        <v>22</v>
      </c>
      <c r="B150" t="s">
        <v>2385</v>
      </c>
      <c r="C150" s="35">
        <v>63.179222568182162</v>
      </c>
      <c r="D150" s="35">
        <v>4.1001098294513927</v>
      </c>
      <c r="E150" s="35">
        <v>3.29564229175765</v>
      </c>
      <c r="F150" t="s">
        <v>40</v>
      </c>
    </row>
    <row r="151" spans="1:6">
      <c r="A151" t="s">
        <v>22</v>
      </c>
      <c r="B151" t="s">
        <v>2386</v>
      </c>
      <c r="C151" s="35">
        <v>63.11066662564707</v>
      </c>
      <c r="D151" s="35">
        <v>3.9741335654823517</v>
      </c>
      <c r="E151" s="35">
        <v>2.3133237285168917</v>
      </c>
      <c r="F151" t="s">
        <v>40</v>
      </c>
    </row>
    <row r="152" spans="1:6">
      <c r="A152" t="s">
        <v>22</v>
      </c>
      <c r="B152" t="s">
        <v>2387</v>
      </c>
      <c r="C152" s="35">
        <v>63.662567865802004</v>
      </c>
      <c r="D152" s="35">
        <v>3.9866978441823964</v>
      </c>
      <c r="E152" s="35">
        <v>6.1719979782381307</v>
      </c>
      <c r="F152" t="s">
        <v>40</v>
      </c>
    </row>
    <row r="153" spans="1:6">
      <c r="A153" t="s">
        <v>22</v>
      </c>
      <c r="B153" t="s">
        <v>2388</v>
      </c>
      <c r="C153" s="35">
        <v>64.719227342806292</v>
      </c>
      <c r="D153" s="35">
        <v>3.8105394363274536</v>
      </c>
      <c r="E153" s="35">
        <v>3.2950629366627959</v>
      </c>
      <c r="F153" t="s">
        <v>40</v>
      </c>
    </row>
    <row r="154" spans="1:6">
      <c r="A154" t="s">
        <v>22</v>
      </c>
      <c r="B154" t="s">
        <v>2389</v>
      </c>
      <c r="C154" s="35">
        <v>65.638429564752997</v>
      </c>
      <c r="D154" s="35">
        <v>3.8924299739790058</v>
      </c>
      <c r="E154" s="35">
        <v>5.2601128875610303</v>
      </c>
      <c r="F154" t="s">
        <v>40</v>
      </c>
    </row>
    <row r="155" spans="1:6">
      <c r="A155" t="s">
        <v>22</v>
      </c>
      <c r="B155" t="s">
        <v>2390</v>
      </c>
      <c r="C155" s="35">
        <v>66.213643279069501</v>
      </c>
      <c r="D155" s="35">
        <v>4.9167229873015472</v>
      </c>
      <c r="E155" s="35">
        <v>6.3224973621505143</v>
      </c>
      <c r="F155" t="s">
        <v>40</v>
      </c>
    </row>
    <row r="156" spans="1:6">
      <c r="A156" t="s">
        <v>22</v>
      </c>
      <c r="B156" t="s">
        <v>2391</v>
      </c>
      <c r="C156" s="35">
        <v>67.151495480345602</v>
      </c>
      <c r="D156" s="35">
        <v>5.4803438370536917</v>
      </c>
      <c r="E156" s="35">
        <v>7.054099436736716</v>
      </c>
      <c r="F156" t="s">
        <v>40</v>
      </c>
    </row>
    <row r="157" spans="1:6">
      <c r="A157" t="s">
        <v>22</v>
      </c>
      <c r="B157" t="s">
        <v>2392</v>
      </c>
      <c r="C157" s="35">
        <v>68.719993278945296</v>
      </c>
      <c r="D157" s="35">
        <v>6.1817269772824313</v>
      </c>
      <c r="E157" s="35">
        <v>7.4892804639102861</v>
      </c>
      <c r="F157" t="s">
        <v>40</v>
      </c>
    </row>
    <row r="158" spans="1:6">
      <c r="A158" t="s">
        <v>22</v>
      </c>
      <c r="B158" t="s">
        <v>2393</v>
      </c>
      <c r="C158" s="35">
        <v>69.691864423998325</v>
      </c>
      <c r="D158" s="35">
        <v>6.1753989029347034</v>
      </c>
      <c r="E158" s="35">
        <v>3.3585106983711865</v>
      </c>
      <c r="F158" t="s">
        <v>40</v>
      </c>
    </row>
    <row r="159" spans="1:6">
      <c r="A159" t="s">
        <v>22</v>
      </c>
      <c r="B159" t="s">
        <v>2394</v>
      </c>
      <c r="C159" s="35">
        <v>70.161567607108807</v>
      </c>
      <c r="D159" s="35">
        <v>5.96240311290539</v>
      </c>
      <c r="E159" s="35">
        <v>5.0942003229185628</v>
      </c>
      <c r="F159" t="s">
        <v>40</v>
      </c>
    </row>
    <row r="160" spans="1:6">
      <c r="A160" t="s">
        <v>22</v>
      </c>
      <c r="B160" t="s">
        <v>2395</v>
      </c>
      <c r="C160" s="35">
        <v>70.600705546317897</v>
      </c>
      <c r="D160" s="35">
        <v>5.1364605379218053</v>
      </c>
      <c r="E160" s="35">
        <v>3.685186142022423</v>
      </c>
      <c r="F160" t="s">
        <v>40</v>
      </c>
    </row>
    <row r="161" spans="1:6">
      <c r="A161" t="s">
        <v>22</v>
      </c>
      <c r="B161" t="s">
        <v>2396</v>
      </c>
      <c r="C161" s="35">
        <v>71.451697195717898</v>
      </c>
      <c r="D161" s="35">
        <v>3.9751225028270776</v>
      </c>
      <c r="E161" s="35">
        <v>2.1770924431041561</v>
      </c>
      <c r="F161" t="s">
        <v>40</v>
      </c>
    </row>
    <row r="162" spans="1:6">
      <c r="A162" t="s">
        <v>22</v>
      </c>
      <c r="B162" t="s">
        <v>2397</v>
      </c>
      <c r="C162" s="35">
        <v>73.004480659882404</v>
      </c>
      <c r="D162" s="35">
        <v>4.7532323367480256</v>
      </c>
      <c r="E162" s="35">
        <v>9.0481806694021394</v>
      </c>
      <c r="F162" t="s">
        <v>40</v>
      </c>
    </row>
    <row r="163" spans="1:6">
      <c r="A163" t="s">
        <v>22</v>
      </c>
      <c r="B163" t="s">
        <v>2398</v>
      </c>
      <c r="C163" s="35">
        <v>72.940241842192293</v>
      </c>
      <c r="D163" s="35">
        <v>3.9603936027249542</v>
      </c>
      <c r="E163" s="35">
        <v>7.1774457765472199E-2</v>
      </c>
      <c r="F163" t="s">
        <v>40</v>
      </c>
    </row>
    <row r="164" spans="1:6">
      <c r="A164" t="s">
        <v>22</v>
      </c>
      <c r="B164" t="s">
        <v>2399</v>
      </c>
      <c r="C164" s="35">
        <v>73.192016563138836</v>
      </c>
      <c r="D164" s="35">
        <v>3.6703755249597236</v>
      </c>
      <c r="E164" s="35">
        <v>3.7089954292010452</v>
      </c>
      <c r="F164" t="s">
        <v>40</v>
      </c>
    </row>
    <row r="165" spans="1:6">
      <c r="A165" t="s">
        <v>22</v>
      </c>
      <c r="B165" t="s">
        <v>2400</v>
      </c>
      <c r="C165" s="35">
        <v>74.48715401656824</v>
      </c>
      <c r="D165" s="35">
        <v>4.2482641280524591</v>
      </c>
      <c r="E165" s="35">
        <v>4.9740413535603212</v>
      </c>
      <c r="F165" t="s">
        <v>40</v>
      </c>
    </row>
    <row r="166" spans="1:6">
      <c r="A166" t="s">
        <v>22</v>
      </c>
      <c r="B166" t="s">
        <v>2401</v>
      </c>
      <c r="C166" s="35">
        <v>75.532634172726702</v>
      </c>
      <c r="D166" s="35">
        <v>3.4630114343564777</v>
      </c>
      <c r="E166" s="35">
        <v>3.4677833207272135</v>
      </c>
      <c r="F166" t="s">
        <v>40</v>
      </c>
    </row>
    <row r="167" spans="1:6">
      <c r="A167" t="s">
        <v>22</v>
      </c>
      <c r="B167" t="s">
        <v>2402</v>
      </c>
      <c r="C167" s="35">
        <v>75.34407115812246</v>
      </c>
      <c r="D167" s="35">
        <v>3.2956146774655526</v>
      </c>
      <c r="E167" s="35">
        <v>0.99550068592315633</v>
      </c>
      <c r="F167" t="s">
        <v>40</v>
      </c>
    </row>
    <row r="168" spans="1:6">
      <c r="A168" t="s">
        <v>22</v>
      </c>
      <c r="B168" t="s">
        <v>2403</v>
      </c>
      <c r="C168" s="35">
        <v>75.657591602059412</v>
      </c>
      <c r="D168" s="35">
        <v>3.3686393061648445</v>
      </c>
      <c r="E168" s="35">
        <v>3.1490146016227571</v>
      </c>
      <c r="F168" t="s">
        <v>40</v>
      </c>
    </row>
    <row r="169" spans="1:6">
      <c r="A169" t="s">
        <v>22</v>
      </c>
      <c r="B169" t="s">
        <v>2404</v>
      </c>
      <c r="C169" s="35">
        <v>77.094476831540319</v>
      </c>
      <c r="D169" s="35">
        <v>3.5003657333882332</v>
      </c>
      <c r="E169" s="35">
        <v>7.7782284842404792</v>
      </c>
      <c r="F169" t="s">
        <v>40</v>
      </c>
    </row>
    <row r="170" spans="1:6">
      <c r="A170" t="s">
        <v>22</v>
      </c>
      <c r="B170" t="s">
        <v>2405</v>
      </c>
      <c r="C170" s="35">
        <v>78.464250656089106</v>
      </c>
      <c r="D170" s="35">
        <v>3.881258101840368</v>
      </c>
      <c r="E170" s="35">
        <v>3.1115376757880231</v>
      </c>
      <c r="F170" t="s">
        <v>40</v>
      </c>
    </row>
    <row r="171" spans="1:6">
      <c r="A171" t="s">
        <v>22</v>
      </c>
      <c r="B171" t="s">
        <v>2406</v>
      </c>
      <c r="C171" s="35">
        <v>78.25615521766133</v>
      </c>
      <c r="D171" s="35">
        <v>3.8650473949401576</v>
      </c>
      <c r="E171" s="35">
        <v>3.3761608145587374</v>
      </c>
      <c r="F171" t="s">
        <v>40</v>
      </c>
    </row>
    <row r="172" spans="1:6">
      <c r="A172" t="s">
        <v>22</v>
      </c>
      <c r="B172" t="s">
        <v>2407</v>
      </c>
      <c r="C172" s="35">
        <v>79.127852234709607</v>
      </c>
      <c r="D172" s="35">
        <v>4.5867976486787088</v>
      </c>
      <c r="E172" s="35">
        <v>4.886199459801488</v>
      </c>
      <c r="F172" t="s">
        <v>40</v>
      </c>
    </row>
    <row r="173" spans="1:6">
      <c r="A173" t="s">
        <v>22</v>
      </c>
      <c r="B173" t="s">
        <v>2408</v>
      </c>
      <c r="C173" s="35">
        <v>80.264238636135971</v>
      </c>
      <c r="D173" s="35">
        <v>4.1115290418558992</v>
      </c>
      <c r="E173" s="35">
        <v>2.9108609467382474</v>
      </c>
      <c r="F173" t="s">
        <v>40</v>
      </c>
    </row>
    <row r="174" spans="1:6">
      <c r="A174" t="s">
        <v>22</v>
      </c>
      <c r="B174" t="s">
        <v>2409</v>
      </c>
      <c r="C174" s="35">
        <v>81.357052707494432</v>
      </c>
      <c r="D174" s="35">
        <v>3.6867771338116251</v>
      </c>
      <c r="E174" s="35">
        <v>5.8624805515842482</v>
      </c>
      <c r="F174" t="s">
        <v>40</v>
      </c>
    </row>
    <row r="175" spans="1:6">
      <c r="A175" t="s">
        <v>22</v>
      </c>
      <c r="B175" t="s">
        <v>2410</v>
      </c>
      <c r="C175" s="35">
        <v>81.74319370154457</v>
      </c>
      <c r="D175" s="35">
        <v>4.4559287051407104</v>
      </c>
      <c r="E175" s="35">
        <v>2.726257490363948</v>
      </c>
      <c r="F175" t="s">
        <v>40</v>
      </c>
    </row>
    <row r="176" spans="1:6">
      <c r="A176" t="s">
        <v>22</v>
      </c>
      <c r="B176" t="s">
        <v>2411</v>
      </c>
      <c r="C176" s="35">
        <v>81.849620369813863</v>
      </c>
      <c r="D176" s="35">
        <v>3.4397093542118728</v>
      </c>
      <c r="E176" s="35">
        <v>2.1020259926610274</v>
      </c>
      <c r="F176" t="s">
        <v>40</v>
      </c>
    </row>
    <row r="177" spans="1:6">
      <c r="A177" t="s">
        <v>22</v>
      </c>
      <c r="B177" t="s">
        <v>2412</v>
      </c>
      <c r="C177" s="35">
        <v>83.195103872428234</v>
      </c>
      <c r="D177" s="35">
        <v>3.6515206349602813</v>
      </c>
      <c r="E177" s="35">
        <v>5.2547735284568686</v>
      </c>
      <c r="F177" t="s">
        <v>40</v>
      </c>
    </row>
    <row r="178" spans="1:6">
      <c r="A178" t="s">
        <v>22</v>
      </c>
      <c r="B178" t="s">
        <v>2413</v>
      </c>
      <c r="C178" s="35">
        <v>84.739167017248676</v>
      </c>
      <c r="D178" s="35">
        <v>4.1571249168945057</v>
      </c>
      <c r="E178" s="35">
        <v>4.9879767727940116</v>
      </c>
      <c r="F178" t="s">
        <v>40</v>
      </c>
    </row>
    <row r="179" spans="1:6">
      <c r="A179" t="s">
        <v>22</v>
      </c>
      <c r="B179" t="s">
        <v>2414</v>
      </c>
      <c r="C179" s="35">
        <v>84.674810184906974</v>
      </c>
      <c r="D179" s="35">
        <v>3.5863738014275892</v>
      </c>
      <c r="E179" s="35">
        <v>2.7022689984920856</v>
      </c>
      <c r="F179" t="s">
        <v>40</v>
      </c>
    </row>
    <row r="180" spans="1:6">
      <c r="A180" t="s">
        <v>22</v>
      </c>
      <c r="B180" t="s">
        <v>2415</v>
      </c>
      <c r="C180" s="35">
        <v>85.243754632690269</v>
      </c>
      <c r="D180" s="35">
        <v>4.1467929204081821</v>
      </c>
      <c r="E180" s="35">
        <v>3.9447584328713425</v>
      </c>
      <c r="F180" t="s">
        <v>40</v>
      </c>
    </row>
    <row r="181" spans="1:6">
      <c r="A181" t="s">
        <v>22</v>
      </c>
      <c r="B181" t="s">
        <v>2416</v>
      </c>
      <c r="C181" s="35">
        <v>86.674129054229994</v>
      </c>
      <c r="D181" s="35">
        <v>4.1817667385048551</v>
      </c>
      <c r="E181" s="35">
        <v>4.7053787122692148</v>
      </c>
      <c r="F181" t="s">
        <v>40</v>
      </c>
    </row>
    <row r="182" spans="1:6">
      <c r="A182" t="s">
        <v>22</v>
      </c>
      <c r="B182" t="s">
        <v>2417</v>
      </c>
      <c r="C182" s="35">
        <v>87.338732295610683</v>
      </c>
      <c r="D182" s="35">
        <v>3.0677257871001506</v>
      </c>
      <c r="E182" s="35">
        <v>1.2296209170712835</v>
      </c>
      <c r="F182" t="s">
        <v>40</v>
      </c>
    </row>
    <row r="183" spans="1:6">
      <c r="A183" t="s">
        <v>22</v>
      </c>
      <c r="B183" t="s">
        <v>2418</v>
      </c>
      <c r="C183" s="35">
        <v>87.161437987058505</v>
      </c>
      <c r="D183" s="35">
        <v>2.9366795115588706</v>
      </c>
      <c r="E183" s="35">
        <v>1.6456798680892781</v>
      </c>
      <c r="F183" t="s">
        <v>40</v>
      </c>
    </row>
    <row r="184" spans="1:6">
      <c r="A184" t="s">
        <v>22</v>
      </c>
      <c r="B184" t="s">
        <v>2419</v>
      </c>
      <c r="C184" s="35">
        <v>87.472704689785033</v>
      </c>
      <c r="D184" s="35">
        <v>2.6147957310176606</v>
      </c>
      <c r="E184" s="35">
        <v>2.5297934214071116</v>
      </c>
      <c r="F184" t="s">
        <v>40</v>
      </c>
    </row>
    <row r="185" spans="1:6">
      <c r="A185" t="s">
        <v>22</v>
      </c>
      <c r="B185" t="s">
        <v>2420</v>
      </c>
      <c r="C185" s="35">
        <v>88.645401366268004</v>
      </c>
      <c r="D185" s="35">
        <v>2.2743491437965613</v>
      </c>
      <c r="E185" s="35">
        <v>3.1289354054105267</v>
      </c>
      <c r="F185" t="s">
        <v>40</v>
      </c>
    </row>
    <row r="186" spans="1:6">
      <c r="A186" t="s">
        <v>22</v>
      </c>
      <c r="B186" t="s">
        <v>2421</v>
      </c>
      <c r="C186" s="35">
        <v>89.691387703587949</v>
      </c>
      <c r="D186" s="35">
        <v>2.6937137122787114</v>
      </c>
      <c r="E186" s="35">
        <v>3.1067267769214757</v>
      </c>
      <c r="F186" t="s">
        <v>40</v>
      </c>
    </row>
    <row r="187" spans="1:6">
      <c r="A187" t="s">
        <v>22</v>
      </c>
      <c r="B187" t="s">
        <v>2422</v>
      </c>
      <c r="C187" s="35">
        <v>89.391640122603505</v>
      </c>
      <c r="D187" s="35">
        <v>2.5587027784880423</v>
      </c>
      <c r="E187" s="35">
        <v>1.3961691274627874</v>
      </c>
      <c r="F187" t="s">
        <v>40</v>
      </c>
    </row>
    <row r="188" spans="1:6">
      <c r="A188" t="s">
        <v>22</v>
      </c>
      <c r="B188" t="s">
        <v>2423</v>
      </c>
      <c r="C188" s="35">
        <v>89.907997275477285</v>
      </c>
      <c r="D188" s="35">
        <v>2.7840600040079044</v>
      </c>
      <c r="E188" s="35">
        <v>4.2643987832774011</v>
      </c>
      <c r="F188" t="s">
        <v>40</v>
      </c>
    </row>
    <row r="189" spans="1:6">
      <c r="A189" t="s">
        <v>22</v>
      </c>
      <c r="B189" t="s">
        <v>2424</v>
      </c>
      <c r="C189" s="35">
        <v>91.520674319370173</v>
      </c>
      <c r="D189" s="35">
        <v>3.2435669631885489</v>
      </c>
      <c r="E189" s="35">
        <v>4.705625998859686</v>
      </c>
      <c r="F189" t="s">
        <v>40</v>
      </c>
    </row>
    <row r="190" spans="1:6">
      <c r="A190" t="s">
        <v>22</v>
      </c>
      <c r="B190" t="s">
        <v>2425</v>
      </c>
      <c r="C190" s="35">
        <v>94.157050704168924</v>
      </c>
      <c r="D190" s="35">
        <v>4.9789206242845774</v>
      </c>
      <c r="E190" s="35">
        <v>11.289143819317493</v>
      </c>
      <c r="F190" t="s">
        <v>40</v>
      </c>
    </row>
    <row r="191" spans="1:6">
      <c r="A191" t="s">
        <v>22</v>
      </c>
      <c r="B191" t="s">
        <v>2426</v>
      </c>
      <c r="C191" s="35">
        <v>94.84268886351343</v>
      </c>
      <c r="D191" s="35">
        <v>6.0979401803497923</v>
      </c>
      <c r="E191" s="35">
        <v>5.1471121217616878</v>
      </c>
      <c r="F191" t="s">
        <v>40</v>
      </c>
    </row>
    <row r="192" spans="1:6">
      <c r="A192" t="s">
        <v>22</v>
      </c>
      <c r="B192" t="s">
        <v>2427</v>
      </c>
      <c r="C192" s="35">
        <v>95.73667287697576</v>
      </c>
      <c r="D192" s="35">
        <v>6.4829334187474608</v>
      </c>
      <c r="E192" s="35">
        <v>4.3985919027833331</v>
      </c>
      <c r="F192" t="s">
        <v>40</v>
      </c>
    </row>
    <row r="193" spans="1:6">
      <c r="A193" t="s">
        <v>22</v>
      </c>
      <c r="B193" t="s">
        <v>2428</v>
      </c>
      <c r="C193" s="35">
        <v>97.55544203377606</v>
      </c>
      <c r="D193" s="35">
        <v>6.593884670634087</v>
      </c>
      <c r="E193" s="35">
        <v>6.3902363403188556</v>
      </c>
      <c r="F193" t="s">
        <v>40</v>
      </c>
    </row>
    <row r="194" spans="1:6">
      <c r="A194" t="s">
        <v>22</v>
      </c>
      <c r="B194" t="s">
        <v>2429</v>
      </c>
      <c r="C194" s="35">
        <v>99.152843720576172</v>
      </c>
      <c r="D194" s="35">
        <v>5.3058087302495061</v>
      </c>
      <c r="E194" s="35">
        <v>4.2195539632771339</v>
      </c>
      <c r="F194" t="s">
        <v>40</v>
      </c>
    </row>
    <row r="195" spans="1:6">
      <c r="A195" t="s">
        <v>22</v>
      </c>
      <c r="B195" t="s">
        <v>2430</v>
      </c>
      <c r="C195" s="35">
        <v>99.175130716990211</v>
      </c>
      <c r="D195" s="35">
        <v>4.5680293393110416</v>
      </c>
      <c r="E195" s="35">
        <v>3.5998543360826307</v>
      </c>
      <c r="F195" t="s">
        <v>40</v>
      </c>
    </row>
    <row r="196" spans="1:6">
      <c r="A196" t="s">
        <v>22</v>
      </c>
      <c r="B196" t="s">
        <v>2431</v>
      </c>
      <c r="C196" s="35">
        <v>100.43936636817118</v>
      </c>
      <c r="D196" s="35">
        <v>4.912112934234214</v>
      </c>
      <c r="E196" s="35">
        <v>5.8938832530828433</v>
      </c>
      <c r="F196" t="s">
        <v>40</v>
      </c>
    </row>
    <row r="197" spans="1:6">
      <c r="A197" t="s">
        <v>22</v>
      </c>
      <c r="B197" t="s">
        <v>2432</v>
      </c>
      <c r="C197" s="35">
        <v>102.25433333333332</v>
      </c>
      <c r="D197" s="35">
        <v>4.8166367776083518</v>
      </c>
      <c r="E197" s="35">
        <v>5.6263237714385461</v>
      </c>
      <c r="F197" t="s">
        <v>40</v>
      </c>
    </row>
    <row r="198" spans="1:6">
      <c r="A198" t="s">
        <v>22</v>
      </c>
      <c r="B198" t="s">
        <v>2433</v>
      </c>
      <c r="C198" s="35">
        <v>103.221</v>
      </c>
      <c r="D198" s="35">
        <v>4.1029143762012055</v>
      </c>
      <c r="E198" s="35">
        <v>0.97199998945838306</v>
      </c>
      <c r="F198" t="s">
        <v>40</v>
      </c>
    </row>
    <row r="199" spans="1:6">
      <c r="A199" t="s">
        <v>22</v>
      </c>
      <c r="B199" t="s">
        <v>2434</v>
      </c>
      <c r="C199" s="35">
        <v>103.35433333333333</v>
      </c>
      <c r="D199" s="35">
        <v>4.2139622969280977</v>
      </c>
      <c r="E199" s="35">
        <v>3.3728038492583323</v>
      </c>
      <c r="F199" t="s">
        <v>40</v>
      </c>
    </row>
    <row r="200" spans="1:6">
      <c r="A200" t="s">
        <v>22</v>
      </c>
      <c r="B200" t="s">
        <v>2435</v>
      </c>
      <c r="C200" s="35">
        <v>103.76633333333332</v>
      </c>
      <c r="D200" s="35">
        <v>3.3124133349933693</v>
      </c>
      <c r="E200" s="35">
        <v>2.076913619029086</v>
      </c>
      <c r="F200" t="s">
        <v>40</v>
      </c>
    </row>
    <row r="201" spans="1:6">
      <c r="A201" t="s">
        <v>22</v>
      </c>
      <c r="B201" t="s">
        <v>2436</v>
      </c>
      <c r="C201" s="35">
        <v>105.26100000000001</v>
      </c>
      <c r="D201" s="35">
        <v>2.9403806847631886</v>
      </c>
      <c r="E201" s="35">
        <v>4.9350365035940591</v>
      </c>
      <c r="F201" t="s">
        <v>40</v>
      </c>
    </row>
    <row r="202" spans="1:6">
      <c r="A202" t="s">
        <v>22</v>
      </c>
      <c r="B202" t="s">
        <v>2437</v>
      </c>
      <c r="C202" s="35">
        <v>106.72466666666666</v>
      </c>
      <c r="D202" s="35">
        <v>3.3943351320629089</v>
      </c>
      <c r="E202" s="35">
        <v>2.6337328912058755</v>
      </c>
      <c r="F202" t="s">
        <v>40</v>
      </c>
    </row>
    <row r="203" spans="1:6">
      <c r="A203" t="s">
        <v>22</v>
      </c>
      <c r="B203" t="s">
        <v>2438</v>
      </c>
      <c r="C203" s="35">
        <v>106.21999999999998</v>
      </c>
      <c r="D203" s="35">
        <v>2.7726623299135778</v>
      </c>
      <c r="E203" s="35">
        <v>3.7134247377494933</v>
      </c>
      <c r="F203" t="s">
        <v>40</v>
      </c>
    </row>
    <row r="204" spans="1:6">
      <c r="A204" t="s">
        <v>22</v>
      </c>
      <c r="B204" t="s">
        <v>2439</v>
      </c>
      <c r="C204" s="35">
        <v>107.80833333333334</v>
      </c>
      <c r="D204" s="35">
        <v>3.895290379988392</v>
      </c>
      <c r="E204" s="35">
        <v>4.789519324341085</v>
      </c>
      <c r="F204" t="s">
        <v>40</v>
      </c>
    </row>
    <row r="205" spans="1:6">
      <c r="A205" t="s">
        <v>22</v>
      </c>
      <c r="B205" t="s">
        <v>2440</v>
      </c>
      <c r="C205" s="35">
        <v>108.967</v>
      </c>
      <c r="D205" s="35">
        <v>3.5207721758296007</v>
      </c>
      <c r="E205" s="35">
        <v>1.4928005982120185</v>
      </c>
      <c r="F205" t="s">
        <v>40</v>
      </c>
    </row>
    <row r="206" spans="1:6">
      <c r="A206" t="s">
        <v>22</v>
      </c>
      <c r="B206" t="s">
        <v>132</v>
      </c>
      <c r="C206" s="35">
        <v>110.98033333333332</v>
      </c>
      <c r="D206" s="35">
        <v>3.9875192863880082</v>
      </c>
      <c r="E206" s="35">
        <v>8.8050453774858752</v>
      </c>
      <c r="F206" t="s">
        <v>40</v>
      </c>
    </row>
    <row r="207" spans="1:6">
      <c r="A207" t="s">
        <v>22</v>
      </c>
      <c r="B207" t="s">
        <v>136</v>
      </c>
      <c r="C207" s="35">
        <v>112.54233333333333</v>
      </c>
      <c r="D207" s="35">
        <v>5.9521119688696444</v>
      </c>
      <c r="E207" s="35">
        <v>8.6002271163499344</v>
      </c>
      <c r="F207" t="s">
        <v>40</v>
      </c>
    </row>
    <row r="208" spans="1:6">
      <c r="A208" t="s">
        <v>22</v>
      </c>
      <c r="B208" t="s">
        <v>139</v>
      </c>
      <c r="C208" s="35">
        <v>114.06066666666668</v>
      </c>
      <c r="D208" s="35">
        <v>5.7994898353559643</v>
      </c>
      <c r="E208" s="35">
        <v>5.2715171382995196</v>
      </c>
      <c r="F208" t="s">
        <v>40</v>
      </c>
    </row>
    <row r="209" spans="1:6">
      <c r="A209" t="s">
        <v>22</v>
      </c>
      <c r="B209" t="s">
        <v>142</v>
      </c>
      <c r="C209" s="35">
        <v>116.58433333333335</v>
      </c>
      <c r="D209" s="35">
        <v>6.9904955934671387</v>
      </c>
      <c r="E209" s="35">
        <v>6.7825289123671251</v>
      </c>
      <c r="F209" t="s">
        <v>40</v>
      </c>
    </row>
    <row r="210" spans="1:6">
      <c r="A210" t="s">
        <v>22</v>
      </c>
      <c r="B210" t="s">
        <v>145</v>
      </c>
      <c r="C210" s="35">
        <v>119.04733333333333</v>
      </c>
      <c r="D210" s="35">
        <v>7.268855442856248</v>
      </c>
      <c r="E210" s="35">
        <v>9.2051982242139943</v>
      </c>
      <c r="F210" t="s">
        <v>40</v>
      </c>
    </row>
    <row r="211" spans="1:6">
      <c r="A211" t="s">
        <v>22</v>
      </c>
      <c r="B211" t="s">
        <v>148</v>
      </c>
      <c r="C211" s="35">
        <v>121.29166666666667</v>
      </c>
      <c r="D211" s="35">
        <v>7.7742597600310548</v>
      </c>
      <c r="E211" s="35">
        <v>10.769671323165309</v>
      </c>
      <c r="F211" t="s">
        <v>40</v>
      </c>
    </row>
    <row r="212" spans="1:6">
      <c r="A212" t="s">
        <v>22</v>
      </c>
      <c r="B212" t="s">
        <v>151</v>
      </c>
      <c r="C212" s="35">
        <v>123.774</v>
      </c>
      <c r="D212" s="35">
        <v>8.5159359639022334</v>
      </c>
      <c r="E212" s="35">
        <v>8.0811093140157109</v>
      </c>
      <c r="F212" t="s">
        <v>40</v>
      </c>
    </row>
    <row r="213" spans="1:6">
      <c r="A213" t="s">
        <v>22</v>
      </c>
      <c r="B213" t="s">
        <v>154</v>
      </c>
      <c r="C213" s="35">
        <v>125.91699999999999</v>
      </c>
      <c r="D213" s="35">
        <v>8.0050778692391198</v>
      </c>
      <c r="E213" s="35">
        <v>3.3559453800876993</v>
      </c>
      <c r="F213" t="s">
        <v>40</v>
      </c>
    </row>
    <row r="214" spans="1:6">
      <c r="A214" t="s">
        <v>22</v>
      </c>
      <c r="B214" t="s">
        <v>157</v>
      </c>
      <c r="C214" s="35">
        <v>127.92366666666668</v>
      </c>
      <c r="D214" s="35">
        <v>7.4561378947309631</v>
      </c>
      <c r="E214" s="35">
        <v>5.3367510758205894</v>
      </c>
      <c r="F214" t="s">
        <v>40</v>
      </c>
    </row>
    <row r="215" spans="1:6">
      <c r="A215" t="s">
        <v>22</v>
      </c>
      <c r="B215" t="s">
        <v>160</v>
      </c>
      <c r="C215" s="35">
        <v>128.22033333333334</v>
      </c>
      <c r="D215" s="35">
        <v>5.7124012366884358</v>
      </c>
      <c r="E215" s="35">
        <v>3.5168119539777276</v>
      </c>
      <c r="F215" t="s">
        <v>40</v>
      </c>
    </row>
    <row r="216" spans="1:6">
      <c r="A216" t="s">
        <v>22</v>
      </c>
      <c r="B216" t="s">
        <v>183</v>
      </c>
      <c r="C216" s="35">
        <v>129.499</v>
      </c>
      <c r="D216" s="35">
        <v>4.6253655856641984</v>
      </c>
      <c r="E216" s="35">
        <v>5.6287508604557779</v>
      </c>
      <c r="F216" t="s">
        <v>40</v>
      </c>
    </row>
    <row r="217" spans="1:6">
      <c r="A217" t="s">
        <v>22</v>
      </c>
      <c r="B217" t="s">
        <v>254</v>
      </c>
      <c r="C217" s="35">
        <v>131.47566666666668</v>
      </c>
      <c r="D217" s="35">
        <v>4.4145482076818121</v>
      </c>
      <c r="E217" s="35">
        <v>4.1752944182191332</v>
      </c>
      <c r="F217" t="s">
        <v>40</v>
      </c>
    </row>
    <row r="218" spans="1:6">
      <c r="A218" t="s">
        <v>22</v>
      </c>
      <c r="B218" t="s">
        <v>355</v>
      </c>
      <c r="C218" s="35">
        <v>133.76700000000002</v>
      </c>
      <c r="D218" s="35">
        <v>4.5678282100523493</v>
      </c>
      <c r="E218" s="35">
        <v>4.3740693899813721</v>
      </c>
      <c r="F218" t="s">
        <v>40</v>
      </c>
    </row>
    <row r="219" spans="1:6">
      <c r="A219" t="s">
        <v>22</v>
      </c>
      <c r="B219" t="s">
        <v>460</v>
      </c>
      <c r="C219" s="35">
        <v>134.339</v>
      </c>
      <c r="D219" s="35">
        <v>4.7719940415066775</v>
      </c>
      <c r="E219" s="35">
        <v>5.7356661868208647</v>
      </c>
      <c r="F219" t="s">
        <v>40</v>
      </c>
    </row>
    <row r="220" spans="1:6">
      <c r="A220" t="s">
        <v>22</v>
      </c>
      <c r="B220" t="s">
        <v>565</v>
      </c>
      <c r="C220" s="35">
        <v>136.03200000000001</v>
      </c>
      <c r="D220" s="35">
        <v>5.0448266009776255</v>
      </c>
      <c r="E220" s="35">
        <v>4.0452181836562184</v>
      </c>
      <c r="F220" t="s">
        <v>40</v>
      </c>
    </row>
    <row r="221" spans="1:6">
      <c r="A221" t="s">
        <v>22</v>
      </c>
      <c r="B221" t="s">
        <v>670</v>
      </c>
      <c r="C221" s="35">
        <v>137.40033333333335</v>
      </c>
      <c r="D221" s="35">
        <v>4.5062837990299753</v>
      </c>
      <c r="E221" s="35">
        <v>2.7165284615578988</v>
      </c>
      <c r="F221" t="s">
        <v>40</v>
      </c>
    </row>
    <row r="222" spans="1:6">
      <c r="A222" t="s">
        <v>22</v>
      </c>
      <c r="B222" t="s">
        <v>771</v>
      </c>
      <c r="C222" s="35">
        <v>138.74333333333334</v>
      </c>
      <c r="D222" s="35">
        <v>3.7201502114372786</v>
      </c>
      <c r="E222" s="35">
        <v>2.736448693603899</v>
      </c>
      <c r="F222" t="s">
        <v>40</v>
      </c>
    </row>
    <row r="223" spans="1:6">
      <c r="A223" t="s">
        <v>22</v>
      </c>
      <c r="B223" t="s">
        <v>876</v>
      </c>
      <c r="C223" s="35">
        <v>140.01233333333334</v>
      </c>
      <c r="D223" s="35">
        <v>4.223146914398157</v>
      </c>
      <c r="E223" s="35">
        <v>7.8550507028232852</v>
      </c>
      <c r="F223" t="s">
        <v>40</v>
      </c>
    </row>
    <row r="224" spans="1:6">
      <c r="A224" t="s">
        <v>22</v>
      </c>
      <c r="B224" t="s">
        <v>981</v>
      </c>
      <c r="C224" s="35">
        <v>140.94800000000001</v>
      </c>
      <c r="D224" s="35">
        <v>3.6138555633968394</v>
      </c>
      <c r="E224" s="35">
        <v>1.8402145339969866</v>
      </c>
      <c r="F224" t="s">
        <v>40</v>
      </c>
    </row>
    <row r="225" spans="1:6">
      <c r="A225" t="s">
        <v>22</v>
      </c>
      <c r="B225" t="s">
        <v>1086</v>
      </c>
      <c r="C225" s="35">
        <v>142.465</v>
      </c>
      <c r="D225" s="35">
        <v>3.6860657785885875</v>
      </c>
      <c r="E225" s="35">
        <v>2.4461699368274692</v>
      </c>
      <c r="F225" t="s">
        <v>40</v>
      </c>
    </row>
    <row r="226" spans="1:6">
      <c r="A226" t="s">
        <v>22</v>
      </c>
      <c r="B226" t="s">
        <v>1183</v>
      </c>
      <c r="C226" s="35">
        <v>144.47966666666665</v>
      </c>
      <c r="D226" s="35">
        <v>4.1344929486101245</v>
      </c>
      <c r="E226" s="35">
        <v>6.3289543867507625</v>
      </c>
      <c r="F226" t="s">
        <v>40</v>
      </c>
    </row>
    <row r="227" spans="1:6">
      <c r="A227" t="s">
        <v>22</v>
      </c>
      <c r="B227" t="s">
        <v>1276</v>
      </c>
      <c r="C227" s="35">
        <v>145.49633333333333</v>
      </c>
      <c r="D227" s="35">
        <v>3.9167978059075681</v>
      </c>
      <c r="E227" s="35">
        <v>2.9067542084310061</v>
      </c>
      <c r="F227" t="s">
        <v>40</v>
      </c>
    </row>
    <row r="228" spans="1:6">
      <c r="A228" t="s">
        <v>22</v>
      </c>
      <c r="B228" t="s">
        <v>21</v>
      </c>
      <c r="C228" s="35">
        <v>145.16900000000001</v>
      </c>
      <c r="D228" s="35">
        <v>2.9947214575588132</v>
      </c>
      <c r="E228" s="35"/>
      <c r="F228" t="s">
        <v>40</v>
      </c>
    </row>
    <row r="229" spans="1:6">
      <c r="A229" t="s">
        <v>134</v>
      </c>
      <c r="B229" t="s">
        <v>2286</v>
      </c>
      <c r="C229" s="35">
        <v>9.692767391748601E-2</v>
      </c>
      <c r="D229" s="35"/>
      <c r="E229" s="35"/>
      <c r="F229" t="s">
        <v>36</v>
      </c>
    </row>
    <row r="230" spans="1:6">
      <c r="A230" t="s">
        <v>134</v>
      </c>
      <c r="B230" t="s">
        <v>2287</v>
      </c>
      <c r="C230" s="35">
        <v>0.11324529506276233</v>
      </c>
      <c r="D230" s="35"/>
      <c r="E230" s="35">
        <v>96.534581373007299</v>
      </c>
      <c r="F230" t="s">
        <v>36</v>
      </c>
    </row>
    <row r="231" spans="1:6">
      <c r="A231" t="s">
        <v>134</v>
      </c>
      <c r="B231" t="s">
        <v>2288</v>
      </c>
      <c r="C231" s="35">
        <v>0.13593868545649568</v>
      </c>
      <c r="D231" s="35"/>
      <c r="E231" s="35">
        <v>117.92722644808742</v>
      </c>
      <c r="F231" t="s">
        <v>36</v>
      </c>
    </row>
    <row r="232" spans="1:6">
      <c r="A232" t="s">
        <v>134</v>
      </c>
      <c r="B232" t="s">
        <v>2289</v>
      </c>
      <c r="C232" s="35">
        <v>0.16351384224531132</v>
      </c>
      <c r="D232" s="35"/>
      <c r="E232" s="35">
        <v>111.28253725747533</v>
      </c>
      <c r="F232" t="s">
        <v>36</v>
      </c>
    </row>
    <row r="233" spans="1:6">
      <c r="A233" t="s">
        <v>134</v>
      </c>
      <c r="B233" t="s">
        <v>2290</v>
      </c>
      <c r="C233" s="35">
        <v>0.20680230844558201</v>
      </c>
      <c r="D233" s="35">
        <v>113.3573417037034</v>
      </c>
      <c r="E233" s="35">
        <v>139.1325073504008</v>
      </c>
      <c r="F233" t="s">
        <v>36</v>
      </c>
    </row>
    <row r="234" spans="1:6">
      <c r="A234" t="s">
        <v>134</v>
      </c>
      <c r="B234" t="s">
        <v>2291</v>
      </c>
      <c r="C234" s="35">
        <v>0.23999593453274901</v>
      </c>
      <c r="D234" s="35">
        <v>111.92574437616986</v>
      </c>
      <c r="E234" s="35">
        <v>72.954708093379807</v>
      </c>
      <c r="F234" t="s">
        <v>36</v>
      </c>
    </row>
    <row r="235" spans="1:6">
      <c r="A235" t="s">
        <v>134</v>
      </c>
      <c r="B235" t="s">
        <v>2292</v>
      </c>
      <c r="C235" s="35">
        <v>0.27555638084274431</v>
      </c>
      <c r="D235" s="35">
        <v>102.70637450803535</v>
      </c>
      <c r="E235" s="35">
        <v>73.150847826726434</v>
      </c>
      <c r="F235" t="s">
        <v>36</v>
      </c>
    </row>
    <row r="236" spans="1:6">
      <c r="A236" t="s">
        <v>134</v>
      </c>
      <c r="B236" t="s">
        <v>2293</v>
      </c>
      <c r="C236" s="35">
        <v>0.31113434163699932</v>
      </c>
      <c r="D236" s="35">
        <v>90.28012391160172</v>
      </c>
      <c r="E236" s="35">
        <v>69.257322951856381</v>
      </c>
      <c r="F236" t="s">
        <v>36</v>
      </c>
    </row>
    <row r="237" spans="1:6">
      <c r="A237" t="s">
        <v>134</v>
      </c>
      <c r="B237" t="s">
        <v>2294</v>
      </c>
      <c r="C237" s="35">
        <v>0.36189831202175737</v>
      </c>
      <c r="D237" s="35">
        <v>74.99723032201419</v>
      </c>
      <c r="E237" s="35">
        <v>80.503771598560817</v>
      </c>
      <c r="F237" t="s">
        <v>36</v>
      </c>
    </row>
    <row r="238" spans="1:6">
      <c r="A238" t="s">
        <v>134</v>
      </c>
      <c r="B238" t="s">
        <v>2295</v>
      </c>
      <c r="C238" s="35">
        <v>0.40492188611274799</v>
      </c>
      <c r="D238" s="35">
        <v>68.720310575716752</v>
      </c>
      <c r="E238" s="35">
        <v>51.44469678053445</v>
      </c>
      <c r="F238" t="s">
        <v>36</v>
      </c>
    </row>
    <row r="239" spans="1:6">
      <c r="A239" t="s">
        <v>134</v>
      </c>
      <c r="B239" t="s">
        <v>2296</v>
      </c>
      <c r="C239" s="35">
        <v>0.44838096579863101</v>
      </c>
      <c r="D239" s="35">
        <v>62.718411537896834</v>
      </c>
      <c r="E239" s="35">
        <v>49.018338206331926</v>
      </c>
      <c r="F239" t="s">
        <v>36</v>
      </c>
    </row>
    <row r="240" spans="1:6">
      <c r="A240" t="s">
        <v>134</v>
      </c>
      <c r="B240" t="s">
        <v>2297</v>
      </c>
      <c r="C240" s="35">
        <v>0.50027344092284898</v>
      </c>
      <c r="D240" s="35">
        <v>60.79017131015334</v>
      </c>
      <c r="E240" s="35">
        <v>58.691865662127853</v>
      </c>
      <c r="F240" t="s">
        <v>36</v>
      </c>
    </row>
    <row r="241" spans="1:6">
      <c r="A241" t="s">
        <v>134</v>
      </c>
      <c r="B241" t="s">
        <v>2298</v>
      </c>
      <c r="C241" s="35">
        <v>0.57210840197894397</v>
      </c>
      <c r="D241" s="35">
        <v>58.085402162513745</v>
      </c>
      <c r="E241" s="35">
        <v>72.936430814311251</v>
      </c>
      <c r="F241" t="s">
        <v>36</v>
      </c>
    </row>
    <row r="242" spans="1:6">
      <c r="A242" t="s">
        <v>134</v>
      </c>
      <c r="B242" t="s">
        <v>2299</v>
      </c>
      <c r="C242" s="35">
        <v>0.6323446125390787</v>
      </c>
      <c r="D242" s="35">
        <v>56.164592289537609</v>
      </c>
      <c r="E242" s="35">
        <v>40.849353071946325</v>
      </c>
      <c r="F242" t="s">
        <v>36</v>
      </c>
    </row>
    <row r="243" spans="1:6">
      <c r="A243" t="s">
        <v>134</v>
      </c>
      <c r="B243" t="s">
        <v>2300</v>
      </c>
      <c r="C243" s="35">
        <v>0.70385129196381657</v>
      </c>
      <c r="D243" s="35">
        <v>56.976175540849773</v>
      </c>
      <c r="E243" s="35">
        <v>63.818382874469506</v>
      </c>
      <c r="F243" t="s">
        <v>36</v>
      </c>
    </row>
    <row r="244" spans="1:6">
      <c r="A244" t="s">
        <v>134</v>
      </c>
      <c r="B244" t="s">
        <v>2301</v>
      </c>
      <c r="C244" s="35">
        <v>0.802175581538913</v>
      </c>
      <c r="D244" s="35">
        <v>60.347425211929796</v>
      </c>
      <c r="E244" s="35">
        <v>69.553290964121345</v>
      </c>
      <c r="F244" t="s">
        <v>36</v>
      </c>
    </row>
    <row r="245" spans="1:6">
      <c r="A245" t="s">
        <v>134</v>
      </c>
      <c r="B245" t="s">
        <v>2302</v>
      </c>
      <c r="C245" s="35">
        <v>0.95857118726362101</v>
      </c>
      <c r="D245" s="35">
        <v>67.550622215630483</v>
      </c>
      <c r="E245" s="35">
        <v>106.83467504597166</v>
      </c>
      <c r="F245" t="s">
        <v>36</v>
      </c>
    </row>
    <row r="246" spans="1:6">
      <c r="A246" t="s">
        <v>134</v>
      </c>
      <c r="B246" t="s">
        <v>2303</v>
      </c>
      <c r="C246" s="35">
        <v>1.1312047934780967</v>
      </c>
      <c r="D246" s="35">
        <v>78.890556042839478</v>
      </c>
      <c r="E246" s="35">
        <v>105.03313039936475</v>
      </c>
      <c r="F246" t="s">
        <v>36</v>
      </c>
    </row>
    <row r="247" spans="1:6">
      <c r="A247" t="s">
        <v>134</v>
      </c>
      <c r="B247" t="s">
        <v>2304</v>
      </c>
      <c r="C247" s="35">
        <v>1.3412976993804098</v>
      </c>
      <c r="D247" s="35">
        <v>90.565495111624088</v>
      </c>
      <c r="E247" s="35">
        <v>94.559163403050434</v>
      </c>
      <c r="F247" t="s">
        <v>36</v>
      </c>
    </row>
    <row r="248" spans="1:6">
      <c r="A248" t="s">
        <v>134</v>
      </c>
      <c r="B248" t="s">
        <v>2305</v>
      </c>
      <c r="C248" s="35">
        <v>1.6250031101819566</v>
      </c>
      <c r="D248" s="35">
        <v>102.57449211611646</v>
      </c>
      <c r="E248" s="35">
        <v>126.33959088098567</v>
      </c>
      <c r="F248" t="s">
        <v>36</v>
      </c>
    </row>
    <row r="249" spans="1:6">
      <c r="A249" t="s">
        <v>134</v>
      </c>
      <c r="B249" t="s">
        <v>2306</v>
      </c>
      <c r="C249" s="35">
        <v>2.0293886415110065</v>
      </c>
      <c r="D249" s="35">
        <v>111.70974764056778</v>
      </c>
      <c r="E249" s="35">
        <v>138.60127756389247</v>
      </c>
      <c r="F249" t="s">
        <v>36</v>
      </c>
    </row>
    <row r="250" spans="1:6">
      <c r="A250" t="s">
        <v>134</v>
      </c>
      <c r="B250" t="s">
        <v>2307</v>
      </c>
      <c r="C250" s="35">
        <v>2.5043222773551901</v>
      </c>
      <c r="D250" s="35">
        <v>121.38540181174373</v>
      </c>
      <c r="E250" s="35">
        <v>134.77111625076139</v>
      </c>
      <c r="F250" t="s">
        <v>36</v>
      </c>
    </row>
    <row r="251" spans="1:6">
      <c r="A251" t="s">
        <v>134</v>
      </c>
      <c r="B251" t="s">
        <v>2308</v>
      </c>
      <c r="C251" s="35">
        <v>3.1359402969605932</v>
      </c>
      <c r="D251" s="35">
        <v>133.79897679755874</v>
      </c>
      <c r="E251" s="35">
        <v>147.12601569210938</v>
      </c>
      <c r="F251" t="s">
        <v>36</v>
      </c>
    </row>
    <row r="252" spans="1:6">
      <c r="A252" t="s">
        <v>134</v>
      </c>
      <c r="B252" t="s">
        <v>2309</v>
      </c>
      <c r="C252" s="35">
        <v>4.0502281828534237</v>
      </c>
      <c r="D252" s="35">
        <v>149.24433420929927</v>
      </c>
      <c r="E252" s="35">
        <v>220.17443609578439</v>
      </c>
      <c r="F252" t="s">
        <v>36</v>
      </c>
    </row>
    <row r="253" spans="1:6">
      <c r="A253" t="s">
        <v>134</v>
      </c>
      <c r="B253" t="s">
        <v>2310</v>
      </c>
      <c r="C253" s="35">
        <v>5.5535703205719331</v>
      </c>
      <c r="D253" s="35">
        <v>173.65730777112037</v>
      </c>
      <c r="E253" s="35">
        <v>203.87125875462937</v>
      </c>
      <c r="F253" t="s">
        <v>36</v>
      </c>
    </row>
    <row r="254" spans="1:6">
      <c r="A254" t="s">
        <v>134</v>
      </c>
      <c r="B254" t="s">
        <v>2311</v>
      </c>
      <c r="C254" s="35">
        <v>6.2332132753333473</v>
      </c>
      <c r="D254" s="35">
        <v>148.89820817775225</v>
      </c>
      <c r="E254" s="35">
        <v>28.531082239559758</v>
      </c>
      <c r="F254" t="s">
        <v>36</v>
      </c>
    </row>
    <row r="255" spans="1:6">
      <c r="A255" t="s">
        <v>134</v>
      </c>
      <c r="B255" t="s">
        <v>2312</v>
      </c>
      <c r="C255" s="35">
        <v>6.4391292163219864</v>
      </c>
      <c r="D255" s="35">
        <v>105.33328464712484</v>
      </c>
      <c r="E255" s="35">
        <v>9.5683289442651152</v>
      </c>
      <c r="F255" t="s">
        <v>36</v>
      </c>
    </row>
    <row r="256" spans="1:6">
      <c r="A256" t="s">
        <v>134</v>
      </c>
      <c r="B256" t="s">
        <v>2313</v>
      </c>
      <c r="C256" s="35">
        <v>6.5885148199399071</v>
      </c>
      <c r="D256" s="35">
        <v>62.670213195204141</v>
      </c>
      <c r="E256" s="35">
        <v>14.444463247719131</v>
      </c>
      <c r="F256" t="s">
        <v>36</v>
      </c>
    </row>
    <row r="257" spans="1:6">
      <c r="A257" t="s">
        <v>134</v>
      </c>
      <c r="B257" t="s">
        <v>2314</v>
      </c>
      <c r="C257" s="35">
        <v>7.0255145847667828</v>
      </c>
      <c r="D257" s="35">
        <v>26.504467922957019</v>
      </c>
      <c r="E257" s="35">
        <v>28.082459758074041</v>
      </c>
      <c r="F257" t="s">
        <v>36</v>
      </c>
    </row>
    <row r="258" spans="1:6">
      <c r="A258" t="s">
        <v>134</v>
      </c>
      <c r="B258" t="s">
        <v>2315</v>
      </c>
      <c r="C258" s="35">
        <v>7.2957531214401037</v>
      </c>
      <c r="D258" s="35">
        <v>17.046422112837668</v>
      </c>
      <c r="E258" s="35">
        <v>14.190135566781947</v>
      </c>
      <c r="F258" t="s">
        <v>36</v>
      </c>
    </row>
    <row r="259" spans="1:6">
      <c r="A259" t="s">
        <v>134</v>
      </c>
      <c r="B259" t="s">
        <v>2316</v>
      </c>
      <c r="C259" s="35">
        <v>7.5297091245025909</v>
      </c>
      <c r="D259" s="35">
        <v>16.936760725599175</v>
      </c>
      <c r="E259" s="35">
        <v>15.84825769062399</v>
      </c>
      <c r="F259" t="s">
        <v>36</v>
      </c>
    </row>
    <row r="260" spans="1:6">
      <c r="A260" t="s">
        <v>134</v>
      </c>
      <c r="B260" t="s">
        <v>2317</v>
      </c>
      <c r="C260" s="35">
        <v>7.9282891084068536</v>
      </c>
      <c r="D260" s="35">
        <v>20.334996961867134</v>
      </c>
      <c r="E260" s="35">
        <v>28.387313349796763</v>
      </c>
      <c r="F260" t="s">
        <v>36</v>
      </c>
    </row>
    <row r="261" spans="1:6">
      <c r="A261" t="s">
        <v>134</v>
      </c>
      <c r="B261" t="s">
        <v>2318</v>
      </c>
      <c r="C261" s="35">
        <v>8.5820299926510035</v>
      </c>
      <c r="D261" s="35">
        <v>22.155180081173942</v>
      </c>
      <c r="E261" s="35">
        <v>31.329759330634399</v>
      </c>
      <c r="F261" t="s">
        <v>36</v>
      </c>
    </row>
    <row r="262" spans="1:6">
      <c r="A262" t="s">
        <v>134</v>
      </c>
      <c r="B262" t="s">
        <v>2319</v>
      </c>
      <c r="C262" s="35">
        <v>9.1052461756124927</v>
      </c>
      <c r="D262" s="35">
        <v>24.802005002812024</v>
      </c>
      <c r="E262" s="35">
        <v>31.530241474277364</v>
      </c>
      <c r="F262" t="s">
        <v>36</v>
      </c>
    </row>
    <row r="263" spans="1:6">
      <c r="A263" t="s">
        <v>134</v>
      </c>
      <c r="B263" t="s">
        <v>2320</v>
      </c>
      <c r="C263" s="35">
        <v>9.6800716105135027</v>
      </c>
      <c r="D263" s="35">
        <v>28.558373908672905</v>
      </c>
      <c r="E263" s="35">
        <v>24.533252356667411</v>
      </c>
      <c r="F263" t="s">
        <v>36</v>
      </c>
    </row>
    <row r="264" spans="1:6">
      <c r="A264" t="s">
        <v>134</v>
      </c>
      <c r="B264" t="s">
        <v>2321</v>
      </c>
      <c r="C264" s="35">
        <v>10.241706331002566</v>
      </c>
      <c r="D264" s="35">
        <v>29.179274254046227</v>
      </c>
      <c r="E264" s="35">
        <v>30.222376326814306</v>
      </c>
      <c r="F264" t="s">
        <v>36</v>
      </c>
    </row>
    <row r="265" spans="1:6">
      <c r="A265" t="s">
        <v>134</v>
      </c>
      <c r="B265" t="s">
        <v>2322</v>
      </c>
      <c r="C265" s="35">
        <v>10.981428515802101</v>
      </c>
      <c r="D265" s="35">
        <v>27.958402909402082</v>
      </c>
      <c r="E265" s="35">
        <v>25.724530286195325</v>
      </c>
      <c r="F265" t="s">
        <v>36</v>
      </c>
    </row>
    <row r="266" spans="1:6">
      <c r="A266" t="s">
        <v>134</v>
      </c>
      <c r="B266" t="s">
        <v>2323</v>
      </c>
      <c r="C266" s="35">
        <v>11.389710407130332</v>
      </c>
      <c r="D266" s="35">
        <v>25.089538354674602</v>
      </c>
      <c r="E266" s="35">
        <v>13.294350315956027</v>
      </c>
      <c r="F266" t="s">
        <v>36</v>
      </c>
    </row>
    <row r="267" spans="1:6">
      <c r="A267" t="s">
        <v>134</v>
      </c>
      <c r="B267" t="s">
        <v>2324</v>
      </c>
      <c r="C267" s="35">
        <v>11.7245217034961</v>
      </c>
      <c r="D267" s="35">
        <v>21.120195957663412</v>
      </c>
      <c r="E267" s="35">
        <v>13.969957277870604</v>
      </c>
      <c r="F267" t="s">
        <v>36</v>
      </c>
    </row>
    <row r="268" spans="1:6">
      <c r="A268" t="s">
        <v>134</v>
      </c>
      <c r="B268" t="s">
        <v>2325</v>
      </c>
      <c r="C268" s="35">
        <v>12.180369411127435</v>
      </c>
      <c r="D268" s="35">
        <v>18.929102411932686</v>
      </c>
      <c r="E268" s="35">
        <v>18.023690096990297</v>
      </c>
      <c r="F268" t="s">
        <v>36</v>
      </c>
    </row>
    <row r="269" spans="1:6">
      <c r="A269" t="s">
        <v>134</v>
      </c>
      <c r="B269" t="s">
        <v>2326</v>
      </c>
      <c r="C269" s="35">
        <v>12.721116076617365</v>
      </c>
      <c r="D269" s="35">
        <v>15.842087924279458</v>
      </c>
      <c r="E269" s="35">
        <v>15.121151455288784</v>
      </c>
      <c r="F269" t="s">
        <v>36</v>
      </c>
    </row>
    <row r="270" spans="1:6">
      <c r="A270" t="s">
        <v>134</v>
      </c>
      <c r="B270" t="s">
        <v>2327</v>
      </c>
      <c r="C270" s="35">
        <v>13.112077412941934</v>
      </c>
      <c r="D270" s="35">
        <v>15.12213168065577</v>
      </c>
      <c r="E270" s="35">
        <v>13.967983605036217</v>
      </c>
      <c r="F270" t="s">
        <v>36</v>
      </c>
    </row>
    <row r="271" spans="1:6">
      <c r="A271" t="s">
        <v>134</v>
      </c>
      <c r="B271" t="s">
        <v>2328</v>
      </c>
      <c r="C271" s="35">
        <v>13.487758995949568</v>
      </c>
      <c r="D271" s="35">
        <v>15.03888463038705</v>
      </c>
      <c r="E271" s="35">
        <v>12.229832298178579</v>
      </c>
      <c r="F271" t="s">
        <v>36</v>
      </c>
    </row>
    <row r="272" spans="1:6">
      <c r="A272" t="s">
        <v>134</v>
      </c>
      <c r="B272" t="s">
        <v>2329</v>
      </c>
      <c r="C272" s="35">
        <v>13.828489292730099</v>
      </c>
      <c r="D272" s="35">
        <v>13.530951533350176</v>
      </c>
      <c r="E272" s="35">
        <v>10.186776453624402</v>
      </c>
      <c r="F272" t="s">
        <v>36</v>
      </c>
    </row>
    <row r="273" spans="1:6">
      <c r="A273" t="s">
        <v>134</v>
      </c>
      <c r="B273" t="s">
        <v>2330</v>
      </c>
      <c r="C273" s="35">
        <v>14.281016739308967</v>
      </c>
      <c r="D273" s="35">
        <v>12.262294073071534</v>
      </c>
      <c r="E273" s="35">
        <v>13.04647790441933</v>
      </c>
      <c r="F273" t="s">
        <v>36</v>
      </c>
    </row>
    <row r="274" spans="1:6">
      <c r="A274" t="s">
        <v>134</v>
      </c>
      <c r="B274" t="s">
        <v>2331</v>
      </c>
      <c r="C274" s="35">
        <v>14.590154302391333</v>
      </c>
      <c r="D274" s="35">
        <v>11.272636996411434</v>
      </c>
      <c r="E274" s="35">
        <v>6.9498893517298876</v>
      </c>
      <c r="F274" t="s">
        <v>36</v>
      </c>
    </row>
    <row r="275" spans="1:6">
      <c r="A275" t="s">
        <v>134</v>
      </c>
      <c r="B275" t="s">
        <v>2332</v>
      </c>
      <c r="C275" s="35">
        <v>14.816541675952566</v>
      </c>
      <c r="D275" s="35">
        <v>9.8517676687583045</v>
      </c>
      <c r="E275" s="35">
        <v>8.0648578734733753</v>
      </c>
      <c r="F275" t="s">
        <v>36</v>
      </c>
    </row>
    <row r="276" spans="1:6">
      <c r="A276" t="s">
        <v>134</v>
      </c>
      <c r="B276" t="s">
        <v>2333</v>
      </c>
      <c r="C276" s="35">
        <v>15.0703960141611</v>
      </c>
      <c r="D276" s="35">
        <v>8.9807837656127312</v>
      </c>
      <c r="E276" s="35">
        <v>5.7407841727715958</v>
      </c>
      <c r="F276" t="s">
        <v>36</v>
      </c>
    </row>
    <row r="277" spans="1:6">
      <c r="A277" t="s">
        <v>134</v>
      </c>
      <c r="B277" t="s">
        <v>2334</v>
      </c>
      <c r="C277" s="35">
        <v>15.3486284544918</v>
      </c>
      <c r="D277" s="35">
        <v>7.4757402408485163</v>
      </c>
      <c r="E277" s="35">
        <v>7.9879123682677466</v>
      </c>
      <c r="F277" t="s">
        <v>36</v>
      </c>
    </row>
    <row r="278" spans="1:6">
      <c r="A278" t="s">
        <v>134</v>
      </c>
      <c r="B278" t="s">
        <v>2335</v>
      </c>
      <c r="C278" s="35">
        <v>15.6504976389225</v>
      </c>
      <c r="D278" s="35">
        <v>7.2675265425902635</v>
      </c>
      <c r="E278" s="35">
        <v>7.7471256938102417</v>
      </c>
      <c r="F278" t="s">
        <v>36</v>
      </c>
    </row>
    <row r="279" spans="1:6">
      <c r="A279" t="s">
        <v>134</v>
      </c>
      <c r="B279" t="s">
        <v>2336</v>
      </c>
      <c r="C279" s="35">
        <v>15.885782969204667</v>
      </c>
      <c r="D279" s="35">
        <v>7.2165375472705184</v>
      </c>
      <c r="E279" s="35">
        <v>7.2506055307788975</v>
      </c>
      <c r="F279" t="s">
        <v>36</v>
      </c>
    </row>
    <row r="280" spans="1:6">
      <c r="A280" t="s">
        <v>134</v>
      </c>
      <c r="B280" t="s">
        <v>2337</v>
      </c>
      <c r="C280" s="35">
        <v>16.176756550510035</v>
      </c>
      <c r="D280" s="35">
        <v>7.3412837679204257</v>
      </c>
      <c r="E280" s="35">
        <v>7.741996847706889</v>
      </c>
      <c r="F280" t="s">
        <v>36</v>
      </c>
    </row>
    <row r="281" spans="1:6">
      <c r="A281" t="s">
        <v>134</v>
      </c>
      <c r="B281" t="s">
        <v>2338</v>
      </c>
      <c r="C281" s="35">
        <v>17.683474111874435</v>
      </c>
      <c r="D281" s="35">
        <v>15.21208011716082</v>
      </c>
      <c r="E281" s="35">
        <v>64.32886010012264</v>
      </c>
      <c r="F281" t="s">
        <v>36</v>
      </c>
    </row>
    <row r="282" spans="1:6">
      <c r="A282" t="s">
        <v>134</v>
      </c>
      <c r="B282" t="s">
        <v>2339</v>
      </c>
      <c r="C282" s="35">
        <v>20.792658824347768</v>
      </c>
      <c r="D282" s="35">
        <v>32.856215208370166</v>
      </c>
      <c r="E282" s="35">
        <v>86.843911336662742</v>
      </c>
      <c r="F282" t="s">
        <v>36</v>
      </c>
    </row>
    <row r="283" spans="1:6">
      <c r="A283" t="s">
        <v>134</v>
      </c>
      <c r="B283" t="s">
        <v>2340</v>
      </c>
      <c r="C283" s="35">
        <v>22.495065768184102</v>
      </c>
      <c r="D283" s="35">
        <v>41.605017592093738</v>
      </c>
      <c r="E283" s="35">
        <v>28.740353002158937</v>
      </c>
      <c r="F283" t="s">
        <v>36</v>
      </c>
    </row>
    <row r="284" spans="1:6">
      <c r="A284" t="s">
        <v>134</v>
      </c>
      <c r="B284" t="s">
        <v>2341</v>
      </c>
      <c r="C284" s="35">
        <v>23.924816507985032</v>
      </c>
      <c r="D284" s="35">
        <v>47.896251224913854</v>
      </c>
      <c r="E284" s="35">
        <v>30.140099433998358</v>
      </c>
      <c r="F284" t="s">
        <v>36</v>
      </c>
    </row>
    <row r="285" spans="1:6">
      <c r="A285" t="s">
        <v>134</v>
      </c>
      <c r="B285" t="s">
        <v>2342</v>
      </c>
      <c r="C285" s="35">
        <v>25.927697351124333</v>
      </c>
      <c r="D285" s="35">
        <v>46.621060924413669</v>
      </c>
      <c r="E285" s="35">
        <v>35.188927956143857</v>
      </c>
      <c r="F285" t="s">
        <v>36</v>
      </c>
    </row>
    <row r="286" spans="1:6">
      <c r="A286" t="s">
        <v>134</v>
      </c>
      <c r="B286" t="s">
        <v>2343</v>
      </c>
      <c r="C286" s="35">
        <v>27.751349384918068</v>
      </c>
      <c r="D286" s="35">
        <v>33.467054980105871</v>
      </c>
      <c r="E286" s="35">
        <v>29.012901316349527</v>
      </c>
      <c r="F286" t="s">
        <v>36</v>
      </c>
    </row>
    <row r="287" spans="1:6">
      <c r="A287" t="s">
        <v>134</v>
      </c>
      <c r="B287" t="s">
        <v>2344</v>
      </c>
      <c r="C287" s="35">
        <v>29.085409336740735</v>
      </c>
      <c r="D287" s="35">
        <v>29.296840633725484</v>
      </c>
      <c r="E287" s="35">
        <v>20.455806292252142</v>
      </c>
      <c r="F287" t="s">
        <v>36</v>
      </c>
    </row>
    <row r="288" spans="1:6">
      <c r="A288" t="s">
        <v>134</v>
      </c>
      <c r="B288" t="s">
        <v>2345</v>
      </c>
      <c r="C288" s="35">
        <v>30.3435260113467</v>
      </c>
      <c r="D288" s="35">
        <v>26.828667635630097</v>
      </c>
      <c r="E288" s="35">
        <v>19.770482715710646</v>
      </c>
      <c r="F288" t="s">
        <v>36</v>
      </c>
    </row>
    <row r="289" spans="1:6">
      <c r="A289" t="s">
        <v>134</v>
      </c>
      <c r="B289" t="s">
        <v>2346</v>
      </c>
      <c r="C289" s="35">
        <v>32.170695282884864</v>
      </c>
      <c r="D289" s="35">
        <v>24.078489683117986</v>
      </c>
      <c r="E289" s="35">
        <v>22.90906375712709</v>
      </c>
      <c r="F289" t="s">
        <v>36</v>
      </c>
    </row>
    <row r="290" spans="1:6">
      <c r="A290" t="s">
        <v>134</v>
      </c>
      <c r="B290" t="s">
        <v>2347</v>
      </c>
      <c r="C290" s="35">
        <v>33.445068808167328</v>
      </c>
      <c r="D290" s="35">
        <v>20.516910166334501</v>
      </c>
      <c r="E290" s="35">
        <v>16.140361213688649</v>
      </c>
      <c r="F290" t="s">
        <v>36</v>
      </c>
    </row>
    <row r="291" spans="1:6">
      <c r="A291" t="s">
        <v>134</v>
      </c>
      <c r="B291" t="s">
        <v>2348</v>
      </c>
      <c r="C291" s="35">
        <v>34.447516775418165</v>
      </c>
      <c r="D291" s="35">
        <v>18.435729669803912</v>
      </c>
      <c r="E291" s="35">
        <v>13.333785439577085</v>
      </c>
      <c r="F291" t="s">
        <v>36</v>
      </c>
    </row>
    <row r="292" spans="1:6">
      <c r="A292" t="s">
        <v>134</v>
      </c>
      <c r="B292" t="s">
        <v>2349</v>
      </c>
      <c r="C292" s="35">
        <v>35.568667506459235</v>
      </c>
      <c r="D292" s="35">
        <v>17.219954902929334</v>
      </c>
      <c r="E292" s="35">
        <v>13.718588989927284</v>
      </c>
      <c r="F292" t="s">
        <v>36</v>
      </c>
    </row>
    <row r="293" spans="1:6">
      <c r="A293" t="s">
        <v>134</v>
      </c>
      <c r="B293" t="s">
        <v>2350</v>
      </c>
      <c r="C293" s="35">
        <v>37.2795603024733</v>
      </c>
      <c r="D293" s="35">
        <v>15.880493022189679</v>
      </c>
      <c r="E293" s="35">
        <v>20.241574110284155</v>
      </c>
      <c r="F293" t="s">
        <v>36</v>
      </c>
    </row>
    <row r="294" spans="1:6">
      <c r="A294" t="s">
        <v>134</v>
      </c>
      <c r="B294" t="s">
        <v>2351</v>
      </c>
      <c r="C294" s="35">
        <v>38.651180425546237</v>
      </c>
      <c r="D294" s="35">
        <v>15.56615609685208</v>
      </c>
      <c r="E294" s="35">
        <v>15.145756212106519</v>
      </c>
      <c r="F294" t="s">
        <v>36</v>
      </c>
    </row>
    <row r="295" spans="1:6">
      <c r="A295" t="s">
        <v>134</v>
      </c>
      <c r="B295" t="s">
        <v>2352</v>
      </c>
      <c r="C295" s="35">
        <v>39.919589638931562</v>
      </c>
      <c r="D295" s="35">
        <v>15.88524624050196</v>
      </c>
      <c r="E295" s="35">
        <v>16.374338022336097</v>
      </c>
      <c r="F295" t="s">
        <v>36</v>
      </c>
    </row>
    <row r="296" spans="1:6">
      <c r="A296" t="s">
        <v>134</v>
      </c>
      <c r="B296" t="s">
        <v>2353</v>
      </c>
      <c r="C296" s="35">
        <v>41.664697385827395</v>
      </c>
      <c r="D296" s="35">
        <v>17.13876371180092</v>
      </c>
      <c r="E296" s="35">
        <v>18.041532314498234</v>
      </c>
      <c r="F296" t="s">
        <v>36</v>
      </c>
    </row>
    <row r="297" spans="1:6">
      <c r="A297" t="s">
        <v>134</v>
      </c>
      <c r="B297" t="s">
        <v>2354</v>
      </c>
      <c r="C297" s="35">
        <v>44.030705825426899</v>
      </c>
      <c r="D297" s="35">
        <v>18.109509522583345</v>
      </c>
      <c r="E297" s="35">
        <v>24.361705118746645</v>
      </c>
      <c r="F297" t="s">
        <v>36</v>
      </c>
    </row>
    <row r="298" spans="1:6">
      <c r="A298" t="s">
        <v>134</v>
      </c>
      <c r="B298" t="s">
        <v>2355</v>
      </c>
      <c r="C298" s="35">
        <v>45.705076854359902</v>
      </c>
      <c r="D298" s="35">
        <v>18.250144888592956</v>
      </c>
      <c r="E298" s="35">
        <v>13.088765533993252</v>
      </c>
      <c r="F298" t="s">
        <v>36</v>
      </c>
    </row>
    <row r="299" spans="1:6">
      <c r="A299" t="s">
        <v>134</v>
      </c>
      <c r="B299" t="s">
        <v>2356</v>
      </c>
      <c r="C299" s="35">
        <v>46.816406278701237</v>
      </c>
      <c r="D299" s="35">
        <v>17.27677238706773</v>
      </c>
      <c r="E299" s="35">
        <v>11.465651984014835</v>
      </c>
      <c r="F299" t="s">
        <v>36</v>
      </c>
    </row>
    <row r="300" spans="1:6">
      <c r="A300" t="s">
        <v>134</v>
      </c>
      <c r="B300" t="s">
        <v>2357</v>
      </c>
      <c r="C300" s="35">
        <v>47.984089862707663</v>
      </c>
      <c r="D300" s="35">
        <v>15.167258790723537</v>
      </c>
      <c r="E300" s="35">
        <v>9.2899822293045489</v>
      </c>
      <c r="F300" t="s">
        <v>36</v>
      </c>
    </row>
    <row r="301" spans="1:6">
      <c r="A301" t="s">
        <v>134</v>
      </c>
      <c r="B301" t="s">
        <v>2208</v>
      </c>
      <c r="C301" s="35">
        <v>49.435102881499631</v>
      </c>
      <c r="D301" s="35">
        <v>12.274154944279347</v>
      </c>
      <c r="E301" s="35">
        <v>11.502633228207436</v>
      </c>
      <c r="F301" t="s">
        <v>40</v>
      </c>
    </row>
    <row r="302" spans="1:6">
      <c r="A302" t="s">
        <v>134</v>
      </c>
      <c r="B302" t="s">
        <v>2358</v>
      </c>
      <c r="C302" s="35">
        <v>50.292352031364494</v>
      </c>
      <c r="D302" s="35">
        <v>10.036686278029961</v>
      </c>
      <c r="E302" s="35">
        <v>5.9333770955567244</v>
      </c>
      <c r="F302" t="s">
        <v>40</v>
      </c>
    </row>
    <row r="303" spans="1:6">
      <c r="A303" t="s">
        <v>134</v>
      </c>
      <c r="B303" t="s">
        <v>2359</v>
      </c>
      <c r="C303" s="35">
        <v>50.917481561529435</v>
      </c>
      <c r="D303" s="35">
        <v>8.7599104861108223</v>
      </c>
      <c r="E303" s="35">
        <v>6.6417501667871415</v>
      </c>
      <c r="F303" t="s">
        <v>40</v>
      </c>
    </row>
    <row r="304" spans="1:6">
      <c r="A304" t="s">
        <v>134</v>
      </c>
      <c r="B304" t="s">
        <v>2360</v>
      </c>
      <c r="C304" s="35">
        <v>51.832834918006505</v>
      </c>
      <c r="D304" s="35">
        <v>8.0208774748273584</v>
      </c>
      <c r="E304" s="35">
        <v>7.3963346248224759</v>
      </c>
      <c r="F304" t="s">
        <v>40</v>
      </c>
    </row>
    <row r="305" spans="1:6">
      <c r="A305" t="s">
        <v>134</v>
      </c>
      <c r="B305" t="s">
        <v>2361</v>
      </c>
      <c r="C305" s="35">
        <v>52.893904238434139</v>
      </c>
      <c r="D305" s="35">
        <v>6.9966504676354457</v>
      </c>
      <c r="E305" s="35">
        <v>7.4013253166866466</v>
      </c>
      <c r="F305" t="s">
        <v>40</v>
      </c>
    </row>
    <row r="306" spans="1:6">
      <c r="A306" t="s">
        <v>134</v>
      </c>
      <c r="B306" t="s">
        <v>2362</v>
      </c>
      <c r="C306" s="35">
        <v>53.679659997075838</v>
      </c>
      <c r="D306" s="35">
        <v>6.7352347402620305</v>
      </c>
      <c r="E306" s="35">
        <v>5.364481979725122</v>
      </c>
      <c r="F306" t="s">
        <v>40</v>
      </c>
    </row>
    <row r="307" spans="1:6">
      <c r="A307" t="s">
        <v>134</v>
      </c>
      <c r="B307" t="s">
        <v>2363</v>
      </c>
      <c r="C307" s="35">
        <v>54.198370202243233</v>
      </c>
      <c r="D307" s="35">
        <v>6.4435406860198441</v>
      </c>
      <c r="E307" s="35">
        <v>5.4738439358646085</v>
      </c>
      <c r="F307" t="s">
        <v>40</v>
      </c>
    </row>
    <row r="308" spans="1:6">
      <c r="A308" t="s">
        <v>134</v>
      </c>
      <c r="B308" t="s">
        <v>2364</v>
      </c>
      <c r="C308" s="35">
        <v>54.79970670727193</v>
      </c>
      <c r="D308" s="35">
        <v>5.7239234434286024</v>
      </c>
      <c r="E308" s="35">
        <v>3.2380871008694134</v>
      </c>
      <c r="F308" t="s">
        <v>40</v>
      </c>
    </row>
    <row r="309" spans="1:6">
      <c r="A309" t="s">
        <v>134</v>
      </c>
      <c r="B309" t="s">
        <v>2365</v>
      </c>
      <c r="C309" s="35">
        <v>55.540579813313833</v>
      </c>
      <c r="D309" s="35">
        <v>5.0037440287052037</v>
      </c>
      <c r="E309" s="35">
        <v>5.3593333817787414</v>
      </c>
      <c r="F309" t="s">
        <v>40</v>
      </c>
    </row>
    <row r="310" spans="1:6">
      <c r="A310" t="s">
        <v>134</v>
      </c>
      <c r="B310" t="s">
        <v>2366</v>
      </c>
      <c r="C310" s="35">
        <v>56.113440284708368</v>
      </c>
      <c r="D310" s="35">
        <v>4.5338966151520221</v>
      </c>
      <c r="E310" s="35">
        <v>3.3031650584694594</v>
      </c>
      <c r="F310" t="s">
        <v>40</v>
      </c>
    </row>
    <row r="311" spans="1:6">
      <c r="A311" t="s">
        <v>134</v>
      </c>
      <c r="B311" t="s">
        <v>2367</v>
      </c>
      <c r="C311" s="35">
        <v>56.5211524987578</v>
      </c>
      <c r="D311" s="35">
        <v>4.2857050642796546</v>
      </c>
      <c r="E311" s="35">
        <v>4.994130343215053</v>
      </c>
      <c r="F311" t="s">
        <v>40</v>
      </c>
    </row>
    <row r="312" spans="1:6">
      <c r="A312" t="s">
        <v>134</v>
      </c>
      <c r="B312" t="s">
        <v>2368</v>
      </c>
      <c r="C312" s="35">
        <v>57.077546055963069</v>
      </c>
      <c r="D312" s="35">
        <v>4.1566633939463582</v>
      </c>
      <c r="E312" s="35">
        <v>2.8413017217581604</v>
      </c>
      <c r="F312" t="s">
        <v>40</v>
      </c>
    </row>
    <row r="313" spans="1:6">
      <c r="A313" t="s">
        <v>134</v>
      </c>
      <c r="B313" t="s">
        <v>2369</v>
      </c>
      <c r="C313" s="35">
        <v>57.716055387717326</v>
      </c>
      <c r="D313" s="35">
        <v>3.9169118898575217</v>
      </c>
      <c r="E313" s="35">
        <v>4.2509595710846559</v>
      </c>
      <c r="F313" t="s">
        <v>40</v>
      </c>
    </row>
    <row r="314" spans="1:6">
      <c r="A314" t="s">
        <v>134</v>
      </c>
      <c r="B314" t="s">
        <v>2370</v>
      </c>
      <c r="C314" s="35">
        <v>58.287832247419068</v>
      </c>
      <c r="D314" s="35">
        <v>3.8749931418894823</v>
      </c>
      <c r="E314" s="35">
        <v>3.4882947831838873</v>
      </c>
      <c r="F314" t="s">
        <v>40</v>
      </c>
    </row>
    <row r="315" spans="1:6">
      <c r="A315" t="s">
        <v>134</v>
      </c>
      <c r="B315" t="s">
        <v>2371</v>
      </c>
      <c r="C315" s="35">
        <v>58.694102472766502</v>
      </c>
      <c r="D315" s="35">
        <v>3.8444898554686358</v>
      </c>
      <c r="E315" s="35">
        <v>4.3417425033123846</v>
      </c>
      <c r="F315" t="s">
        <v>40</v>
      </c>
    </row>
    <row r="316" spans="1:6">
      <c r="A316" t="s">
        <v>134</v>
      </c>
      <c r="B316" t="s">
        <v>2372</v>
      </c>
      <c r="C316" s="35">
        <v>59.238483478360031</v>
      </c>
      <c r="D316" s="35">
        <v>3.7859676382691942</v>
      </c>
      <c r="E316" s="35">
        <v>3.3868284490822687</v>
      </c>
      <c r="F316" t="s">
        <v>40</v>
      </c>
    </row>
    <row r="317" spans="1:6">
      <c r="A317" t="s">
        <v>134</v>
      </c>
      <c r="B317" t="s">
        <v>2373</v>
      </c>
      <c r="C317" s="35">
        <v>59.885489021741563</v>
      </c>
      <c r="D317" s="35">
        <v>3.7588044079774674</v>
      </c>
      <c r="E317" s="35">
        <v>3.6497143112333985</v>
      </c>
      <c r="F317" t="s">
        <v>40</v>
      </c>
    </row>
    <row r="318" spans="1:6">
      <c r="A318" t="s">
        <v>134</v>
      </c>
      <c r="B318" t="s">
        <v>2374</v>
      </c>
      <c r="C318" s="35">
        <v>60.465948576084372</v>
      </c>
      <c r="D318" s="35">
        <v>3.7368285020785708</v>
      </c>
      <c r="E318" s="35">
        <v>3.957534016645492</v>
      </c>
      <c r="F318" t="s">
        <v>40</v>
      </c>
    </row>
    <row r="319" spans="1:6">
      <c r="A319" t="s">
        <v>134</v>
      </c>
      <c r="B319" t="s">
        <v>2375</v>
      </c>
      <c r="C319" s="35">
        <v>60.953828965117197</v>
      </c>
      <c r="D319" s="35">
        <v>3.8500060434507599</v>
      </c>
      <c r="E319" s="35">
        <v>4.5552165348755391</v>
      </c>
      <c r="F319" t="s">
        <v>40</v>
      </c>
    </row>
    <row r="320" spans="1:6">
      <c r="A320" t="s">
        <v>134</v>
      </c>
      <c r="B320" t="s">
        <v>2376</v>
      </c>
      <c r="C320" s="35">
        <v>61.572829315374868</v>
      </c>
      <c r="D320" s="35">
        <v>3.9405901365918261</v>
      </c>
      <c r="E320" s="35">
        <v>3.5394682036143044</v>
      </c>
      <c r="F320" t="s">
        <v>40</v>
      </c>
    </row>
    <row r="321" spans="1:6">
      <c r="A321" t="s">
        <v>134</v>
      </c>
      <c r="B321" t="s">
        <v>2377</v>
      </c>
      <c r="C321" s="35">
        <v>62.18673341447947</v>
      </c>
      <c r="D321" s="35">
        <v>3.8427412555693374</v>
      </c>
      <c r="E321" s="35">
        <v>3.0145227265726549</v>
      </c>
      <c r="F321" t="s">
        <v>40</v>
      </c>
    </row>
    <row r="322" spans="1:6">
      <c r="A322" t="s">
        <v>134</v>
      </c>
      <c r="B322" t="s">
        <v>2378</v>
      </c>
      <c r="C322" s="35">
        <v>62.63512958561477</v>
      </c>
      <c r="D322" s="35">
        <v>3.5874422887799629</v>
      </c>
      <c r="E322" s="35">
        <v>3.1325967068621896</v>
      </c>
      <c r="F322" t="s">
        <v>40</v>
      </c>
    </row>
    <row r="323" spans="1:6">
      <c r="A323" t="s">
        <v>134</v>
      </c>
      <c r="B323" t="s">
        <v>2379</v>
      </c>
      <c r="C323" s="35">
        <v>63.064772152352596</v>
      </c>
      <c r="D323" s="35">
        <v>3.4631838935720527</v>
      </c>
      <c r="E323" s="35">
        <v>3.7249213928779001</v>
      </c>
      <c r="F323" t="s">
        <v>40</v>
      </c>
    </row>
    <row r="324" spans="1:6">
      <c r="A324" t="s">
        <v>134</v>
      </c>
      <c r="B324" t="s">
        <v>2380</v>
      </c>
      <c r="C324" s="35">
        <v>63.593604996601897</v>
      </c>
      <c r="D324" s="35">
        <v>3.2819276029637301</v>
      </c>
      <c r="E324" s="35">
        <v>3.2236210040429203</v>
      </c>
      <c r="F324" t="s">
        <v>40</v>
      </c>
    </row>
    <row r="325" spans="1:6">
      <c r="A325" t="s">
        <v>134</v>
      </c>
      <c r="B325" t="s">
        <v>2381</v>
      </c>
      <c r="C325" s="35">
        <v>64.119670209142171</v>
      </c>
      <c r="D325" s="35">
        <v>3.1082783875775011</v>
      </c>
      <c r="E325" s="35">
        <v>2.5760025274537801</v>
      </c>
      <c r="F325" t="s">
        <v>40</v>
      </c>
    </row>
    <row r="326" spans="1:6">
      <c r="A326" t="s">
        <v>134</v>
      </c>
      <c r="B326" t="s">
        <v>2382</v>
      </c>
      <c r="C326" s="35">
        <v>64.700477019359596</v>
      </c>
      <c r="D326" s="35">
        <v>3.2974266157168808</v>
      </c>
      <c r="E326" s="35">
        <v>3.7522932403432296</v>
      </c>
      <c r="F326" t="s">
        <v>40</v>
      </c>
    </row>
    <row r="327" spans="1:6">
      <c r="A327" t="s">
        <v>134</v>
      </c>
      <c r="B327" t="s">
        <v>2383</v>
      </c>
      <c r="C327" s="35">
        <v>65.221833336858495</v>
      </c>
      <c r="D327" s="35">
        <v>3.4203900385065156</v>
      </c>
      <c r="E327" s="35">
        <v>4.3694738558040624</v>
      </c>
      <c r="F327" t="s">
        <v>40</v>
      </c>
    </row>
    <row r="328" spans="1:6">
      <c r="A328" t="s">
        <v>134</v>
      </c>
      <c r="B328" t="s">
        <v>2384</v>
      </c>
      <c r="C328" s="35">
        <v>65.849984108313663</v>
      </c>
      <c r="D328" s="35">
        <v>3.5481226639570762</v>
      </c>
      <c r="E328" s="35">
        <v>3.8915373617901761</v>
      </c>
      <c r="F328" t="s">
        <v>40</v>
      </c>
    </row>
    <row r="329" spans="1:6">
      <c r="A329" t="s">
        <v>134</v>
      </c>
      <c r="B329" t="s">
        <v>2385</v>
      </c>
      <c r="C329" s="35">
        <v>66.621561426907363</v>
      </c>
      <c r="D329" s="35">
        <v>3.9019090547481872</v>
      </c>
      <c r="E329" s="35">
        <v>3.38979049765471</v>
      </c>
      <c r="F329" t="s">
        <v>40</v>
      </c>
    </row>
    <row r="330" spans="1:6">
      <c r="A330" t="s">
        <v>134</v>
      </c>
      <c r="B330" t="s">
        <v>2386</v>
      </c>
      <c r="C330" s="35">
        <v>67.118195480127341</v>
      </c>
      <c r="D330" s="35">
        <v>3.7367861446281347</v>
      </c>
      <c r="E330" s="35">
        <v>3.3410051032703114</v>
      </c>
      <c r="F330" t="s">
        <v>40</v>
      </c>
    </row>
    <row r="331" spans="1:6">
      <c r="A331" t="s">
        <v>134</v>
      </c>
      <c r="B331" t="s">
        <v>2387</v>
      </c>
      <c r="C331" s="35">
        <v>67.724222056475668</v>
      </c>
      <c r="D331" s="35">
        <v>3.8367347122746587</v>
      </c>
      <c r="E331" s="35">
        <v>4.673949810501421</v>
      </c>
      <c r="F331" t="s">
        <v>40</v>
      </c>
    </row>
    <row r="332" spans="1:6">
      <c r="A332" t="s">
        <v>134</v>
      </c>
      <c r="B332" t="s">
        <v>2388</v>
      </c>
      <c r="C332" s="35">
        <v>68.414017133343293</v>
      </c>
      <c r="D332" s="35">
        <v>3.8937488896157779</v>
      </c>
      <c r="E332" s="35">
        <v>4.0902182114112229</v>
      </c>
      <c r="F332" t="s">
        <v>40</v>
      </c>
    </row>
    <row r="333" spans="1:6">
      <c r="A333" t="s">
        <v>134</v>
      </c>
      <c r="B333" t="s">
        <v>2389</v>
      </c>
      <c r="C333" s="35">
        <v>69.24762334995583</v>
      </c>
      <c r="D333" s="35">
        <v>3.9417597948820271</v>
      </c>
      <c r="E333" s="35">
        <v>4.2664989019123301</v>
      </c>
      <c r="F333" t="s">
        <v>40</v>
      </c>
    </row>
    <row r="334" spans="1:6">
      <c r="A334" t="s">
        <v>134</v>
      </c>
      <c r="B334" t="s">
        <v>2390</v>
      </c>
      <c r="C334" s="35">
        <v>70.17692874774751</v>
      </c>
      <c r="D334" s="35">
        <v>4.5572340640859688</v>
      </c>
      <c r="E334" s="35">
        <v>6.1073939909130237</v>
      </c>
      <c r="F334" t="s">
        <v>40</v>
      </c>
    </row>
    <row r="335" spans="1:6">
      <c r="A335" t="s">
        <v>134</v>
      </c>
      <c r="B335" t="s">
        <v>2391</v>
      </c>
      <c r="C335" s="35">
        <v>71.123885932930861</v>
      </c>
      <c r="D335" s="35">
        <v>5.0198640504429681</v>
      </c>
      <c r="E335" s="35">
        <v>6.124454017805725</v>
      </c>
      <c r="F335" t="s">
        <v>40</v>
      </c>
    </row>
    <row r="336" spans="1:6">
      <c r="A336" t="s">
        <v>134</v>
      </c>
      <c r="B336" t="s">
        <v>2392</v>
      </c>
      <c r="C336" s="35">
        <v>72.05746899214563</v>
      </c>
      <c r="D336" s="35">
        <v>5.3255926365221473</v>
      </c>
      <c r="E336" s="35">
        <v>5.6619945577848441</v>
      </c>
      <c r="F336" t="s">
        <v>40</v>
      </c>
    </row>
    <row r="337" spans="1:6">
      <c r="A337" t="s">
        <v>134</v>
      </c>
      <c r="B337" t="s">
        <v>2393</v>
      </c>
      <c r="C337" s="35">
        <v>73.109980534394666</v>
      </c>
      <c r="D337" s="35">
        <v>5.5776025191791589</v>
      </c>
      <c r="E337" s="35">
        <v>4.5505649202795206</v>
      </c>
      <c r="F337" t="s">
        <v>40</v>
      </c>
    </row>
    <row r="338" spans="1:6">
      <c r="A338" t="s">
        <v>134</v>
      </c>
      <c r="B338" t="s">
        <v>2394</v>
      </c>
      <c r="C338" s="35">
        <v>73.944752470757507</v>
      </c>
      <c r="D338" s="35">
        <v>5.3690347956855122</v>
      </c>
      <c r="E338" s="35">
        <v>4.1564013739686656</v>
      </c>
      <c r="F338" t="s">
        <v>40</v>
      </c>
    </row>
    <row r="339" spans="1:6">
      <c r="A339" t="s">
        <v>134</v>
      </c>
      <c r="B339" t="s">
        <v>2395</v>
      </c>
      <c r="C339" s="35">
        <v>74.519219754956396</v>
      </c>
      <c r="D339" s="35">
        <v>4.7738305879789777</v>
      </c>
      <c r="E339" s="35">
        <v>3.8538105635929965</v>
      </c>
      <c r="F339" t="s">
        <v>40</v>
      </c>
    </row>
    <row r="340" spans="1:6">
      <c r="A340" t="s">
        <v>134</v>
      </c>
      <c r="B340" t="s">
        <v>2396</v>
      </c>
      <c r="C340" s="35">
        <v>75.183400190261068</v>
      </c>
      <c r="D340" s="35">
        <v>4.3381085151022569</v>
      </c>
      <c r="E340" s="35">
        <v>4.0697951748332351</v>
      </c>
      <c r="F340" t="s">
        <v>40</v>
      </c>
    </row>
    <row r="341" spans="1:6">
      <c r="A341" t="s">
        <v>134</v>
      </c>
      <c r="B341" t="s">
        <v>2397</v>
      </c>
      <c r="C341" s="35">
        <v>76.317880185841503</v>
      </c>
      <c r="D341" s="35">
        <v>4.3877725421328506</v>
      </c>
      <c r="E341" s="35">
        <v>4.9485962564986163</v>
      </c>
      <c r="F341" t="s">
        <v>40</v>
      </c>
    </row>
    <row r="342" spans="1:6">
      <c r="A342" t="s">
        <v>134</v>
      </c>
      <c r="B342" t="s">
        <v>2398</v>
      </c>
      <c r="C342" s="35">
        <v>76.838171810336291</v>
      </c>
      <c r="D342" s="35">
        <v>3.9129474951221654</v>
      </c>
      <c r="E342" s="35">
        <v>2.5255581235843261</v>
      </c>
      <c r="F342" t="s">
        <v>40</v>
      </c>
    </row>
    <row r="343" spans="1:6">
      <c r="A343" t="s">
        <v>134</v>
      </c>
      <c r="B343" t="s">
        <v>2399</v>
      </c>
      <c r="C343" s="35">
        <v>77.271637810821403</v>
      </c>
      <c r="D343" s="35">
        <v>3.6935680015382166</v>
      </c>
      <c r="E343" s="35">
        <v>3.0764756753449918</v>
      </c>
      <c r="F343" t="s">
        <v>40</v>
      </c>
    </row>
    <row r="344" spans="1:6">
      <c r="A344" t="s">
        <v>134</v>
      </c>
      <c r="B344" t="s">
        <v>2400</v>
      </c>
      <c r="C344" s="35">
        <v>77.865571174977134</v>
      </c>
      <c r="D344" s="35">
        <v>3.56750423355221</v>
      </c>
      <c r="E344" s="35">
        <v>3.771266958148578</v>
      </c>
      <c r="F344" t="s">
        <v>40</v>
      </c>
    </row>
    <row r="345" spans="1:6">
      <c r="A345" t="s">
        <v>134</v>
      </c>
      <c r="B345" t="s">
        <v>2401</v>
      </c>
      <c r="C345" s="35">
        <v>78.797186942057536</v>
      </c>
      <c r="D345" s="35">
        <v>3.248657785277409</v>
      </c>
      <c r="E345" s="35">
        <v>3.4673933402172397</v>
      </c>
      <c r="F345" t="s">
        <v>40</v>
      </c>
    </row>
    <row r="346" spans="1:6">
      <c r="A346" t="s">
        <v>134</v>
      </c>
      <c r="B346" t="s">
        <v>2402</v>
      </c>
      <c r="C346" s="35">
        <v>79.264022572486439</v>
      </c>
      <c r="D346" s="35">
        <v>3.1570906816185129</v>
      </c>
      <c r="E346" s="35">
        <v>2.3959928137760933</v>
      </c>
      <c r="F346" t="s">
        <v>40</v>
      </c>
    </row>
    <row r="347" spans="1:6">
      <c r="A347" t="s">
        <v>134</v>
      </c>
      <c r="B347" t="s">
        <v>2403</v>
      </c>
      <c r="C347" s="35">
        <v>79.725870257799372</v>
      </c>
      <c r="D347" s="35">
        <v>3.1761102993397072</v>
      </c>
      <c r="E347" s="35">
        <v>2.8441239210277747</v>
      </c>
      <c r="F347" t="s">
        <v>40</v>
      </c>
    </row>
    <row r="348" spans="1:6">
      <c r="A348" t="s">
        <v>134</v>
      </c>
      <c r="B348" t="s">
        <v>2404</v>
      </c>
      <c r="C348" s="35">
        <v>80.413975814348163</v>
      </c>
      <c r="D348" s="35">
        <v>3.2728259754806643</v>
      </c>
      <c r="E348" s="35">
        <v>4.719471752743809</v>
      </c>
      <c r="F348" t="s">
        <v>40</v>
      </c>
    </row>
    <row r="349" spans="1:6">
      <c r="A349" t="s">
        <v>134</v>
      </c>
      <c r="B349" t="s">
        <v>2405</v>
      </c>
      <c r="C349" s="35">
        <v>81.429550872861526</v>
      </c>
      <c r="D349" s="35">
        <v>3.340682622007396</v>
      </c>
      <c r="E349" s="35">
        <v>3.3004601950374246</v>
      </c>
      <c r="F349" t="s">
        <v>40</v>
      </c>
    </row>
    <row r="350" spans="1:6">
      <c r="A350" t="s">
        <v>134</v>
      </c>
      <c r="B350" t="s">
        <v>2406</v>
      </c>
      <c r="C350" s="35">
        <v>82.004178271634004</v>
      </c>
      <c r="D350" s="35">
        <v>3.4569980304011372</v>
      </c>
      <c r="E350" s="35">
        <v>3.1557617385120862</v>
      </c>
      <c r="F350" t="s">
        <v>40</v>
      </c>
    </row>
    <row r="351" spans="1:6">
      <c r="A351" t="s">
        <v>134</v>
      </c>
      <c r="B351" t="s">
        <v>2407</v>
      </c>
      <c r="C351" s="35">
        <v>82.622730082166996</v>
      </c>
      <c r="D351" s="35">
        <v>3.6335254980603082</v>
      </c>
      <c r="E351" s="35">
        <v>3.2653111824587189</v>
      </c>
      <c r="F351" t="s">
        <v>40</v>
      </c>
    </row>
    <row r="352" spans="1:6">
      <c r="A352" t="s">
        <v>134</v>
      </c>
      <c r="B352" t="s">
        <v>2408</v>
      </c>
      <c r="C352" s="35">
        <v>83.032530939010428</v>
      </c>
      <c r="D352" s="35">
        <v>3.2563433136395759</v>
      </c>
      <c r="E352" s="35">
        <v>1.8857403775204729</v>
      </c>
      <c r="F352" t="s">
        <v>40</v>
      </c>
    </row>
    <row r="353" spans="1:6">
      <c r="A353" t="s">
        <v>134</v>
      </c>
      <c r="B353" t="s">
        <v>2409</v>
      </c>
      <c r="C353" s="35">
        <v>83.833800640985032</v>
      </c>
      <c r="D353" s="35">
        <v>2.9525519204659956</v>
      </c>
      <c r="E353" s="35">
        <v>3.7812127668612971</v>
      </c>
      <c r="F353" t="s">
        <v>40</v>
      </c>
    </row>
    <row r="354" spans="1:6">
      <c r="A354" t="s">
        <v>134</v>
      </c>
      <c r="B354" t="s">
        <v>2410</v>
      </c>
      <c r="C354" s="35">
        <v>84.357944988869306</v>
      </c>
      <c r="D354" s="35">
        <v>2.8703009612980779</v>
      </c>
      <c r="E354" s="35">
        <v>2.2279419588015603</v>
      </c>
      <c r="F354" t="s">
        <v>40</v>
      </c>
    </row>
    <row r="355" spans="1:6">
      <c r="A355" t="s">
        <v>134</v>
      </c>
      <c r="B355" t="s">
        <v>2411</v>
      </c>
      <c r="C355" s="35">
        <v>84.656519589340022</v>
      </c>
      <c r="D355" s="35">
        <v>2.4615375274460893</v>
      </c>
      <c r="E355" s="35">
        <v>2.1794360233925225</v>
      </c>
      <c r="F355" t="s">
        <v>40</v>
      </c>
    </row>
    <row r="356" spans="1:6">
      <c r="A356" t="s">
        <v>134</v>
      </c>
      <c r="B356" t="s">
        <v>2412</v>
      </c>
      <c r="C356" s="35">
        <v>85.19735548261913</v>
      </c>
      <c r="D356" s="35">
        <v>2.6072004780858915</v>
      </c>
      <c r="E356" s="35">
        <v>2.9271957093186085</v>
      </c>
      <c r="F356" t="s">
        <v>40</v>
      </c>
    </row>
    <row r="357" spans="1:6">
      <c r="A357" t="s">
        <v>134</v>
      </c>
      <c r="B357" t="s">
        <v>2413</v>
      </c>
      <c r="C357" s="35">
        <v>86.373526175897311</v>
      </c>
      <c r="D357" s="35">
        <v>3.0294767927659061</v>
      </c>
      <c r="E357" s="35">
        <v>4.2518721249675595</v>
      </c>
      <c r="F357" t="s">
        <v>40</v>
      </c>
    </row>
    <row r="358" spans="1:6">
      <c r="A358" t="s">
        <v>134</v>
      </c>
      <c r="B358" t="s">
        <v>2414</v>
      </c>
      <c r="C358" s="35">
        <v>86.945965145828538</v>
      </c>
      <c r="D358" s="35">
        <v>3.0679032749087343</v>
      </c>
      <c r="E358" s="35">
        <v>3.0125567346314108</v>
      </c>
      <c r="F358" t="s">
        <v>40</v>
      </c>
    </row>
    <row r="359" spans="1:6">
      <c r="A359" t="s">
        <v>134</v>
      </c>
      <c r="B359" t="s">
        <v>2415</v>
      </c>
      <c r="C359" s="35">
        <v>87.468860610577522</v>
      </c>
      <c r="D359" s="35">
        <v>3.3220607637543642</v>
      </c>
      <c r="E359" s="35">
        <v>3.1846044339162383</v>
      </c>
      <c r="F359" t="s">
        <v>40</v>
      </c>
    </row>
    <row r="360" spans="1:6">
      <c r="A360" t="s">
        <v>134</v>
      </c>
      <c r="B360" t="s">
        <v>2416</v>
      </c>
      <c r="C360" s="35">
        <v>88.010075859436938</v>
      </c>
      <c r="D360" s="35">
        <v>3.3014174687518549</v>
      </c>
      <c r="E360" s="35">
        <v>2.5378283047840622</v>
      </c>
      <c r="F360" t="s">
        <v>40</v>
      </c>
    </row>
    <row r="361" spans="1:6">
      <c r="A361" t="s">
        <v>134</v>
      </c>
      <c r="B361" t="s">
        <v>2417</v>
      </c>
      <c r="C361" s="35">
        <v>88.441588437592983</v>
      </c>
      <c r="D361" s="35">
        <v>2.3943242255550778</v>
      </c>
      <c r="E361" s="35">
        <v>1.064238431889053</v>
      </c>
      <c r="F361" t="s">
        <v>40</v>
      </c>
    </row>
    <row r="362" spans="1:6">
      <c r="A362" t="s">
        <v>134</v>
      </c>
      <c r="B362" t="s">
        <v>2418</v>
      </c>
      <c r="C362" s="35">
        <v>88.964770152171397</v>
      </c>
      <c r="D362" s="35">
        <v>2.3219076387924975</v>
      </c>
      <c r="E362" s="35">
        <v>2.5329978551861032</v>
      </c>
      <c r="F362" t="s">
        <v>40</v>
      </c>
    </row>
    <row r="363" spans="1:6">
      <c r="A363" t="s">
        <v>134</v>
      </c>
      <c r="B363" t="s">
        <v>2419</v>
      </c>
      <c r="C363" s="35">
        <v>89.506832351483396</v>
      </c>
      <c r="D363" s="35">
        <v>2.3299397370444508</v>
      </c>
      <c r="E363" s="35">
        <v>3.3943587304259282</v>
      </c>
      <c r="F363" t="s">
        <v>40</v>
      </c>
    </row>
    <row r="364" spans="1:6">
      <c r="A364" t="s">
        <v>134</v>
      </c>
      <c r="B364" t="s">
        <v>2420</v>
      </c>
      <c r="C364" s="35">
        <v>90.12646450506243</v>
      </c>
      <c r="D364" s="35">
        <v>2.40471176164605</v>
      </c>
      <c r="E364" s="35">
        <v>2.6702535472630018</v>
      </c>
      <c r="F364" t="s">
        <v>40</v>
      </c>
    </row>
    <row r="365" spans="1:6">
      <c r="A365" t="s">
        <v>134</v>
      </c>
      <c r="B365" t="s">
        <v>2421</v>
      </c>
      <c r="C365" s="35">
        <v>90.819722278289717</v>
      </c>
      <c r="D365" s="35">
        <v>2.6889316244866235</v>
      </c>
      <c r="E365" s="35">
        <v>2.4476995557336068</v>
      </c>
      <c r="F365" t="s">
        <v>40</v>
      </c>
    </row>
    <row r="366" spans="1:6">
      <c r="A366" t="s">
        <v>134</v>
      </c>
      <c r="B366" t="s">
        <v>2422</v>
      </c>
      <c r="C366" s="35">
        <v>91.553533360975663</v>
      </c>
      <c r="D366" s="35">
        <v>2.9098745541367377</v>
      </c>
      <c r="E366" s="35">
        <v>3.3889173699930497</v>
      </c>
      <c r="F366" t="s">
        <v>40</v>
      </c>
    </row>
    <row r="367" spans="1:6">
      <c r="A367" t="s">
        <v>134</v>
      </c>
      <c r="B367" t="s">
        <v>2423</v>
      </c>
      <c r="C367" s="35">
        <v>92.192880188661036</v>
      </c>
      <c r="D367" s="35">
        <v>3.0009416785411691</v>
      </c>
      <c r="E367" s="35">
        <v>3.7749197535378531</v>
      </c>
      <c r="F367" t="s">
        <v>40</v>
      </c>
    </row>
    <row r="368" spans="1:6">
      <c r="A368" t="s">
        <v>134</v>
      </c>
      <c r="B368" t="s">
        <v>2424</v>
      </c>
      <c r="C368" s="35">
        <v>93.079304507784926</v>
      </c>
      <c r="D368" s="35">
        <v>3.2763295652817215</v>
      </c>
      <c r="E368" s="35">
        <v>4.1456672027798014</v>
      </c>
      <c r="F368" t="s">
        <v>40</v>
      </c>
    </row>
    <row r="369" spans="1:6">
      <c r="A369" t="s">
        <v>134</v>
      </c>
      <c r="B369" t="s">
        <v>2425</v>
      </c>
      <c r="C369" s="35">
        <v>94.625637220411065</v>
      </c>
      <c r="D369" s="35">
        <v>4.1906260519705807</v>
      </c>
      <c r="E369" s="35">
        <v>6.6344202600147284</v>
      </c>
      <c r="F369" t="s">
        <v>40</v>
      </c>
    </row>
    <row r="370" spans="1:6">
      <c r="A370" t="s">
        <v>134</v>
      </c>
      <c r="B370" t="s">
        <v>2426</v>
      </c>
      <c r="C370" s="35">
        <v>95.927661882789167</v>
      </c>
      <c r="D370" s="35">
        <v>4.7776730850651816</v>
      </c>
      <c r="E370" s="35">
        <v>4.8033136570664547</v>
      </c>
      <c r="F370" t="s">
        <v>40</v>
      </c>
    </row>
    <row r="371" spans="1:6">
      <c r="A371" t="s">
        <v>134</v>
      </c>
      <c r="B371" t="s">
        <v>2427</v>
      </c>
      <c r="C371" s="35">
        <v>96.722022656013408</v>
      </c>
      <c r="D371" s="35">
        <v>4.9126813893698218</v>
      </c>
      <c r="E371" s="35">
        <v>3.6415639847188652</v>
      </c>
      <c r="F371" t="s">
        <v>40</v>
      </c>
    </row>
    <row r="372" spans="1:6">
      <c r="A372" t="s">
        <v>134</v>
      </c>
      <c r="B372" t="s">
        <v>2428</v>
      </c>
      <c r="C372" s="35">
        <v>97.589912708254261</v>
      </c>
      <c r="D372" s="35">
        <v>4.8459839964662299</v>
      </c>
      <c r="E372" s="35">
        <v>4.4187406107191185</v>
      </c>
      <c r="F372" t="s">
        <v>40</v>
      </c>
    </row>
    <row r="373" spans="1:6">
      <c r="A373" t="s">
        <v>134</v>
      </c>
      <c r="B373" t="s">
        <v>2429</v>
      </c>
      <c r="C373" s="35">
        <v>98.680353062416302</v>
      </c>
      <c r="D373" s="35">
        <v>4.2850077009897403</v>
      </c>
      <c r="E373" s="35">
        <v>3.2352186945035832</v>
      </c>
      <c r="F373" t="s">
        <v>40</v>
      </c>
    </row>
    <row r="374" spans="1:6">
      <c r="A374" t="s">
        <v>134</v>
      </c>
      <c r="B374" t="s">
        <v>2430</v>
      </c>
      <c r="C374" s="35">
        <v>99.449881648248308</v>
      </c>
      <c r="D374" s="35">
        <v>3.6717456636885748</v>
      </c>
      <c r="E374" s="35">
        <v>3.1704051402072775</v>
      </c>
      <c r="F374" t="s">
        <v>40</v>
      </c>
    </row>
    <row r="375" spans="1:6">
      <c r="A375" t="s">
        <v>134</v>
      </c>
      <c r="B375" t="s">
        <v>2431</v>
      </c>
      <c r="C375" s="35">
        <v>100.2464695164435</v>
      </c>
      <c r="D375" s="35">
        <v>3.6438928422377836</v>
      </c>
      <c r="E375" s="35">
        <v>3.859711273936739</v>
      </c>
      <c r="F375" t="s">
        <v>40</v>
      </c>
    </row>
    <row r="376" spans="1:6">
      <c r="A376" t="s">
        <v>134</v>
      </c>
      <c r="B376" t="s">
        <v>2432</v>
      </c>
      <c r="C376" s="35">
        <v>101.18317451853333</v>
      </c>
      <c r="D376" s="35">
        <v>3.6820012545980552</v>
      </c>
      <c r="E376" s="35">
        <v>4.472373283508424</v>
      </c>
      <c r="F376" t="s">
        <v>40</v>
      </c>
    </row>
    <row r="377" spans="1:6">
      <c r="A377" t="s">
        <v>134</v>
      </c>
      <c r="B377" t="s">
        <v>2433</v>
      </c>
      <c r="C377" s="35">
        <v>102.19503618583333</v>
      </c>
      <c r="D377" s="35">
        <v>3.5616847876435598</v>
      </c>
      <c r="E377" s="35">
        <v>2.7152101983790145</v>
      </c>
      <c r="F377" t="s">
        <v>40</v>
      </c>
    </row>
    <row r="378" spans="1:6">
      <c r="A378" t="s">
        <v>134</v>
      </c>
      <c r="B378" t="s">
        <v>2434</v>
      </c>
      <c r="C378" s="35">
        <v>103.26036477276666</v>
      </c>
      <c r="D378" s="35">
        <v>3.8315612460917192</v>
      </c>
      <c r="E378" s="35">
        <v>4.3589789563169612</v>
      </c>
      <c r="F378" t="s">
        <v>40</v>
      </c>
    </row>
    <row r="379" spans="1:6">
      <c r="A379" t="s">
        <v>134</v>
      </c>
      <c r="B379" t="s">
        <v>2435</v>
      </c>
      <c r="C379" s="35">
        <v>104.03836799506666</v>
      </c>
      <c r="D379" s="35">
        <v>3.7825755828749363</v>
      </c>
      <c r="E379" s="35">
        <v>3.4637536132552604</v>
      </c>
      <c r="F379" t="s">
        <v>40</v>
      </c>
    </row>
    <row r="380" spans="1:6">
      <c r="A380" t="s">
        <v>134</v>
      </c>
      <c r="B380" t="s">
        <v>2436</v>
      </c>
      <c r="C380" s="35">
        <v>104.86982687583333</v>
      </c>
      <c r="D380" s="35">
        <v>3.6435428862974906</v>
      </c>
      <c r="E380" s="35">
        <v>3.8467595707086577</v>
      </c>
      <c r="F380" t="s">
        <v>40</v>
      </c>
    </row>
    <row r="381" spans="1:6">
      <c r="A381" t="s">
        <v>134</v>
      </c>
      <c r="B381" t="s">
        <v>2437</v>
      </c>
      <c r="C381" s="35">
        <v>105.93699418760001</v>
      </c>
      <c r="D381" s="35">
        <v>3.6615848884893332</v>
      </c>
      <c r="E381" s="35">
        <v>2.7510842423634996</v>
      </c>
      <c r="F381" t="s">
        <v>40</v>
      </c>
    </row>
    <row r="382" spans="1:6">
      <c r="A382" t="s">
        <v>134</v>
      </c>
      <c r="B382" t="s">
        <v>2438</v>
      </c>
      <c r="C382" s="35">
        <v>106.99740445516666</v>
      </c>
      <c r="D382" s="35">
        <v>3.6190455947193945</v>
      </c>
      <c r="E382" s="35">
        <v>4.7870079253527598</v>
      </c>
      <c r="F382" t="s">
        <v>40</v>
      </c>
    </row>
    <row r="383" spans="1:6">
      <c r="A383" t="s">
        <v>134</v>
      </c>
      <c r="B383" t="s">
        <v>2439</v>
      </c>
      <c r="C383" s="35">
        <v>108.13238329983334</v>
      </c>
      <c r="D383" s="35">
        <v>3.935101428120058</v>
      </c>
      <c r="E383" s="35">
        <v>4.5728967094756934</v>
      </c>
      <c r="F383" t="s">
        <v>40</v>
      </c>
    </row>
    <row r="384" spans="1:6">
      <c r="A384" t="s">
        <v>134</v>
      </c>
      <c r="B384" t="s">
        <v>2440</v>
      </c>
      <c r="C384" s="35">
        <v>108.87066331183333</v>
      </c>
      <c r="D384" s="35">
        <v>3.8150501008617388</v>
      </c>
      <c r="E384" s="35">
        <v>3.1194403738968424</v>
      </c>
      <c r="F384" t="s">
        <v>40</v>
      </c>
    </row>
    <row r="385" spans="1:6">
      <c r="A385" t="s">
        <v>134</v>
      </c>
      <c r="B385" t="s">
        <v>132</v>
      </c>
      <c r="C385" s="35">
        <v>110.11459261666668</v>
      </c>
      <c r="D385" s="35">
        <v>3.9434745728850196</v>
      </c>
      <c r="E385" s="35">
        <v>4.0203176104931959</v>
      </c>
      <c r="F385" t="s">
        <v>40</v>
      </c>
    </row>
    <row r="386" spans="1:6">
      <c r="A386" t="s">
        <v>134</v>
      </c>
      <c r="B386" t="s">
        <v>136</v>
      </c>
      <c r="C386" s="35">
        <v>111.66209567790001</v>
      </c>
      <c r="D386" s="35">
        <v>4.359630260646119</v>
      </c>
      <c r="E386" s="35">
        <v>6.6310962724426492</v>
      </c>
      <c r="F386" t="s">
        <v>40</v>
      </c>
    </row>
    <row r="387" spans="1:6">
      <c r="A387" t="s">
        <v>134</v>
      </c>
      <c r="B387" t="s">
        <v>139</v>
      </c>
      <c r="C387" s="35">
        <v>113.30904126579999</v>
      </c>
      <c r="D387" s="35">
        <v>4.7873336441800474</v>
      </c>
      <c r="E387" s="35">
        <v>5.9651868683366693</v>
      </c>
      <c r="F387" t="s">
        <v>40</v>
      </c>
    </row>
    <row r="388" spans="1:6">
      <c r="A388" t="s">
        <v>134</v>
      </c>
      <c r="B388" t="s">
        <v>142</v>
      </c>
      <c r="C388" s="35">
        <v>114.9659111644</v>
      </c>
      <c r="D388" s="35">
        <v>5.5986136826486677</v>
      </c>
      <c r="E388" s="35">
        <v>7.1530584693075383</v>
      </c>
      <c r="F388" t="s">
        <v>40</v>
      </c>
    </row>
    <row r="389" spans="1:6">
      <c r="A389" t="s">
        <v>134</v>
      </c>
      <c r="B389" t="s">
        <v>145</v>
      </c>
      <c r="C389" s="35">
        <v>117.30172529276666</v>
      </c>
      <c r="D389" s="35">
        <v>6.5269575133606317</v>
      </c>
      <c r="E389" s="35">
        <v>7.3745650265832907</v>
      </c>
      <c r="F389" t="s">
        <v>40</v>
      </c>
    </row>
    <row r="390" spans="1:6">
      <c r="A390" t="s">
        <v>134</v>
      </c>
      <c r="B390" t="s">
        <v>148</v>
      </c>
      <c r="C390" s="35">
        <v>119.84821460993334</v>
      </c>
      <c r="D390" s="35">
        <v>7.3311528700365391</v>
      </c>
      <c r="E390" s="35">
        <v>9.5167554797748188</v>
      </c>
      <c r="F390" t="s">
        <v>40</v>
      </c>
    </row>
    <row r="391" spans="1:6">
      <c r="A391" t="s">
        <v>134</v>
      </c>
      <c r="B391" t="s">
        <v>151</v>
      </c>
      <c r="C391" s="35">
        <v>122.36793199649999</v>
      </c>
      <c r="D391" s="35">
        <v>7.9948525108862967</v>
      </c>
      <c r="E391" s="35">
        <v>9.0949297672791474</v>
      </c>
      <c r="F391" t="s">
        <v>40</v>
      </c>
    </row>
    <row r="392" spans="1:6">
      <c r="A392" t="s">
        <v>134</v>
      </c>
      <c r="B392" t="s">
        <v>154</v>
      </c>
      <c r="C392" s="35">
        <v>124.65537117986668</v>
      </c>
      <c r="D392" s="35">
        <v>8.4281157060642542</v>
      </c>
      <c r="E392" s="35">
        <v>7.4154153336639661</v>
      </c>
      <c r="F392" t="s">
        <v>40</v>
      </c>
    </row>
    <row r="393" spans="1:6">
      <c r="A393" t="s">
        <v>134</v>
      </c>
      <c r="B393" t="s">
        <v>157</v>
      </c>
      <c r="C393" s="35">
        <v>127.01133029706666</v>
      </c>
      <c r="D393" s="35">
        <v>8.2774613758376923</v>
      </c>
      <c r="E393" s="35">
        <v>6.3553237144236219</v>
      </c>
      <c r="F393" t="s">
        <v>40</v>
      </c>
    </row>
    <row r="394" spans="1:6">
      <c r="A394" t="s">
        <v>134</v>
      </c>
      <c r="B394" t="s">
        <v>160</v>
      </c>
      <c r="C394" s="35">
        <v>128.61165568390001</v>
      </c>
      <c r="D394" s="35">
        <v>7.3121164987637099</v>
      </c>
      <c r="E394" s="35">
        <v>4.7259014814200251</v>
      </c>
      <c r="F394" t="s">
        <v>40</v>
      </c>
    </row>
    <row r="395" spans="1:6">
      <c r="A395" t="s">
        <v>134</v>
      </c>
      <c r="B395" t="s">
        <v>183</v>
      </c>
      <c r="C395" s="35">
        <v>129.90294393856666</v>
      </c>
      <c r="D395" s="35">
        <v>6.1576687773739591</v>
      </c>
      <c r="E395" s="35">
        <v>4.5565418436158023</v>
      </c>
      <c r="F395" t="s">
        <v>40</v>
      </c>
    </row>
    <row r="396" spans="1:6">
      <c r="A396" t="s">
        <v>134</v>
      </c>
      <c r="B396" t="s">
        <v>254</v>
      </c>
      <c r="C396" s="35">
        <v>131.25902463353333</v>
      </c>
      <c r="D396" s="35">
        <v>5.2975282101066945</v>
      </c>
      <c r="E396" s="35">
        <v>4.7232366503173306</v>
      </c>
      <c r="F396" t="s">
        <v>40</v>
      </c>
    </row>
    <row r="397" spans="1:6">
      <c r="A397" t="s">
        <v>134</v>
      </c>
      <c r="B397" t="s">
        <v>355</v>
      </c>
      <c r="C397" s="35">
        <v>132.92021548310001</v>
      </c>
      <c r="D397" s="35">
        <v>4.6522504505803308</v>
      </c>
      <c r="E397" s="35">
        <v>4.1974295127073624</v>
      </c>
      <c r="F397" t="s">
        <v>40</v>
      </c>
    </row>
    <row r="398" spans="1:6">
      <c r="A398" t="s">
        <v>134</v>
      </c>
      <c r="B398" t="s">
        <v>460</v>
      </c>
      <c r="C398" s="35">
        <v>134.05589752076665</v>
      </c>
      <c r="D398" s="35">
        <v>4.2330858800600613</v>
      </c>
      <c r="E398" s="35">
        <v>3.0316062436262392</v>
      </c>
      <c r="F398" t="s">
        <v>40</v>
      </c>
    </row>
    <row r="399" spans="1:6">
      <c r="A399" t="s">
        <v>134</v>
      </c>
      <c r="B399" t="s">
        <v>565</v>
      </c>
      <c r="C399" s="35">
        <v>135.0798410182</v>
      </c>
      <c r="D399" s="35">
        <v>3.9852038165367309</v>
      </c>
      <c r="E399" s="35">
        <v>3.7064483618935329</v>
      </c>
      <c r="F399" t="s">
        <v>40</v>
      </c>
    </row>
    <row r="400" spans="1:6">
      <c r="A400" t="s">
        <v>134</v>
      </c>
      <c r="B400" t="s">
        <v>670</v>
      </c>
      <c r="C400" s="35">
        <v>136.0851796741</v>
      </c>
      <c r="D400" s="35">
        <v>3.6768176923765772</v>
      </c>
      <c r="E400" s="35">
        <v>3.6693857838332899</v>
      </c>
      <c r="F400" t="s">
        <v>40</v>
      </c>
    </row>
    <row r="401" spans="1:6">
      <c r="A401" t="s">
        <v>134</v>
      </c>
      <c r="B401" t="s">
        <v>771</v>
      </c>
      <c r="C401" s="35">
        <v>137.7709211069</v>
      </c>
      <c r="D401" s="35">
        <v>3.6493362624865133</v>
      </c>
      <c r="E401" s="35">
        <v>4.161097403436731</v>
      </c>
      <c r="F401" t="s">
        <v>40</v>
      </c>
    </row>
    <row r="402" spans="1:6">
      <c r="A402" t="s">
        <v>134</v>
      </c>
      <c r="B402" t="s">
        <v>876</v>
      </c>
      <c r="C402" s="35">
        <v>139.52236888493334</v>
      </c>
      <c r="D402" s="35">
        <v>4.0777552239504189</v>
      </c>
      <c r="E402" s="35">
        <v>5.4348669234991265</v>
      </c>
      <c r="F402" t="s">
        <v>40</v>
      </c>
    </row>
    <row r="403" spans="1:6">
      <c r="A403" t="s">
        <v>134</v>
      </c>
      <c r="B403" t="s">
        <v>981</v>
      </c>
      <c r="C403" s="35">
        <v>140.81449092526665</v>
      </c>
      <c r="D403" s="35">
        <v>4.2453780400096841</v>
      </c>
      <c r="E403" s="35">
        <v>3.8554421739568356</v>
      </c>
      <c r="F403" t="s">
        <v>40</v>
      </c>
    </row>
    <row r="404" spans="1:6">
      <c r="A404" t="s">
        <v>134</v>
      </c>
      <c r="B404" t="s">
        <v>1086</v>
      </c>
      <c r="C404" s="35">
        <v>142.00017539270002</v>
      </c>
      <c r="D404" s="35">
        <v>4.3465392284195659</v>
      </c>
      <c r="E404" s="35">
        <v>3.8581241405997613</v>
      </c>
      <c r="F404" t="s">
        <v>40</v>
      </c>
    </row>
    <row r="405" spans="1:6">
      <c r="A405" t="s">
        <v>134</v>
      </c>
      <c r="B405" t="s">
        <v>1183</v>
      </c>
      <c r="C405" s="35">
        <v>143.95483834753335</v>
      </c>
      <c r="D405" s="35">
        <v>4.4885504074078764</v>
      </c>
      <c r="E405" s="35">
        <v>4.6573074720535512</v>
      </c>
      <c r="F405" t="s">
        <v>40</v>
      </c>
    </row>
    <row r="406" spans="1:6">
      <c r="A406" t="s">
        <v>134</v>
      </c>
      <c r="B406" t="s">
        <v>1276</v>
      </c>
      <c r="C406" s="35">
        <v>145.32596887403335</v>
      </c>
      <c r="D406" s="35">
        <v>4.1596197337262497</v>
      </c>
      <c r="E406" s="35">
        <v>3.7593325870935335</v>
      </c>
      <c r="F406" t="s">
        <v>40</v>
      </c>
    </row>
    <row r="407" spans="1:6">
      <c r="A407" t="s">
        <v>134</v>
      </c>
      <c r="B407" t="s">
        <v>21</v>
      </c>
      <c r="C407" s="35">
        <v>146.00009259780001</v>
      </c>
      <c r="D407" s="35">
        <v>3.6825767280481481</v>
      </c>
      <c r="E407" s="35"/>
      <c r="F407" t="s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B9F41-B316-4FD4-A302-AD48B6F639DD}">
  <dimension ref="A1:E25"/>
  <sheetViews>
    <sheetView showGridLines="0" workbookViewId="0">
      <selection activeCell="N389" sqref="N389"/>
    </sheetView>
  </sheetViews>
  <sheetFormatPr defaultRowHeight="13.8"/>
  <cols>
    <col min="1" max="1" width="6.69921875" customWidth="1"/>
    <col min="2" max="2" width="3.69921875" customWidth="1"/>
    <col min="3" max="3" width="19.69921875" customWidth="1"/>
    <col min="4" max="4" width="12.19921875" customWidth="1"/>
    <col min="5" max="5" width="39.3984375" customWidth="1"/>
  </cols>
  <sheetData>
    <row r="1" spans="1:5">
      <c r="A1" s="31" t="s">
        <v>2204</v>
      </c>
      <c r="B1" s="31" t="s">
        <v>2445</v>
      </c>
      <c r="C1" s="31" t="s">
        <v>2233</v>
      </c>
      <c r="D1" s="31" t="s">
        <v>2446</v>
      </c>
      <c r="E1" s="31" t="s">
        <v>2447</v>
      </c>
    </row>
    <row r="2" spans="1:5">
      <c r="A2" t="s">
        <v>22</v>
      </c>
      <c r="B2">
        <v>1</v>
      </c>
      <c r="C2" s="35">
        <v>0.17355366550716039</v>
      </c>
      <c r="D2" t="s">
        <v>2448</v>
      </c>
      <c r="E2" t="s">
        <v>2449</v>
      </c>
    </row>
    <row r="3" spans="1:5">
      <c r="A3" t="s">
        <v>22</v>
      </c>
      <c r="B3">
        <v>2</v>
      </c>
      <c r="C3" s="35">
        <v>-2.3713097848198361E-2</v>
      </c>
      <c r="D3" t="s">
        <v>2448</v>
      </c>
      <c r="E3" t="s">
        <v>2449</v>
      </c>
    </row>
    <row r="4" spans="1:5">
      <c r="A4" t="s">
        <v>22</v>
      </c>
      <c r="B4">
        <v>3</v>
      </c>
      <c r="C4" s="35">
        <v>4.9988579633774066E-2</v>
      </c>
      <c r="D4" t="s">
        <v>2448</v>
      </c>
      <c r="E4" t="s">
        <v>2449</v>
      </c>
    </row>
    <row r="5" spans="1:5">
      <c r="A5" t="s">
        <v>22</v>
      </c>
      <c r="B5">
        <v>4</v>
      </c>
      <c r="C5" s="35">
        <v>-0.20981878280513042</v>
      </c>
      <c r="D5" t="s">
        <v>2448</v>
      </c>
      <c r="E5" t="s">
        <v>2449</v>
      </c>
    </row>
    <row r="6" spans="1:5">
      <c r="A6" t="s">
        <v>22</v>
      </c>
      <c r="B6">
        <v>5</v>
      </c>
      <c r="C6" s="35">
        <v>-0.60748395632500474</v>
      </c>
      <c r="D6" t="s">
        <v>2448</v>
      </c>
      <c r="E6" t="s">
        <v>2449</v>
      </c>
    </row>
    <row r="7" spans="1:5">
      <c r="A7" t="s">
        <v>22</v>
      </c>
      <c r="B7">
        <v>6</v>
      </c>
      <c r="C7" s="35">
        <v>-0.18319094864445387</v>
      </c>
      <c r="D7" t="s">
        <v>2448</v>
      </c>
      <c r="E7" t="s">
        <v>2449</v>
      </c>
    </row>
    <row r="8" spans="1:5">
      <c r="A8" t="s">
        <v>22</v>
      </c>
      <c r="B8">
        <v>7</v>
      </c>
      <c r="C8" s="35">
        <v>1.857230697938933E-2</v>
      </c>
      <c r="D8" t="s">
        <v>2448</v>
      </c>
      <c r="E8" t="s">
        <v>2449</v>
      </c>
    </row>
    <row r="9" spans="1:5">
      <c r="A9" t="s">
        <v>22</v>
      </c>
      <c r="B9">
        <v>8</v>
      </c>
      <c r="C9" s="35">
        <v>-2.7232588788898948E-2</v>
      </c>
      <c r="D9" t="s">
        <v>2448</v>
      </c>
      <c r="E9" t="s">
        <v>2449</v>
      </c>
    </row>
    <row r="10" spans="1:5">
      <c r="A10" t="s">
        <v>22</v>
      </c>
      <c r="B10">
        <v>9</v>
      </c>
      <c r="C10" s="35">
        <v>0.11528589899523589</v>
      </c>
      <c r="D10" t="s">
        <v>2448</v>
      </c>
      <c r="E10" t="s">
        <v>2449</v>
      </c>
    </row>
    <row r="11" spans="1:5">
      <c r="A11" t="s">
        <v>22</v>
      </c>
      <c r="B11">
        <v>10</v>
      </c>
      <c r="C11" s="35">
        <v>0.17125837170386743</v>
      </c>
      <c r="D11" t="s">
        <v>2448</v>
      </c>
      <c r="E11" t="s">
        <v>2449</v>
      </c>
    </row>
    <row r="12" spans="1:5">
      <c r="A12" t="s">
        <v>22</v>
      </c>
      <c r="B12">
        <v>11</v>
      </c>
      <c r="C12" s="35">
        <v>0.43204811008838456</v>
      </c>
      <c r="D12" t="s">
        <v>2448</v>
      </c>
      <c r="E12" t="s">
        <v>2449</v>
      </c>
    </row>
    <row r="13" spans="1:5">
      <c r="A13" t="s">
        <v>22</v>
      </c>
      <c r="B13">
        <v>12</v>
      </c>
      <c r="C13" s="35">
        <v>9.0732441503875105E-2</v>
      </c>
      <c r="D13" t="s">
        <v>2448</v>
      </c>
      <c r="E13" t="s">
        <v>2449</v>
      </c>
    </row>
    <row r="14" spans="1:5">
      <c r="A14" t="s">
        <v>134</v>
      </c>
      <c r="B14">
        <v>1</v>
      </c>
      <c r="C14" s="35">
        <v>0.11558240907831546</v>
      </c>
      <c r="D14" t="s">
        <v>2448</v>
      </c>
      <c r="E14" t="s">
        <v>2449</v>
      </c>
    </row>
    <row r="15" spans="1:5">
      <c r="A15" t="s">
        <v>134</v>
      </c>
      <c r="B15">
        <v>2</v>
      </c>
      <c r="C15" s="35">
        <v>0.12699036627294302</v>
      </c>
      <c r="D15" t="s">
        <v>2448</v>
      </c>
      <c r="E15" t="s">
        <v>2449</v>
      </c>
    </row>
    <row r="16" spans="1:5">
      <c r="A16" t="s">
        <v>134</v>
      </c>
      <c r="B16">
        <v>3</v>
      </c>
      <c r="C16" s="35">
        <v>6.1109136241099093E-2</v>
      </c>
      <c r="D16" t="s">
        <v>2448</v>
      </c>
      <c r="E16" t="s">
        <v>2449</v>
      </c>
    </row>
    <row r="17" spans="1:5">
      <c r="A17" t="s">
        <v>134</v>
      </c>
      <c r="B17">
        <v>4</v>
      </c>
      <c r="C17" s="35">
        <v>1.5467613080731302E-2</v>
      </c>
      <c r="D17" t="s">
        <v>2448</v>
      </c>
      <c r="E17" t="s">
        <v>2449</v>
      </c>
    </row>
    <row r="18" spans="1:5">
      <c r="A18" t="s">
        <v>134</v>
      </c>
      <c r="B18">
        <v>5</v>
      </c>
      <c r="C18" s="35">
        <v>-9.2177951932252061E-2</v>
      </c>
      <c r="D18" t="s">
        <v>2448</v>
      </c>
      <c r="E18" t="s">
        <v>2449</v>
      </c>
    </row>
    <row r="19" spans="1:5">
      <c r="A19" t="s">
        <v>134</v>
      </c>
      <c r="B19">
        <v>6</v>
      </c>
      <c r="C19" s="35">
        <v>-6.8631876269193037E-2</v>
      </c>
      <c r="D19" t="s">
        <v>2448</v>
      </c>
      <c r="E19" t="s">
        <v>2449</v>
      </c>
    </row>
    <row r="20" spans="1:5">
      <c r="A20" t="s">
        <v>134</v>
      </c>
      <c r="B20">
        <v>7</v>
      </c>
      <c r="C20" s="35">
        <v>-6.3321577930948281E-2</v>
      </c>
      <c r="D20" t="s">
        <v>2448</v>
      </c>
      <c r="E20" t="s">
        <v>2449</v>
      </c>
    </row>
    <row r="21" spans="1:5">
      <c r="A21" t="s">
        <v>134</v>
      </c>
      <c r="B21">
        <v>8</v>
      </c>
      <c r="C21" s="35">
        <v>-8.7706074905278902E-2</v>
      </c>
      <c r="D21" t="s">
        <v>2448</v>
      </c>
      <c r="E21" t="s">
        <v>2449</v>
      </c>
    </row>
    <row r="22" spans="1:5">
      <c r="A22" t="s">
        <v>134</v>
      </c>
      <c r="B22">
        <v>9</v>
      </c>
      <c r="C22" s="35">
        <v>5.9710091602400539E-2</v>
      </c>
      <c r="D22" t="s">
        <v>2448</v>
      </c>
      <c r="E22" t="s">
        <v>2449</v>
      </c>
    </row>
    <row r="23" spans="1:5">
      <c r="A23" t="s">
        <v>134</v>
      </c>
      <c r="B23">
        <v>10</v>
      </c>
      <c r="C23" s="35">
        <v>-6.7152525649730843E-2</v>
      </c>
      <c r="D23" t="s">
        <v>2448</v>
      </c>
      <c r="E23" t="s">
        <v>2449</v>
      </c>
    </row>
    <row r="24" spans="1:5">
      <c r="A24" t="s">
        <v>134</v>
      </c>
      <c r="B24">
        <v>11</v>
      </c>
      <c r="C24" s="35">
        <v>-9.1034986847382593E-2</v>
      </c>
      <c r="D24" t="s">
        <v>2448</v>
      </c>
      <c r="E24" t="s">
        <v>2449</v>
      </c>
    </row>
    <row r="25" spans="1:5">
      <c r="A25" t="s">
        <v>134</v>
      </c>
      <c r="B25">
        <v>12</v>
      </c>
      <c r="C25" s="35">
        <v>9.1165377259296132E-2</v>
      </c>
      <c r="D25" t="s">
        <v>2448</v>
      </c>
      <c r="E25" t="s">
        <v>2449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showGridLines="0" workbookViewId="0">
      <selection activeCell="B5" sqref="B5"/>
    </sheetView>
  </sheetViews>
  <sheetFormatPr defaultRowHeight="13.8"/>
  <cols>
    <col min="1" max="1" width="30" customWidth="1"/>
    <col min="2" max="2" width="105" customWidth="1"/>
  </cols>
  <sheetData>
    <row r="1" spans="1:2" ht="30" customHeight="1">
      <c r="A1" s="63" t="s">
        <v>0</v>
      </c>
      <c r="B1" s="63"/>
    </row>
    <row r="3" spans="1:2" ht="15" customHeight="1">
      <c r="A3" s="4" t="s">
        <v>1</v>
      </c>
      <c r="B3" s="7" t="s">
        <v>2</v>
      </c>
    </row>
    <row r="4" spans="1:2" ht="15" customHeight="1">
      <c r="A4" s="5" t="s">
        <v>3</v>
      </c>
      <c r="B4" s="8" t="s">
        <v>4</v>
      </c>
    </row>
    <row r="5" spans="1:2" ht="15" customHeight="1">
      <c r="A5" s="5" t="s">
        <v>5</v>
      </c>
      <c r="B5" s="8" t="s">
        <v>6</v>
      </c>
    </row>
    <row r="6" spans="1:2" ht="15" customHeight="1">
      <c r="A6" s="5" t="s">
        <v>7</v>
      </c>
      <c r="B6" s="8" t="s">
        <v>8</v>
      </c>
    </row>
    <row r="7" spans="1:2" ht="15" customHeight="1">
      <c r="A7" s="5" t="s">
        <v>9</v>
      </c>
      <c r="B7" s="8" t="s">
        <v>10</v>
      </c>
    </row>
    <row r="8" spans="1:2" ht="15" customHeight="1">
      <c r="A8" s="5" t="s">
        <v>11</v>
      </c>
      <c r="B8" s="8" t="s">
        <v>12</v>
      </c>
    </row>
    <row r="9" spans="1:2" ht="15" customHeight="1">
      <c r="A9" s="5" t="s">
        <v>13</v>
      </c>
      <c r="B9" s="8" t="s">
        <v>14</v>
      </c>
    </row>
    <row r="10" spans="1:2" ht="26.4" customHeight="1">
      <c r="A10" s="5" t="s">
        <v>15</v>
      </c>
      <c r="B10" s="8" t="s">
        <v>16</v>
      </c>
    </row>
    <row r="11" spans="1:2" ht="15" customHeight="1">
      <c r="A11" s="6" t="s">
        <v>17</v>
      </c>
      <c r="B11" s="9" t="s">
        <v>18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2B26D-FE5B-4593-A733-2C6ED631B319}">
  <sheetPr codeName="Sheet22"/>
  <dimension ref="A1:AJ48"/>
  <sheetViews>
    <sheetView showGridLines="0" zoomScale="85" zoomScaleNormal="85" workbookViewId="0">
      <selection activeCell="T8" sqref="T8"/>
    </sheetView>
  </sheetViews>
  <sheetFormatPr defaultRowHeight="13.8"/>
  <cols>
    <col min="1" max="1" width="19.19921875" customWidth="1"/>
    <col min="2" max="3" width="15" customWidth="1"/>
    <col min="4" max="7" width="17.5" customWidth="1"/>
    <col min="8" max="8" width="8.69921875" hidden="1" customWidth="1"/>
    <col min="20" max="36" width="8.69921875" customWidth="1"/>
  </cols>
  <sheetData>
    <row r="1" spans="1:36" ht="30" customHeight="1">
      <c r="A1" s="64" t="s">
        <v>2120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W1" t="s">
        <v>2170</v>
      </c>
      <c r="X1" t="s">
        <v>2171</v>
      </c>
      <c r="Y1" t="s">
        <v>2172</v>
      </c>
      <c r="Z1" t="s">
        <v>2173</v>
      </c>
      <c r="AA1" t="s">
        <v>2174</v>
      </c>
      <c r="AB1" t="s">
        <v>2175</v>
      </c>
      <c r="AC1" t="s">
        <v>2176</v>
      </c>
      <c r="AD1" t="s">
        <v>2177</v>
      </c>
      <c r="AE1" t="s">
        <v>2178</v>
      </c>
      <c r="AF1" t="s">
        <v>2179</v>
      </c>
      <c r="AG1" t="s">
        <v>2180</v>
      </c>
      <c r="AH1" t="s">
        <v>2181</v>
      </c>
      <c r="AI1" t="s">
        <v>2182</v>
      </c>
      <c r="AJ1" t="s">
        <v>2183</v>
      </c>
    </row>
    <row r="2" spans="1:36">
      <c r="T2" t="s">
        <v>136</v>
      </c>
      <c r="U2" t="s">
        <v>22</v>
      </c>
      <c r="V2" t="str">
        <f>"Revisiones de "&amp;B3&amp;" alrededor de D0"</f>
        <v>Revisiones de SUB_DES alrededor de D0</v>
      </c>
      <c r="W2" cm="1">
        <f t="array" ref="W2:W12">_xlfn.LET(_xlpm.p,$B$6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rel,_xlpm.keep))</f>
        <v>-16</v>
      </c>
      <c r="X2" cm="1">
        <f t="array" ref="X2:X12">_xlfn.LET(_xlpm.p,$B$6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vals,_xlpm.keep))</f>
        <v>3</v>
      </c>
      <c r="Y2" cm="1">
        <f t="array" ref="Y2:Y16">_xlfn.LET(_xlpm.p,$B$7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rel,_xlpm.keep))</f>
        <v>-16</v>
      </c>
      <c r="Z2" cm="1">
        <f t="array" ref="Z2:Z16">_xlfn.LET(_xlpm.p,$B$7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vals,_xlpm.keep))</f>
        <v>3</v>
      </c>
      <c r="AA2" cm="1">
        <f t="array" ref="AA2:AA20">_xlfn.LET(_xlpm.p,$B$8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rel,_xlpm.keep))</f>
        <v>-16</v>
      </c>
      <c r="AB2" cm="1">
        <f t="array" ref="AB2:AB20">_xlfn.LET(_xlpm.p,$B$8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vals,_xlpm.keep))</f>
        <v>2.8</v>
      </c>
      <c r="AC2" cm="1">
        <f t="array" ref="AC2:AC24">_xlfn.LET(_xlpm.p,$B$9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rel,_xlpm.keep))</f>
        <v>-16</v>
      </c>
      <c r="AD2" cm="1">
        <f t="array" ref="AD2:AD24">_xlfn.LET(_xlpm.p,$B$9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vals,_xlpm.keep))</f>
        <v>3.3</v>
      </c>
      <c r="AE2" cm="1">
        <f t="array" ref="AE2:AE25">_xlfn.LET(_xlpm.p,$B$10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rel,_xlpm.keep))</f>
        <v>-16</v>
      </c>
      <c r="AF2" cm="1">
        <f t="array" ref="AF2:AF25">_xlfn.LET(_xlpm.p,$B$10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vals,_xlpm.keep))</f>
        <v>2.8</v>
      </c>
      <c r="AG2" cm="1">
        <f t="array" ref="AG2:AG25">_xlfn.LET(_xlpm.p,$B$11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rel,_xlpm.keep))</f>
        <v>-16</v>
      </c>
      <c r="AH2" cm="1">
        <f t="array" ref="AH2:AH25">_xlfn.LET(_xlpm.p,$B$11,_xlpm.cat,$B$3,_xlpm.qEnd,DATE(VALUE(LEFT(_xlpm.p,4)),VALUE(RIGHT(_xlpm.p,1))*3+1,0),_xlpm.decDates,Decisiones!$B$2:$B$58,_xlpm.d0,_xlfn.XMATCH(_xlpm.qEnd,_xlpm.decDates,-1),_xlpm.mask,(Pronosticos!$H$2:$H$1989=_xlpm.p)*(Pronosticos!$D$2:$D$1989=_xlpm.cat),_xlpm.dates,_xlfn._xlws.FILTER(Pronosticos!$C$2:$C$1989,_xlpm.mask),_xlpm.vals,_xlfn._xlws.FILTER(Pronosticos!$I$2:$I$1989,_xlpm.mask),_xlpm.rel,_xlfn.XMATCH(_xlpm.dates,_xlpm.decDates)-_xlpm.d0,_xlpm.keep,(_xlpm.rel&gt;=-16)*(_xlpm.rel&lt;=16),_xlfn._xlws.FILTER(_xlpm.vals,_xlpm.keep))</f>
        <v>3</v>
      </c>
      <c r="AI2">
        <v>-16</v>
      </c>
      <c r="AJ2">
        <v>2</v>
      </c>
    </row>
    <row r="3" spans="1:36">
      <c r="A3" s="20" t="s">
        <v>2121</v>
      </c>
      <c r="B3" s="21" t="s">
        <v>212</v>
      </c>
      <c r="T3" t="s">
        <v>139</v>
      </c>
      <c r="U3" t="s">
        <v>134</v>
      </c>
      <c r="W3">
        <v>-15</v>
      </c>
      <c r="X3">
        <v>3</v>
      </c>
      <c r="Y3">
        <v>-15</v>
      </c>
      <c r="Z3">
        <v>3</v>
      </c>
      <c r="AA3">
        <v>-15</v>
      </c>
      <c r="AB3">
        <v>2.8</v>
      </c>
      <c r="AC3">
        <v>-15</v>
      </c>
      <c r="AD3">
        <v>3.2</v>
      </c>
      <c r="AE3">
        <v>-15</v>
      </c>
      <c r="AF3">
        <v>2.8</v>
      </c>
      <c r="AG3">
        <v>-15</v>
      </c>
      <c r="AH3">
        <v>3.1</v>
      </c>
      <c r="AI3">
        <v>8</v>
      </c>
      <c r="AJ3">
        <v>3</v>
      </c>
    </row>
    <row r="4" spans="1:36">
      <c r="T4" t="s">
        <v>142</v>
      </c>
      <c r="U4" t="s">
        <v>210</v>
      </c>
      <c r="W4">
        <v>-14</v>
      </c>
      <c r="X4">
        <v>3</v>
      </c>
      <c r="Y4">
        <v>-14</v>
      </c>
      <c r="Z4">
        <v>3</v>
      </c>
      <c r="AA4">
        <v>-14</v>
      </c>
      <c r="AB4">
        <v>2.8</v>
      </c>
      <c r="AC4">
        <v>-14</v>
      </c>
      <c r="AD4">
        <v>3.2</v>
      </c>
      <c r="AE4">
        <v>-14</v>
      </c>
      <c r="AF4">
        <v>2.7</v>
      </c>
      <c r="AG4">
        <v>-14</v>
      </c>
      <c r="AH4">
        <v>3.1</v>
      </c>
    </row>
    <row r="5" spans="1:36">
      <c r="A5" s="65" t="s">
        <v>2122</v>
      </c>
      <c r="B5" s="65"/>
      <c r="D5" s="65" t="s">
        <v>2129</v>
      </c>
      <c r="E5" s="65"/>
      <c r="F5" s="65"/>
      <c r="G5" s="65"/>
      <c r="T5" t="s">
        <v>145</v>
      </c>
      <c r="U5" t="s">
        <v>212</v>
      </c>
      <c r="W5">
        <v>-13</v>
      </c>
      <c r="X5">
        <v>2.9</v>
      </c>
      <c r="Y5">
        <v>-13</v>
      </c>
      <c r="Z5">
        <v>3</v>
      </c>
      <c r="AA5">
        <v>-13</v>
      </c>
      <c r="AB5">
        <v>2.8</v>
      </c>
      <c r="AC5">
        <v>-13</v>
      </c>
      <c r="AD5">
        <v>2.9</v>
      </c>
      <c r="AE5">
        <v>-13</v>
      </c>
      <c r="AF5">
        <v>2.7</v>
      </c>
      <c r="AG5">
        <v>-13</v>
      </c>
      <c r="AH5">
        <v>3.1</v>
      </c>
    </row>
    <row r="6" spans="1:36">
      <c r="A6" t="s">
        <v>2123</v>
      </c>
      <c r="B6" s="21" t="s">
        <v>1663</v>
      </c>
      <c r="D6" s="22" t="s">
        <v>2130</v>
      </c>
      <c r="E6" t="s">
        <v>2131</v>
      </c>
      <c r="T6" t="s">
        <v>148</v>
      </c>
      <c r="W6">
        <v>-12</v>
      </c>
      <c r="X6">
        <v>2.7</v>
      </c>
      <c r="Y6">
        <v>-12</v>
      </c>
      <c r="Z6">
        <v>2.9</v>
      </c>
      <c r="AA6">
        <v>-12</v>
      </c>
      <c r="AB6">
        <v>2.8</v>
      </c>
      <c r="AC6">
        <v>-12</v>
      </c>
      <c r="AD6">
        <v>3.1</v>
      </c>
      <c r="AE6">
        <v>-12</v>
      </c>
      <c r="AF6">
        <v>2.8</v>
      </c>
      <c r="AG6">
        <v>-12</v>
      </c>
      <c r="AH6">
        <v>3.2</v>
      </c>
    </row>
    <row r="7" spans="1:36">
      <c r="A7" t="s">
        <v>2124</v>
      </c>
      <c r="B7" s="21" t="s">
        <v>1469</v>
      </c>
      <c r="D7" s="22" t="s">
        <v>2132</v>
      </c>
      <c r="E7" t="s">
        <v>2133</v>
      </c>
      <c r="T7" t="s">
        <v>151</v>
      </c>
      <c r="W7">
        <v>-11</v>
      </c>
      <c r="X7">
        <v>2.9</v>
      </c>
      <c r="Y7">
        <v>-11</v>
      </c>
      <c r="Z7">
        <v>2.7</v>
      </c>
      <c r="AA7">
        <v>-11</v>
      </c>
      <c r="AB7">
        <v>2.8</v>
      </c>
      <c r="AC7">
        <v>-11</v>
      </c>
      <c r="AD7">
        <v>3.1</v>
      </c>
      <c r="AE7">
        <v>-11</v>
      </c>
      <c r="AF7">
        <v>3</v>
      </c>
      <c r="AG7">
        <v>-11</v>
      </c>
      <c r="AH7">
        <v>3.3</v>
      </c>
    </row>
    <row r="8" spans="1:36">
      <c r="A8" t="s">
        <v>2125</v>
      </c>
      <c r="B8" s="21" t="s">
        <v>1276</v>
      </c>
      <c r="D8" s="22" t="s">
        <v>2134</v>
      </c>
      <c r="E8" t="s">
        <v>2135</v>
      </c>
      <c r="T8" t="s">
        <v>154</v>
      </c>
      <c r="W8">
        <v>-10</v>
      </c>
      <c r="X8">
        <v>3.1</v>
      </c>
      <c r="Y8">
        <v>-10</v>
      </c>
      <c r="Z8">
        <v>3</v>
      </c>
      <c r="AA8">
        <v>-10</v>
      </c>
      <c r="AB8">
        <v>2.9</v>
      </c>
      <c r="AC8">
        <v>-10</v>
      </c>
      <c r="AD8">
        <v>3</v>
      </c>
      <c r="AE8">
        <v>-10</v>
      </c>
      <c r="AF8">
        <v>3.2</v>
      </c>
      <c r="AG8">
        <v>-10</v>
      </c>
      <c r="AH8">
        <v>3.4</v>
      </c>
    </row>
    <row r="9" spans="1:36">
      <c r="A9" t="s">
        <v>2126</v>
      </c>
      <c r="B9" s="21" t="s">
        <v>1086</v>
      </c>
      <c r="T9" t="s">
        <v>157</v>
      </c>
      <c r="W9">
        <v>-9</v>
      </c>
      <c r="X9">
        <v>3.2</v>
      </c>
      <c r="Y9">
        <v>-9</v>
      </c>
      <c r="Z9">
        <v>3</v>
      </c>
      <c r="AA9">
        <v>-9</v>
      </c>
      <c r="AB9">
        <v>3.3</v>
      </c>
      <c r="AC9">
        <v>-9</v>
      </c>
      <c r="AD9">
        <v>2.9</v>
      </c>
      <c r="AE9">
        <v>-9</v>
      </c>
      <c r="AF9">
        <v>3.2</v>
      </c>
      <c r="AG9">
        <v>-9</v>
      </c>
      <c r="AH9">
        <v>3.4</v>
      </c>
    </row>
    <row r="10" spans="1:36">
      <c r="A10" t="s">
        <v>2127</v>
      </c>
      <c r="B10" s="21" t="s">
        <v>876</v>
      </c>
      <c r="T10" t="s">
        <v>160</v>
      </c>
      <c r="W10">
        <v>-8</v>
      </c>
      <c r="X10">
        <v>3.2</v>
      </c>
      <c r="Y10">
        <v>-8</v>
      </c>
      <c r="Z10">
        <v>3.3</v>
      </c>
      <c r="AA10">
        <v>-8</v>
      </c>
      <c r="AB10">
        <v>3.1</v>
      </c>
      <c r="AC10">
        <v>-8</v>
      </c>
      <c r="AD10">
        <v>3</v>
      </c>
      <c r="AE10">
        <v>-8</v>
      </c>
      <c r="AF10">
        <v>2.8</v>
      </c>
      <c r="AG10">
        <v>-8</v>
      </c>
      <c r="AH10">
        <v>3.5</v>
      </c>
    </row>
    <row r="11" spans="1:36">
      <c r="A11" t="s">
        <v>2128</v>
      </c>
      <c r="B11" s="21" t="s">
        <v>670</v>
      </c>
      <c r="T11" t="s">
        <v>183</v>
      </c>
      <c r="W11">
        <v>-7</v>
      </c>
      <c r="X11">
        <v>3.2</v>
      </c>
      <c r="Y11">
        <v>-7</v>
      </c>
      <c r="Z11">
        <v>3.1</v>
      </c>
      <c r="AA11">
        <v>-7</v>
      </c>
      <c r="AB11">
        <v>3</v>
      </c>
      <c r="AC11">
        <v>-7</v>
      </c>
      <c r="AD11">
        <v>3</v>
      </c>
      <c r="AE11">
        <v>-7</v>
      </c>
      <c r="AF11">
        <v>2.7</v>
      </c>
      <c r="AG11">
        <v>-7</v>
      </c>
      <c r="AH11">
        <v>3.4</v>
      </c>
    </row>
    <row r="12" spans="1:36">
      <c r="T12" t="s">
        <v>254</v>
      </c>
      <c r="W12">
        <v>-6</v>
      </c>
      <c r="X12">
        <v>3.2</v>
      </c>
      <c r="Y12">
        <v>-6</v>
      </c>
      <c r="Z12">
        <v>3.1</v>
      </c>
      <c r="AA12">
        <v>-6</v>
      </c>
      <c r="AB12">
        <v>3.1</v>
      </c>
      <c r="AC12">
        <v>-6</v>
      </c>
      <c r="AD12">
        <v>3</v>
      </c>
      <c r="AE12">
        <v>-6</v>
      </c>
      <c r="AF12">
        <v>2.7</v>
      </c>
      <c r="AG12">
        <v>-6</v>
      </c>
      <c r="AH12">
        <v>3.3</v>
      </c>
    </row>
    <row r="13" spans="1:36">
      <c r="T13" t="s">
        <v>355</v>
      </c>
      <c r="Y13">
        <v>-5</v>
      </c>
      <c r="Z13">
        <v>3</v>
      </c>
      <c r="AA13">
        <v>-5</v>
      </c>
      <c r="AB13">
        <v>2.9</v>
      </c>
      <c r="AC13">
        <v>-5</v>
      </c>
      <c r="AD13">
        <v>3</v>
      </c>
      <c r="AE13">
        <v>-5</v>
      </c>
      <c r="AF13">
        <v>2.7</v>
      </c>
      <c r="AG13">
        <v>-5</v>
      </c>
      <c r="AH13">
        <v>3.5</v>
      </c>
    </row>
    <row r="14" spans="1:36">
      <c r="A14" s="65" t="s">
        <v>2136</v>
      </c>
      <c r="B14" s="65"/>
      <c r="C14" s="65"/>
      <c r="D14" s="65"/>
      <c r="E14" s="65"/>
      <c r="F14" s="65"/>
      <c r="G14" s="65"/>
      <c r="T14" t="s">
        <v>460</v>
      </c>
      <c r="Y14">
        <v>-4</v>
      </c>
      <c r="Z14">
        <v>2.9</v>
      </c>
      <c r="AA14">
        <v>-4</v>
      </c>
      <c r="AB14">
        <v>2.6</v>
      </c>
      <c r="AC14">
        <v>-4</v>
      </c>
      <c r="AD14">
        <v>2.9</v>
      </c>
      <c r="AE14">
        <v>-4</v>
      </c>
      <c r="AF14">
        <v>3.4</v>
      </c>
      <c r="AG14">
        <v>-4</v>
      </c>
      <c r="AH14">
        <v>3.6</v>
      </c>
    </row>
    <row r="15" spans="1:36">
      <c r="A15" s="23" t="s">
        <v>2137</v>
      </c>
      <c r="B15" s="23" t="str">
        <f>$B$6</f>
        <v>2027-T2</v>
      </c>
      <c r="C15" s="23" t="str">
        <f>$B$7</f>
        <v>2026-T4</v>
      </c>
      <c r="D15" s="23" t="str">
        <f>$B$8</f>
        <v>2026-T2</v>
      </c>
      <c r="E15" s="23" t="str">
        <f>$B$9</f>
        <v>2025-T4</v>
      </c>
      <c r="F15" s="23" t="str">
        <f>$B$10</f>
        <v>2025-T2</v>
      </c>
      <c r="G15" s="23" t="str">
        <f>$B$11</f>
        <v>2024-T4</v>
      </c>
      <c r="T15" t="s">
        <v>565</v>
      </c>
      <c r="Y15">
        <v>-3</v>
      </c>
      <c r="Z15">
        <v>3.1</v>
      </c>
      <c r="AA15">
        <v>-3</v>
      </c>
      <c r="AB15">
        <v>3.3</v>
      </c>
      <c r="AC15">
        <v>-3</v>
      </c>
      <c r="AD15">
        <v>2.6</v>
      </c>
      <c r="AE15">
        <v>-3</v>
      </c>
      <c r="AF15">
        <v>3.2</v>
      </c>
      <c r="AG15">
        <v>-3</v>
      </c>
      <c r="AH15">
        <v>3.7</v>
      </c>
    </row>
    <row r="16" spans="1:36">
      <c r="A16" s="25" t="s">
        <v>2138</v>
      </c>
      <c r="B16" s="2" cm="1">
        <f t="array" ref="B16">_xlfn.LET(_xlpm.p,B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C16" s="2" cm="1">
        <f t="array" ref="C16">_xlfn.LET(_xlpm.p,C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D16" s="2" cm="1">
        <f t="array" ref="D16">_xlfn.LET(_xlpm.p,D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2.8</v>
      </c>
      <c r="E16" s="2" cm="1">
        <f t="array" ref="E16">_xlfn.LET(_xlpm.p,E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3.3</v>
      </c>
      <c r="F16" s="2" cm="1">
        <f t="array" ref="F16">_xlfn.LET(_xlpm.p,F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2.8</v>
      </c>
      <c r="G16" s="2" cm="1">
        <f t="array" ref="G16">_xlfn.LET(_xlpm.p,G$15,_xlpm.r,$H16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H16">
        <v>-16</v>
      </c>
      <c r="T16" t="s">
        <v>670</v>
      </c>
      <c r="Y16">
        <v>-2</v>
      </c>
      <c r="Z16">
        <v>3.2</v>
      </c>
      <c r="AA16">
        <v>-2</v>
      </c>
      <c r="AB16">
        <v>3.3</v>
      </c>
      <c r="AC16">
        <v>-2</v>
      </c>
      <c r="AD16">
        <v>3</v>
      </c>
      <c r="AE16">
        <v>-2</v>
      </c>
      <c r="AF16">
        <v>3.3</v>
      </c>
      <c r="AG16">
        <v>-2</v>
      </c>
      <c r="AH16">
        <v>3.7</v>
      </c>
    </row>
    <row r="17" spans="1:34">
      <c r="A17" s="25" t="s">
        <v>2139</v>
      </c>
      <c r="B17" s="2" cm="1">
        <f t="array" ref="B17">_xlfn.LET(_xlpm.p,B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C17" s="2" cm="1">
        <f t="array" ref="C17">_xlfn.LET(_xlpm.p,C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D17" s="2" cm="1">
        <f t="array" ref="D17">_xlfn.LET(_xlpm.p,D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2.8</v>
      </c>
      <c r="E17" s="2" cm="1">
        <f t="array" ref="E17">_xlfn.LET(_xlpm.p,E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3.2</v>
      </c>
      <c r="F17" s="2" cm="1">
        <f t="array" ref="F17">_xlfn.LET(_xlpm.p,F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2.8</v>
      </c>
      <c r="G17" s="2" cm="1">
        <f t="array" ref="G17">_xlfn.LET(_xlpm.p,G$15,_xlpm.r,$H17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H17">
        <v>-15</v>
      </c>
      <c r="T17" t="s">
        <v>771</v>
      </c>
      <c r="AA17">
        <v>-1</v>
      </c>
      <c r="AB17">
        <v>3.4</v>
      </c>
      <c r="AC17">
        <v>-1</v>
      </c>
      <c r="AD17">
        <v>3.1</v>
      </c>
      <c r="AE17">
        <v>-1</v>
      </c>
      <c r="AF17">
        <v>4.0999999999999996</v>
      </c>
      <c r="AG17">
        <v>-1</v>
      </c>
      <c r="AH17">
        <v>3.5</v>
      </c>
    </row>
    <row r="18" spans="1:34">
      <c r="A18" s="25" t="s">
        <v>2140</v>
      </c>
      <c r="B18" s="2" cm="1">
        <f t="array" ref="B18">_xlfn.LET(_xlpm.p,B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C18" s="2" cm="1">
        <f t="array" ref="C18">_xlfn.LET(_xlpm.p,C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D18" s="2" cm="1">
        <f t="array" ref="D18">_xlfn.LET(_xlpm.p,D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2.8</v>
      </c>
      <c r="E18" s="2" cm="1">
        <f t="array" ref="E18">_xlfn.LET(_xlpm.p,E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3.2</v>
      </c>
      <c r="F18" s="2" cm="1">
        <f t="array" ref="F18">_xlfn.LET(_xlpm.p,F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2.7</v>
      </c>
      <c r="G18" s="2" cm="1">
        <f t="array" ref="G18">_xlfn.LET(_xlpm.p,G$15,_xlpm.r,$H18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H18">
        <v>-14</v>
      </c>
      <c r="T18" t="s">
        <v>876</v>
      </c>
      <c r="AA18">
        <v>0</v>
      </c>
      <c r="AB18">
        <v>3.7</v>
      </c>
      <c r="AC18">
        <v>0</v>
      </c>
      <c r="AD18">
        <v>3.6</v>
      </c>
      <c r="AE18">
        <v>0</v>
      </c>
      <c r="AF18">
        <v>4.5999999999999996</v>
      </c>
      <c r="AG18">
        <v>0</v>
      </c>
      <c r="AH18">
        <v>3.4</v>
      </c>
    </row>
    <row r="19" spans="1:34">
      <c r="A19" s="25" t="s">
        <v>2141</v>
      </c>
      <c r="B19" s="2" cm="1">
        <f t="array" ref="B19">_xlfn.LET(_xlpm.p,B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2.9</v>
      </c>
      <c r="C19" s="2" cm="1">
        <f t="array" ref="C19">_xlfn.LET(_xlpm.p,C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D19" s="2" cm="1">
        <f t="array" ref="D19">_xlfn.LET(_xlpm.p,D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2.8</v>
      </c>
      <c r="E19" s="2" cm="1">
        <f t="array" ref="E19">_xlfn.LET(_xlpm.p,E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2.9</v>
      </c>
      <c r="F19" s="2" cm="1">
        <f t="array" ref="F19">_xlfn.LET(_xlpm.p,F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2.7</v>
      </c>
      <c r="G19" s="2" cm="1">
        <f t="array" ref="G19">_xlfn.LET(_xlpm.p,G$15,_xlpm.r,$H19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H19">
        <v>-13</v>
      </c>
      <c r="T19" t="s">
        <v>981</v>
      </c>
      <c r="AA19">
        <v>1</v>
      </c>
      <c r="AB19">
        <v>3.7</v>
      </c>
      <c r="AC19">
        <v>1</v>
      </c>
      <c r="AD19">
        <v>3.9</v>
      </c>
      <c r="AE19">
        <v>1</v>
      </c>
      <c r="AF19">
        <v>5</v>
      </c>
      <c r="AG19">
        <v>1</v>
      </c>
      <c r="AH19">
        <v>3.4</v>
      </c>
    </row>
    <row r="20" spans="1:34">
      <c r="A20" s="25" t="s">
        <v>2142</v>
      </c>
      <c r="B20" s="2" cm="1">
        <f t="array" ref="B20">_xlfn.LET(_xlpm.p,B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2.7</v>
      </c>
      <c r="C20" s="2" cm="1">
        <f t="array" ref="C20">_xlfn.LET(_xlpm.p,C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2.9</v>
      </c>
      <c r="D20" s="2" cm="1">
        <f t="array" ref="D20">_xlfn.LET(_xlpm.p,D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2.8</v>
      </c>
      <c r="E20" s="2" cm="1">
        <f t="array" ref="E20">_xlfn.LET(_xlpm.p,E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F20" s="2" cm="1">
        <f t="array" ref="F20">_xlfn.LET(_xlpm.p,F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2.8</v>
      </c>
      <c r="G20" s="2" cm="1">
        <f t="array" ref="G20">_xlfn.LET(_xlpm.p,G$15,_xlpm.r,$H20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3.2</v>
      </c>
      <c r="H20">
        <v>-12</v>
      </c>
      <c r="T20" t="s">
        <v>1086</v>
      </c>
      <c r="AA20">
        <v>2</v>
      </c>
      <c r="AB20">
        <v>3.7</v>
      </c>
      <c r="AC20">
        <v>2</v>
      </c>
      <c r="AD20">
        <v>4</v>
      </c>
      <c r="AE20">
        <v>2</v>
      </c>
      <c r="AF20">
        <v>4.9000000000000004</v>
      </c>
      <c r="AG20">
        <v>2</v>
      </c>
      <c r="AH20">
        <v>3.4</v>
      </c>
    </row>
    <row r="21" spans="1:34">
      <c r="A21" s="25" t="s">
        <v>2143</v>
      </c>
      <c r="B21" s="2" cm="1">
        <f t="array" ref="B21">_xlfn.LET(_xlpm.p,B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2.9</v>
      </c>
      <c r="C21" s="2" cm="1">
        <f t="array" ref="C21">_xlfn.LET(_xlpm.p,C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2.7</v>
      </c>
      <c r="D21" s="2" cm="1">
        <f t="array" ref="D21">_xlfn.LET(_xlpm.p,D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2.8</v>
      </c>
      <c r="E21" s="2" cm="1">
        <f t="array" ref="E21">_xlfn.LET(_xlpm.p,E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F21" s="2" cm="1">
        <f t="array" ref="F21">_xlfn.LET(_xlpm.p,F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G21" s="2" cm="1">
        <f t="array" ref="G21">_xlfn.LET(_xlpm.p,G$15,_xlpm.r,$H21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3.3</v>
      </c>
      <c r="H21">
        <v>-11</v>
      </c>
      <c r="T21" t="s">
        <v>1183</v>
      </c>
      <c r="AC21">
        <v>3</v>
      </c>
      <c r="AD21">
        <v>4</v>
      </c>
      <c r="AE21">
        <v>3</v>
      </c>
      <c r="AF21">
        <v>4.9000000000000004</v>
      </c>
      <c r="AG21">
        <v>3</v>
      </c>
      <c r="AH21">
        <v>3.5</v>
      </c>
    </row>
    <row r="22" spans="1:34">
      <c r="A22" s="25" t="s">
        <v>2144</v>
      </c>
      <c r="B22" s="2" cm="1">
        <f t="array" ref="B22">_xlfn.LET(_xlpm.p,B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C22" s="2" cm="1">
        <f t="array" ref="C22">_xlfn.LET(_xlpm.p,C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D22" s="2" cm="1">
        <f t="array" ref="D22">_xlfn.LET(_xlpm.p,D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2.9</v>
      </c>
      <c r="E22" s="2" cm="1">
        <f t="array" ref="E22">_xlfn.LET(_xlpm.p,E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F22" s="2" cm="1">
        <f t="array" ref="F22">_xlfn.LET(_xlpm.p,F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3.2</v>
      </c>
      <c r="G22" s="2" cm="1">
        <f t="array" ref="G22">_xlfn.LET(_xlpm.p,G$15,_xlpm.r,$H22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3.4</v>
      </c>
      <c r="H22">
        <v>-10</v>
      </c>
      <c r="T22" t="s">
        <v>1276</v>
      </c>
      <c r="AC22">
        <v>4</v>
      </c>
      <c r="AD22">
        <v>4</v>
      </c>
      <c r="AE22">
        <v>4</v>
      </c>
      <c r="AF22">
        <v>4.9000000000000004</v>
      </c>
      <c r="AG22">
        <v>4</v>
      </c>
      <c r="AH22">
        <v>3.5</v>
      </c>
    </row>
    <row r="23" spans="1:34">
      <c r="A23" s="25" t="s">
        <v>2145</v>
      </c>
      <c r="B23" s="2" cm="1">
        <f t="array" ref="B23">_xlfn.LET(_xlpm.p,B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3.2</v>
      </c>
      <c r="C23" s="2" cm="1">
        <f t="array" ref="C23">_xlfn.LET(_xlpm.p,C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D23" s="2" cm="1">
        <f t="array" ref="D23">_xlfn.LET(_xlpm.p,D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3.3</v>
      </c>
      <c r="E23" s="2" cm="1">
        <f t="array" ref="E23">_xlfn.LET(_xlpm.p,E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2.9</v>
      </c>
      <c r="F23" s="2" cm="1">
        <f t="array" ref="F23">_xlfn.LET(_xlpm.p,F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3.2</v>
      </c>
      <c r="G23" s="2" cm="1">
        <f t="array" ref="G23">_xlfn.LET(_xlpm.p,G$15,_xlpm.r,$H23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3.4</v>
      </c>
      <c r="H23">
        <v>-9</v>
      </c>
      <c r="T23" t="s">
        <v>21</v>
      </c>
      <c r="AC23">
        <v>5</v>
      </c>
      <c r="AD23">
        <v>4</v>
      </c>
      <c r="AE23">
        <v>5</v>
      </c>
      <c r="AF23">
        <v>4.9000000000000004</v>
      </c>
      <c r="AG23">
        <v>5</v>
      </c>
      <c r="AH23">
        <v>3.5</v>
      </c>
    </row>
    <row r="24" spans="1:34">
      <c r="A24" s="25" t="s">
        <v>2146</v>
      </c>
      <c r="B24" s="2" cm="1">
        <f t="array" ref="B24">_xlfn.LET(_xlpm.p,B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3.2</v>
      </c>
      <c r="C24" s="2" cm="1">
        <f t="array" ref="C24">_xlfn.LET(_xlpm.p,C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3.3</v>
      </c>
      <c r="D24" s="2" cm="1">
        <f t="array" ref="D24">_xlfn.LET(_xlpm.p,D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E24" s="2" cm="1">
        <f t="array" ref="E24">_xlfn.LET(_xlpm.p,E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F24" s="2" cm="1">
        <f t="array" ref="F24">_xlfn.LET(_xlpm.p,F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2.8</v>
      </c>
      <c r="G24" s="2" cm="1">
        <f t="array" ref="G24">_xlfn.LET(_xlpm.p,G$15,_xlpm.r,$H24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3.5</v>
      </c>
      <c r="H24">
        <v>-8</v>
      </c>
      <c r="T24" t="s">
        <v>1469</v>
      </c>
      <c r="AC24">
        <v>6</v>
      </c>
      <c r="AD24">
        <v>4.0999999999999996</v>
      </c>
      <c r="AE24">
        <v>6</v>
      </c>
      <c r="AF24">
        <v>4.9000000000000004</v>
      </c>
      <c r="AG24">
        <v>6</v>
      </c>
      <c r="AH24">
        <v>3.6</v>
      </c>
    </row>
    <row r="25" spans="1:34">
      <c r="A25" s="25" t="s">
        <v>2147</v>
      </c>
      <c r="B25" s="2" cm="1">
        <f t="array" ref="B25">_xlfn.LET(_xlpm.p,B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3.2</v>
      </c>
      <c r="C25" s="2" cm="1">
        <f t="array" ref="C25">_xlfn.LET(_xlpm.p,C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D25" s="2" cm="1">
        <f t="array" ref="D25">_xlfn.LET(_xlpm.p,D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E25" s="2" cm="1">
        <f t="array" ref="E25">_xlfn.LET(_xlpm.p,E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F25" s="2" cm="1">
        <f t="array" ref="F25">_xlfn.LET(_xlpm.p,F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2.7</v>
      </c>
      <c r="G25" s="2" cm="1">
        <f t="array" ref="G25">_xlfn.LET(_xlpm.p,G$15,_xlpm.r,$H25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3.4</v>
      </c>
      <c r="H25">
        <v>-7</v>
      </c>
      <c r="T25" t="s">
        <v>1566</v>
      </c>
      <c r="AE25">
        <v>7</v>
      </c>
      <c r="AF25">
        <v>4.9000000000000004</v>
      </c>
      <c r="AG25">
        <v>7</v>
      </c>
      <c r="AH25">
        <v>3.6</v>
      </c>
    </row>
    <row r="26" spans="1:34">
      <c r="A26" s="25" t="s">
        <v>2148</v>
      </c>
      <c r="B26" s="2" cm="1">
        <f t="array" ref="B26">_xlfn.LET(_xlpm.p,B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3.2</v>
      </c>
      <c r="C26" s="2" cm="1">
        <f t="array" ref="C26">_xlfn.LET(_xlpm.p,C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D26" s="2" cm="1">
        <f t="array" ref="D26">_xlfn.LET(_xlpm.p,D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E26" s="2" cm="1">
        <f t="array" ref="E26">_xlfn.LET(_xlpm.p,E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F26" s="2" cm="1">
        <f t="array" ref="F26">_xlfn.LET(_xlpm.p,F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2.7</v>
      </c>
      <c r="G26" s="2" cm="1">
        <f t="array" ref="G26">_xlfn.LET(_xlpm.p,G$15,_xlpm.r,$H26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3.3</v>
      </c>
      <c r="H26">
        <v>-6</v>
      </c>
      <c r="T26" t="s">
        <v>1663</v>
      </c>
    </row>
    <row r="27" spans="1:34">
      <c r="A27" s="25" t="s">
        <v>2149</v>
      </c>
      <c r="B27" s="2" t="str" cm="1">
        <f t="array" ref="B27">_xlfn.LET(_xlpm.p,B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27" s="2" cm="1">
        <f t="array" ref="C27">_xlfn.LET(_xlpm.p,C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D27" s="2" cm="1">
        <f t="array" ref="D27">_xlfn.LET(_xlpm.p,D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2.9</v>
      </c>
      <c r="E27" s="2" cm="1">
        <f t="array" ref="E27">_xlfn.LET(_xlpm.p,E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F27" s="2" cm="1">
        <f t="array" ref="F27">_xlfn.LET(_xlpm.p,F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2.7</v>
      </c>
      <c r="G27" s="2" cm="1">
        <f t="array" ref="G27">_xlfn.LET(_xlpm.p,G$15,_xlpm.r,$H27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3.5</v>
      </c>
      <c r="H27">
        <v>-5</v>
      </c>
      <c r="T27" t="s">
        <v>1760</v>
      </c>
    </row>
    <row r="28" spans="1:34">
      <c r="A28" s="25" t="s">
        <v>2150</v>
      </c>
      <c r="B28" s="2" t="str" cm="1">
        <f t="array" ref="B28">_xlfn.LET(_xlpm.p,B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28" s="2" cm="1">
        <f t="array" ref="C28">_xlfn.LET(_xlpm.p,C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2.9</v>
      </c>
      <c r="D28" s="2" cm="1">
        <f t="array" ref="D28">_xlfn.LET(_xlpm.p,D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2.6</v>
      </c>
      <c r="E28" s="2" cm="1">
        <f t="array" ref="E28">_xlfn.LET(_xlpm.p,E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2.9</v>
      </c>
      <c r="F28" s="2" cm="1">
        <f t="array" ref="F28">_xlfn.LET(_xlpm.p,F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3.4</v>
      </c>
      <c r="G28" s="2" cm="1">
        <f t="array" ref="G28">_xlfn.LET(_xlpm.p,G$15,_xlpm.r,$H28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3.6</v>
      </c>
      <c r="H28">
        <v>-4</v>
      </c>
      <c r="T28" t="s">
        <v>1857</v>
      </c>
    </row>
    <row r="29" spans="1:34">
      <c r="A29" s="25" t="s">
        <v>2151</v>
      </c>
      <c r="B29" s="2" t="str" cm="1">
        <f t="array" ref="B29">_xlfn.LET(_xlpm.p,B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29" s="2" cm="1">
        <f t="array" ref="C29">_xlfn.LET(_xlpm.p,C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D29" s="2" cm="1">
        <f t="array" ref="D29">_xlfn.LET(_xlpm.p,D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3.3</v>
      </c>
      <c r="E29" s="2" cm="1">
        <f t="array" ref="E29">_xlfn.LET(_xlpm.p,E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2.6</v>
      </c>
      <c r="F29" s="2" cm="1">
        <f t="array" ref="F29">_xlfn.LET(_xlpm.p,F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3.2</v>
      </c>
      <c r="G29" s="2" cm="1">
        <f t="array" ref="G29">_xlfn.LET(_xlpm.p,G$15,_xlpm.r,$H29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3.7</v>
      </c>
      <c r="H29">
        <v>-3</v>
      </c>
      <c r="T29" t="s">
        <v>1954</v>
      </c>
    </row>
    <row r="30" spans="1:34">
      <c r="A30" s="25" t="s">
        <v>2152</v>
      </c>
      <c r="B30" s="2" t="str" cm="1">
        <f t="array" ref="B30">_xlfn.LET(_xlpm.p,B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30" s="2" cm="1">
        <f t="array" ref="C30">_xlfn.LET(_xlpm.p,C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3.2</v>
      </c>
      <c r="D30" s="2" cm="1">
        <f t="array" ref="D30">_xlfn.LET(_xlpm.p,D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3.3</v>
      </c>
      <c r="E30" s="2" cm="1">
        <f t="array" ref="E30">_xlfn.LET(_xlpm.p,E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</v>
      </c>
      <c r="F30" s="2" cm="1">
        <f t="array" ref="F30">_xlfn.LET(_xlpm.p,F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3.3</v>
      </c>
      <c r="G30" s="2" cm="1">
        <f t="array" ref="G30">_xlfn.LET(_xlpm.p,G$15,_xlpm.r,$H30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3.7</v>
      </c>
      <c r="H30">
        <v>-2</v>
      </c>
      <c r="T30" t="s">
        <v>2051</v>
      </c>
    </row>
    <row r="31" spans="1:34">
      <c r="A31" s="25" t="s">
        <v>2153</v>
      </c>
      <c r="B31" s="2" t="str" cm="1">
        <f t="array" ref="B31">_xlfn.LET(_xlpm.p,B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31" s="2" t="str" cm="1">
        <f t="array" ref="C31">_xlfn.LET(_xlpm.p,C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31" s="2" cm="1">
        <f t="array" ref="D31">_xlfn.LET(_xlpm.p,D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3.4</v>
      </c>
      <c r="E31" s="2" cm="1">
        <f t="array" ref="E31">_xlfn.LET(_xlpm.p,E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3.1</v>
      </c>
      <c r="F31" s="2" cm="1">
        <f t="array" ref="F31">_xlfn.LET(_xlpm.p,F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4.0999999999999996</v>
      </c>
      <c r="G31" s="2" cm="1">
        <f t="array" ref="G31">_xlfn.LET(_xlpm.p,G$15,_xlpm.r,$H31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3.5</v>
      </c>
      <c r="H31">
        <v>-1</v>
      </c>
    </row>
    <row r="32" spans="1:34">
      <c r="A32" s="24" t="s">
        <v>2130</v>
      </c>
      <c r="B32" s="2" t="str" cm="1">
        <f t="array" ref="B32">_xlfn.LET(_xlpm.p,B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32" s="2" t="str" cm="1">
        <f t="array" ref="C32">_xlfn.LET(_xlpm.p,C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32" s="2" cm="1">
        <f t="array" ref="D32">_xlfn.LET(_xlpm.p,D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3.7</v>
      </c>
      <c r="E32" s="2" cm="1">
        <f t="array" ref="E32">_xlfn.LET(_xlpm.p,E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3.6</v>
      </c>
      <c r="F32" s="2" cm="1">
        <f t="array" ref="F32">_xlfn.LET(_xlpm.p,F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4.5999999999999996</v>
      </c>
      <c r="G32" s="2" cm="1">
        <f t="array" ref="G32">_xlfn.LET(_xlpm.p,G$15,_xlpm.r,$H32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3.4</v>
      </c>
      <c r="H32">
        <v>0</v>
      </c>
    </row>
    <row r="33" spans="1:8">
      <c r="A33" s="25" t="s">
        <v>2154</v>
      </c>
      <c r="B33" s="2" t="str" cm="1">
        <f t="array" ref="B33">_xlfn.LET(_xlpm.p,B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33" s="2" t="str" cm="1">
        <f t="array" ref="C33">_xlfn.LET(_xlpm.p,C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33" s="2" cm="1">
        <f t="array" ref="D33">_xlfn.LET(_xlpm.p,D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3.7</v>
      </c>
      <c r="E33" s="2" cm="1">
        <f t="array" ref="E33">_xlfn.LET(_xlpm.p,E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3.9</v>
      </c>
      <c r="F33" s="2" cm="1">
        <f t="array" ref="F33">_xlfn.LET(_xlpm.p,F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5</v>
      </c>
      <c r="G33" s="2" cm="1">
        <f t="array" ref="G33">_xlfn.LET(_xlpm.p,G$15,_xlpm.r,$H33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3.4</v>
      </c>
      <c r="H33">
        <v>1</v>
      </c>
    </row>
    <row r="34" spans="1:8">
      <c r="A34" s="25" t="s">
        <v>2155</v>
      </c>
      <c r="B34" s="2" t="str" cm="1">
        <f t="array" ref="B34">_xlfn.LET(_xlpm.p,B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34" s="2" t="str" cm="1">
        <f t="array" ref="C34">_xlfn.LET(_xlpm.p,C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34" s="2" cm="1">
        <f t="array" ref="D34">_xlfn.LET(_xlpm.p,D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3.7</v>
      </c>
      <c r="E34" s="2" cm="1">
        <f t="array" ref="E34">_xlfn.LET(_xlpm.p,E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</v>
      </c>
      <c r="F34" s="2" cm="1">
        <f t="array" ref="F34">_xlfn.LET(_xlpm.p,F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4.9000000000000004</v>
      </c>
      <c r="G34" s="2" cm="1">
        <f t="array" ref="G34">_xlfn.LET(_xlpm.p,G$15,_xlpm.r,$H34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3.4</v>
      </c>
      <c r="H34">
        <v>2</v>
      </c>
    </row>
    <row r="35" spans="1:8">
      <c r="A35" s="25" t="s">
        <v>2156</v>
      </c>
      <c r="B35" s="2" t="str" cm="1">
        <f t="array" ref="B35">_xlfn.LET(_xlpm.p,B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35" s="2" t="str" cm="1">
        <f t="array" ref="C35">_xlfn.LET(_xlpm.p,C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35" s="2" t="str" cm="1">
        <f t="array" ref="D35">_xlfn.LET(_xlpm.p,D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35" s="2" cm="1">
        <f t="array" ref="E35">_xlfn.LET(_xlpm.p,E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</v>
      </c>
      <c r="F35" s="2" cm="1">
        <f t="array" ref="F35">_xlfn.LET(_xlpm.p,F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4.9000000000000004</v>
      </c>
      <c r="G35" s="2" cm="1">
        <f t="array" ref="G35">_xlfn.LET(_xlpm.p,G$15,_xlpm.r,$H35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3.5</v>
      </c>
      <c r="H35">
        <v>3</v>
      </c>
    </row>
    <row r="36" spans="1:8">
      <c r="A36" s="25" t="s">
        <v>2157</v>
      </c>
      <c r="B36" s="2" t="str" cm="1">
        <f t="array" ref="B36">_xlfn.LET(_xlpm.p,B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36" s="2" t="str" cm="1">
        <f t="array" ref="C36">_xlfn.LET(_xlpm.p,C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36" s="2" t="str" cm="1">
        <f t="array" ref="D36">_xlfn.LET(_xlpm.p,D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36" s="2" cm="1">
        <f t="array" ref="E36">_xlfn.LET(_xlpm.p,E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</v>
      </c>
      <c r="F36" s="2" cm="1">
        <f t="array" ref="F36">_xlfn.LET(_xlpm.p,F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4.9000000000000004</v>
      </c>
      <c r="G36" s="2" cm="1">
        <f t="array" ref="G36">_xlfn.LET(_xlpm.p,G$15,_xlpm.r,$H36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3.5</v>
      </c>
      <c r="H36">
        <v>4</v>
      </c>
    </row>
    <row r="37" spans="1:8">
      <c r="A37" s="25" t="s">
        <v>2158</v>
      </c>
      <c r="B37" s="2" t="str" cm="1">
        <f t="array" ref="B37">_xlfn.LET(_xlpm.p,B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37" s="2" t="str" cm="1">
        <f t="array" ref="C37">_xlfn.LET(_xlpm.p,C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37" s="2" t="str" cm="1">
        <f t="array" ref="D37">_xlfn.LET(_xlpm.p,D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37" s="2" cm="1">
        <f t="array" ref="E37">_xlfn.LET(_xlpm.p,E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</v>
      </c>
      <c r="F37" s="2" cm="1">
        <f t="array" ref="F37">_xlfn.LET(_xlpm.p,F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4.9000000000000004</v>
      </c>
      <c r="G37" s="2" cm="1">
        <f t="array" ref="G37">_xlfn.LET(_xlpm.p,G$15,_xlpm.r,$H37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3.5</v>
      </c>
      <c r="H37">
        <v>5</v>
      </c>
    </row>
    <row r="38" spans="1:8">
      <c r="A38" s="25" t="s">
        <v>2159</v>
      </c>
      <c r="B38" s="2" t="str" cm="1">
        <f t="array" ref="B38">_xlfn.LET(_xlpm.p,B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38" s="2" t="str" cm="1">
        <f t="array" ref="C38">_xlfn.LET(_xlpm.p,C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38" s="2" t="str" cm="1">
        <f t="array" ref="D38">_xlfn.LET(_xlpm.p,D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38" s="2" cm="1">
        <f t="array" ref="E38">_xlfn.LET(_xlpm.p,E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4.0999999999999996</v>
      </c>
      <c r="F38" s="2" cm="1">
        <f t="array" ref="F38">_xlfn.LET(_xlpm.p,F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4.9000000000000004</v>
      </c>
      <c r="G38" s="2" cm="1">
        <f t="array" ref="G38">_xlfn.LET(_xlpm.p,G$15,_xlpm.r,$H38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3.6</v>
      </c>
      <c r="H38">
        <v>6</v>
      </c>
    </row>
    <row r="39" spans="1:8">
      <c r="A39" s="25" t="s">
        <v>2160</v>
      </c>
      <c r="B39" s="2" t="str" cm="1">
        <f t="array" ref="B39">_xlfn.LET(_xlpm.p,B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39" s="2" t="str" cm="1">
        <f t="array" ref="C39">_xlfn.LET(_xlpm.p,C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39" s="2" t="str" cm="1">
        <f t="array" ref="D39">_xlfn.LET(_xlpm.p,D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39" s="2" t="str" cm="1">
        <f t="array" ref="E39">_xlfn.LET(_xlpm.p,E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F39" s="2" cm="1">
        <f t="array" ref="F39">_xlfn.LET(_xlpm.p,F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4.9000000000000004</v>
      </c>
      <c r="G39" s="2" cm="1">
        <f t="array" ref="G39">_xlfn.LET(_xlpm.p,G$15,_xlpm.r,$H39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>3.6</v>
      </c>
      <c r="H39">
        <v>7</v>
      </c>
    </row>
    <row r="40" spans="1:8">
      <c r="A40" s="25" t="s">
        <v>2161</v>
      </c>
      <c r="B40" s="2" t="str" cm="1">
        <f t="array" ref="B40">_xlfn.LET(_xlpm.p,B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40" s="2" t="str" cm="1">
        <f t="array" ref="C40">_xlfn.LET(_xlpm.p,C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40" s="2" t="str" cm="1">
        <f t="array" ref="D40">_xlfn.LET(_xlpm.p,D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40" s="2" t="str" cm="1">
        <f t="array" ref="E40">_xlfn.LET(_xlpm.p,E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F40" s="2" t="str" cm="1">
        <f t="array" ref="F40">_xlfn.LET(_xlpm.p,F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G40" s="2" t="str" cm="1">
        <f t="array" ref="G40">_xlfn.LET(_xlpm.p,G$15,_xlpm.r,$H40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H40">
        <v>8</v>
      </c>
    </row>
    <row r="41" spans="1:8">
      <c r="A41" s="25" t="s">
        <v>2162</v>
      </c>
      <c r="B41" s="2" t="str" cm="1">
        <f t="array" ref="B41">_xlfn.LET(_xlpm.p,B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41" s="2" t="str" cm="1">
        <f t="array" ref="C41">_xlfn.LET(_xlpm.p,C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41" s="2" t="str" cm="1">
        <f t="array" ref="D41">_xlfn.LET(_xlpm.p,D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41" s="2" t="str" cm="1">
        <f t="array" ref="E41">_xlfn.LET(_xlpm.p,E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F41" s="2" t="str" cm="1">
        <f t="array" ref="F41">_xlfn.LET(_xlpm.p,F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G41" s="2" t="str" cm="1">
        <f t="array" ref="G41">_xlfn.LET(_xlpm.p,G$15,_xlpm.r,$H41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H41">
        <v>9</v>
      </c>
    </row>
    <row r="42" spans="1:8">
      <c r="A42" s="25" t="s">
        <v>2163</v>
      </c>
      <c r="B42" s="2" t="str" cm="1">
        <f t="array" ref="B42">_xlfn.LET(_xlpm.p,B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42" s="2" t="str" cm="1">
        <f t="array" ref="C42">_xlfn.LET(_xlpm.p,C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42" s="2" t="str" cm="1">
        <f t="array" ref="D42">_xlfn.LET(_xlpm.p,D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42" s="2" t="str" cm="1">
        <f t="array" ref="E42">_xlfn.LET(_xlpm.p,E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F42" s="2" t="str" cm="1">
        <f t="array" ref="F42">_xlfn.LET(_xlpm.p,F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G42" s="2" t="str" cm="1">
        <f t="array" ref="G42">_xlfn.LET(_xlpm.p,G$15,_xlpm.r,$H42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H42">
        <v>10</v>
      </c>
    </row>
    <row r="43" spans="1:8">
      <c r="A43" s="25" t="s">
        <v>2164</v>
      </c>
      <c r="B43" s="2" t="str" cm="1">
        <f t="array" ref="B43">_xlfn.LET(_xlpm.p,B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43" s="2" t="str" cm="1">
        <f t="array" ref="C43">_xlfn.LET(_xlpm.p,C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43" s="2" t="str" cm="1">
        <f t="array" ref="D43">_xlfn.LET(_xlpm.p,D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43" s="2" t="str" cm="1">
        <f t="array" ref="E43">_xlfn.LET(_xlpm.p,E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F43" s="2" t="str" cm="1">
        <f t="array" ref="F43">_xlfn.LET(_xlpm.p,F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G43" s="2" t="str" cm="1">
        <f t="array" ref="G43">_xlfn.LET(_xlpm.p,G$15,_xlpm.r,$H43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H43">
        <v>11</v>
      </c>
    </row>
    <row r="44" spans="1:8">
      <c r="A44" s="25" t="s">
        <v>2165</v>
      </c>
      <c r="B44" s="2" t="str" cm="1">
        <f t="array" ref="B44">_xlfn.LET(_xlpm.p,B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44" s="2" t="str" cm="1">
        <f t="array" ref="C44">_xlfn.LET(_xlpm.p,C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44" s="2" t="str" cm="1">
        <f t="array" ref="D44">_xlfn.LET(_xlpm.p,D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44" s="2" t="str" cm="1">
        <f t="array" ref="E44">_xlfn.LET(_xlpm.p,E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F44" s="2" t="str" cm="1">
        <f t="array" ref="F44">_xlfn.LET(_xlpm.p,F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G44" s="2" t="str" cm="1">
        <f t="array" ref="G44">_xlfn.LET(_xlpm.p,G$15,_xlpm.r,$H44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H44">
        <v>12</v>
      </c>
    </row>
    <row r="45" spans="1:8">
      <c r="A45" s="25" t="s">
        <v>2166</v>
      </c>
      <c r="B45" s="2" t="str" cm="1">
        <f t="array" ref="B45">_xlfn.LET(_xlpm.p,B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45" s="2" t="str" cm="1">
        <f t="array" ref="C45">_xlfn.LET(_xlpm.p,C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45" s="2" t="str" cm="1">
        <f t="array" ref="D45">_xlfn.LET(_xlpm.p,D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45" s="2" t="str" cm="1">
        <f t="array" ref="E45">_xlfn.LET(_xlpm.p,E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F45" s="2" t="str" cm="1">
        <f t="array" ref="F45">_xlfn.LET(_xlpm.p,F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G45" s="2" t="str" cm="1">
        <f t="array" ref="G45">_xlfn.LET(_xlpm.p,G$15,_xlpm.r,$H45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H45">
        <v>13</v>
      </c>
    </row>
    <row r="46" spans="1:8">
      <c r="A46" s="25" t="s">
        <v>2167</v>
      </c>
      <c r="B46" s="2" t="str" cm="1">
        <f t="array" ref="B46">_xlfn.LET(_xlpm.p,B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46" s="2" t="str" cm="1">
        <f t="array" ref="C46">_xlfn.LET(_xlpm.p,C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46" s="2" t="str" cm="1">
        <f t="array" ref="D46">_xlfn.LET(_xlpm.p,D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46" s="2" t="str" cm="1">
        <f t="array" ref="E46">_xlfn.LET(_xlpm.p,E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F46" s="2" t="str" cm="1">
        <f t="array" ref="F46">_xlfn.LET(_xlpm.p,F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G46" s="2" t="str" cm="1">
        <f t="array" ref="G46">_xlfn.LET(_xlpm.p,G$15,_xlpm.r,$H46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H46">
        <v>14</v>
      </c>
    </row>
    <row r="47" spans="1:8">
      <c r="A47" s="25" t="s">
        <v>2168</v>
      </c>
      <c r="B47" s="2" t="str" cm="1">
        <f t="array" ref="B47">_xlfn.LET(_xlpm.p,B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47" s="2" t="str" cm="1">
        <f t="array" ref="C47">_xlfn.LET(_xlpm.p,C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47" s="2" t="str" cm="1">
        <f t="array" ref="D47">_xlfn.LET(_xlpm.p,D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47" s="2" t="str" cm="1">
        <f t="array" ref="E47">_xlfn.LET(_xlpm.p,E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F47" s="2" t="str" cm="1">
        <f t="array" ref="F47">_xlfn.LET(_xlpm.p,F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G47" s="2" t="str" cm="1">
        <f t="array" ref="G47">_xlfn.LET(_xlpm.p,G$15,_xlpm.r,$H47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H47">
        <v>15</v>
      </c>
    </row>
    <row r="48" spans="1:8">
      <c r="A48" s="25" t="s">
        <v>2169</v>
      </c>
      <c r="B48" s="2" t="str" cm="1">
        <f t="array" ref="B48">_xlfn.LET(_xlpm.p,B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C48" s="2" t="str" cm="1">
        <f t="array" ref="C48">_xlfn.LET(_xlpm.p,C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D48" s="2" t="str" cm="1">
        <f t="array" ref="D48">_xlfn.LET(_xlpm.p,D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E48" s="2" t="str" cm="1">
        <f t="array" ref="E48">_xlfn.LET(_xlpm.p,E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F48" s="2" t="str" cm="1">
        <f t="array" ref="F48">_xlfn.LET(_xlpm.p,F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G48" s="2" t="str" cm="1">
        <f t="array" ref="G48">_xlfn.LET(_xlpm.p,G$15,_xlpm.r,$H48,_xlpm.cat,$B$3,_xlpm.qEnd,DATE(VALUE(LEFT(_xlpm.p,4)),VALUE(RIGHT(_xlpm.p,1))*3+1,0),_xlpm.decDates,Decisiones!$B$2:$B$58,_xlpm.d0,IFERROR(_xlfn.XMATCH(_xlpm.qEnd,_xlpm.decDates,-1),0),_xlpm.targetIdx,_xlpm.d0+_xlpm.r,_xlpm.targetDate,IF(OR(_xlpm.targetIdx&lt;1,_xlpm.targetIdx&gt;ROWS(_xlpm.decDates)),"",INDEX(_xlpm.decDates,_xlpm.targetIdx)),_xlpm.mask,(Pronosticos!$H$2:$H$1989=_xlpm.p)*(Pronosticos!$D$2:$D$1989=_xlpm.cat),_xlpm.dates,_xlfn._xlws.FILTER(Pronosticos!$C$2:$C$1989,_xlpm.mask,""),_xlpm.vals,_xlfn._xlws.FILTER(Pronosticos!$I$2:$I$1989,_xlpm.mask,""),IF(OR(_xlpm.p="",_xlpm.targetDate=""),"",IFERROR(_xlfn.XLOOKUP(_xlpm.targetDate,_xlpm.dates,_xlpm.vals,""),"")))</f>
        <v/>
      </c>
      <c r="H48">
        <v>16</v>
      </c>
    </row>
  </sheetData>
  <mergeCells count="4">
    <mergeCell ref="A1:S1"/>
    <mergeCell ref="A5:B5"/>
    <mergeCell ref="D5:G5"/>
    <mergeCell ref="A14:G14"/>
  </mergeCells>
  <dataValidations count="2">
    <dataValidation type="list" allowBlank="1" showInputMessage="1" showErrorMessage="1" sqref="B3" xr:uid="{46E491E6-8CB5-4225-BC55-1F864549D660}">
      <formula1>$U$2:$U$5</formula1>
    </dataValidation>
    <dataValidation type="list" allowBlank="1" showInputMessage="1" showErrorMessage="1" sqref="B6:B11" xr:uid="{BA23E966-9EB5-41CD-8451-566D0834E5EB}">
      <formula1>$T$2:$T$30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B2AA3-310B-4C65-BB36-650BE41A2346}">
  <sheetPr codeName="Sheet20"/>
  <dimension ref="A1:T53"/>
  <sheetViews>
    <sheetView zoomScale="90" zoomScaleNormal="90" workbookViewId="0">
      <selection sqref="A1:Q1"/>
    </sheetView>
  </sheetViews>
  <sheetFormatPr defaultRowHeight="13.8"/>
  <cols>
    <col min="1" max="1" width="33" customWidth="1"/>
    <col min="2" max="5" width="24" customWidth="1"/>
    <col min="20" max="20" width="9.8984375" hidden="1" customWidth="1"/>
  </cols>
  <sheetData>
    <row r="1" spans="1:20" ht="30" customHeight="1">
      <c r="A1" s="63" t="s">
        <v>2117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</row>
    <row r="2" spans="1:20">
      <c r="B2" s="19">
        <f>B3</f>
        <v>46240</v>
      </c>
    </row>
    <row r="3" spans="1:20">
      <c r="A3" s="11" t="s">
        <v>28</v>
      </c>
      <c r="B3" s="17">
        <v>46240</v>
      </c>
    </row>
    <row r="5" spans="1:20">
      <c r="A5" s="4" t="s">
        <v>22</v>
      </c>
      <c r="B5" s="13" t="s">
        <v>23</v>
      </c>
    </row>
    <row r="6" spans="1:20">
      <c r="A6" s="5" t="s">
        <v>24</v>
      </c>
      <c r="B6" s="14" t="s">
        <v>23</v>
      </c>
    </row>
    <row r="7" spans="1:20">
      <c r="A7" s="5" t="s">
        <v>25</v>
      </c>
      <c r="B7" s="14" t="s">
        <v>23</v>
      </c>
    </row>
    <row r="8" spans="1:20">
      <c r="A8" s="6" t="s">
        <v>26</v>
      </c>
      <c r="B8" s="15" t="s">
        <v>23</v>
      </c>
    </row>
    <row r="10" spans="1:20">
      <c r="A10" s="66" t="s">
        <v>2118</v>
      </c>
      <c r="B10" s="66"/>
      <c r="C10" s="66"/>
      <c r="D10" s="66"/>
      <c r="E10" s="66"/>
    </row>
    <row r="11" spans="1:20" ht="27.6">
      <c r="A11" s="10" t="s">
        <v>2119</v>
      </c>
      <c r="B11" s="10" t="s">
        <v>22</v>
      </c>
      <c r="C11" s="10" t="s">
        <v>24</v>
      </c>
      <c r="D11" s="10" t="s">
        <v>25</v>
      </c>
      <c r="E11" s="10" t="s">
        <v>26</v>
      </c>
    </row>
    <row r="12" spans="1:20">
      <c r="A12" s="18" t="str" cm="1">
        <f t="array" ref="A12:A23">_xlfn._xlws.SORT(_xlfn.UNIQUE(_xlfn._xlws.FILTER(Pronosticos!$H$2:$H$1989,Pronosticos!$C$2:$C$1989=$B$3,"")))</f>
        <v>2025-T3</v>
      </c>
      <c r="B12" s="2" cm="1">
        <f t="array" ref="B12:B23">IF($B$5="☒",_xlfn._xlws.FILTER(Pronosticos!$I$2:$I$1989,(Pronosticos!$C$2:$C$1989=$B$3)*(Pronosticos!$D$2:$D$1989="INPC"),""),"")</f>
        <v>3.6</v>
      </c>
      <c r="C12" s="2" cm="1">
        <f t="array" ref="C12:C23">IF($B$6="☒",_xlfn._xlws.FILTER(Pronosticos!$I$2:$I$1989,(Pronosticos!$C$2:$C$1989=$B$3)*(Pronosticos!$D$2:$D$1989="SUB"),""),"")</f>
        <v>4.2</v>
      </c>
      <c r="D12" s="2" cm="1">
        <f t="array" ref="D12:D23">IF($B$7="☒",_xlfn._xlws.FILTER(Pronosticos!$I$2:$I$1989,(Pronosticos!$C$2:$C$1989=$B$3)*(Pronosticos!$D$2:$D$1989="INPC_DES"),""),"")</f>
        <v>3.6</v>
      </c>
      <c r="E12" s="2" cm="1">
        <f t="array" ref="E12:E23">IF($B$8="☒",_xlfn._xlws.FILTER(Pronosticos!$I$2:$I$1989,(Pronosticos!$C$2:$C$1989=$B$3)*(Pronosticos!$D$2:$D$1989="SUB_DES"),""),"")</f>
        <v>4.4000000000000004</v>
      </c>
      <c r="T12" s="1">
        <v>44371</v>
      </c>
    </row>
    <row r="13" spans="1:20">
      <c r="A13" s="18" t="str">
        <v>2025-T4</v>
      </c>
      <c r="B13" s="2">
        <v>3.7</v>
      </c>
      <c r="C13" s="2">
        <v>4.3</v>
      </c>
      <c r="D13" s="2">
        <v>3.4</v>
      </c>
      <c r="E13" s="2">
        <v>4</v>
      </c>
      <c r="T13" s="1">
        <v>44420</v>
      </c>
    </row>
    <row r="14" spans="1:20">
      <c r="A14" s="18" t="str">
        <v>2026-T1</v>
      </c>
      <c r="B14" s="2">
        <v>4.0999999999999996</v>
      </c>
      <c r="C14" s="2">
        <v>4.5</v>
      </c>
      <c r="D14" s="2">
        <v>4.5</v>
      </c>
      <c r="E14" s="2">
        <v>4.5999999999999996</v>
      </c>
      <c r="T14" s="1">
        <v>44469</v>
      </c>
    </row>
    <row r="15" spans="1:20">
      <c r="A15" s="18" t="str">
        <v>2026-T2</v>
      </c>
      <c r="B15" s="2">
        <v>3.9</v>
      </c>
      <c r="C15" s="2">
        <v>4.2</v>
      </c>
      <c r="D15" s="2">
        <v>4.0999999999999996</v>
      </c>
      <c r="E15" s="2">
        <v>3.7</v>
      </c>
      <c r="T15" s="1">
        <v>44511</v>
      </c>
    </row>
    <row r="16" spans="1:20">
      <c r="A16" s="18" t="str">
        <v>2026-T3</v>
      </c>
      <c r="B16" s="2">
        <v>3.5</v>
      </c>
      <c r="C16" s="2">
        <v>3.8</v>
      </c>
      <c r="D16" s="2">
        <v>2.5</v>
      </c>
      <c r="E16" s="2">
        <v>3.3</v>
      </c>
      <c r="T16" s="1">
        <v>44546</v>
      </c>
    </row>
    <row r="17" spans="1:20">
      <c r="A17" s="18" t="str">
        <v>2026-T4</v>
      </c>
      <c r="B17" s="2">
        <v>3.5</v>
      </c>
      <c r="C17" s="2">
        <v>3.5</v>
      </c>
      <c r="D17" s="2">
        <v>3.5</v>
      </c>
      <c r="E17" s="2">
        <v>3.1</v>
      </c>
      <c r="T17" s="1">
        <v>44602</v>
      </c>
    </row>
    <row r="18" spans="1:20">
      <c r="A18" s="18" t="str">
        <v>2027-T1</v>
      </c>
      <c r="B18" s="2">
        <v>3.4</v>
      </c>
      <c r="C18" s="2">
        <v>3.4</v>
      </c>
      <c r="D18" s="2">
        <v>3.3</v>
      </c>
      <c r="E18" s="2">
        <v>3.1</v>
      </c>
      <c r="T18" s="1">
        <v>44644</v>
      </c>
    </row>
    <row r="19" spans="1:20">
      <c r="A19" s="18" t="str">
        <v>2027-T2</v>
      </c>
      <c r="B19" s="2">
        <v>3.3</v>
      </c>
      <c r="C19" s="2">
        <v>3.3</v>
      </c>
      <c r="D19" s="2">
        <v>3.1</v>
      </c>
      <c r="E19" s="2">
        <v>3.2</v>
      </c>
      <c r="T19" s="1">
        <v>44693</v>
      </c>
    </row>
    <row r="20" spans="1:20">
      <c r="A20" s="18" t="str">
        <v>2027-T3</v>
      </c>
      <c r="B20" s="2">
        <v>3.2</v>
      </c>
      <c r="C20" s="2">
        <v>3.2</v>
      </c>
      <c r="D20" s="2">
        <v>2.6</v>
      </c>
      <c r="E20" s="2">
        <v>2.9</v>
      </c>
      <c r="T20" s="1">
        <v>44735</v>
      </c>
    </row>
    <row r="21" spans="1:20">
      <c r="A21" s="18" t="str">
        <v>2027-T4</v>
      </c>
      <c r="B21" s="2">
        <v>3</v>
      </c>
      <c r="C21" s="2">
        <v>3</v>
      </c>
      <c r="D21" s="2">
        <v>3.3</v>
      </c>
      <c r="E21" s="2">
        <v>3</v>
      </c>
      <c r="T21" s="1">
        <v>44784</v>
      </c>
    </row>
    <row r="22" spans="1:20">
      <c r="A22" s="18" t="str">
        <v>2028-T1</v>
      </c>
      <c r="B22" s="2">
        <v>3</v>
      </c>
      <c r="C22" s="2">
        <v>3</v>
      </c>
      <c r="D22" s="2">
        <v>3.1</v>
      </c>
      <c r="E22" s="2">
        <v>3</v>
      </c>
      <c r="T22" s="1">
        <v>44833</v>
      </c>
    </row>
    <row r="23" spans="1:20">
      <c r="A23" s="18" t="str">
        <v>2028-T2</v>
      </c>
      <c r="B23" s="2">
        <v>3</v>
      </c>
      <c r="C23" s="2">
        <v>3</v>
      </c>
      <c r="D23" s="2">
        <v>3</v>
      </c>
      <c r="E23" s="2">
        <v>3.1</v>
      </c>
      <c r="T23" s="1">
        <v>44875</v>
      </c>
    </row>
    <row r="24" spans="1:20">
      <c r="A24" s="18"/>
      <c r="B24" s="2"/>
      <c r="C24" s="2"/>
      <c r="D24" s="2"/>
      <c r="E24" s="2"/>
      <c r="T24" s="1">
        <v>44910</v>
      </c>
    </row>
    <row r="25" spans="1:20">
      <c r="A25" s="16"/>
      <c r="B25" s="2"/>
      <c r="C25" s="2"/>
      <c r="D25" s="2"/>
      <c r="E25" s="2"/>
      <c r="T25" s="1">
        <v>44966</v>
      </c>
    </row>
    <row r="26" spans="1:20">
      <c r="A26" s="16"/>
      <c r="B26" s="2"/>
      <c r="C26" s="2"/>
      <c r="D26" s="2"/>
      <c r="E26" s="2"/>
      <c r="T26" s="1">
        <v>45015</v>
      </c>
    </row>
    <row r="27" spans="1:20">
      <c r="A27" s="16"/>
      <c r="B27" s="2"/>
      <c r="C27" s="2"/>
      <c r="D27" s="2"/>
      <c r="E27" s="2"/>
      <c r="T27" s="1">
        <v>45064</v>
      </c>
    </row>
    <row r="28" spans="1:20">
      <c r="A28" s="16"/>
      <c r="B28" s="2"/>
      <c r="C28" s="2"/>
      <c r="D28" s="2"/>
      <c r="E28" s="2"/>
      <c r="T28" s="1">
        <v>45099</v>
      </c>
    </row>
    <row r="29" spans="1:20">
      <c r="A29" s="16"/>
      <c r="B29" s="2"/>
      <c r="C29" s="2"/>
      <c r="D29" s="2"/>
      <c r="E29" s="2"/>
      <c r="T29" s="1">
        <v>45148</v>
      </c>
    </row>
    <row r="30" spans="1:20">
      <c r="A30" s="16"/>
      <c r="B30" s="2"/>
      <c r="C30" s="2"/>
      <c r="D30" s="2"/>
      <c r="E30" s="2"/>
      <c r="T30" s="1">
        <v>45197</v>
      </c>
    </row>
    <row r="31" spans="1:20">
      <c r="A31" s="16"/>
      <c r="B31" s="2"/>
      <c r="C31" s="2"/>
      <c r="D31" s="2"/>
      <c r="E31" s="2"/>
      <c r="T31" s="1">
        <v>45239</v>
      </c>
    </row>
    <row r="32" spans="1:20">
      <c r="A32" s="16"/>
      <c r="B32" s="2"/>
      <c r="C32" s="2"/>
      <c r="D32" s="2"/>
      <c r="E32" s="2"/>
      <c r="T32" s="1">
        <v>45274</v>
      </c>
    </row>
    <row r="33" spans="1:20">
      <c r="A33" s="16"/>
      <c r="B33" s="2"/>
      <c r="C33" s="2"/>
      <c r="D33" s="2"/>
      <c r="E33" s="2"/>
      <c r="T33" s="1">
        <v>45330</v>
      </c>
    </row>
    <row r="34" spans="1:20">
      <c r="A34" s="16"/>
      <c r="B34" s="2"/>
      <c r="C34" s="2"/>
      <c r="D34" s="2"/>
      <c r="E34" s="2"/>
      <c r="T34" s="1">
        <v>45372</v>
      </c>
    </row>
    <row r="35" spans="1:20">
      <c r="A35" s="16"/>
      <c r="B35" s="2"/>
      <c r="C35" s="2"/>
      <c r="D35" s="2"/>
      <c r="E35" s="2"/>
      <c r="T35" s="1">
        <v>45421</v>
      </c>
    </row>
    <row r="36" spans="1:20">
      <c r="A36" s="16"/>
      <c r="B36" s="2"/>
      <c r="C36" s="2"/>
      <c r="D36" s="2"/>
      <c r="E36" s="2"/>
      <c r="T36" s="1">
        <v>45470</v>
      </c>
    </row>
    <row r="37" spans="1:20">
      <c r="A37" s="16"/>
      <c r="B37" s="2"/>
      <c r="C37" s="2"/>
      <c r="D37" s="2"/>
      <c r="E37" s="2"/>
      <c r="T37" s="1">
        <v>45512</v>
      </c>
    </row>
    <row r="38" spans="1:20">
      <c r="A38" s="16"/>
      <c r="B38" s="2"/>
      <c r="C38" s="2"/>
      <c r="D38" s="2"/>
      <c r="E38" s="2"/>
      <c r="T38" s="1">
        <v>45561</v>
      </c>
    </row>
    <row r="39" spans="1:20">
      <c r="A39" s="16"/>
      <c r="B39" s="2"/>
      <c r="C39" s="2"/>
      <c r="D39" s="2"/>
      <c r="E39" s="2"/>
      <c r="T39" s="1">
        <v>45610</v>
      </c>
    </row>
    <row r="40" spans="1:20">
      <c r="A40" s="16"/>
      <c r="B40" s="2"/>
      <c r="C40" s="2"/>
      <c r="D40" s="2"/>
      <c r="E40" s="2"/>
      <c r="T40" s="1">
        <v>45645</v>
      </c>
    </row>
    <row r="41" spans="1:20">
      <c r="A41" s="16"/>
      <c r="B41" s="2"/>
      <c r="C41" s="2"/>
      <c r="D41" s="2"/>
      <c r="E41" s="2"/>
      <c r="T41" s="1">
        <v>45694</v>
      </c>
    </row>
    <row r="42" spans="1:20">
      <c r="A42" s="16"/>
      <c r="B42" s="2"/>
      <c r="C42" s="2"/>
      <c r="D42" s="2"/>
      <c r="E42" s="2"/>
      <c r="T42" s="1">
        <v>45743</v>
      </c>
    </row>
    <row r="43" spans="1:20">
      <c r="A43" s="16"/>
      <c r="B43" s="2"/>
      <c r="C43" s="2"/>
      <c r="D43" s="2"/>
      <c r="E43" s="2"/>
      <c r="T43" s="1">
        <v>45792</v>
      </c>
    </row>
    <row r="44" spans="1:20">
      <c r="A44" s="16"/>
      <c r="B44" s="2"/>
      <c r="C44" s="2"/>
      <c r="D44" s="2"/>
      <c r="E44" s="2"/>
      <c r="T44" s="1">
        <v>45834</v>
      </c>
    </row>
    <row r="45" spans="1:20">
      <c r="A45" s="16"/>
      <c r="B45" s="2"/>
      <c r="C45" s="2"/>
      <c r="D45" s="2"/>
      <c r="E45" s="2"/>
      <c r="T45" s="1">
        <v>45876</v>
      </c>
    </row>
    <row r="46" spans="1:20">
      <c r="A46" s="16"/>
      <c r="B46" s="2"/>
      <c r="C46" s="2"/>
      <c r="D46" s="2"/>
      <c r="E46" s="2"/>
      <c r="T46" s="1">
        <v>45925</v>
      </c>
    </row>
    <row r="47" spans="1:20">
      <c r="A47" s="16"/>
      <c r="B47" s="2"/>
      <c r="C47" s="2"/>
      <c r="D47" s="2"/>
      <c r="E47" s="2"/>
      <c r="T47" s="1">
        <v>45967</v>
      </c>
    </row>
    <row r="48" spans="1:20">
      <c r="A48" s="16"/>
      <c r="B48" s="2"/>
      <c r="C48" s="2"/>
      <c r="D48" s="2"/>
      <c r="E48" s="2"/>
      <c r="T48" s="1">
        <v>46009</v>
      </c>
    </row>
    <row r="49" spans="1:20">
      <c r="A49" s="16"/>
      <c r="B49" s="2"/>
      <c r="C49" s="2"/>
      <c r="D49" s="2"/>
      <c r="E49" s="2"/>
      <c r="T49" s="1">
        <v>46058</v>
      </c>
    </row>
    <row r="50" spans="1:20">
      <c r="A50" s="16"/>
      <c r="B50" s="2"/>
      <c r="C50" s="2"/>
      <c r="D50" s="2"/>
      <c r="E50" s="2"/>
      <c r="T50" s="1">
        <v>46107</v>
      </c>
    </row>
    <row r="51" spans="1:20">
      <c r="A51" s="16"/>
      <c r="B51" s="2"/>
      <c r="C51" s="2"/>
      <c r="D51" s="2"/>
      <c r="E51" s="2"/>
      <c r="T51" s="1">
        <v>46149</v>
      </c>
    </row>
    <row r="52" spans="1:20">
      <c r="A52" s="16"/>
      <c r="B52" s="2"/>
      <c r="C52" s="2"/>
      <c r="D52" s="2"/>
      <c r="E52" s="2"/>
      <c r="T52" s="1">
        <v>46198</v>
      </c>
    </row>
    <row r="53" spans="1:20">
      <c r="A53" s="16"/>
      <c r="B53" s="2"/>
      <c r="C53" s="2"/>
      <c r="D53" s="2"/>
      <c r="E53" s="2"/>
      <c r="T53" s="1">
        <v>46240</v>
      </c>
    </row>
  </sheetData>
  <mergeCells count="2">
    <mergeCell ref="A1:Q1"/>
    <mergeCell ref="A10:E10"/>
  </mergeCells>
  <dataValidations count="2">
    <dataValidation type="list" sqref="B5:B8" xr:uid="{45BE588F-EA40-4863-92E9-C73F532BBCC2}">
      <formula1>"☒,☐"</formula1>
    </dataValidation>
    <dataValidation type="list" allowBlank="1" showInputMessage="1" showErrorMessage="1" promptTitle="Fecha de decisión" prompt="Seleccione una decisión con pronósticos disponibles." sqref="B3" xr:uid="{1D89844B-D658-4198-BD81-5C58D40627AD}">
      <formula1>$T$13:$T$53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53"/>
  <sheetViews>
    <sheetView showGridLines="0" workbookViewId="0">
      <selection activeCell="B3" sqref="B3"/>
    </sheetView>
  </sheetViews>
  <sheetFormatPr defaultRowHeight="13.8"/>
  <cols>
    <col min="1" max="1" width="33" customWidth="1"/>
    <col min="2" max="5" width="24" customWidth="1"/>
    <col min="20" max="20" width="9.8984375" bestFit="1" customWidth="1"/>
  </cols>
  <sheetData>
    <row r="1" spans="1:20" ht="30" customHeight="1">
      <c r="A1" s="63" t="s">
        <v>19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</row>
    <row r="3" spans="1:20">
      <c r="A3" s="11" t="s">
        <v>20</v>
      </c>
      <c r="B3" s="12" t="s">
        <v>1276</v>
      </c>
    </row>
    <row r="5" spans="1:20">
      <c r="A5" s="4" t="s">
        <v>22</v>
      </c>
      <c r="B5" s="13" t="s">
        <v>23</v>
      </c>
    </row>
    <row r="6" spans="1:20">
      <c r="A6" s="5" t="s">
        <v>24</v>
      </c>
      <c r="B6" s="14" t="s">
        <v>23</v>
      </c>
    </row>
    <row r="7" spans="1:20">
      <c r="A7" s="5" t="s">
        <v>25</v>
      </c>
      <c r="B7" s="14" t="s">
        <v>23</v>
      </c>
    </row>
    <row r="8" spans="1:20">
      <c r="A8" s="6" t="s">
        <v>26</v>
      </c>
      <c r="B8" s="15" t="s">
        <v>23</v>
      </c>
    </row>
    <row r="10" spans="1:20">
      <c r="A10" s="66" t="s">
        <v>27</v>
      </c>
      <c r="B10" s="66"/>
      <c r="C10" s="66"/>
      <c r="D10" s="66"/>
      <c r="E10" s="66"/>
    </row>
    <row r="11" spans="1:20" ht="27.6">
      <c r="A11" s="10" t="s">
        <v>28</v>
      </c>
      <c r="B11" s="10" t="s">
        <v>22</v>
      </c>
      <c r="C11" s="10" t="s">
        <v>24</v>
      </c>
      <c r="D11" s="10" t="s">
        <v>25</v>
      </c>
      <c r="E11" s="10" t="s">
        <v>26</v>
      </c>
    </row>
    <row r="12" spans="1:20">
      <c r="A12" s="16">
        <v>44371</v>
      </c>
      <c r="B12" s="2" t="str">
        <f>IF($B$5="☒",IF(COUNTIFS(Pronosticos!$C$2:$C$1989,$T12,Pronosticos!$H$2:$H$1989,$B$3,Pronosticos!$D$2:$D$1989,"INPC")=0,"",SUMIFS(Pronosticos!$I$2:$I$1989,Pronosticos!$C$2:$C$1989,$T12,Pronosticos!$H$2:$H$1989,$B$3,Pronosticos!$D$2:$D$1989,"INPC")),"")</f>
        <v/>
      </c>
      <c r="C12" s="2" t="str">
        <f>IF($B$6="☒",IF(COUNTIFS(Pronosticos!$C$2:$C$1989,$T12,Pronosticos!$H$2:$H$1989,$B$3,Pronosticos!$D$2:$D$1989,"SUB")=0,"",SUMIFS(Pronosticos!$I$2:$I$1989,Pronosticos!$C$2:$C$1989,$T12,Pronosticos!$H$2:$H$1989,$B$3,Pronosticos!$D$2:$D$1989,"SUB")),"")</f>
        <v/>
      </c>
      <c r="D12" s="2" t="str">
        <f>IF($B$7="☒",IF(COUNTIFS(Pronosticos!$C$2:$C$1989,$T12,Pronosticos!$H$2:$H$1989,$B$3,Pronosticos!$D$2:$D$1989,"INPC_DES")=0,"",SUMIFS(Pronosticos!$I$2:$I$1989,Pronosticos!$C$2:$C$1989,$T12,Pronosticos!$H$2:$H$1989,$B$3,Pronosticos!$D$2:$D$1989,"INPC_DES")),"")</f>
        <v/>
      </c>
      <c r="E12" s="2" t="str">
        <f>IF($B$8="☒",IF(COUNTIFS(Pronosticos!$C$2:$C$1989,$T12,Pronosticos!$H$2:$H$1989,$B$3,Pronosticos!$D$2:$D$1989,"SUB_DES")=0,"",SUMIFS(Pronosticos!$I$2:$I$1989,Pronosticos!$C$2:$C$1989,$T12,Pronosticos!$H$2:$H$1989,$B$3,Pronosticos!$D$2:$D$1989,"SUB_DES")),"")</f>
        <v/>
      </c>
      <c r="T12" s="1">
        <v>44371</v>
      </c>
    </row>
    <row r="13" spans="1:20">
      <c r="A13" s="16">
        <v>44420</v>
      </c>
      <c r="B13" s="2" t="str">
        <f>IF($B$5="☒",IF(COUNTIFS(Pronosticos!$C$2:$C$1989,$T13,Pronosticos!$H$2:$H$1989,$B$3,Pronosticos!$D$2:$D$1989,"INPC")=0,"",SUMIFS(Pronosticos!$I$2:$I$1989,Pronosticos!$C$2:$C$1989,$T13,Pronosticos!$H$2:$H$1989,$B$3,Pronosticos!$D$2:$D$1989,"INPC")),"")</f>
        <v/>
      </c>
      <c r="C13" s="2" t="str">
        <f>IF($B$6="☒",IF(COUNTIFS(Pronosticos!$C$2:$C$1989,$T13,Pronosticos!$H$2:$H$1989,$B$3,Pronosticos!$D$2:$D$1989,"SUB")=0,"",SUMIFS(Pronosticos!$I$2:$I$1989,Pronosticos!$C$2:$C$1989,$T13,Pronosticos!$H$2:$H$1989,$B$3,Pronosticos!$D$2:$D$1989,"SUB")),"")</f>
        <v/>
      </c>
      <c r="D13" s="2" t="str">
        <f>IF($B$7="☒",IF(COUNTIFS(Pronosticos!$C$2:$C$1989,$T13,Pronosticos!$H$2:$H$1989,$B$3,Pronosticos!$D$2:$D$1989,"INPC_DES")=0,"",SUMIFS(Pronosticos!$I$2:$I$1989,Pronosticos!$C$2:$C$1989,$T13,Pronosticos!$H$2:$H$1989,$B$3,Pronosticos!$D$2:$D$1989,"INPC_DES")),"")</f>
        <v/>
      </c>
      <c r="E13" s="2" t="str">
        <f>IF($B$8="☒",IF(COUNTIFS(Pronosticos!$C$2:$C$1989,$T13,Pronosticos!$H$2:$H$1989,$B$3,Pronosticos!$D$2:$D$1989,"SUB_DES")=0,"",SUMIFS(Pronosticos!$I$2:$I$1989,Pronosticos!$C$2:$C$1989,$T13,Pronosticos!$H$2:$H$1989,$B$3,Pronosticos!$D$2:$D$1989,"SUB_DES")),"")</f>
        <v/>
      </c>
      <c r="T13" s="1">
        <v>44420</v>
      </c>
    </row>
    <row r="14" spans="1:20">
      <c r="A14" s="16">
        <v>44469</v>
      </c>
      <c r="B14" s="2" t="str">
        <f>IF($B$5="☒",IF(COUNTIFS(Pronosticos!$C$2:$C$1989,$T14,Pronosticos!$H$2:$H$1989,$B$3,Pronosticos!$D$2:$D$1989,"INPC")=0,"",SUMIFS(Pronosticos!$I$2:$I$1989,Pronosticos!$C$2:$C$1989,$T14,Pronosticos!$H$2:$H$1989,$B$3,Pronosticos!$D$2:$D$1989,"INPC")),"")</f>
        <v/>
      </c>
      <c r="C14" s="2" t="str">
        <f>IF($B$6="☒",IF(COUNTIFS(Pronosticos!$C$2:$C$1989,$T14,Pronosticos!$H$2:$H$1989,$B$3,Pronosticos!$D$2:$D$1989,"SUB")=0,"",SUMIFS(Pronosticos!$I$2:$I$1989,Pronosticos!$C$2:$C$1989,$T14,Pronosticos!$H$2:$H$1989,$B$3,Pronosticos!$D$2:$D$1989,"SUB")),"")</f>
        <v/>
      </c>
      <c r="D14" s="2" t="str">
        <f>IF($B$7="☒",IF(COUNTIFS(Pronosticos!$C$2:$C$1989,$T14,Pronosticos!$H$2:$H$1989,$B$3,Pronosticos!$D$2:$D$1989,"INPC_DES")=0,"",SUMIFS(Pronosticos!$I$2:$I$1989,Pronosticos!$C$2:$C$1989,$T14,Pronosticos!$H$2:$H$1989,$B$3,Pronosticos!$D$2:$D$1989,"INPC_DES")),"")</f>
        <v/>
      </c>
      <c r="E14" s="2" t="str">
        <f>IF($B$8="☒",IF(COUNTIFS(Pronosticos!$C$2:$C$1989,$T14,Pronosticos!$H$2:$H$1989,$B$3,Pronosticos!$D$2:$D$1989,"SUB_DES")=0,"",SUMIFS(Pronosticos!$I$2:$I$1989,Pronosticos!$C$2:$C$1989,$T14,Pronosticos!$H$2:$H$1989,$B$3,Pronosticos!$D$2:$D$1989,"SUB_DES")),"")</f>
        <v/>
      </c>
      <c r="T14" s="1">
        <v>44469</v>
      </c>
    </row>
    <row r="15" spans="1:20">
      <c r="A15" s="16">
        <v>44511</v>
      </c>
      <c r="B15" s="2" t="str">
        <f>IF($B$5="☒",IF(COUNTIFS(Pronosticos!$C$2:$C$1989,$T15,Pronosticos!$H$2:$H$1989,$B$3,Pronosticos!$D$2:$D$1989,"INPC")=0,"",SUMIFS(Pronosticos!$I$2:$I$1989,Pronosticos!$C$2:$C$1989,$T15,Pronosticos!$H$2:$H$1989,$B$3,Pronosticos!$D$2:$D$1989,"INPC")),"")</f>
        <v/>
      </c>
      <c r="C15" s="2" t="str">
        <f>IF($B$6="☒",IF(COUNTIFS(Pronosticos!$C$2:$C$1989,$T15,Pronosticos!$H$2:$H$1989,$B$3,Pronosticos!$D$2:$D$1989,"SUB")=0,"",SUMIFS(Pronosticos!$I$2:$I$1989,Pronosticos!$C$2:$C$1989,$T15,Pronosticos!$H$2:$H$1989,$B$3,Pronosticos!$D$2:$D$1989,"SUB")),"")</f>
        <v/>
      </c>
      <c r="D15" s="2" t="str">
        <f>IF($B$7="☒",IF(COUNTIFS(Pronosticos!$C$2:$C$1989,$T15,Pronosticos!$H$2:$H$1989,$B$3,Pronosticos!$D$2:$D$1989,"INPC_DES")=0,"",SUMIFS(Pronosticos!$I$2:$I$1989,Pronosticos!$C$2:$C$1989,$T15,Pronosticos!$H$2:$H$1989,$B$3,Pronosticos!$D$2:$D$1989,"INPC_DES")),"")</f>
        <v/>
      </c>
      <c r="E15" s="2" t="str">
        <f>IF($B$8="☒",IF(COUNTIFS(Pronosticos!$C$2:$C$1989,$T15,Pronosticos!$H$2:$H$1989,$B$3,Pronosticos!$D$2:$D$1989,"SUB_DES")=0,"",SUMIFS(Pronosticos!$I$2:$I$1989,Pronosticos!$C$2:$C$1989,$T15,Pronosticos!$H$2:$H$1989,$B$3,Pronosticos!$D$2:$D$1989,"SUB_DES")),"")</f>
        <v/>
      </c>
      <c r="T15" s="1">
        <v>44511</v>
      </c>
    </row>
    <row r="16" spans="1:20">
      <c r="A16" s="16">
        <v>44546</v>
      </c>
      <c r="B16" s="2" t="str">
        <f>IF($B$5="☒",IF(COUNTIFS(Pronosticos!$C$2:$C$1989,$T16,Pronosticos!$H$2:$H$1989,$B$3,Pronosticos!$D$2:$D$1989,"INPC")=0,"",SUMIFS(Pronosticos!$I$2:$I$1989,Pronosticos!$C$2:$C$1989,$T16,Pronosticos!$H$2:$H$1989,$B$3,Pronosticos!$D$2:$D$1989,"INPC")),"")</f>
        <v/>
      </c>
      <c r="C16" s="2" t="str">
        <f>IF($B$6="☒",IF(COUNTIFS(Pronosticos!$C$2:$C$1989,$T16,Pronosticos!$H$2:$H$1989,$B$3,Pronosticos!$D$2:$D$1989,"SUB")=0,"",SUMIFS(Pronosticos!$I$2:$I$1989,Pronosticos!$C$2:$C$1989,$T16,Pronosticos!$H$2:$H$1989,$B$3,Pronosticos!$D$2:$D$1989,"SUB")),"")</f>
        <v/>
      </c>
      <c r="D16" s="2" t="str">
        <f>IF($B$7="☒",IF(COUNTIFS(Pronosticos!$C$2:$C$1989,$T16,Pronosticos!$H$2:$H$1989,$B$3,Pronosticos!$D$2:$D$1989,"INPC_DES")=0,"",SUMIFS(Pronosticos!$I$2:$I$1989,Pronosticos!$C$2:$C$1989,$T16,Pronosticos!$H$2:$H$1989,$B$3,Pronosticos!$D$2:$D$1989,"INPC_DES")),"")</f>
        <v/>
      </c>
      <c r="E16" s="2" t="str">
        <f>IF($B$8="☒",IF(COUNTIFS(Pronosticos!$C$2:$C$1989,$T16,Pronosticos!$H$2:$H$1989,$B$3,Pronosticos!$D$2:$D$1989,"SUB_DES")=0,"",SUMIFS(Pronosticos!$I$2:$I$1989,Pronosticos!$C$2:$C$1989,$T16,Pronosticos!$H$2:$H$1989,$B$3,Pronosticos!$D$2:$D$1989,"SUB_DES")),"")</f>
        <v/>
      </c>
      <c r="T16" s="1">
        <v>44546</v>
      </c>
    </row>
    <row r="17" spans="1:20">
      <c r="A17" s="16">
        <v>44602</v>
      </c>
      <c r="B17" s="2" t="str">
        <f>IF($B$5="☒",IF(COUNTIFS(Pronosticos!$C$2:$C$1989,$T17,Pronosticos!$H$2:$H$1989,$B$3,Pronosticos!$D$2:$D$1989,"INPC")=0,"",SUMIFS(Pronosticos!$I$2:$I$1989,Pronosticos!$C$2:$C$1989,$T17,Pronosticos!$H$2:$H$1989,$B$3,Pronosticos!$D$2:$D$1989,"INPC")),"")</f>
        <v/>
      </c>
      <c r="C17" s="2" t="str">
        <f>IF($B$6="☒",IF(COUNTIFS(Pronosticos!$C$2:$C$1989,$T17,Pronosticos!$H$2:$H$1989,$B$3,Pronosticos!$D$2:$D$1989,"SUB")=0,"",SUMIFS(Pronosticos!$I$2:$I$1989,Pronosticos!$C$2:$C$1989,$T17,Pronosticos!$H$2:$H$1989,$B$3,Pronosticos!$D$2:$D$1989,"SUB")),"")</f>
        <v/>
      </c>
      <c r="D17" s="2" t="str">
        <f>IF($B$7="☒",IF(COUNTIFS(Pronosticos!$C$2:$C$1989,$T17,Pronosticos!$H$2:$H$1989,$B$3,Pronosticos!$D$2:$D$1989,"INPC_DES")=0,"",SUMIFS(Pronosticos!$I$2:$I$1989,Pronosticos!$C$2:$C$1989,$T17,Pronosticos!$H$2:$H$1989,$B$3,Pronosticos!$D$2:$D$1989,"INPC_DES")),"")</f>
        <v/>
      </c>
      <c r="E17" s="2" t="str">
        <f>IF($B$8="☒",IF(COUNTIFS(Pronosticos!$C$2:$C$1989,$T17,Pronosticos!$H$2:$H$1989,$B$3,Pronosticos!$D$2:$D$1989,"SUB_DES")=0,"",SUMIFS(Pronosticos!$I$2:$I$1989,Pronosticos!$C$2:$C$1989,$T17,Pronosticos!$H$2:$H$1989,$B$3,Pronosticos!$D$2:$D$1989,"SUB_DES")),"")</f>
        <v/>
      </c>
      <c r="T17" s="1">
        <v>44602</v>
      </c>
    </row>
    <row r="18" spans="1:20">
      <c r="A18" s="16">
        <v>44644</v>
      </c>
      <c r="B18" s="2" t="str">
        <f>IF($B$5="☒",IF(COUNTIFS(Pronosticos!$C$2:$C$1989,$T18,Pronosticos!$H$2:$H$1989,$B$3,Pronosticos!$D$2:$D$1989,"INPC")=0,"",SUMIFS(Pronosticos!$I$2:$I$1989,Pronosticos!$C$2:$C$1989,$T18,Pronosticos!$H$2:$H$1989,$B$3,Pronosticos!$D$2:$D$1989,"INPC")),"")</f>
        <v/>
      </c>
      <c r="C18" s="2" t="str">
        <f>IF($B$6="☒",IF(COUNTIFS(Pronosticos!$C$2:$C$1989,$T18,Pronosticos!$H$2:$H$1989,$B$3,Pronosticos!$D$2:$D$1989,"SUB")=0,"",SUMIFS(Pronosticos!$I$2:$I$1989,Pronosticos!$C$2:$C$1989,$T18,Pronosticos!$H$2:$H$1989,$B$3,Pronosticos!$D$2:$D$1989,"SUB")),"")</f>
        <v/>
      </c>
      <c r="D18" s="2" t="str">
        <f>IF($B$7="☒",IF(COUNTIFS(Pronosticos!$C$2:$C$1989,$T18,Pronosticos!$H$2:$H$1989,$B$3,Pronosticos!$D$2:$D$1989,"INPC_DES")=0,"",SUMIFS(Pronosticos!$I$2:$I$1989,Pronosticos!$C$2:$C$1989,$T18,Pronosticos!$H$2:$H$1989,$B$3,Pronosticos!$D$2:$D$1989,"INPC_DES")),"")</f>
        <v/>
      </c>
      <c r="E18" s="2" t="str">
        <f>IF($B$8="☒",IF(COUNTIFS(Pronosticos!$C$2:$C$1989,$T18,Pronosticos!$H$2:$H$1989,$B$3,Pronosticos!$D$2:$D$1989,"SUB_DES")=0,"",SUMIFS(Pronosticos!$I$2:$I$1989,Pronosticos!$C$2:$C$1989,$T18,Pronosticos!$H$2:$H$1989,$B$3,Pronosticos!$D$2:$D$1989,"SUB_DES")),"")</f>
        <v/>
      </c>
      <c r="T18" s="1">
        <v>44644</v>
      </c>
    </row>
    <row r="19" spans="1:20">
      <c r="A19" s="16">
        <v>44693</v>
      </c>
      <c r="B19" s="2" t="str">
        <f>IF($B$5="☒",IF(COUNTIFS(Pronosticos!$C$2:$C$1989,$T19,Pronosticos!$H$2:$H$1989,$B$3,Pronosticos!$D$2:$D$1989,"INPC")=0,"",SUMIFS(Pronosticos!$I$2:$I$1989,Pronosticos!$C$2:$C$1989,$T19,Pronosticos!$H$2:$H$1989,$B$3,Pronosticos!$D$2:$D$1989,"INPC")),"")</f>
        <v/>
      </c>
      <c r="C19" s="2" t="str">
        <f>IF($B$6="☒",IF(COUNTIFS(Pronosticos!$C$2:$C$1989,$T19,Pronosticos!$H$2:$H$1989,$B$3,Pronosticos!$D$2:$D$1989,"SUB")=0,"",SUMIFS(Pronosticos!$I$2:$I$1989,Pronosticos!$C$2:$C$1989,$T19,Pronosticos!$H$2:$H$1989,$B$3,Pronosticos!$D$2:$D$1989,"SUB")),"")</f>
        <v/>
      </c>
      <c r="D19" s="2" t="str">
        <f>IF($B$7="☒",IF(COUNTIFS(Pronosticos!$C$2:$C$1989,$T19,Pronosticos!$H$2:$H$1989,$B$3,Pronosticos!$D$2:$D$1989,"INPC_DES")=0,"",SUMIFS(Pronosticos!$I$2:$I$1989,Pronosticos!$C$2:$C$1989,$T19,Pronosticos!$H$2:$H$1989,$B$3,Pronosticos!$D$2:$D$1989,"INPC_DES")),"")</f>
        <v/>
      </c>
      <c r="E19" s="2" t="str">
        <f>IF($B$8="☒",IF(COUNTIFS(Pronosticos!$C$2:$C$1989,$T19,Pronosticos!$H$2:$H$1989,$B$3,Pronosticos!$D$2:$D$1989,"SUB_DES")=0,"",SUMIFS(Pronosticos!$I$2:$I$1989,Pronosticos!$C$2:$C$1989,$T19,Pronosticos!$H$2:$H$1989,$B$3,Pronosticos!$D$2:$D$1989,"SUB_DES")),"")</f>
        <v/>
      </c>
      <c r="T19" s="1">
        <v>44693</v>
      </c>
    </row>
    <row r="20" spans="1:20">
      <c r="A20" s="16">
        <v>44735</v>
      </c>
      <c r="B20" s="2" t="str">
        <f>IF($B$5="☒",IF(COUNTIFS(Pronosticos!$C$2:$C$1989,$T20,Pronosticos!$H$2:$H$1989,$B$3,Pronosticos!$D$2:$D$1989,"INPC")=0,"",SUMIFS(Pronosticos!$I$2:$I$1989,Pronosticos!$C$2:$C$1989,$T20,Pronosticos!$H$2:$H$1989,$B$3,Pronosticos!$D$2:$D$1989,"INPC")),"")</f>
        <v/>
      </c>
      <c r="C20" s="2" t="str">
        <f>IF($B$6="☒",IF(COUNTIFS(Pronosticos!$C$2:$C$1989,$T20,Pronosticos!$H$2:$H$1989,$B$3,Pronosticos!$D$2:$D$1989,"SUB")=0,"",SUMIFS(Pronosticos!$I$2:$I$1989,Pronosticos!$C$2:$C$1989,$T20,Pronosticos!$H$2:$H$1989,$B$3,Pronosticos!$D$2:$D$1989,"SUB")),"")</f>
        <v/>
      </c>
      <c r="D20" s="2" t="str">
        <f>IF($B$7="☒",IF(COUNTIFS(Pronosticos!$C$2:$C$1989,$T20,Pronosticos!$H$2:$H$1989,$B$3,Pronosticos!$D$2:$D$1989,"INPC_DES")=0,"",SUMIFS(Pronosticos!$I$2:$I$1989,Pronosticos!$C$2:$C$1989,$T20,Pronosticos!$H$2:$H$1989,$B$3,Pronosticos!$D$2:$D$1989,"INPC_DES")),"")</f>
        <v/>
      </c>
      <c r="E20" s="2" t="str">
        <f>IF($B$8="☒",IF(COUNTIFS(Pronosticos!$C$2:$C$1989,$T20,Pronosticos!$H$2:$H$1989,$B$3,Pronosticos!$D$2:$D$1989,"SUB_DES")=0,"",SUMIFS(Pronosticos!$I$2:$I$1989,Pronosticos!$C$2:$C$1989,$T20,Pronosticos!$H$2:$H$1989,$B$3,Pronosticos!$D$2:$D$1989,"SUB_DES")),"")</f>
        <v/>
      </c>
      <c r="T20" s="1">
        <v>44735</v>
      </c>
    </row>
    <row r="21" spans="1:20">
      <c r="A21" s="16">
        <v>44784</v>
      </c>
      <c r="B21" s="2" t="str">
        <f>IF($B$5="☒",IF(COUNTIFS(Pronosticos!$C$2:$C$1989,$T21,Pronosticos!$H$2:$H$1989,$B$3,Pronosticos!$D$2:$D$1989,"INPC")=0,"",SUMIFS(Pronosticos!$I$2:$I$1989,Pronosticos!$C$2:$C$1989,$T21,Pronosticos!$H$2:$H$1989,$B$3,Pronosticos!$D$2:$D$1989,"INPC")),"")</f>
        <v/>
      </c>
      <c r="C21" s="2" t="str">
        <f>IF($B$6="☒",IF(COUNTIFS(Pronosticos!$C$2:$C$1989,$T21,Pronosticos!$H$2:$H$1989,$B$3,Pronosticos!$D$2:$D$1989,"SUB")=0,"",SUMIFS(Pronosticos!$I$2:$I$1989,Pronosticos!$C$2:$C$1989,$T21,Pronosticos!$H$2:$H$1989,$B$3,Pronosticos!$D$2:$D$1989,"SUB")),"")</f>
        <v/>
      </c>
      <c r="D21" s="2" t="str">
        <f>IF($B$7="☒",IF(COUNTIFS(Pronosticos!$C$2:$C$1989,$T21,Pronosticos!$H$2:$H$1989,$B$3,Pronosticos!$D$2:$D$1989,"INPC_DES")=0,"",SUMIFS(Pronosticos!$I$2:$I$1989,Pronosticos!$C$2:$C$1989,$T21,Pronosticos!$H$2:$H$1989,$B$3,Pronosticos!$D$2:$D$1989,"INPC_DES")),"")</f>
        <v/>
      </c>
      <c r="E21" s="2" t="str">
        <f>IF($B$8="☒",IF(COUNTIFS(Pronosticos!$C$2:$C$1989,$T21,Pronosticos!$H$2:$H$1989,$B$3,Pronosticos!$D$2:$D$1989,"SUB_DES")=0,"",SUMIFS(Pronosticos!$I$2:$I$1989,Pronosticos!$C$2:$C$1989,$T21,Pronosticos!$H$2:$H$1989,$B$3,Pronosticos!$D$2:$D$1989,"SUB_DES")),"")</f>
        <v/>
      </c>
      <c r="T21" s="1">
        <v>44784</v>
      </c>
    </row>
    <row r="22" spans="1:20">
      <c r="A22" s="16">
        <v>44833</v>
      </c>
      <c r="B22" s="2" t="str">
        <f>IF($B$5="☒",IF(COUNTIFS(Pronosticos!$C$2:$C$1989,$T22,Pronosticos!$H$2:$H$1989,$B$3,Pronosticos!$D$2:$D$1989,"INPC")=0,"",SUMIFS(Pronosticos!$I$2:$I$1989,Pronosticos!$C$2:$C$1989,$T22,Pronosticos!$H$2:$H$1989,$B$3,Pronosticos!$D$2:$D$1989,"INPC")),"")</f>
        <v/>
      </c>
      <c r="C22" s="2" t="str">
        <f>IF($B$6="☒",IF(COUNTIFS(Pronosticos!$C$2:$C$1989,$T22,Pronosticos!$H$2:$H$1989,$B$3,Pronosticos!$D$2:$D$1989,"SUB")=0,"",SUMIFS(Pronosticos!$I$2:$I$1989,Pronosticos!$C$2:$C$1989,$T22,Pronosticos!$H$2:$H$1989,$B$3,Pronosticos!$D$2:$D$1989,"SUB")),"")</f>
        <v/>
      </c>
      <c r="D22" s="2" t="str">
        <f>IF($B$7="☒",IF(COUNTIFS(Pronosticos!$C$2:$C$1989,$T22,Pronosticos!$H$2:$H$1989,$B$3,Pronosticos!$D$2:$D$1989,"INPC_DES")=0,"",SUMIFS(Pronosticos!$I$2:$I$1989,Pronosticos!$C$2:$C$1989,$T22,Pronosticos!$H$2:$H$1989,$B$3,Pronosticos!$D$2:$D$1989,"INPC_DES")),"")</f>
        <v/>
      </c>
      <c r="E22" s="2" t="str">
        <f>IF($B$8="☒",IF(COUNTIFS(Pronosticos!$C$2:$C$1989,$T22,Pronosticos!$H$2:$H$1989,$B$3,Pronosticos!$D$2:$D$1989,"SUB_DES")=0,"",SUMIFS(Pronosticos!$I$2:$I$1989,Pronosticos!$C$2:$C$1989,$T22,Pronosticos!$H$2:$H$1989,$B$3,Pronosticos!$D$2:$D$1989,"SUB_DES")),"")</f>
        <v/>
      </c>
      <c r="T22" s="1">
        <v>44833</v>
      </c>
    </row>
    <row r="23" spans="1:20">
      <c r="A23" s="16">
        <v>44875</v>
      </c>
      <c r="B23" s="2" t="str">
        <f>IF($B$5="☒",IF(COUNTIFS(Pronosticos!$C$2:$C$1989,$T23,Pronosticos!$H$2:$H$1989,$B$3,Pronosticos!$D$2:$D$1989,"INPC")=0,"",SUMIFS(Pronosticos!$I$2:$I$1989,Pronosticos!$C$2:$C$1989,$T23,Pronosticos!$H$2:$H$1989,$B$3,Pronosticos!$D$2:$D$1989,"INPC")),"")</f>
        <v/>
      </c>
      <c r="C23" s="2" t="str">
        <f>IF($B$6="☒",IF(COUNTIFS(Pronosticos!$C$2:$C$1989,$T23,Pronosticos!$H$2:$H$1989,$B$3,Pronosticos!$D$2:$D$1989,"SUB")=0,"",SUMIFS(Pronosticos!$I$2:$I$1989,Pronosticos!$C$2:$C$1989,$T23,Pronosticos!$H$2:$H$1989,$B$3,Pronosticos!$D$2:$D$1989,"SUB")),"")</f>
        <v/>
      </c>
      <c r="D23" s="2" t="str">
        <f>IF($B$7="☒",IF(COUNTIFS(Pronosticos!$C$2:$C$1989,$T23,Pronosticos!$H$2:$H$1989,$B$3,Pronosticos!$D$2:$D$1989,"INPC_DES")=0,"",SUMIFS(Pronosticos!$I$2:$I$1989,Pronosticos!$C$2:$C$1989,$T23,Pronosticos!$H$2:$H$1989,$B$3,Pronosticos!$D$2:$D$1989,"INPC_DES")),"")</f>
        <v/>
      </c>
      <c r="E23" s="2" t="str">
        <f>IF($B$8="☒",IF(COUNTIFS(Pronosticos!$C$2:$C$1989,$T23,Pronosticos!$H$2:$H$1989,$B$3,Pronosticos!$D$2:$D$1989,"SUB_DES")=0,"",SUMIFS(Pronosticos!$I$2:$I$1989,Pronosticos!$C$2:$C$1989,$T23,Pronosticos!$H$2:$H$1989,$B$3,Pronosticos!$D$2:$D$1989,"SUB_DES")),"")</f>
        <v/>
      </c>
      <c r="T23" s="1">
        <v>44875</v>
      </c>
    </row>
    <row r="24" spans="1:20">
      <c r="A24" s="16">
        <v>44910</v>
      </c>
      <c r="B24" s="2" t="str">
        <f>IF($B$5="☒",IF(COUNTIFS(Pronosticos!$C$2:$C$1989,$T24,Pronosticos!$H$2:$H$1989,$B$3,Pronosticos!$D$2:$D$1989,"INPC")=0,"",SUMIFS(Pronosticos!$I$2:$I$1989,Pronosticos!$C$2:$C$1989,$T24,Pronosticos!$H$2:$H$1989,$B$3,Pronosticos!$D$2:$D$1989,"INPC")),"")</f>
        <v/>
      </c>
      <c r="C24" s="2" t="str">
        <f>IF($B$6="☒",IF(COUNTIFS(Pronosticos!$C$2:$C$1989,$T24,Pronosticos!$H$2:$H$1989,$B$3,Pronosticos!$D$2:$D$1989,"SUB")=0,"",SUMIFS(Pronosticos!$I$2:$I$1989,Pronosticos!$C$2:$C$1989,$T24,Pronosticos!$H$2:$H$1989,$B$3,Pronosticos!$D$2:$D$1989,"SUB")),"")</f>
        <v/>
      </c>
      <c r="D24" s="2" t="str">
        <f>IF($B$7="☒",IF(COUNTIFS(Pronosticos!$C$2:$C$1989,$T24,Pronosticos!$H$2:$H$1989,$B$3,Pronosticos!$D$2:$D$1989,"INPC_DES")=0,"",SUMIFS(Pronosticos!$I$2:$I$1989,Pronosticos!$C$2:$C$1989,$T24,Pronosticos!$H$2:$H$1989,$B$3,Pronosticos!$D$2:$D$1989,"INPC_DES")),"")</f>
        <v/>
      </c>
      <c r="E24" s="2" t="str">
        <f>IF($B$8="☒",IF(COUNTIFS(Pronosticos!$C$2:$C$1989,$T24,Pronosticos!$H$2:$H$1989,$B$3,Pronosticos!$D$2:$D$1989,"SUB_DES")=0,"",SUMIFS(Pronosticos!$I$2:$I$1989,Pronosticos!$C$2:$C$1989,$T24,Pronosticos!$H$2:$H$1989,$B$3,Pronosticos!$D$2:$D$1989,"SUB_DES")),"")</f>
        <v/>
      </c>
      <c r="T24" s="1">
        <v>44910</v>
      </c>
    </row>
    <row r="25" spans="1:20">
      <c r="A25" s="16">
        <v>44966</v>
      </c>
      <c r="B25" s="2" t="str">
        <f>IF($B$5="☒",IF(COUNTIFS(Pronosticos!$C$2:$C$1989,$T25,Pronosticos!$H$2:$H$1989,$B$3,Pronosticos!$D$2:$D$1989,"INPC")=0,"",SUMIFS(Pronosticos!$I$2:$I$1989,Pronosticos!$C$2:$C$1989,$T25,Pronosticos!$H$2:$H$1989,$B$3,Pronosticos!$D$2:$D$1989,"INPC")),"")</f>
        <v/>
      </c>
      <c r="C25" s="2" t="str">
        <f>IF($B$6="☒",IF(COUNTIFS(Pronosticos!$C$2:$C$1989,$T25,Pronosticos!$H$2:$H$1989,$B$3,Pronosticos!$D$2:$D$1989,"SUB")=0,"",SUMIFS(Pronosticos!$I$2:$I$1989,Pronosticos!$C$2:$C$1989,$T25,Pronosticos!$H$2:$H$1989,$B$3,Pronosticos!$D$2:$D$1989,"SUB")),"")</f>
        <v/>
      </c>
      <c r="D25" s="2" t="str">
        <f>IF($B$7="☒",IF(COUNTIFS(Pronosticos!$C$2:$C$1989,$T25,Pronosticos!$H$2:$H$1989,$B$3,Pronosticos!$D$2:$D$1989,"INPC_DES")=0,"",SUMIFS(Pronosticos!$I$2:$I$1989,Pronosticos!$C$2:$C$1989,$T25,Pronosticos!$H$2:$H$1989,$B$3,Pronosticos!$D$2:$D$1989,"INPC_DES")),"")</f>
        <v/>
      </c>
      <c r="E25" s="2" t="str">
        <f>IF($B$8="☒",IF(COUNTIFS(Pronosticos!$C$2:$C$1989,$T25,Pronosticos!$H$2:$H$1989,$B$3,Pronosticos!$D$2:$D$1989,"SUB_DES")=0,"",SUMIFS(Pronosticos!$I$2:$I$1989,Pronosticos!$C$2:$C$1989,$T25,Pronosticos!$H$2:$H$1989,$B$3,Pronosticos!$D$2:$D$1989,"SUB_DES")),"")</f>
        <v/>
      </c>
      <c r="T25" s="1">
        <v>44966</v>
      </c>
    </row>
    <row r="26" spans="1:20">
      <c r="A26" s="16">
        <v>45015</v>
      </c>
      <c r="B26" s="2" t="str">
        <f>IF($B$5="☒",IF(COUNTIFS(Pronosticos!$C$2:$C$1989,$T26,Pronosticos!$H$2:$H$1989,$B$3,Pronosticos!$D$2:$D$1989,"INPC")=0,"",SUMIFS(Pronosticos!$I$2:$I$1989,Pronosticos!$C$2:$C$1989,$T26,Pronosticos!$H$2:$H$1989,$B$3,Pronosticos!$D$2:$D$1989,"INPC")),"")</f>
        <v/>
      </c>
      <c r="C26" s="2" t="str">
        <f>IF($B$6="☒",IF(COUNTIFS(Pronosticos!$C$2:$C$1989,$T26,Pronosticos!$H$2:$H$1989,$B$3,Pronosticos!$D$2:$D$1989,"SUB")=0,"",SUMIFS(Pronosticos!$I$2:$I$1989,Pronosticos!$C$2:$C$1989,$T26,Pronosticos!$H$2:$H$1989,$B$3,Pronosticos!$D$2:$D$1989,"SUB")),"")</f>
        <v/>
      </c>
      <c r="D26" s="2" t="str">
        <f>IF($B$7="☒",IF(COUNTIFS(Pronosticos!$C$2:$C$1989,$T26,Pronosticos!$H$2:$H$1989,$B$3,Pronosticos!$D$2:$D$1989,"INPC_DES")=0,"",SUMIFS(Pronosticos!$I$2:$I$1989,Pronosticos!$C$2:$C$1989,$T26,Pronosticos!$H$2:$H$1989,$B$3,Pronosticos!$D$2:$D$1989,"INPC_DES")),"")</f>
        <v/>
      </c>
      <c r="E26" s="2" t="str">
        <f>IF($B$8="☒",IF(COUNTIFS(Pronosticos!$C$2:$C$1989,$T26,Pronosticos!$H$2:$H$1989,$B$3,Pronosticos!$D$2:$D$1989,"SUB_DES")=0,"",SUMIFS(Pronosticos!$I$2:$I$1989,Pronosticos!$C$2:$C$1989,$T26,Pronosticos!$H$2:$H$1989,$B$3,Pronosticos!$D$2:$D$1989,"SUB_DES")),"")</f>
        <v/>
      </c>
      <c r="T26" s="1">
        <v>45015</v>
      </c>
    </row>
    <row r="27" spans="1:20">
      <c r="A27" s="16">
        <v>45064</v>
      </c>
      <c r="B27" s="2" t="str">
        <f>IF($B$5="☒",IF(COUNTIFS(Pronosticos!$C$2:$C$1989,$T27,Pronosticos!$H$2:$H$1989,$B$3,Pronosticos!$D$2:$D$1989,"INPC")=0,"",SUMIFS(Pronosticos!$I$2:$I$1989,Pronosticos!$C$2:$C$1989,$T27,Pronosticos!$H$2:$H$1989,$B$3,Pronosticos!$D$2:$D$1989,"INPC")),"")</f>
        <v/>
      </c>
      <c r="C27" s="2" t="str">
        <f>IF($B$6="☒",IF(COUNTIFS(Pronosticos!$C$2:$C$1989,$T27,Pronosticos!$H$2:$H$1989,$B$3,Pronosticos!$D$2:$D$1989,"SUB")=0,"",SUMIFS(Pronosticos!$I$2:$I$1989,Pronosticos!$C$2:$C$1989,$T27,Pronosticos!$H$2:$H$1989,$B$3,Pronosticos!$D$2:$D$1989,"SUB")),"")</f>
        <v/>
      </c>
      <c r="D27" s="2" t="str">
        <f>IF($B$7="☒",IF(COUNTIFS(Pronosticos!$C$2:$C$1989,$T27,Pronosticos!$H$2:$H$1989,$B$3,Pronosticos!$D$2:$D$1989,"INPC_DES")=0,"",SUMIFS(Pronosticos!$I$2:$I$1989,Pronosticos!$C$2:$C$1989,$T27,Pronosticos!$H$2:$H$1989,$B$3,Pronosticos!$D$2:$D$1989,"INPC_DES")),"")</f>
        <v/>
      </c>
      <c r="E27" s="2" t="str">
        <f>IF($B$8="☒",IF(COUNTIFS(Pronosticos!$C$2:$C$1989,$T27,Pronosticos!$H$2:$H$1989,$B$3,Pronosticos!$D$2:$D$1989,"SUB_DES")=0,"",SUMIFS(Pronosticos!$I$2:$I$1989,Pronosticos!$C$2:$C$1989,$T27,Pronosticos!$H$2:$H$1989,$B$3,Pronosticos!$D$2:$D$1989,"SUB_DES")),"")</f>
        <v/>
      </c>
      <c r="T27" s="1">
        <v>45064</v>
      </c>
    </row>
    <row r="28" spans="1:20">
      <c r="A28" s="16">
        <v>45099</v>
      </c>
      <c r="B28" s="2" t="str">
        <f>IF($B$5="☒",IF(COUNTIFS(Pronosticos!$C$2:$C$1989,$T28,Pronosticos!$H$2:$H$1989,$B$3,Pronosticos!$D$2:$D$1989,"INPC")=0,"",SUMIFS(Pronosticos!$I$2:$I$1989,Pronosticos!$C$2:$C$1989,$T28,Pronosticos!$H$2:$H$1989,$B$3,Pronosticos!$D$2:$D$1989,"INPC")),"")</f>
        <v/>
      </c>
      <c r="C28" s="2" t="str">
        <f>IF($B$6="☒",IF(COUNTIFS(Pronosticos!$C$2:$C$1989,$T28,Pronosticos!$H$2:$H$1989,$B$3,Pronosticos!$D$2:$D$1989,"SUB")=0,"",SUMIFS(Pronosticos!$I$2:$I$1989,Pronosticos!$C$2:$C$1989,$T28,Pronosticos!$H$2:$H$1989,$B$3,Pronosticos!$D$2:$D$1989,"SUB")),"")</f>
        <v/>
      </c>
      <c r="D28" s="2" t="str">
        <f>IF($B$7="☒",IF(COUNTIFS(Pronosticos!$C$2:$C$1989,$T28,Pronosticos!$H$2:$H$1989,$B$3,Pronosticos!$D$2:$D$1989,"INPC_DES")=0,"",SUMIFS(Pronosticos!$I$2:$I$1989,Pronosticos!$C$2:$C$1989,$T28,Pronosticos!$H$2:$H$1989,$B$3,Pronosticos!$D$2:$D$1989,"INPC_DES")),"")</f>
        <v/>
      </c>
      <c r="E28" s="2" t="str">
        <f>IF($B$8="☒",IF(COUNTIFS(Pronosticos!$C$2:$C$1989,$T28,Pronosticos!$H$2:$H$1989,$B$3,Pronosticos!$D$2:$D$1989,"SUB_DES")=0,"",SUMIFS(Pronosticos!$I$2:$I$1989,Pronosticos!$C$2:$C$1989,$T28,Pronosticos!$H$2:$H$1989,$B$3,Pronosticos!$D$2:$D$1989,"SUB_DES")),"")</f>
        <v/>
      </c>
      <c r="T28" s="1">
        <v>45099</v>
      </c>
    </row>
    <row r="29" spans="1:20">
      <c r="A29" s="16">
        <v>45148</v>
      </c>
      <c r="B29" s="2" t="str">
        <f>IF($B$5="☒",IF(COUNTIFS(Pronosticos!$C$2:$C$1989,$T29,Pronosticos!$H$2:$H$1989,$B$3,Pronosticos!$D$2:$D$1989,"INPC")=0,"",SUMIFS(Pronosticos!$I$2:$I$1989,Pronosticos!$C$2:$C$1989,$T29,Pronosticos!$H$2:$H$1989,$B$3,Pronosticos!$D$2:$D$1989,"INPC")),"")</f>
        <v/>
      </c>
      <c r="C29" s="2" t="str">
        <f>IF($B$6="☒",IF(COUNTIFS(Pronosticos!$C$2:$C$1989,$T29,Pronosticos!$H$2:$H$1989,$B$3,Pronosticos!$D$2:$D$1989,"SUB")=0,"",SUMIFS(Pronosticos!$I$2:$I$1989,Pronosticos!$C$2:$C$1989,$T29,Pronosticos!$H$2:$H$1989,$B$3,Pronosticos!$D$2:$D$1989,"SUB")),"")</f>
        <v/>
      </c>
      <c r="D29" s="2" t="str">
        <f>IF($B$7="☒",IF(COUNTIFS(Pronosticos!$C$2:$C$1989,$T29,Pronosticos!$H$2:$H$1989,$B$3,Pronosticos!$D$2:$D$1989,"INPC_DES")=0,"",SUMIFS(Pronosticos!$I$2:$I$1989,Pronosticos!$C$2:$C$1989,$T29,Pronosticos!$H$2:$H$1989,$B$3,Pronosticos!$D$2:$D$1989,"INPC_DES")),"")</f>
        <v/>
      </c>
      <c r="E29" s="2" t="str">
        <f>IF($B$8="☒",IF(COUNTIFS(Pronosticos!$C$2:$C$1989,$T29,Pronosticos!$H$2:$H$1989,$B$3,Pronosticos!$D$2:$D$1989,"SUB_DES")=0,"",SUMIFS(Pronosticos!$I$2:$I$1989,Pronosticos!$C$2:$C$1989,$T29,Pronosticos!$H$2:$H$1989,$B$3,Pronosticos!$D$2:$D$1989,"SUB_DES")),"")</f>
        <v/>
      </c>
      <c r="T29" s="1">
        <v>45148</v>
      </c>
    </row>
    <row r="30" spans="1:20">
      <c r="A30" s="16">
        <v>45197</v>
      </c>
      <c r="B30" s="2" t="str">
        <f>IF($B$5="☒",IF(COUNTIFS(Pronosticos!$C$2:$C$1989,$T30,Pronosticos!$H$2:$H$1989,$B$3,Pronosticos!$D$2:$D$1989,"INPC")=0,"",SUMIFS(Pronosticos!$I$2:$I$1989,Pronosticos!$C$2:$C$1989,$T30,Pronosticos!$H$2:$H$1989,$B$3,Pronosticos!$D$2:$D$1989,"INPC")),"")</f>
        <v/>
      </c>
      <c r="C30" s="2" t="str">
        <f>IF($B$6="☒",IF(COUNTIFS(Pronosticos!$C$2:$C$1989,$T30,Pronosticos!$H$2:$H$1989,$B$3,Pronosticos!$D$2:$D$1989,"SUB")=0,"",SUMIFS(Pronosticos!$I$2:$I$1989,Pronosticos!$C$2:$C$1989,$T30,Pronosticos!$H$2:$H$1989,$B$3,Pronosticos!$D$2:$D$1989,"SUB")),"")</f>
        <v/>
      </c>
      <c r="D30" s="2" t="str">
        <f>IF($B$7="☒",IF(COUNTIFS(Pronosticos!$C$2:$C$1989,$T30,Pronosticos!$H$2:$H$1989,$B$3,Pronosticos!$D$2:$D$1989,"INPC_DES")=0,"",SUMIFS(Pronosticos!$I$2:$I$1989,Pronosticos!$C$2:$C$1989,$T30,Pronosticos!$H$2:$H$1989,$B$3,Pronosticos!$D$2:$D$1989,"INPC_DES")),"")</f>
        <v/>
      </c>
      <c r="E30" s="2" t="str">
        <f>IF($B$8="☒",IF(COUNTIFS(Pronosticos!$C$2:$C$1989,$T30,Pronosticos!$H$2:$H$1989,$B$3,Pronosticos!$D$2:$D$1989,"SUB_DES")=0,"",SUMIFS(Pronosticos!$I$2:$I$1989,Pronosticos!$C$2:$C$1989,$T30,Pronosticos!$H$2:$H$1989,$B$3,Pronosticos!$D$2:$D$1989,"SUB_DES")),"")</f>
        <v/>
      </c>
      <c r="T30" s="1">
        <v>45197</v>
      </c>
    </row>
    <row r="31" spans="1:20">
      <c r="A31" s="16">
        <v>45239</v>
      </c>
      <c r="B31" s="2" t="str">
        <f>IF($B$5="☒",IF(COUNTIFS(Pronosticos!$C$2:$C$1989,$T31,Pronosticos!$H$2:$H$1989,$B$3,Pronosticos!$D$2:$D$1989,"INPC")=0,"",SUMIFS(Pronosticos!$I$2:$I$1989,Pronosticos!$C$2:$C$1989,$T31,Pronosticos!$H$2:$H$1989,$B$3,Pronosticos!$D$2:$D$1989,"INPC")),"")</f>
        <v/>
      </c>
      <c r="C31" s="2" t="str">
        <f>IF($B$6="☒",IF(COUNTIFS(Pronosticos!$C$2:$C$1989,$T31,Pronosticos!$H$2:$H$1989,$B$3,Pronosticos!$D$2:$D$1989,"SUB")=0,"",SUMIFS(Pronosticos!$I$2:$I$1989,Pronosticos!$C$2:$C$1989,$T31,Pronosticos!$H$2:$H$1989,$B$3,Pronosticos!$D$2:$D$1989,"SUB")),"")</f>
        <v/>
      </c>
      <c r="D31" s="2" t="str">
        <f>IF($B$7="☒",IF(COUNTIFS(Pronosticos!$C$2:$C$1989,$T31,Pronosticos!$H$2:$H$1989,$B$3,Pronosticos!$D$2:$D$1989,"INPC_DES")=0,"",SUMIFS(Pronosticos!$I$2:$I$1989,Pronosticos!$C$2:$C$1989,$T31,Pronosticos!$H$2:$H$1989,$B$3,Pronosticos!$D$2:$D$1989,"INPC_DES")),"")</f>
        <v/>
      </c>
      <c r="E31" s="2" t="str">
        <f>IF($B$8="☒",IF(COUNTIFS(Pronosticos!$C$2:$C$1989,$T31,Pronosticos!$H$2:$H$1989,$B$3,Pronosticos!$D$2:$D$1989,"SUB_DES")=0,"",SUMIFS(Pronosticos!$I$2:$I$1989,Pronosticos!$C$2:$C$1989,$T31,Pronosticos!$H$2:$H$1989,$B$3,Pronosticos!$D$2:$D$1989,"SUB_DES")),"")</f>
        <v/>
      </c>
      <c r="T31" s="1">
        <v>45239</v>
      </c>
    </row>
    <row r="32" spans="1:20">
      <c r="A32" s="16">
        <v>45274</v>
      </c>
      <c r="B32" s="2" t="str">
        <f>IF($B$5="☒",IF(COUNTIFS(Pronosticos!$C$2:$C$1989,$T32,Pronosticos!$H$2:$H$1989,$B$3,Pronosticos!$D$2:$D$1989,"INPC")=0,"",SUMIFS(Pronosticos!$I$2:$I$1989,Pronosticos!$C$2:$C$1989,$T32,Pronosticos!$H$2:$H$1989,$B$3,Pronosticos!$D$2:$D$1989,"INPC")),"")</f>
        <v/>
      </c>
      <c r="C32" s="2" t="str">
        <f>IF($B$6="☒",IF(COUNTIFS(Pronosticos!$C$2:$C$1989,$T32,Pronosticos!$H$2:$H$1989,$B$3,Pronosticos!$D$2:$D$1989,"SUB")=0,"",SUMIFS(Pronosticos!$I$2:$I$1989,Pronosticos!$C$2:$C$1989,$T32,Pronosticos!$H$2:$H$1989,$B$3,Pronosticos!$D$2:$D$1989,"SUB")),"")</f>
        <v/>
      </c>
      <c r="D32" s="2" t="str">
        <f>IF($B$7="☒",IF(COUNTIFS(Pronosticos!$C$2:$C$1989,$T32,Pronosticos!$H$2:$H$1989,$B$3,Pronosticos!$D$2:$D$1989,"INPC_DES")=0,"",SUMIFS(Pronosticos!$I$2:$I$1989,Pronosticos!$C$2:$C$1989,$T32,Pronosticos!$H$2:$H$1989,$B$3,Pronosticos!$D$2:$D$1989,"INPC_DES")),"")</f>
        <v/>
      </c>
      <c r="E32" s="2" t="str">
        <f>IF($B$8="☒",IF(COUNTIFS(Pronosticos!$C$2:$C$1989,$T32,Pronosticos!$H$2:$H$1989,$B$3,Pronosticos!$D$2:$D$1989,"SUB_DES")=0,"",SUMIFS(Pronosticos!$I$2:$I$1989,Pronosticos!$C$2:$C$1989,$T32,Pronosticos!$H$2:$H$1989,$B$3,Pronosticos!$D$2:$D$1989,"SUB_DES")),"")</f>
        <v/>
      </c>
      <c r="T32" s="1">
        <v>45274</v>
      </c>
    </row>
    <row r="33" spans="1:20">
      <c r="A33" s="16">
        <v>45330</v>
      </c>
      <c r="B33" s="2" t="str">
        <f>IF($B$5="☒",IF(COUNTIFS(Pronosticos!$C$2:$C$1989,$T33,Pronosticos!$H$2:$H$1989,$B$3,Pronosticos!$D$2:$D$1989,"INPC")=0,"",SUMIFS(Pronosticos!$I$2:$I$1989,Pronosticos!$C$2:$C$1989,$T33,Pronosticos!$H$2:$H$1989,$B$3,Pronosticos!$D$2:$D$1989,"INPC")),"")</f>
        <v/>
      </c>
      <c r="C33" s="2" t="str">
        <f>IF($B$6="☒",IF(COUNTIFS(Pronosticos!$C$2:$C$1989,$T33,Pronosticos!$H$2:$H$1989,$B$3,Pronosticos!$D$2:$D$1989,"SUB")=0,"",SUMIFS(Pronosticos!$I$2:$I$1989,Pronosticos!$C$2:$C$1989,$T33,Pronosticos!$H$2:$H$1989,$B$3,Pronosticos!$D$2:$D$1989,"SUB")),"")</f>
        <v/>
      </c>
      <c r="D33" s="2" t="str">
        <f>IF($B$7="☒",IF(COUNTIFS(Pronosticos!$C$2:$C$1989,$T33,Pronosticos!$H$2:$H$1989,$B$3,Pronosticos!$D$2:$D$1989,"INPC_DES")=0,"",SUMIFS(Pronosticos!$I$2:$I$1989,Pronosticos!$C$2:$C$1989,$T33,Pronosticos!$H$2:$H$1989,$B$3,Pronosticos!$D$2:$D$1989,"INPC_DES")),"")</f>
        <v/>
      </c>
      <c r="E33" s="2" t="str">
        <f>IF($B$8="☒",IF(COUNTIFS(Pronosticos!$C$2:$C$1989,$T33,Pronosticos!$H$2:$H$1989,$B$3,Pronosticos!$D$2:$D$1989,"SUB_DES")=0,"",SUMIFS(Pronosticos!$I$2:$I$1989,Pronosticos!$C$2:$C$1989,$T33,Pronosticos!$H$2:$H$1989,$B$3,Pronosticos!$D$2:$D$1989,"SUB_DES")),"")</f>
        <v/>
      </c>
      <c r="T33" s="1">
        <v>45330</v>
      </c>
    </row>
    <row r="34" spans="1:20">
      <c r="A34" s="16">
        <v>45372</v>
      </c>
      <c r="B34" s="2" t="str">
        <f>IF($B$5="☒",IF(COUNTIFS(Pronosticos!$C$2:$C$1989,$T34,Pronosticos!$H$2:$H$1989,$B$3,Pronosticos!$D$2:$D$1989,"INPC")=0,"",SUMIFS(Pronosticos!$I$2:$I$1989,Pronosticos!$C$2:$C$1989,$T34,Pronosticos!$H$2:$H$1989,$B$3,Pronosticos!$D$2:$D$1989,"INPC")),"")</f>
        <v/>
      </c>
      <c r="C34" s="2" t="str">
        <f>IF($B$6="☒",IF(COUNTIFS(Pronosticos!$C$2:$C$1989,$T34,Pronosticos!$H$2:$H$1989,$B$3,Pronosticos!$D$2:$D$1989,"SUB")=0,"",SUMIFS(Pronosticos!$I$2:$I$1989,Pronosticos!$C$2:$C$1989,$T34,Pronosticos!$H$2:$H$1989,$B$3,Pronosticos!$D$2:$D$1989,"SUB")),"")</f>
        <v/>
      </c>
      <c r="D34" s="2" t="str">
        <f>IF($B$7="☒",IF(COUNTIFS(Pronosticos!$C$2:$C$1989,$T34,Pronosticos!$H$2:$H$1989,$B$3,Pronosticos!$D$2:$D$1989,"INPC_DES")=0,"",SUMIFS(Pronosticos!$I$2:$I$1989,Pronosticos!$C$2:$C$1989,$T34,Pronosticos!$H$2:$H$1989,$B$3,Pronosticos!$D$2:$D$1989,"INPC_DES")),"")</f>
        <v/>
      </c>
      <c r="E34" s="2" t="str">
        <f>IF($B$8="☒",IF(COUNTIFS(Pronosticos!$C$2:$C$1989,$T34,Pronosticos!$H$2:$H$1989,$B$3,Pronosticos!$D$2:$D$1989,"SUB_DES")=0,"",SUMIFS(Pronosticos!$I$2:$I$1989,Pronosticos!$C$2:$C$1989,$T34,Pronosticos!$H$2:$H$1989,$B$3,Pronosticos!$D$2:$D$1989,"SUB_DES")),"")</f>
        <v/>
      </c>
      <c r="T34" s="1">
        <v>45372</v>
      </c>
    </row>
    <row r="35" spans="1:20">
      <c r="A35" s="16">
        <v>45421</v>
      </c>
      <c r="B35" s="2" t="str">
        <f>IF($B$5="☒",IF(COUNTIFS(Pronosticos!$C$2:$C$1989,$T35,Pronosticos!$H$2:$H$1989,$B$3,Pronosticos!$D$2:$D$1989,"INPC")=0,"",SUMIFS(Pronosticos!$I$2:$I$1989,Pronosticos!$C$2:$C$1989,$T35,Pronosticos!$H$2:$H$1989,$B$3,Pronosticos!$D$2:$D$1989,"INPC")),"")</f>
        <v/>
      </c>
      <c r="C35" s="2" t="str">
        <f>IF($B$6="☒",IF(COUNTIFS(Pronosticos!$C$2:$C$1989,$T35,Pronosticos!$H$2:$H$1989,$B$3,Pronosticos!$D$2:$D$1989,"SUB")=0,"",SUMIFS(Pronosticos!$I$2:$I$1989,Pronosticos!$C$2:$C$1989,$T35,Pronosticos!$H$2:$H$1989,$B$3,Pronosticos!$D$2:$D$1989,"SUB")),"")</f>
        <v/>
      </c>
      <c r="D35" s="2" t="str">
        <f>IF($B$7="☒",IF(COUNTIFS(Pronosticos!$C$2:$C$1989,$T35,Pronosticos!$H$2:$H$1989,$B$3,Pronosticos!$D$2:$D$1989,"INPC_DES")=0,"",SUMIFS(Pronosticos!$I$2:$I$1989,Pronosticos!$C$2:$C$1989,$T35,Pronosticos!$H$2:$H$1989,$B$3,Pronosticos!$D$2:$D$1989,"INPC_DES")),"")</f>
        <v/>
      </c>
      <c r="E35" s="2" t="str">
        <f>IF($B$8="☒",IF(COUNTIFS(Pronosticos!$C$2:$C$1989,$T35,Pronosticos!$H$2:$H$1989,$B$3,Pronosticos!$D$2:$D$1989,"SUB_DES")=0,"",SUMIFS(Pronosticos!$I$2:$I$1989,Pronosticos!$C$2:$C$1989,$T35,Pronosticos!$H$2:$H$1989,$B$3,Pronosticos!$D$2:$D$1989,"SUB_DES")),"")</f>
        <v/>
      </c>
      <c r="T35" s="1">
        <v>45421</v>
      </c>
    </row>
    <row r="36" spans="1:20">
      <c r="A36" s="16">
        <v>45470</v>
      </c>
      <c r="B36" s="2">
        <f>IF($B$5="☒",IF(COUNTIFS(Pronosticos!$C$2:$C$1989,$T36,Pronosticos!$H$2:$H$1989,$B$3,Pronosticos!$D$2:$D$1989,"INPC")=0,"",SUMIFS(Pronosticos!$I$2:$I$1989,Pronosticos!$C$2:$C$1989,$T36,Pronosticos!$H$2:$H$1989,$B$3,Pronosticos!$D$2:$D$1989,"INPC")),"")</f>
        <v>3</v>
      </c>
      <c r="C36" s="2">
        <f>IF($B$6="☒",IF(COUNTIFS(Pronosticos!$C$2:$C$1989,$T36,Pronosticos!$H$2:$H$1989,$B$3,Pronosticos!$D$2:$D$1989,"SUB")=0,"",SUMIFS(Pronosticos!$I$2:$I$1989,Pronosticos!$C$2:$C$1989,$T36,Pronosticos!$H$2:$H$1989,$B$3,Pronosticos!$D$2:$D$1989,"SUB")),"")</f>
        <v>3</v>
      </c>
      <c r="D36" s="2">
        <f>IF($B$7="☒",IF(COUNTIFS(Pronosticos!$C$2:$C$1989,$T36,Pronosticos!$H$2:$H$1989,$B$3,Pronosticos!$D$2:$D$1989,"INPC_DES")=0,"",SUMIFS(Pronosticos!$I$2:$I$1989,Pronosticos!$C$2:$C$1989,$T36,Pronosticos!$H$2:$H$1989,$B$3,Pronosticos!$D$2:$D$1989,"INPC_DES")),"")</f>
        <v>2.9</v>
      </c>
      <c r="E36" s="2">
        <f>IF($B$8="☒",IF(COUNTIFS(Pronosticos!$C$2:$C$1989,$T36,Pronosticos!$H$2:$H$1989,$B$3,Pronosticos!$D$2:$D$1989,"SUB_DES")=0,"",SUMIFS(Pronosticos!$I$2:$I$1989,Pronosticos!$C$2:$C$1989,$T36,Pronosticos!$H$2:$H$1989,$B$3,Pronosticos!$D$2:$D$1989,"SUB_DES")),"")</f>
        <v>2.8</v>
      </c>
      <c r="T36" s="1">
        <v>45470</v>
      </c>
    </row>
    <row r="37" spans="1:20">
      <c r="A37" s="16">
        <v>45512</v>
      </c>
      <c r="B37" s="2">
        <f>IF($B$5="☒",IF(COUNTIFS(Pronosticos!$C$2:$C$1989,$T37,Pronosticos!$H$2:$H$1989,$B$3,Pronosticos!$D$2:$D$1989,"INPC")=0,"",SUMIFS(Pronosticos!$I$2:$I$1989,Pronosticos!$C$2:$C$1989,$T37,Pronosticos!$H$2:$H$1989,$B$3,Pronosticos!$D$2:$D$1989,"INPC")),"")</f>
        <v>3</v>
      </c>
      <c r="C37" s="2">
        <f>IF($B$6="☒",IF(COUNTIFS(Pronosticos!$C$2:$C$1989,$T37,Pronosticos!$H$2:$H$1989,$B$3,Pronosticos!$D$2:$D$1989,"SUB")=0,"",SUMIFS(Pronosticos!$I$2:$I$1989,Pronosticos!$C$2:$C$1989,$T37,Pronosticos!$H$2:$H$1989,$B$3,Pronosticos!$D$2:$D$1989,"SUB")),"")</f>
        <v>3</v>
      </c>
      <c r="D37" s="2">
        <f>IF($B$7="☒",IF(COUNTIFS(Pronosticos!$C$2:$C$1989,$T37,Pronosticos!$H$2:$H$1989,$B$3,Pronosticos!$D$2:$D$1989,"INPC_DES")=0,"",SUMIFS(Pronosticos!$I$2:$I$1989,Pronosticos!$C$2:$C$1989,$T37,Pronosticos!$H$2:$H$1989,$B$3,Pronosticos!$D$2:$D$1989,"INPC_DES")),"")</f>
        <v>2.8</v>
      </c>
      <c r="E37" s="2">
        <f>IF($B$8="☒",IF(COUNTIFS(Pronosticos!$C$2:$C$1989,$T37,Pronosticos!$H$2:$H$1989,$B$3,Pronosticos!$D$2:$D$1989,"SUB_DES")=0,"",SUMIFS(Pronosticos!$I$2:$I$1989,Pronosticos!$C$2:$C$1989,$T37,Pronosticos!$H$2:$H$1989,$B$3,Pronosticos!$D$2:$D$1989,"SUB_DES")),"")</f>
        <v>2.8</v>
      </c>
      <c r="T37" s="1">
        <v>45512</v>
      </c>
    </row>
    <row r="38" spans="1:20">
      <c r="A38" s="16">
        <v>45561</v>
      </c>
      <c r="B38" s="2">
        <f>IF($B$5="☒",IF(COUNTIFS(Pronosticos!$C$2:$C$1989,$T38,Pronosticos!$H$2:$H$1989,$B$3,Pronosticos!$D$2:$D$1989,"INPC")=0,"",SUMIFS(Pronosticos!$I$2:$I$1989,Pronosticos!$C$2:$C$1989,$T38,Pronosticos!$H$2:$H$1989,$B$3,Pronosticos!$D$2:$D$1989,"INPC")),"")</f>
        <v>3</v>
      </c>
      <c r="C38" s="2">
        <f>IF($B$6="☒",IF(COUNTIFS(Pronosticos!$C$2:$C$1989,$T38,Pronosticos!$H$2:$H$1989,$B$3,Pronosticos!$D$2:$D$1989,"SUB")=0,"",SUMIFS(Pronosticos!$I$2:$I$1989,Pronosticos!$C$2:$C$1989,$T38,Pronosticos!$H$2:$H$1989,$B$3,Pronosticos!$D$2:$D$1989,"SUB")),"")</f>
        <v>3</v>
      </c>
      <c r="D38" s="2">
        <f>IF($B$7="☒",IF(COUNTIFS(Pronosticos!$C$2:$C$1989,$T38,Pronosticos!$H$2:$H$1989,$B$3,Pronosticos!$D$2:$D$1989,"INPC_DES")=0,"",SUMIFS(Pronosticos!$I$2:$I$1989,Pronosticos!$C$2:$C$1989,$T38,Pronosticos!$H$2:$H$1989,$B$3,Pronosticos!$D$2:$D$1989,"INPC_DES")),"")</f>
        <v>3.1</v>
      </c>
      <c r="E38" s="2">
        <f>IF($B$8="☒",IF(COUNTIFS(Pronosticos!$C$2:$C$1989,$T38,Pronosticos!$H$2:$H$1989,$B$3,Pronosticos!$D$2:$D$1989,"SUB_DES")=0,"",SUMIFS(Pronosticos!$I$2:$I$1989,Pronosticos!$C$2:$C$1989,$T38,Pronosticos!$H$2:$H$1989,$B$3,Pronosticos!$D$2:$D$1989,"SUB_DES")),"")</f>
        <v>2.8</v>
      </c>
      <c r="T38" s="1">
        <v>45561</v>
      </c>
    </row>
    <row r="39" spans="1:20">
      <c r="A39" s="16">
        <v>45610</v>
      </c>
      <c r="B39" s="2">
        <f>IF($B$5="☒",IF(COUNTIFS(Pronosticos!$C$2:$C$1989,$T39,Pronosticos!$H$2:$H$1989,$B$3,Pronosticos!$D$2:$D$1989,"INPC")=0,"",SUMIFS(Pronosticos!$I$2:$I$1989,Pronosticos!$C$2:$C$1989,$T39,Pronosticos!$H$2:$H$1989,$B$3,Pronosticos!$D$2:$D$1989,"INPC")),"")</f>
        <v>3</v>
      </c>
      <c r="C39" s="2">
        <f>IF($B$6="☒",IF(COUNTIFS(Pronosticos!$C$2:$C$1989,$T39,Pronosticos!$H$2:$H$1989,$B$3,Pronosticos!$D$2:$D$1989,"SUB")=0,"",SUMIFS(Pronosticos!$I$2:$I$1989,Pronosticos!$C$2:$C$1989,$T39,Pronosticos!$H$2:$H$1989,$B$3,Pronosticos!$D$2:$D$1989,"SUB")),"")</f>
        <v>3</v>
      </c>
      <c r="D39" s="2">
        <f>IF($B$7="☒",IF(COUNTIFS(Pronosticos!$C$2:$C$1989,$T39,Pronosticos!$H$2:$H$1989,$B$3,Pronosticos!$D$2:$D$1989,"INPC_DES")=0,"",SUMIFS(Pronosticos!$I$2:$I$1989,Pronosticos!$C$2:$C$1989,$T39,Pronosticos!$H$2:$H$1989,$B$3,Pronosticos!$D$2:$D$1989,"INPC_DES")),"")</f>
        <v>2.6</v>
      </c>
      <c r="E39" s="2">
        <f>IF($B$8="☒",IF(COUNTIFS(Pronosticos!$C$2:$C$1989,$T39,Pronosticos!$H$2:$H$1989,$B$3,Pronosticos!$D$2:$D$1989,"SUB_DES")=0,"",SUMIFS(Pronosticos!$I$2:$I$1989,Pronosticos!$C$2:$C$1989,$T39,Pronosticos!$H$2:$H$1989,$B$3,Pronosticos!$D$2:$D$1989,"SUB_DES")),"")</f>
        <v>2.8</v>
      </c>
      <c r="T39" s="1">
        <v>45610</v>
      </c>
    </row>
    <row r="40" spans="1:20">
      <c r="A40" s="16">
        <v>45645</v>
      </c>
      <c r="B40" s="2">
        <f>IF($B$5="☒",IF(COUNTIFS(Pronosticos!$C$2:$C$1989,$T40,Pronosticos!$H$2:$H$1989,$B$3,Pronosticos!$D$2:$D$1989,"INPC")=0,"",SUMIFS(Pronosticos!$I$2:$I$1989,Pronosticos!$C$2:$C$1989,$T40,Pronosticos!$H$2:$H$1989,$B$3,Pronosticos!$D$2:$D$1989,"INPC")),"")</f>
        <v>3.1</v>
      </c>
      <c r="C40" s="2">
        <f>IF($B$6="☒",IF(COUNTIFS(Pronosticos!$C$2:$C$1989,$T40,Pronosticos!$H$2:$H$1989,$B$3,Pronosticos!$D$2:$D$1989,"SUB")=0,"",SUMIFS(Pronosticos!$I$2:$I$1989,Pronosticos!$C$2:$C$1989,$T40,Pronosticos!$H$2:$H$1989,$B$3,Pronosticos!$D$2:$D$1989,"SUB")),"")</f>
        <v>3</v>
      </c>
      <c r="D40" s="2">
        <f>IF($B$7="☒",IF(COUNTIFS(Pronosticos!$C$2:$C$1989,$T40,Pronosticos!$H$2:$H$1989,$B$3,Pronosticos!$D$2:$D$1989,"INPC_DES")=0,"",SUMIFS(Pronosticos!$I$2:$I$1989,Pronosticos!$C$2:$C$1989,$T40,Pronosticos!$H$2:$H$1989,$B$3,Pronosticos!$D$2:$D$1989,"INPC_DES")),"")</f>
        <v>2.7</v>
      </c>
      <c r="E40" s="2">
        <f>IF($B$8="☒",IF(COUNTIFS(Pronosticos!$C$2:$C$1989,$T40,Pronosticos!$H$2:$H$1989,$B$3,Pronosticos!$D$2:$D$1989,"SUB_DES")=0,"",SUMIFS(Pronosticos!$I$2:$I$1989,Pronosticos!$C$2:$C$1989,$T40,Pronosticos!$H$2:$H$1989,$B$3,Pronosticos!$D$2:$D$1989,"SUB_DES")),"")</f>
        <v>2.8</v>
      </c>
      <c r="T40" s="1">
        <v>45645</v>
      </c>
    </row>
    <row r="41" spans="1:20">
      <c r="A41" s="16">
        <v>45694</v>
      </c>
      <c r="B41" s="2">
        <f>IF($B$5="☒",IF(COUNTIFS(Pronosticos!$C$2:$C$1989,$T41,Pronosticos!$H$2:$H$1989,$B$3,Pronosticos!$D$2:$D$1989,"INPC")=0,"",SUMIFS(Pronosticos!$I$2:$I$1989,Pronosticos!$C$2:$C$1989,$T41,Pronosticos!$H$2:$H$1989,$B$3,Pronosticos!$D$2:$D$1989,"INPC")),"")</f>
        <v>3.1</v>
      </c>
      <c r="C41" s="2">
        <f>IF($B$6="☒",IF(COUNTIFS(Pronosticos!$C$2:$C$1989,$T41,Pronosticos!$H$2:$H$1989,$B$3,Pronosticos!$D$2:$D$1989,"SUB")=0,"",SUMIFS(Pronosticos!$I$2:$I$1989,Pronosticos!$C$2:$C$1989,$T41,Pronosticos!$H$2:$H$1989,$B$3,Pronosticos!$D$2:$D$1989,"SUB")),"")</f>
        <v>3</v>
      </c>
      <c r="D41" s="2">
        <f>IF($B$7="☒",IF(COUNTIFS(Pronosticos!$C$2:$C$1989,$T41,Pronosticos!$H$2:$H$1989,$B$3,Pronosticos!$D$2:$D$1989,"INPC_DES")=0,"",SUMIFS(Pronosticos!$I$2:$I$1989,Pronosticos!$C$2:$C$1989,$T41,Pronosticos!$H$2:$H$1989,$B$3,Pronosticos!$D$2:$D$1989,"INPC_DES")),"")</f>
        <v>3.1</v>
      </c>
      <c r="E41" s="2">
        <f>IF($B$8="☒",IF(COUNTIFS(Pronosticos!$C$2:$C$1989,$T41,Pronosticos!$H$2:$H$1989,$B$3,Pronosticos!$D$2:$D$1989,"SUB_DES")=0,"",SUMIFS(Pronosticos!$I$2:$I$1989,Pronosticos!$C$2:$C$1989,$T41,Pronosticos!$H$2:$H$1989,$B$3,Pronosticos!$D$2:$D$1989,"SUB_DES")),"")</f>
        <v>2.8</v>
      </c>
      <c r="T41" s="1">
        <v>45694</v>
      </c>
    </row>
    <row r="42" spans="1:20">
      <c r="A42" s="16">
        <v>45743</v>
      </c>
      <c r="B42" s="2">
        <f>IF($B$5="☒",IF(COUNTIFS(Pronosticos!$C$2:$C$1989,$T42,Pronosticos!$H$2:$H$1989,$B$3,Pronosticos!$D$2:$D$1989,"INPC")=0,"",SUMIFS(Pronosticos!$I$2:$I$1989,Pronosticos!$C$2:$C$1989,$T42,Pronosticos!$H$2:$H$1989,$B$3,Pronosticos!$D$2:$D$1989,"INPC")),"")</f>
        <v>3.1</v>
      </c>
      <c r="C42" s="2">
        <f>IF($B$6="☒",IF(COUNTIFS(Pronosticos!$C$2:$C$1989,$T42,Pronosticos!$H$2:$H$1989,$B$3,Pronosticos!$D$2:$D$1989,"SUB")=0,"",SUMIFS(Pronosticos!$I$2:$I$1989,Pronosticos!$C$2:$C$1989,$T42,Pronosticos!$H$2:$H$1989,$B$3,Pronosticos!$D$2:$D$1989,"SUB")),"")</f>
        <v>3</v>
      </c>
      <c r="D42" s="2">
        <f>IF($B$7="☒",IF(COUNTIFS(Pronosticos!$C$2:$C$1989,$T42,Pronosticos!$H$2:$H$1989,$B$3,Pronosticos!$D$2:$D$1989,"INPC_DES")=0,"",SUMIFS(Pronosticos!$I$2:$I$1989,Pronosticos!$C$2:$C$1989,$T42,Pronosticos!$H$2:$H$1989,$B$3,Pronosticos!$D$2:$D$1989,"INPC_DES")),"")</f>
        <v>3.1</v>
      </c>
      <c r="E42" s="2">
        <f>IF($B$8="☒",IF(COUNTIFS(Pronosticos!$C$2:$C$1989,$T42,Pronosticos!$H$2:$H$1989,$B$3,Pronosticos!$D$2:$D$1989,"SUB_DES")=0,"",SUMIFS(Pronosticos!$I$2:$I$1989,Pronosticos!$C$2:$C$1989,$T42,Pronosticos!$H$2:$H$1989,$B$3,Pronosticos!$D$2:$D$1989,"SUB_DES")),"")</f>
        <v>2.9</v>
      </c>
      <c r="T42" s="1">
        <v>45743</v>
      </c>
    </row>
    <row r="43" spans="1:20">
      <c r="A43" s="16">
        <v>45792</v>
      </c>
      <c r="B43" s="2">
        <f>IF($B$5="☒",IF(COUNTIFS(Pronosticos!$C$2:$C$1989,$T43,Pronosticos!$H$2:$H$1989,$B$3,Pronosticos!$D$2:$D$1989,"INPC")=0,"",SUMIFS(Pronosticos!$I$2:$I$1989,Pronosticos!$C$2:$C$1989,$T43,Pronosticos!$H$2:$H$1989,$B$3,Pronosticos!$D$2:$D$1989,"INPC")),"")</f>
        <v>3.1</v>
      </c>
      <c r="C43" s="2">
        <f>IF($B$6="☒",IF(COUNTIFS(Pronosticos!$C$2:$C$1989,$T43,Pronosticos!$H$2:$H$1989,$B$3,Pronosticos!$D$2:$D$1989,"SUB")=0,"",SUMIFS(Pronosticos!$I$2:$I$1989,Pronosticos!$C$2:$C$1989,$T43,Pronosticos!$H$2:$H$1989,$B$3,Pronosticos!$D$2:$D$1989,"SUB")),"")</f>
        <v>3</v>
      </c>
      <c r="D43" s="2">
        <f>IF($B$7="☒",IF(COUNTIFS(Pronosticos!$C$2:$C$1989,$T43,Pronosticos!$H$2:$H$1989,$B$3,Pronosticos!$D$2:$D$1989,"INPC_DES")=0,"",SUMIFS(Pronosticos!$I$2:$I$1989,Pronosticos!$C$2:$C$1989,$T43,Pronosticos!$H$2:$H$1989,$B$3,Pronosticos!$D$2:$D$1989,"INPC_DES")),"")</f>
        <v>3.6</v>
      </c>
      <c r="E43" s="2">
        <f>IF($B$8="☒",IF(COUNTIFS(Pronosticos!$C$2:$C$1989,$T43,Pronosticos!$H$2:$H$1989,$B$3,Pronosticos!$D$2:$D$1989,"SUB_DES")=0,"",SUMIFS(Pronosticos!$I$2:$I$1989,Pronosticos!$C$2:$C$1989,$T43,Pronosticos!$H$2:$H$1989,$B$3,Pronosticos!$D$2:$D$1989,"SUB_DES")),"")</f>
        <v>3.3</v>
      </c>
      <c r="T43" s="1">
        <v>45792</v>
      </c>
    </row>
    <row r="44" spans="1:20">
      <c r="A44" s="16">
        <v>45834</v>
      </c>
      <c r="B44" s="2">
        <f>IF($B$5="☒",IF(COUNTIFS(Pronosticos!$C$2:$C$1989,$T44,Pronosticos!$H$2:$H$1989,$B$3,Pronosticos!$D$2:$D$1989,"INPC")=0,"",SUMIFS(Pronosticos!$I$2:$I$1989,Pronosticos!$C$2:$C$1989,$T44,Pronosticos!$H$2:$H$1989,$B$3,Pronosticos!$D$2:$D$1989,"INPC")),"")</f>
        <v>3.1</v>
      </c>
      <c r="C44" s="2">
        <f>IF($B$6="☒",IF(COUNTIFS(Pronosticos!$C$2:$C$1989,$T44,Pronosticos!$H$2:$H$1989,$B$3,Pronosticos!$D$2:$D$1989,"SUB")=0,"",SUMIFS(Pronosticos!$I$2:$I$1989,Pronosticos!$C$2:$C$1989,$T44,Pronosticos!$H$2:$H$1989,$B$3,Pronosticos!$D$2:$D$1989,"SUB")),"")</f>
        <v>3.1</v>
      </c>
      <c r="D44" s="2">
        <f>IF($B$7="☒",IF(COUNTIFS(Pronosticos!$C$2:$C$1989,$T44,Pronosticos!$H$2:$H$1989,$B$3,Pronosticos!$D$2:$D$1989,"INPC_DES")=0,"",SUMIFS(Pronosticos!$I$2:$I$1989,Pronosticos!$C$2:$C$1989,$T44,Pronosticos!$H$2:$H$1989,$B$3,Pronosticos!$D$2:$D$1989,"INPC_DES")),"")</f>
        <v>3.8</v>
      </c>
      <c r="E44" s="2">
        <f>IF($B$8="☒",IF(COUNTIFS(Pronosticos!$C$2:$C$1989,$T44,Pronosticos!$H$2:$H$1989,$B$3,Pronosticos!$D$2:$D$1989,"SUB_DES")=0,"",SUMIFS(Pronosticos!$I$2:$I$1989,Pronosticos!$C$2:$C$1989,$T44,Pronosticos!$H$2:$H$1989,$B$3,Pronosticos!$D$2:$D$1989,"SUB_DES")),"")</f>
        <v>3.1</v>
      </c>
      <c r="T44" s="1">
        <v>45834</v>
      </c>
    </row>
    <row r="45" spans="1:20">
      <c r="A45" s="16">
        <v>45876</v>
      </c>
      <c r="B45" s="2">
        <f>IF($B$5="☒",IF(COUNTIFS(Pronosticos!$C$2:$C$1989,$T45,Pronosticos!$H$2:$H$1989,$B$3,Pronosticos!$D$2:$D$1989,"INPC")=0,"",SUMIFS(Pronosticos!$I$2:$I$1989,Pronosticos!$C$2:$C$1989,$T45,Pronosticos!$H$2:$H$1989,$B$3,Pronosticos!$D$2:$D$1989,"INPC")),"")</f>
        <v>3.1</v>
      </c>
      <c r="C45" s="2">
        <f>IF($B$6="☒",IF(COUNTIFS(Pronosticos!$C$2:$C$1989,$T45,Pronosticos!$H$2:$H$1989,$B$3,Pronosticos!$D$2:$D$1989,"SUB")=0,"",SUMIFS(Pronosticos!$I$2:$I$1989,Pronosticos!$C$2:$C$1989,$T45,Pronosticos!$H$2:$H$1989,$B$3,Pronosticos!$D$2:$D$1989,"SUB")),"")</f>
        <v>3.1</v>
      </c>
      <c r="D45" s="2">
        <f>IF($B$7="☒",IF(COUNTIFS(Pronosticos!$C$2:$C$1989,$T45,Pronosticos!$H$2:$H$1989,$B$3,Pronosticos!$D$2:$D$1989,"INPC_DES")=0,"",SUMIFS(Pronosticos!$I$2:$I$1989,Pronosticos!$C$2:$C$1989,$T45,Pronosticos!$H$2:$H$1989,$B$3,Pronosticos!$D$2:$D$1989,"INPC_DES")),"")</f>
        <v>3.5</v>
      </c>
      <c r="E45" s="2">
        <f>IF($B$8="☒",IF(COUNTIFS(Pronosticos!$C$2:$C$1989,$T45,Pronosticos!$H$2:$H$1989,$B$3,Pronosticos!$D$2:$D$1989,"SUB_DES")=0,"",SUMIFS(Pronosticos!$I$2:$I$1989,Pronosticos!$C$2:$C$1989,$T45,Pronosticos!$H$2:$H$1989,$B$3,Pronosticos!$D$2:$D$1989,"SUB_DES")),"")</f>
        <v>3</v>
      </c>
      <c r="T45" s="1">
        <v>45876</v>
      </c>
    </row>
    <row r="46" spans="1:20">
      <c r="A46" s="16">
        <v>45925</v>
      </c>
      <c r="B46" s="2">
        <f>IF($B$5="☒",IF(COUNTIFS(Pronosticos!$C$2:$C$1989,$T46,Pronosticos!$H$2:$H$1989,$B$3,Pronosticos!$D$2:$D$1989,"INPC")=0,"",SUMIFS(Pronosticos!$I$2:$I$1989,Pronosticos!$C$2:$C$1989,$T46,Pronosticos!$H$2:$H$1989,$B$3,Pronosticos!$D$2:$D$1989,"INPC")),"")</f>
        <v>3.1</v>
      </c>
      <c r="C46" s="2">
        <f>IF($B$6="☒",IF(COUNTIFS(Pronosticos!$C$2:$C$1989,$T46,Pronosticos!$H$2:$H$1989,$B$3,Pronosticos!$D$2:$D$1989,"SUB")=0,"",SUMIFS(Pronosticos!$I$2:$I$1989,Pronosticos!$C$2:$C$1989,$T46,Pronosticos!$H$2:$H$1989,$B$3,Pronosticos!$D$2:$D$1989,"SUB")),"")</f>
        <v>3.2</v>
      </c>
      <c r="D46" s="2">
        <f>IF($B$7="☒",IF(COUNTIFS(Pronosticos!$C$2:$C$1989,$T46,Pronosticos!$H$2:$H$1989,$B$3,Pronosticos!$D$2:$D$1989,"INPC_DES")=0,"",SUMIFS(Pronosticos!$I$2:$I$1989,Pronosticos!$C$2:$C$1989,$T46,Pronosticos!$H$2:$H$1989,$B$3,Pronosticos!$D$2:$D$1989,"INPC_DES")),"")</f>
        <v>3.5</v>
      </c>
      <c r="E46" s="2">
        <f>IF($B$8="☒",IF(COUNTIFS(Pronosticos!$C$2:$C$1989,$T46,Pronosticos!$H$2:$H$1989,$B$3,Pronosticos!$D$2:$D$1989,"SUB_DES")=0,"",SUMIFS(Pronosticos!$I$2:$I$1989,Pronosticos!$C$2:$C$1989,$T46,Pronosticos!$H$2:$H$1989,$B$3,Pronosticos!$D$2:$D$1989,"SUB_DES")),"")</f>
        <v>3.1</v>
      </c>
      <c r="T46" s="1">
        <v>45925</v>
      </c>
    </row>
    <row r="47" spans="1:20">
      <c r="A47" s="16">
        <v>45967</v>
      </c>
      <c r="B47" s="2">
        <f>IF($B$5="☒",IF(COUNTIFS(Pronosticos!$C$2:$C$1989,$T47,Pronosticos!$H$2:$H$1989,$B$3,Pronosticos!$D$2:$D$1989,"INPC")=0,"",SUMIFS(Pronosticos!$I$2:$I$1989,Pronosticos!$C$2:$C$1989,$T47,Pronosticos!$H$2:$H$1989,$B$3,Pronosticos!$D$2:$D$1989,"INPC")),"")</f>
        <v>3.2</v>
      </c>
      <c r="C47" s="2">
        <f>IF($B$6="☒",IF(COUNTIFS(Pronosticos!$C$2:$C$1989,$T47,Pronosticos!$H$2:$H$1989,$B$3,Pronosticos!$D$2:$D$1989,"SUB")=0,"",SUMIFS(Pronosticos!$I$2:$I$1989,Pronosticos!$C$2:$C$1989,$T47,Pronosticos!$H$2:$H$1989,$B$3,Pronosticos!$D$2:$D$1989,"SUB")),"")</f>
        <v>3.3</v>
      </c>
      <c r="D47" s="2">
        <f>IF($B$7="☒",IF(COUNTIFS(Pronosticos!$C$2:$C$1989,$T47,Pronosticos!$H$2:$H$1989,$B$3,Pronosticos!$D$2:$D$1989,"INPC_DES")=0,"",SUMIFS(Pronosticos!$I$2:$I$1989,Pronosticos!$C$2:$C$1989,$T47,Pronosticos!$H$2:$H$1989,$B$3,Pronosticos!$D$2:$D$1989,"INPC_DES")),"")</f>
        <v>3.6</v>
      </c>
      <c r="E47" s="2">
        <f>IF($B$8="☒",IF(COUNTIFS(Pronosticos!$C$2:$C$1989,$T47,Pronosticos!$H$2:$H$1989,$B$3,Pronosticos!$D$2:$D$1989,"SUB_DES")=0,"",SUMIFS(Pronosticos!$I$2:$I$1989,Pronosticos!$C$2:$C$1989,$T47,Pronosticos!$H$2:$H$1989,$B$3,Pronosticos!$D$2:$D$1989,"SUB_DES")),"")</f>
        <v>2.9</v>
      </c>
      <c r="T47" s="1">
        <v>45967</v>
      </c>
    </row>
    <row r="48" spans="1:20">
      <c r="A48" s="16">
        <v>46009</v>
      </c>
      <c r="B48" s="2">
        <f>IF($B$5="☒",IF(COUNTIFS(Pronosticos!$C$2:$C$1989,$T48,Pronosticos!$H$2:$H$1989,$B$3,Pronosticos!$D$2:$D$1989,"INPC")=0,"",SUMIFS(Pronosticos!$I$2:$I$1989,Pronosticos!$C$2:$C$1989,$T48,Pronosticos!$H$2:$H$1989,$B$3,Pronosticos!$D$2:$D$1989,"INPC")),"")</f>
        <v>3.3</v>
      </c>
      <c r="C48" s="2">
        <f>IF($B$6="☒",IF(COUNTIFS(Pronosticos!$C$2:$C$1989,$T48,Pronosticos!$H$2:$H$1989,$B$3,Pronosticos!$D$2:$D$1989,"SUB")=0,"",SUMIFS(Pronosticos!$I$2:$I$1989,Pronosticos!$C$2:$C$1989,$T48,Pronosticos!$H$2:$H$1989,$B$3,Pronosticos!$D$2:$D$1989,"SUB")),"")</f>
        <v>3.4</v>
      </c>
      <c r="D48" s="2">
        <f>IF($B$7="☒",IF(COUNTIFS(Pronosticos!$C$2:$C$1989,$T48,Pronosticos!$H$2:$H$1989,$B$3,Pronosticos!$D$2:$D$1989,"INPC_DES")=0,"",SUMIFS(Pronosticos!$I$2:$I$1989,Pronosticos!$C$2:$C$1989,$T48,Pronosticos!$H$2:$H$1989,$B$3,Pronosticos!$D$2:$D$1989,"INPC_DES")),"")</f>
        <v>3.2</v>
      </c>
      <c r="E48" s="2">
        <f>IF($B$8="☒",IF(COUNTIFS(Pronosticos!$C$2:$C$1989,$T48,Pronosticos!$H$2:$H$1989,$B$3,Pronosticos!$D$2:$D$1989,"SUB_DES")=0,"",SUMIFS(Pronosticos!$I$2:$I$1989,Pronosticos!$C$2:$C$1989,$T48,Pronosticos!$H$2:$H$1989,$B$3,Pronosticos!$D$2:$D$1989,"SUB_DES")),"")</f>
        <v>2.6</v>
      </c>
      <c r="T48" s="1">
        <v>46009</v>
      </c>
    </row>
    <row r="49" spans="1:20">
      <c r="A49" s="16">
        <v>46058</v>
      </c>
      <c r="B49" s="2">
        <f>IF($B$5="☒",IF(COUNTIFS(Pronosticos!$C$2:$C$1989,$T49,Pronosticos!$H$2:$H$1989,$B$3,Pronosticos!$D$2:$D$1989,"INPC")=0,"",SUMIFS(Pronosticos!$I$2:$I$1989,Pronosticos!$C$2:$C$1989,$T49,Pronosticos!$H$2:$H$1989,$B$3,Pronosticos!$D$2:$D$1989,"INPC")),"")</f>
        <v>3.8</v>
      </c>
      <c r="C49" s="2">
        <f>IF($B$6="☒",IF(COUNTIFS(Pronosticos!$C$2:$C$1989,$T49,Pronosticos!$H$2:$H$1989,$B$3,Pronosticos!$D$2:$D$1989,"SUB")=0,"",SUMIFS(Pronosticos!$I$2:$I$1989,Pronosticos!$C$2:$C$1989,$T49,Pronosticos!$H$2:$H$1989,$B$3,Pronosticos!$D$2:$D$1989,"SUB")),"")</f>
        <v>4</v>
      </c>
      <c r="D49" s="2">
        <f>IF($B$7="☒",IF(COUNTIFS(Pronosticos!$C$2:$C$1989,$T49,Pronosticos!$H$2:$H$1989,$B$3,Pronosticos!$D$2:$D$1989,"INPC_DES")=0,"",SUMIFS(Pronosticos!$I$2:$I$1989,Pronosticos!$C$2:$C$1989,$T49,Pronosticos!$H$2:$H$1989,$B$3,Pronosticos!$D$2:$D$1989,"INPC_DES")),"")</f>
        <v>4</v>
      </c>
      <c r="E49" s="2">
        <f>IF($B$8="☒",IF(COUNTIFS(Pronosticos!$C$2:$C$1989,$T49,Pronosticos!$H$2:$H$1989,$B$3,Pronosticos!$D$2:$D$1989,"SUB_DES")=0,"",SUMIFS(Pronosticos!$I$2:$I$1989,Pronosticos!$C$2:$C$1989,$T49,Pronosticos!$H$2:$H$1989,$B$3,Pronosticos!$D$2:$D$1989,"SUB_DES")),"")</f>
        <v>3.3</v>
      </c>
      <c r="T49" s="1">
        <v>46058</v>
      </c>
    </row>
    <row r="50" spans="1:20">
      <c r="A50" s="16">
        <v>46107</v>
      </c>
      <c r="B50" s="2">
        <f>IF($B$5="☒",IF(COUNTIFS(Pronosticos!$C$2:$C$1989,$T50,Pronosticos!$H$2:$H$1989,$B$3,Pronosticos!$D$2:$D$1989,"INPC")=0,"",SUMIFS(Pronosticos!$I$2:$I$1989,Pronosticos!$C$2:$C$1989,$T50,Pronosticos!$H$2:$H$1989,$B$3,Pronosticos!$D$2:$D$1989,"INPC")),"")</f>
        <v>4</v>
      </c>
      <c r="C50" s="2">
        <f>IF($B$6="☒",IF(COUNTIFS(Pronosticos!$C$2:$C$1989,$T50,Pronosticos!$H$2:$H$1989,$B$3,Pronosticos!$D$2:$D$1989,"SUB")=0,"",SUMIFS(Pronosticos!$I$2:$I$1989,Pronosticos!$C$2:$C$1989,$T50,Pronosticos!$H$2:$H$1989,$B$3,Pronosticos!$D$2:$D$1989,"SUB")),"")</f>
        <v>4.0999999999999996</v>
      </c>
      <c r="D50" s="2">
        <f>IF($B$7="☒",IF(COUNTIFS(Pronosticos!$C$2:$C$1989,$T50,Pronosticos!$H$2:$H$1989,$B$3,Pronosticos!$D$2:$D$1989,"INPC_DES")=0,"",SUMIFS(Pronosticos!$I$2:$I$1989,Pronosticos!$C$2:$C$1989,$T50,Pronosticos!$H$2:$H$1989,$B$3,Pronosticos!$D$2:$D$1989,"INPC_DES")),"")</f>
        <v>4.2</v>
      </c>
      <c r="E50" s="2">
        <f>IF($B$8="☒",IF(COUNTIFS(Pronosticos!$C$2:$C$1989,$T50,Pronosticos!$H$2:$H$1989,$B$3,Pronosticos!$D$2:$D$1989,"SUB_DES")=0,"",SUMIFS(Pronosticos!$I$2:$I$1989,Pronosticos!$C$2:$C$1989,$T50,Pronosticos!$H$2:$H$1989,$B$3,Pronosticos!$D$2:$D$1989,"SUB_DES")),"")</f>
        <v>3.3</v>
      </c>
      <c r="T50" s="1">
        <v>46107</v>
      </c>
    </row>
    <row r="51" spans="1:20">
      <c r="A51" s="16">
        <v>46149</v>
      </c>
      <c r="B51" s="2">
        <f>IF($B$5="☒",IF(COUNTIFS(Pronosticos!$C$2:$C$1989,$T51,Pronosticos!$H$2:$H$1989,$B$3,Pronosticos!$D$2:$D$1989,"INPC")=0,"",SUMIFS(Pronosticos!$I$2:$I$1989,Pronosticos!$C$2:$C$1989,$T51,Pronosticos!$H$2:$H$1989,$B$3,Pronosticos!$D$2:$D$1989,"INPC")),"")</f>
        <v>4.0999999999999996</v>
      </c>
      <c r="C51" s="2">
        <f>IF($B$6="☒",IF(COUNTIFS(Pronosticos!$C$2:$C$1989,$T51,Pronosticos!$H$2:$H$1989,$B$3,Pronosticos!$D$2:$D$1989,"SUB")=0,"",SUMIFS(Pronosticos!$I$2:$I$1989,Pronosticos!$C$2:$C$1989,$T51,Pronosticos!$H$2:$H$1989,$B$3,Pronosticos!$D$2:$D$1989,"SUB")),"")</f>
        <v>4.0999999999999996</v>
      </c>
      <c r="D51" s="2">
        <f>IF($B$7="☒",IF(COUNTIFS(Pronosticos!$C$2:$C$1989,$T51,Pronosticos!$H$2:$H$1989,$B$3,Pronosticos!$D$2:$D$1989,"INPC_DES")=0,"",SUMIFS(Pronosticos!$I$2:$I$1989,Pronosticos!$C$2:$C$1989,$T51,Pronosticos!$H$2:$H$1989,$B$3,Pronosticos!$D$2:$D$1989,"INPC_DES")),"")</f>
        <v>4.5999999999999996</v>
      </c>
      <c r="E51" s="2">
        <f>IF($B$8="☒",IF(COUNTIFS(Pronosticos!$C$2:$C$1989,$T51,Pronosticos!$H$2:$H$1989,$B$3,Pronosticos!$D$2:$D$1989,"SUB_DES")=0,"",SUMIFS(Pronosticos!$I$2:$I$1989,Pronosticos!$C$2:$C$1989,$T51,Pronosticos!$H$2:$H$1989,$B$3,Pronosticos!$D$2:$D$1989,"SUB_DES")),"")</f>
        <v>3.4</v>
      </c>
      <c r="T51" s="1">
        <v>46149</v>
      </c>
    </row>
    <row r="52" spans="1:20">
      <c r="A52" s="16">
        <v>46198</v>
      </c>
      <c r="B52" s="2">
        <f>IF($B$5="☒",IF(COUNTIFS(Pronosticos!$C$2:$C$1989,$T52,Pronosticos!$H$2:$H$1989,$B$3,Pronosticos!$D$2:$D$1989,"INPC")=0,"",SUMIFS(Pronosticos!$I$2:$I$1989,Pronosticos!$C$2:$C$1989,$T52,Pronosticos!$H$2:$H$1989,$B$3,Pronosticos!$D$2:$D$1989,"INPC")),"")</f>
        <v>4</v>
      </c>
      <c r="C52" s="2">
        <f>IF($B$6="☒",IF(COUNTIFS(Pronosticos!$C$2:$C$1989,$T52,Pronosticos!$H$2:$H$1989,$B$3,Pronosticos!$D$2:$D$1989,"SUB")=0,"",SUMIFS(Pronosticos!$I$2:$I$1989,Pronosticos!$C$2:$C$1989,$T52,Pronosticos!$H$2:$H$1989,$B$3,Pronosticos!$D$2:$D$1989,"SUB")),"")</f>
        <v>4.2</v>
      </c>
      <c r="D52" s="2">
        <f>IF($B$7="☒",IF(COUNTIFS(Pronosticos!$C$2:$C$1989,$T52,Pronosticos!$H$2:$H$1989,$B$3,Pronosticos!$D$2:$D$1989,"INPC_DES")=0,"",SUMIFS(Pronosticos!$I$2:$I$1989,Pronosticos!$C$2:$C$1989,$T52,Pronosticos!$H$2:$H$1989,$B$3,Pronosticos!$D$2:$D$1989,"INPC_DES")),"")</f>
        <v>4.0999999999999996</v>
      </c>
      <c r="E52" s="2">
        <f>IF($B$8="☒",IF(COUNTIFS(Pronosticos!$C$2:$C$1989,$T52,Pronosticos!$H$2:$H$1989,$B$3,Pronosticos!$D$2:$D$1989,"SUB_DES")=0,"",SUMIFS(Pronosticos!$I$2:$I$1989,Pronosticos!$C$2:$C$1989,$T52,Pronosticos!$H$2:$H$1989,$B$3,Pronosticos!$D$2:$D$1989,"SUB_DES")),"")</f>
        <v>3.7</v>
      </c>
      <c r="T52" s="1">
        <v>46198</v>
      </c>
    </row>
    <row r="53" spans="1:20">
      <c r="A53" s="16">
        <v>46240</v>
      </c>
      <c r="B53" s="2">
        <f>IF($B$5="☒",IF(COUNTIFS(Pronosticos!$C$2:$C$1989,$T53,Pronosticos!$H$2:$H$1989,$B$3,Pronosticos!$D$2:$D$1989,"INPC")=0,"",SUMIFS(Pronosticos!$I$2:$I$1989,Pronosticos!$C$2:$C$1989,$T53,Pronosticos!$H$2:$H$1989,$B$3,Pronosticos!$D$2:$D$1989,"INPC")),"")</f>
        <v>3.9</v>
      </c>
      <c r="C53" s="2">
        <f>IF($B$6="☒",IF(COUNTIFS(Pronosticos!$C$2:$C$1989,$T53,Pronosticos!$H$2:$H$1989,$B$3,Pronosticos!$D$2:$D$1989,"SUB")=0,"",SUMIFS(Pronosticos!$I$2:$I$1989,Pronosticos!$C$2:$C$1989,$T53,Pronosticos!$H$2:$H$1989,$B$3,Pronosticos!$D$2:$D$1989,"SUB")),"")</f>
        <v>4.2</v>
      </c>
      <c r="D53" s="2">
        <f>IF($B$7="☒",IF(COUNTIFS(Pronosticos!$C$2:$C$1989,$T53,Pronosticos!$H$2:$H$1989,$B$3,Pronosticos!$D$2:$D$1989,"INPC_DES")=0,"",SUMIFS(Pronosticos!$I$2:$I$1989,Pronosticos!$C$2:$C$1989,$T53,Pronosticos!$H$2:$H$1989,$B$3,Pronosticos!$D$2:$D$1989,"INPC_DES")),"")</f>
        <v>4.0999999999999996</v>
      </c>
      <c r="E53" s="2">
        <f>IF($B$8="☒",IF(COUNTIFS(Pronosticos!$C$2:$C$1989,$T53,Pronosticos!$H$2:$H$1989,$B$3,Pronosticos!$D$2:$D$1989,"SUB_DES")=0,"",SUMIFS(Pronosticos!$I$2:$I$1989,Pronosticos!$C$2:$C$1989,$T53,Pronosticos!$H$2:$H$1989,$B$3,Pronosticos!$D$2:$D$1989,"SUB_DES")),"")</f>
        <v>3.7</v>
      </c>
      <c r="T53" s="1">
        <v>46240</v>
      </c>
    </row>
  </sheetData>
  <mergeCells count="2">
    <mergeCell ref="A1:Q1"/>
    <mergeCell ref="A10:E10"/>
  </mergeCells>
  <dataValidations count="2">
    <dataValidation type="list" sqref="B3" xr:uid="{00000000-0002-0000-0100-000000000000}">
      <formula1>"2021-T1,2021-T2,2021-T3,2021-T4,2022-T1,2022-T2,2022-T3,2022-T4,2023-T1,2023-T2,2023-T3,2023-T4,2024-T1,2024-T2,2024-T3,2024-T4,2025-T1,2025-T2,2025-T3,2025-T4,2026-T1,2026-T2,2026-T3,2026-T4,2027-T1,2027-T2,2027-T3,2027-T4,2028-T1,2028-T2"</formula1>
    </dataValidation>
    <dataValidation type="list" sqref="B5:B8" xr:uid="{00000000-0002-0000-0100-000001000000}">
      <formula1>"☒,☐"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58"/>
  <sheetViews>
    <sheetView showGridLines="0" topLeftCell="A23" workbookViewId="0">
      <selection activeCell="Q38" sqref="Q32:Q38"/>
    </sheetView>
  </sheetViews>
  <sheetFormatPr defaultRowHeight="13.8"/>
  <cols>
    <col min="1" max="1" width="20" customWidth="1"/>
    <col min="2" max="4" width="22" customWidth="1"/>
    <col min="5" max="5" width="24" customWidth="1"/>
    <col min="6" max="7" width="58" customWidth="1"/>
    <col min="18" max="18" width="10.09765625" bestFit="1" customWidth="1"/>
  </cols>
  <sheetData>
    <row r="1" spans="1:18" ht="31.95" customHeight="1">
      <c r="A1" s="10" t="s">
        <v>29</v>
      </c>
      <c r="B1" s="10" t="s">
        <v>30</v>
      </c>
      <c r="C1" s="10" t="s">
        <v>31</v>
      </c>
      <c r="D1" s="10" t="s">
        <v>32</v>
      </c>
      <c r="E1" s="10" t="s">
        <v>33</v>
      </c>
      <c r="F1" s="10" t="s">
        <v>34</v>
      </c>
      <c r="G1" s="10" t="s">
        <v>2184</v>
      </c>
    </row>
    <row r="2" spans="1:18">
      <c r="A2" t="s">
        <v>35</v>
      </c>
      <c r="B2" s="1">
        <v>44371</v>
      </c>
      <c r="C2" t="s">
        <v>36</v>
      </c>
      <c r="D2" t="s">
        <v>36</v>
      </c>
      <c r="E2" t="s">
        <v>37</v>
      </c>
      <c r="F2" t="s">
        <v>38</v>
      </c>
      <c r="G2" t="s">
        <v>2185</v>
      </c>
    </row>
    <row r="3" spans="1:18">
      <c r="A3" t="s">
        <v>39</v>
      </c>
      <c r="B3" s="1">
        <v>44420</v>
      </c>
      <c r="C3" t="s">
        <v>40</v>
      </c>
      <c r="D3" t="s">
        <v>36</v>
      </c>
      <c r="E3" t="s">
        <v>41</v>
      </c>
      <c r="F3" t="s">
        <v>42</v>
      </c>
      <c r="G3" t="s">
        <v>2185</v>
      </c>
      <c r="R3" s="26">
        <f>DecisionesTable[[#This Row],[fecha_decision]]-B2</f>
        <v>49</v>
      </c>
    </row>
    <row r="4" spans="1:18">
      <c r="A4" t="s">
        <v>43</v>
      </c>
      <c r="B4" s="1">
        <v>44469</v>
      </c>
      <c r="C4" t="s">
        <v>40</v>
      </c>
      <c r="D4" t="s">
        <v>36</v>
      </c>
      <c r="E4" t="s">
        <v>41</v>
      </c>
      <c r="F4" t="s">
        <v>44</v>
      </c>
      <c r="G4" t="s">
        <v>2185</v>
      </c>
      <c r="R4" s="26">
        <f>DecisionesTable[[#This Row],[fecha_decision]]-B3</f>
        <v>49</v>
      </c>
    </row>
    <row r="5" spans="1:18">
      <c r="A5" t="s">
        <v>45</v>
      </c>
      <c r="B5" s="1">
        <v>44511</v>
      </c>
      <c r="C5" t="s">
        <v>40</v>
      </c>
      <c r="D5" t="s">
        <v>36</v>
      </c>
      <c r="E5" t="s">
        <v>41</v>
      </c>
      <c r="F5" t="s">
        <v>46</v>
      </c>
      <c r="G5" t="s">
        <v>2185</v>
      </c>
      <c r="R5" s="26">
        <f>DecisionesTable[[#This Row],[fecha_decision]]-B4</f>
        <v>42</v>
      </c>
    </row>
    <row r="6" spans="1:18">
      <c r="A6" t="s">
        <v>47</v>
      </c>
      <c r="B6" s="1">
        <v>44546</v>
      </c>
      <c r="C6" t="s">
        <v>40</v>
      </c>
      <c r="D6" t="s">
        <v>40</v>
      </c>
      <c r="E6" t="s">
        <v>48</v>
      </c>
      <c r="F6" t="s">
        <v>49</v>
      </c>
      <c r="G6" t="s">
        <v>2185</v>
      </c>
      <c r="R6" s="26">
        <f>DecisionesTable[[#This Row],[fecha_decision]]-B5</f>
        <v>35</v>
      </c>
    </row>
    <row r="7" spans="1:18">
      <c r="A7" t="s">
        <v>50</v>
      </c>
      <c r="B7" s="1">
        <v>44602</v>
      </c>
      <c r="C7" t="s">
        <v>40</v>
      </c>
      <c r="D7" t="s">
        <v>40</v>
      </c>
      <c r="E7" t="s">
        <v>48</v>
      </c>
      <c r="F7" t="s">
        <v>51</v>
      </c>
      <c r="G7" t="s">
        <v>2185</v>
      </c>
      <c r="R7" s="26">
        <f>DecisionesTable[[#This Row],[fecha_decision]]-B6</f>
        <v>56</v>
      </c>
    </row>
    <row r="8" spans="1:18">
      <c r="A8" t="s">
        <v>52</v>
      </c>
      <c r="B8" s="1">
        <v>44644</v>
      </c>
      <c r="C8" t="s">
        <v>40</v>
      </c>
      <c r="D8" t="s">
        <v>40</v>
      </c>
      <c r="E8" t="s">
        <v>48</v>
      </c>
      <c r="F8" t="s">
        <v>53</v>
      </c>
      <c r="G8" t="s">
        <v>2185</v>
      </c>
      <c r="R8" s="26">
        <f>DecisionesTable[[#This Row],[fecha_decision]]-B7</f>
        <v>42</v>
      </c>
    </row>
    <row r="9" spans="1:18">
      <c r="A9" t="s">
        <v>54</v>
      </c>
      <c r="B9" s="1">
        <v>44693</v>
      </c>
      <c r="C9" t="s">
        <v>40</v>
      </c>
      <c r="D9" t="s">
        <v>40</v>
      </c>
      <c r="E9" t="s">
        <v>48</v>
      </c>
      <c r="F9" t="s">
        <v>55</v>
      </c>
      <c r="G9" t="s">
        <v>2185</v>
      </c>
      <c r="R9" s="26">
        <f>DecisionesTable[[#This Row],[fecha_decision]]-B8</f>
        <v>49</v>
      </c>
    </row>
    <row r="10" spans="1:18">
      <c r="A10" t="s">
        <v>56</v>
      </c>
      <c r="B10" s="1">
        <v>44735</v>
      </c>
      <c r="C10" t="s">
        <v>40</v>
      </c>
      <c r="D10" t="s">
        <v>40</v>
      </c>
      <c r="E10" t="s">
        <v>48</v>
      </c>
      <c r="F10" t="s">
        <v>57</v>
      </c>
      <c r="G10" t="s">
        <v>2185</v>
      </c>
      <c r="R10" s="26">
        <f>DecisionesTable[[#This Row],[fecha_decision]]-B9</f>
        <v>42</v>
      </c>
    </row>
    <row r="11" spans="1:18">
      <c r="A11" t="s">
        <v>58</v>
      </c>
      <c r="B11" s="1">
        <v>44784</v>
      </c>
      <c r="C11" t="s">
        <v>40</v>
      </c>
      <c r="D11" t="s">
        <v>40</v>
      </c>
      <c r="E11" t="s">
        <v>48</v>
      </c>
      <c r="F11" t="s">
        <v>59</v>
      </c>
      <c r="G11" t="s">
        <v>2185</v>
      </c>
      <c r="R11" s="26">
        <f>DecisionesTable[[#This Row],[fecha_decision]]-B10</f>
        <v>49</v>
      </c>
    </row>
    <row r="12" spans="1:18">
      <c r="A12" t="s">
        <v>60</v>
      </c>
      <c r="B12" s="1">
        <v>44833</v>
      </c>
      <c r="C12" t="s">
        <v>40</v>
      </c>
      <c r="D12" t="s">
        <v>40</v>
      </c>
      <c r="E12" t="s">
        <v>48</v>
      </c>
      <c r="F12" t="s">
        <v>61</v>
      </c>
      <c r="G12" t="s">
        <v>2185</v>
      </c>
      <c r="R12" s="26">
        <f>DecisionesTable[[#This Row],[fecha_decision]]-B11</f>
        <v>49</v>
      </c>
    </row>
    <row r="13" spans="1:18">
      <c r="A13" t="s">
        <v>62</v>
      </c>
      <c r="B13" s="1">
        <v>44875</v>
      </c>
      <c r="C13" t="s">
        <v>40</v>
      </c>
      <c r="D13" t="s">
        <v>40</v>
      </c>
      <c r="E13" t="s">
        <v>48</v>
      </c>
      <c r="F13" t="s">
        <v>63</v>
      </c>
      <c r="G13" t="s">
        <v>2185</v>
      </c>
      <c r="R13" s="26">
        <f>DecisionesTable[[#This Row],[fecha_decision]]-B12</f>
        <v>42</v>
      </c>
    </row>
    <row r="14" spans="1:18">
      <c r="A14" t="s">
        <v>64</v>
      </c>
      <c r="B14" s="1">
        <v>44910</v>
      </c>
      <c r="C14" t="s">
        <v>40</v>
      </c>
      <c r="D14" t="s">
        <v>40</v>
      </c>
      <c r="E14" t="s">
        <v>48</v>
      </c>
      <c r="F14" t="s">
        <v>65</v>
      </c>
      <c r="G14" t="s">
        <v>2185</v>
      </c>
      <c r="R14" s="26">
        <f>DecisionesTable[[#This Row],[fecha_decision]]-B13</f>
        <v>35</v>
      </c>
    </row>
    <row r="15" spans="1:18">
      <c r="A15" t="s">
        <v>66</v>
      </c>
      <c r="B15" s="1">
        <v>44966</v>
      </c>
      <c r="C15" t="s">
        <v>40</v>
      </c>
      <c r="D15" t="s">
        <v>40</v>
      </c>
      <c r="E15" t="s">
        <v>48</v>
      </c>
      <c r="F15" t="s">
        <v>67</v>
      </c>
      <c r="G15" t="s">
        <v>2185</v>
      </c>
      <c r="R15" s="26">
        <f>DecisionesTable[[#This Row],[fecha_decision]]-B14</f>
        <v>56</v>
      </c>
    </row>
    <row r="16" spans="1:18">
      <c r="A16" t="s">
        <v>68</v>
      </c>
      <c r="B16" s="1">
        <v>45015</v>
      </c>
      <c r="C16" t="s">
        <v>40</v>
      </c>
      <c r="D16" t="s">
        <v>40</v>
      </c>
      <c r="E16" t="s">
        <v>48</v>
      </c>
      <c r="F16" t="s">
        <v>69</v>
      </c>
      <c r="G16" t="s">
        <v>2185</v>
      </c>
      <c r="R16" s="26">
        <f>DecisionesTable[[#This Row],[fecha_decision]]-B15</f>
        <v>49</v>
      </c>
    </row>
    <row r="17" spans="1:18">
      <c r="A17" t="s">
        <v>70</v>
      </c>
      <c r="B17" s="1">
        <v>45064</v>
      </c>
      <c r="C17" t="s">
        <v>40</v>
      </c>
      <c r="D17" t="s">
        <v>40</v>
      </c>
      <c r="E17" t="s">
        <v>48</v>
      </c>
      <c r="F17" t="s">
        <v>71</v>
      </c>
      <c r="G17" t="s">
        <v>2185</v>
      </c>
      <c r="R17" s="26">
        <f>DecisionesTable[[#This Row],[fecha_decision]]-B16</f>
        <v>49</v>
      </c>
    </row>
    <row r="18" spans="1:18">
      <c r="A18" t="s">
        <v>72</v>
      </c>
      <c r="B18" s="1">
        <v>45099</v>
      </c>
      <c r="C18" t="s">
        <v>40</v>
      </c>
      <c r="D18" t="s">
        <v>40</v>
      </c>
      <c r="E18" t="s">
        <v>48</v>
      </c>
      <c r="F18" t="s">
        <v>73</v>
      </c>
      <c r="G18" t="s">
        <v>2185</v>
      </c>
      <c r="R18" s="26">
        <f>DecisionesTable[[#This Row],[fecha_decision]]-B17</f>
        <v>35</v>
      </c>
    </row>
    <row r="19" spans="1:18">
      <c r="A19" t="s">
        <v>74</v>
      </c>
      <c r="B19" s="1">
        <v>45148</v>
      </c>
      <c r="C19" t="s">
        <v>40</v>
      </c>
      <c r="D19" t="s">
        <v>40</v>
      </c>
      <c r="E19" t="s">
        <v>48</v>
      </c>
      <c r="F19" t="s">
        <v>75</v>
      </c>
      <c r="G19" t="s">
        <v>2185</v>
      </c>
      <c r="R19" s="26">
        <f>DecisionesTable[[#This Row],[fecha_decision]]-B18</f>
        <v>49</v>
      </c>
    </row>
    <row r="20" spans="1:18">
      <c r="A20" t="s">
        <v>76</v>
      </c>
      <c r="B20" s="1">
        <v>45197</v>
      </c>
      <c r="C20" t="s">
        <v>40</v>
      </c>
      <c r="D20" t="s">
        <v>40</v>
      </c>
      <c r="E20" t="s">
        <v>48</v>
      </c>
      <c r="F20" t="s">
        <v>77</v>
      </c>
      <c r="G20" t="s">
        <v>2185</v>
      </c>
      <c r="R20" s="26">
        <f>DecisionesTable[[#This Row],[fecha_decision]]-B19</f>
        <v>49</v>
      </c>
    </row>
    <row r="21" spans="1:18">
      <c r="A21" t="s">
        <v>78</v>
      </c>
      <c r="B21" s="1">
        <v>45239</v>
      </c>
      <c r="C21" t="s">
        <v>40</v>
      </c>
      <c r="D21" t="s">
        <v>40</v>
      </c>
      <c r="E21" t="s">
        <v>48</v>
      </c>
      <c r="F21" t="s">
        <v>79</v>
      </c>
      <c r="G21" t="s">
        <v>2185</v>
      </c>
      <c r="R21" s="26">
        <f>DecisionesTable[[#This Row],[fecha_decision]]-B20</f>
        <v>42</v>
      </c>
    </row>
    <row r="22" spans="1:18">
      <c r="A22" t="s">
        <v>80</v>
      </c>
      <c r="B22" s="1">
        <v>45274</v>
      </c>
      <c r="C22" t="s">
        <v>40</v>
      </c>
      <c r="D22" t="s">
        <v>40</v>
      </c>
      <c r="E22" t="s">
        <v>48</v>
      </c>
      <c r="F22" t="s">
        <v>81</v>
      </c>
      <c r="G22" t="s">
        <v>2185</v>
      </c>
      <c r="R22" s="26">
        <f>DecisionesTable[[#This Row],[fecha_decision]]-B21</f>
        <v>35</v>
      </c>
    </row>
    <row r="23" spans="1:18">
      <c r="A23" t="s">
        <v>82</v>
      </c>
      <c r="B23" s="1">
        <v>45330</v>
      </c>
      <c r="C23" t="s">
        <v>40</v>
      </c>
      <c r="D23" t="s">
        <v>40</v>
      </c>
      <c r="E23" t="s">
        <v>48</v>
      </c>
      <c r="F23" t="s">
        <v>83</v>
      </c>
      <c r="G23" t="s">
        <v>2185</v>
      </c>
      <c r="R23" s="26">
        <f>DecisionesTable[[#This Row],[fecha_decision]]-B22</f>
        <v>56</v>
      </c>
    </row>
    <row r="24" spans="1:18">
      <c r="A24" t="s">
        <v>84</v>
      </c>
      <c r="B24" s="1">
        <v>45372</v>
      </c>
      <c r="C24" t="s">
        <v>40</v>
      </c>
      <c r="D24" t="s">
        <v>40</v>
      </c>
      <c r="E24" t="s">
        <v>48</v>
      </c>
      <c r="F24" t="s">
        <v>85</v>
      </c>
      <c r="G24" t="s">
        <v>2185</v>
      </c>
      <c r="R24" s="26">
        <f>DecisionesTable[[#This Row],[fecha_decision]]-B23</f>
        <v>42</v>
      </c>
    </row>
    <row r="25" spans="1:18">
      <c r="A25" t="s">
        <v>86</v>
      </c>
      <c r="B25" s="1">
        <v>45421</v>
      </c>
      <c r="C25" t="s">
        <v>40</v>
      </c>
      <c r="D25" t="s">
        <v>40</v>
      </c>
      <c r="E25" t="s">
        <v>48</v>
      </c>
      <c r="F25" t="s">
        <v>87</v>
      </c>
      <c r="G25" t="s">
        <v>2185</v>
      </c>
      <c r="R25" s="26">
        <f>DecisionesTable[[#This Row],[fecha_decision]]-B24</f>
        <v>49</v>
      </c>
    </row>
    <row r="26" spans="1:18">
      <c r="A26" t="s">
        <v>88</v>
      </c>
      <c r="B26" s="1">
        <v>45470</v>
      </c>
      <c r="C26" t="s">
        <v>40</v>
      </c>
      <c r="D26" t="s">
        <v>40</v>
      </c>
      <c r="E26" t="s">
        <v>48</v>
      </c>
      <c r="F26" t="s">
        <v>89</v>
      </c>
      <c r="G26" t="s">
        <v>2185</v>
      </c>
      <c r="R26" s="26">
        <f>DecisionesTable[[#This Row],[fecha_decision]]-B25</f>
        <v>49</v>
      </c>
    </row>
    <row r="27" spans="1:18">
      <c r="A27" t="s">
        <v>90</v>
      </c>
      <c r="B27" s="1">
        <v>45512</v>
      </c>
      <c r="C27" t="s">
        <v>40</v>
      </c>
      <c r="D27" t="s">
        <v>40</v>
      </c>
      <c r="E27" t="s">
        <v>48</v>
      </c>
      <c r="F27" t="s">
        <v>91</v>
      </c>
      <c r="G27" t="s">
        <v>2185</v>
      </c>
      <c r="R27" s="26">
        <f>DecisionesTable[[#This Row],[fecha_decision]]-B26</f>
        <v>42</v>
      </c>
    </row>
    <row r="28" spans="1:18">
      <c r="A28" t="s">
        <v>92</v>
      </c>
      <c r="B28" s="1">
        <v>45561</v>
      </c>
      <c r="C28" t="s">
        <v>40</v>
      </c>
      <c r="D28" t="s">
        <v>40</v>
      </c>
      <c r="E28" t="s">
        <v>48</v>
      </c>
      <c r="F28" t="s">
        <v>93</v>
      </c>
      <c r="G28" t="s">
        <v>2185</v>
      </c>
      <c r="R28" s="26">
        <f>DecisionesTable[[#This Row],[fecha_decision]]-B27</f>
        <v>49</v>
      </c>
    </row>
    <row r="29" spans="1:18">
      <c r="A29" t="s">
        <v>94</v>
      </c>
      <c r="B29" s="1">
        <v>45610</v>
      </c>
      <c r="C29" t="s">
        <v>40</v>
      </c>
      <c r="D29" t="s">
        <v>40</v>
      </c>
      <c r="E29" t="s">
        <v>48</v>
      </c>
      <c r="F29" t="s">
        <v>95</v>
      </c>
      <c r="G29" t="s">
        <v>2185</v>
      </c>
      <c r="R29" s="26">
        <f>DecisionesTable[[#This Row],[fecha_decision]]-B28</f>
        <v>49</v>
      </c>
    </row>
    <row r="30" spans="1:18">
      <c r="A30" t="s">
        <v>96</v>
      </c>
      <c r="B30" s="1">
        <v>45645</v>
      </c>
      <c r="C30" t="s">
        <v>40</v>
      </c>
      <c r="D30" t="s">
        <v>40</v>
      </c>
      <c r="E30" t="s">
        <v>48</v>
      </c>
      <c r="F30" t="s">
        <v>97</v>
      </c>
      <c r="G30" t="s">
        <v>2185</v>
      </c>
      <c r="R30" s="26">
        <f>DecisionesTable[[#This Row],[fecha_decision]]-B29</f>
        <v>35</v>
      </c>
    </row>
    <row r="31" spans="1:18">
      <c r="A31" t="s">
        <v>98</v>
      </c>
      <c r="B31" s="1">
        <v>45694</v>
      </c>
      <c r="C31" t="s">
        <v>40</v>
      </c>
      <c r="D31" t="s">
        <v>40</v>
      </c>
      <c r="E31" t="s">
        <v>48</v>
      </c>
      <c r="F31" t="s">
        <v>99</v>
      </c>
      <c r="G31" t="s">
        <v>2185</v>
      </c>
      <c r="R31" s="26">
        <f>DecisionesTable[[#This Row],[fecha_decision]]-B30</f>
        <v>49</v>
      </c>
    </row>
    <row r="32" spans="1:18">
      <c r="A32" t="s">
        <v>100</v>
      </c>
      <c r="B32" s="1">
        <v>45743</v>
      </c>
      <c r="C32" t="s">
        <v>40</v>
      </c>
      <c r="D32" t="s">
        <v>40</v>
      </c>
      <c r="E32" t="s">
        <v>48</v>
      </c>
      <c r="F32" t="s">
        <v>101</v>
      </c>
      <c r="G32" t="s">
        <v>2185</v>
      </c>
      <c r="R32" s="26">
        <f>DecisionesTable[[#This Row],[fecha_decision]]-B31</f>
        <v>49</v>
      </c>
    </row>
    <row r="33" spans="1:18">
      <c r="A33" t="s">
        <v>102</v>
      </c>
      <c r="B33" s="1">
        <v>45792</v>
      </c>
      <c r="C33" t="s">
        <v>40</v>
      </c>
      <c r="D33" t="s">
        <v>40</v>
      </c>
      <c r="E33" t="s">
        <v>48</v>
      </c>
      <c r="F33" t="s">
        <v>103</v>
      </c>
      <c r="G33" t="s">
        <v>2185</v>
      </c>
      <c r="R33" s="26">
        <f>DecisionesTable[[#This Row],[fecha_decision]]-B32</f>
        <v>49</v>
      </c>
    </row>
    <row r="34" spans="1:18">
      <c r="A34" t="s">
        <v>104</v>
      </c>
      <c r="B34" s="1">
        <v>45834</v>
      </c>
      <c r="C34" t="s">
        <v>40</v>
      </c>
      <c r="D34" t="s">
        <v>40</v>
      </c>
      <c r="E34" t="s">
        <v>48</v>
      </c>
      <c r="F34" t="s">
        <v>105</v>
      </c>
      <c r="G34" t="s">
        <v>2185</v>
      </c>
      <c r="R34" s="26">
        <f>DecisionesTable[[#This Row],[fecha_decision]]-B33</f>
        <v>42</v>
      </c>
    </row>
    <row r="35" spans="1:18">
      <c r="A35" t="s">
        <v>106</v>
      </c>
      <c r="B35" s="1">
        <v>45876</v>
      </c>
      <c r="C35" t="s">
        <v>40</v>
      </c>
      <c r="D35" t="s">
        <v>40</v>
      </c>
      <c r="E35" t="s">
        <v>48</v>
      </c>
      <c r="F35" t="s">
        <v>107</v>
      </c>
      <c r="G35" t="s">
        <v>2185</v>
      </c>
      <c r="R35" s="26">
        <f>DecisionesTable[[#This Row],[fecha_decision]]-B34</f>
        <v>42</v>
      </c>
    </row>
    <row r="36" spans="1:18">
      <c r="A36" t="s">
        <v>108</v>
      </c>
      <c r="B36" s="1">
        <v>45925</v>
      </c>
      <c r="C36" t="s">
        <v>40</v>
      </c>
      <c r="D36" t="s">
        <v>40</v>
      </c>
      <c r="E36" t="s">
        <v>48</v>
      </c>
      <c r="F36" t="s">
        <v>109</v>
      </c>
      <c r="G36" t="s">
        <v>2185</v>
      </c>
      <c r="R36" s="26">
        <f>DecisionesTable[[#This Row],[fecha_decision]]-B35</f>
        <v>49</v>
      </c>
    </row>
    <row r="37" spans="1:18">
      <c r="A37" t="s">
        <v>110</v>
      </c>
      <c r="B37" s="1">
        <v>45967</v>
      </c>
      <c r="C37" t="s">
        <v>40</v>
      </c>
      <c r="D37" t="s">
        <v>40</v>
      </c>
      <c r="E37" t="s">
        <v>48</v>
      </c>
      <c r="F37" t="s">
        <v>111</v>
      </c>
      <c r="G37" t="s">
        <v>2185</v>
      </c>
      <c r="R37" s="26">
        <f>DecisionesTable[[#This Row],[fecha_decision]]-B36</f>
        <v>42</v>
      </c>
    </row>
    <row r="38" spans="1:18">
      <c r="A38" t="s">
        <v>112</v>
      </c>
      <c r="B38" s="1">
        <v>46009</v>
      </c>
      <c r="C38" t="s">
        <v>40</v>
      </c>
      <c r="D38" t="s">
        <v>40</v>
      </c>
      <c r="E38" t="s">
        <v>48</v>
      </c>
      <c r="F38" t="s">
        <v>113</v>
      </c>
      <c r="G38" t="s">
        <v>2185</v>
      </c>
      <c r="R38" s="26">
        <f>DecisionesTable[[#This Row],[fecha_decision]]-B37</f>
        <v>42</v>
      </c>
    </row>
    <row r="39" spans="1:18">
      <c r="A39" t="s">
        <v>114</v>
      </c>
      <c r="B39" s="1">
        <v>46058</v>
      </c>
      <c r="C39" t="s">
        <v>40</v>
      </c>
      <c r="D39" t="s">
        <v>40</v>
      </c>
      <c r="E39" t="s">
        <v>48</v>
      </c>
      <c r="F39" t="s">
        <v>115</v>
      </c>
      <c r="G39" t="s">
        <v>2185</v>
      </c>
      <c r="R39" s="26">
        <f>DecisionesTable[[#This Row],[fecha_decision]]-B38</f>
        <v>49</v>
      </c>
    </row>
    <row r="40" spans="1:18">
      <c r="A40" t="s">
        <v>116</v>
      </c>
      <c r="B40" s="1">
        <v>46107</v>
      </c>
      <c r="C40" t="s">
        <v>40</v>
      </c>
      <c r="D40" t="s">
        <v>40</v>
      </c>
      <c r="E40" t="s">
        <v>48</v>
      </c>
      <c r="F40" t="s">
        <v>117</v>
      </c>
      <c r="G40" t="s">
        <v>2185</v>
      </c>
      <c r="R40" s="26">
        <f>DecisionesTable[[#This Row],[fecha_decision]]-B39</f>
        <v>49</v>
      </c>
    </row>
    <row r="41" spans="1:18">
      <c r="A41" t="s">
        <v>118</v>
      </c>
      <c r="B41" s="1">
        <v>46149</v>
      </c>
      <c r="C41" t="s">
        <v>40</v>
      </c>
      <c r="D41" t="s">
        <v>40</v>
      </c>
      <c r="E41" t="s">
        <v>48</v>
      </c>
      <c r="F41" t="s">
        <v>119</v>
      </c>
      <c r="G41" t="s">
        <v>2185</v>
      </c>
      <c r="R41" s="26">
        <f>DecisionesTable[[#This Row],[fecha_decision]]-B40</f>
        <v>42</v>
      </c>
    </row>
    <row r="42" spans="1:18">
      <c r="A42" t="s">
        <v>120</v>
      </c>
      <c r="B42" s="1">
        <v>46198</v>
      </c>
      <c r="C42" t="s">
        <v>40</v>
      </c>
      <c r="D42" t="s">
        <v>40</v>
      </c>
      <c r="E42" t="s">
        <v>48</v>
      </c>
      <c r="F42" t="s">
        <v>121</v>
      </c>
      <c r="G42" t="s">
        <v>2185</v>
      </c>
      <c r="R42" s="26">
        <f>DecisionesTable[[#This Row],[fecha_decision]]-B41</f>
        <v>49</v>
      </c>
    </row>
    <row r="43" spans="1:18">
      <c r="A43" t="s">
        <v>122</v>
      </c>
      <c r="B43" s="1">
        <v>46240</v>
      </c>
      <c r="C43" t="s">
        <v>40</v>
      </c>
      <c r="D43" t="s">
        <v>40</v>
      </c>
      <c r="E43" t="s">
        <v>48</v>
      </c>
      <c r="F43" t="s">
        <v>123</v>
      </c>
      <c r="G43" t="s">
        <v>2185</v>
      </c>
      <c r="R43" s="26">
        <f>DecisionesTable[[#This Row],[fecha_decision]]-B42</f>
        <v>42</v>
      </c>
    </row>
    <row r="44" spans="1:18">
      <c r="A44" t="s">
        <v>2186</v>
      </c>
      <c r="B44" s="28">
        <v>46289</v>
      </c>
      <c r="C44" t="s">
        <v>40</v>
      </c>
      <c r="D44" t="s">
        <v>40</v>
      </c>
      <c r="E44" t="s">
        <v>48</v>
      </c>
      <c r="F44" t="s">
        <v>2614</v>
      </c>
      <c r="G44" s="21" t="s">
        <v>2185</v>
      </c>
      <c r="R44" s="29">
        <f>B44-B43</f>
        <v>49</v>
      </c>
    </row>
    <row r="45" spans="1:18">
      <c r="A45" t="s">
        <v>2188</v>
      </c>
      <c r="B45" s="28">
        <v>46331</v>
      </c>
      <c r="G45" s="21" t="s">
        <v>2187</v>
      </c>
      <c r="R45" s="29">
        <f>B45-B44</f>
        <v>42</v>
      </c>
    </row>
    <row r="46" spans="1:18">
      <c r="A46" t="s">
        <v>2189</v>
      </c>
      <c r="B46" s="28">
        <v>46373</v>
      </c>
      <c r="G46" s="21" t="s">
        <v>2187</v>
      </c>
      <c r="R46" s="29">
        <f t="shared" ref="R46:R54" si="0">B46-B45</f>
        <v>42</v>
      </c>
    </row>
    <row r="47" spans="1:18">
      <c r="A47" t="s">
        <v>2190</v>
      </c>
      <c r="B47" s="28">
        <v>46422</v>
      </c>
      <c r="G47" s="27" t="s">
        <v>2191</v>
      </c>
      <c r="R47" s="29">
        <f t="shared" si="0"/>
        <v>49</v>
      </c>
    </row>
    <row r="48" spans="1:18">
      <c r="A48" t="s">
        <v>2192</v>
      </c>
      <c r="B48" s="28">
        <v>46471</v>
      </c>
      <c r="G48" s="27" t="s">
        <v>2191</v>
      </c>
      <c r="R48" s="29">
        <f t="shared" si="0"/>
        <v>49</v>
      </c>
    </row>
    <row r="49" spans="1:18">
      <c r="A49" t="s">
        <v>2193</v>
      </c>
      <c r="B49" s="28">
        <v>46520</v>
      </c>
      <c r="G49" s="27" t="s">
        <v>2191</v>
      </c>
      <c r="R49" s="29">
        <f t="shared" si="0"/>
        <v>49</v>
      </c>
    </row>
    <row r="50" spans="1:18">
      <c r="A50" t="s">
        <v>2194</v>
      </c>
      <c r="B50" s="28">
        <v>46562</v>
      </c>
      <c r="G50" s="27" t="s">
        <v>2191</v>
      </c>
      <c r="R50" s="29">
        <f t="shared" si="0"/>
        <v>42</v>
      </c>
    </row>
    <row r="51" spans="1:18">
      <c r="A51" t="s">
        <v>2195</v>
      </c>
      <c r="B51" s="28">
        <v>46604</v>
      </c>
      <c r="G51" s="27" t="s">
        <v>2191</v>
      </c>
      <c r="R51" s="29">
        <f t="shared" si="0"/>
        <v>42</v>
      </c>
    </row>
    <row r="52" spans="1:18">
      <c r="A52" t="s">
        <v>2196</v>
      </c>
      <c r="B52" s="28">
        <v>46653</v>
      </c>
      <c r="G52" s="27" t="s">
        <v>2191</v>
      </c>
      <c r="R52" s="29">
        <f t="shared" si="0"/>
        <v>49</v>
      </c>
    </row>
    <row r="53" spans="1:18">
      <c r="A53" t="s">
        <v>2197</v>
      </c>
      <c r="B53" s="28">
        <v>46695</v>
      </c>
      <c r="G53" s="27" t="s">
        <v>2191</v>
      </c>
      <c r="R53" s="29">
        <f t="shared" si="0"/>
        <v>42</v>
      </c>
    </row>
    <row r="54" spans="1:18">
      <c r="A54" t="s">
        <v>2198</v>
      </c>
      <c r="B54" s="28">
        <v>46737</v>
      </c>
      <c r="G54" s="27" t="s">
        <v>2191</v>
      </c>
      <c r="R54" s="29">
        <f t="shared" si="0"/>
        <v>42</v>
      </c>
    </row>
    <row r="55" spans="1:18">
      <c r="A55" t="s">
        <v>2199</v>
      </c>
      <c r="B55" s="30">
        <v>46786</v>
      </c>
      <c r="G55" s="27" t="s">
        <v>2191</v>
      </c>
      <c r="R55" s="29">
        <f>B55-B54</f>
        <v>49</v>
      </c>
    </row>
    <row r="56" spans="1:18">
      <c r="A56" t="s">
        <v>2200</v>
      </c>
      <c r="B56" s="30">
        <v>46835</v>
      </c>
      <c r="G56" s="27" t="s">
        <v>2191</v>
      </c>
      <c r="R56" s="29">
        <f t="shared" ref="R56:R58" si="1">B56-B55</f>
        <v>49</v>
      </c>
    </row>
    <row r="57" spans="1:18">
      <c r="A57" t="s">
        <v>2201</v>
      </c>
      <c r="B57" s="30">
        <v>46877</v>
      </c>
      <c r="G57" s="27" t="s">
        <v>2191</v>
      </c>
      <c r="R57" s="29">
        <f t="shared" si="1"/>
        <v>42</v>
      </c>
    </row>
    <row r="58" spans="1:18">
      <c r="A58" t="s">
        <v>2202</v>
      </c>
      <c r="B58" s="30">
        <v>46919</v>
      </c>
      <c r="G58" s="27" t="s">
        <v>2191</v>
      </c>
      <c r="R58" s="29">
        <f t="shared" si="1"/>
        <v>42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989"/>
  <sheetViews>
    <sheetView showGridLines="0" topLeftCell="A1889" workbookViewId="0">
      <selection activeCell="E1904" sqref="E1904"/>
    </sheetView>
  </sheetViews>
  <sheetFormatPr defaultRowHeight="13.8"/>
  <cols>
    <col min="1" max="1" width="43" customWidth="1"/>
    <col min="2" max="2" width="20" customWidth="1"/>
    <col min="3" max="3" width="16" customWidth="1"/>
    <col min="4" max="4" width="18" customWidth="1"/>
    <col min="5" max="5" width="31" customWidth="1"/>
    <col min="6" max="8" width="12" customWidth="1"/>
    <col min="9" max="9" width="18" customWidth="1"/>
    <col min="10" max="10" width="58" customWidth="1"/>
  </cols>
  <sheetData>
    <row r="1" spans="1:10" ht="31.95" customHeight="1">
      <c r="A1" s="10" t="s">
        <v>124</v>
      </c>
      <c r="B1" s="10" t="s">
        <v>29</v>
      </c>
      <c r="C1" s="10" t="s">
        <v>30</v>
      </c>
      <c r="D1" s="10" t="s">
        <v>125</v>
      </c>
      <c r="E1" s="10" t="s">
        <v>126</v>
      </c>
      <c r="F1" s="10" t="s">
        <v>127</v>
      </c>
      <c r="G1" s="10" t="s">
        <v>128</v>
      </c>
      <c r="H1" s="10" t="s">
        <v>129</v>
      </c>
      <c r="I1" s="10" t="s">
        <v>130</v>
      </c>
      <c r="J1" s="10" t="s">
        <v>34</v>
      </c>
    </row>
    <row r="2" spans="1:10">
      <c r="A2" t="s">
        <v>131</v>
      </c>
      <c r="B2" t="s">
        <v>39</v>
      </c>
      <c r="C2" s="1">
        <v>44420</v>
      </c>
      <c r="D2" t="s">
        <v>22</v>
      </c>
      <c r="E2" t="s">
        <v>22</v>
      </c>
      <c r="F2" s="3">
        <v>2021</v>
      </c>
      <c r="G2" s="3">
        <v>1</v>
      </c>
      <c r="H2" t="s">
        <v>132</v>
      </c>
      <c r="I2" s="2">
        <v>4</v>
      </c>
      <c r="J2" t="s">
        <v>42</v>
      </c>
    </row>
    <row r="3" spans="1:10">
      <c r="A3" t="s">
        <v>133</v>
      </c>
      <c r="B3" t="s">
        <v>39</v>
      </c>
      <c r="C3" s="1">
        <v>44420</v>
      </c>
      <c r="D3" t="s">
        <v>134</v>
      </c>
      <c r="E3" t="s">
        <v>24</v>
      </c>
      <c r="F3" s="3">
        <v>2021</v>
      </c>
      <c r="G3" s="3">
        <v>1</v>
      </c>
      <c r="H3" t="s">
        <v>132</v>
      </c>
      <c r="I3" s="2">
        <v>3.9</v>
      </c>
      <c r="J3" t="s">
        <v>42</v>
      </c>
    </row>
    <row r="4" spans="1:10">
      <c r="A4" t="s">
        <v>135</v>
      </c>
      <c r="B4" t="s">
        <v>39</v>
      </c>
      <c r="C4" s="1">
        <v>44420</v>
      </c>
      <c r="D4" t="s">
        <v>22</v>
      </c>
      <c r="E4" t="s">
        <v>22</v>
      </c>
      <c r="F4" s="3">
        <v>2021</v>
      </c>
      <c r="G4" s="3">
        <v>2</v>
      </c>
      <c r="H4" t="s">
        <v>136</v>
      </c>
      <c r="I4" s="2">
        <v>6</v>
      </c>
      <c r="J4" t="s">
        <v>42</v>
      </c>
    </row>
    <row r="5" spans="1:10">
      <c r="A5" t="s">
        <v>137</v>
      </c>
      <c r="B5" t="s">
        <v>39</v>
      </c>
      <c r="C5" s="1">
        <v>44420</v>
      </c>
      <c r="D5" t="s">
        <v>134</v>
      </c>
      <c r="E5" t="s">
        <v>24</v>
      </c>
      <c r="F5" s="3">
        <v>2021</v>
      </c>
      <c r="G5" s="3">
        <v>2</v>
      </c>
      <c r="H5" t="s">
        <v>136</v>
      </c>
      <c r="I5" s="2">
        <v>4.4000000000000004</v>
      </c>
      <c r="J5" t="s">
        <v>42</v>
      </c>
    </row>
    <row r="6" spans="1:10">
      <c r="A6" t="s">
        <v>138</v>
      </c>
      <c r="B6" t="s">
        <v>39</v>
      </c>
      <c r="C6" s="1">
        <v>44420</v>
      </c>
      <c r="D6" t="s">
        <v>22</v>
      </c>
      <c r="E6" t="s">
        <v>22</v>
      </c>
      <c r="F6" s="3">
        <v>2021</v>
      </c>
      <c r="G6" s="3">
        <v>3</v>
      </c>
      <c r="H6" t="s">
        <v>139</v>
      </c>
      <c r="I6" s="2">
        <v>5.6</v>
      </c>
      <c r="J6" t="s">
        <v>42</v>
      </c>
    </row>
    <row r="7" spans="1:10">
      <c r="A7" t="s">
        <v>140</v>
      </c>
      <c r="B7" t="s">
        <v>39</v>
      </c>
      <c r="C7" s="1">
        <v>44420</v>
      </c>
      <c r="D7" t="s">
        <v>134</v>
      </c>
      <c r="E7" t="s">
        <v>24</v>
      </c>
      <c r="F7" s="3">
        <v>2021</v>
      </c>
      <c r="G7" s="3">
        <v>3</v>
      </c>
      <c r="H7" t="s">
        <v>139</v>
      </c>
      <c r="I7" s="2">
        <v>4.7</v>
      </c>
      <c r="J7" t="s">
        <v>42</v>
      </c>
    </row>
    <row r="8" spans="1:10">
      <c r="A8" t="s">
        <v>141</v>
      </c>
      <c r="B8" t="s">
        <v>39</v>
      </c>
      <c r="C8" s="1">
        <v>44420</v>
      </c>
      <c r="D8" t="s">
        <v>22</v>
      </c>
      <c r="E8" t="s">
        <v>22</v>
      </c>
      <c r="F8" s="3">
        <v>2021</v>
      </c>
      <c r="G8" s="3">
        <v>4</v>
      </c>
      <c r="H8" t="s">
        <v>142</v>
      </c>
      <c r="I8" s="2">
        <v>5.7</v>
      </c>
      <c r="J8" t="s">
        <v>42</v>
      </c>
    </row>
    <row r="9" spans="1:10">
      <c r="A9" t="s">
        <v>143</v>
      </c>
      <c r="B9" t="s">
        <v>39</v>
      </c>
      <c r="C9" s="1">
        <v>44420</v>
      </c>
      <c r="D9" t="s">
        <v>134</v>
      </c>
      <c r="E9" t="s">
        <v>24</v>
      </c>
      <c r="F9" s="3">
        <v>2021</v>
      </c>
      <c r="G9" s="3">
        <v>4</v>
      </c>
      <c r="H9" t="s">
        <v>142</v>
      </c>
      <c r="I9" s="2">
        <v>5</v>
      </c>
      <c r="J9" t="s">
        <v>42</v>
      </c>
    </row>
    <row r="10" spans="1:10">
      <c r="A10" t="s">
        <v>144</v>
      </c>
      <c r="B10" t="s">
        <v>39</v>
      </c>
      <c r="C10" s="1">
        <v>44420</v>
      </c>
      <c r="D10" t="s">
        <v>22</v>
      </c>
      <c r="E10" t="s">
        <v>22</v>
      </c>
      <c r="F10" s="3">
        <v>2022</v>
      </c>
      <c r="G10" s="3">
        <v>1</v>
      </c>
      <c r="H10" t="s">
        <v>145</v>
      </c>
      <c r="I10" s="2">
        <v>5.2</v>
      </c>
      <c r="J10" t="s">
        <v>42</v>
      </c>
    </row>
    <row r="11" spans="1:10">
      <c r="A11" t="s">
        <v>146</v>
      </c>
      <c r="B11" t="s">
        <v>39</v>
      </c>
      <c r="C11" s="1">
        <v>44420</v>
      </c>
      <c r="D11" t="s">
        <v>134</v>
      </c>
      <c r="E11" t="s">
        <v>24</v>
      </c>
      <c r="F11" s="3">
        <v>2022</v>
      </c>
      <c r="G11" s="3">
        <v>1</v>
      </c>
      <c r="H11" t="s">
        <v>145</v>
      </c>
      <c r="I11" s="2">
        <v>5.0999999999999996</v>
      </c>
      <c r="J11" t="s">
        <v>42</v>
      </c>
    </row>
    <row r="12" spans="1:10">
      <c r="A12" t="s">
        <v>147</v>
      </c>
      <c r="B12" t="s">
        <v>39</v>
      </c>
      <c r="C12" s="1">
        <v>44420</v>
      </c>
      <c r="D12" t="s">
        <v>22</v>
      </c>
      <c r="E12" t="s">
        <v>22</v>
      </c>
      <c r="F12" s="3">
        <v>2022</v>
      </c>
      <c r="G12" s="3">
        <v>2</v>
      </c>
      <c r="H12" t="s">
        <v>148</v>
      </c>
      <c r="I12" s="2">
        <v>3.9</v>
      </c>
      <c r="J12" t="s">
        <v>42</v>
      </c>
    </row>
    <row r="13" spans="1:10">
      <c r="A13" t="s">
        <v>149</v>
      </c>
      <c r="B13" t="s">
        <v>39</v>
      </c>
      <c r="C13" s="1">
        <v>44420</v>
      </c>
      <c r="D13" t="s">
        <v>134</v>
      </c>
      <c r="E13" t="s">
        <v>24</v>
      </c>
      <c r="F13" s="3">
        <v>2022</v>
      </c>
      <c r="G13" s="3">
        <v>2</v>
      </c>
      <c r="H13" t="s">
        <v>148</v>
      </c>
      <c r="I13" s="2">
        <v>4.4000000000000004</v>
      </c>
      <c r="J13" t="s">
        <v>42</v>
      </c>
    </row>
    <row r="14" spans="1:10">
      <c r="A14" t="s">
        <v>150</v>
      </c>
      <c r="B14" t="s">
        <v>39</v>
      </c>
      <c r="C14" s="1">
        <v>44420</v>
      </c>
      <c r="D14" t="s">
        <v>22</v>
      </c>
      <c r="E14" t="s">
        <v>22</v>
      </c>
      <c r="F14" s="3">
        <v>2022</v>
      </c>
      <c r="G14" s="3">
        <v>3</v>
      </c>
      <c r="H14" t="s">
        <v>151</v>
      </c>
      <c r="I14" s="2">
        <v>3.2</v>
      </c>
      <c r="J14" t="s">
        <v>42</v>
      </c>
    </row>
    <row r="15" spans="1:10">
      <c r="A15" t="s">
        <v>152</v>
      </c>
      <c r="B15" t="s">
        <v>39</v>
      </c>
      <c r="C15" s="1">
        <v>44420</v>
      </c>
      <c r="D15" t="s">
        <v>134</v>
      </c>
      <c r="E15" t="s">
        <v>24</v>
      </c>
      <c r="F15" s="3">
        <v>2022</v>
      </c>
      <c r="G15" s="3">
        <v>3</v>
      </c>
      <c r="H15" t="s">
        <v>151</v>
      </c>
      <c r="I15" s="2">
        <v>3.6</v>
      </c>
      <c r="J15" t="s">
        <v>42</v>
      </c>
    </row>
    <row r="16" spans="1:10">
      <c r="A16" t="s">
        <v>153</v>
      </c>
      <c r="B16" t="s">
        <v>39</v>
      </c>
      <c r="C16" s="1">
        <v>44420</v>
      </c>
      <c r="D16" t="s">
        <v>22</v>
      </c>
      <c r="E16" t="s">
        <v>22</v>
      </c>
      <c r="F16" s="3">
        <v>2022</v>
      </c>
      <c r="G16" s="3">
        <v>4</v>
      </c>
      <c r="H16" t="s">
        <v>154</v>
      </c>
      <c r="I16" s="2">
        <v>3.4</v>
      </c>
      <c r="J16" t="s">
        <v>42</v>
      </c>
    </row>
    <row r="17" spans="1:10">
      <c r="A17" t="s">
        <v>155</v>
      </c>
      <c r="B17" t="s">
        <v>39</v>
      </c>
      <c r="C17" s="1">
        <v>44420</v>
      </c>
      <c r="D17" t="s">
        <v>134</v>
      </c>
      <c r="E17" t="s">
        <v>24</v>
      </c>
      <c r="F17" s="3">
        <v>2022</v>
      </c>
      <c r="G17" s="3">
        <v>4</v>
      </c>
      <c r="H17" t="s">
        <v>154</v>
      </c>
      <c r="I17" s="2">
        <v>3.3</v>
      </c>
      <c r="J17" t="s">
        <v>42</v>
      </c>
    </row>
    <row r="18" spans="1:10">
      <c r="A18" t="s">
        <v>156</v>
      </c>
      <c r="B18" t="s">
        <v>39</v>
      </c>
      <c r="C18" s="1">
        <v>44420</v>
      </c>
      <c r="D18" t="s">
        <v>22</v>
      </c>
      <c r="E18" t="s">
        <v>22</v>
      </c>
      <c r="F18" s="3">
        <v>2023</v>
      </c>
      <c r="G18" s="3">
        <v>1</v>
      </c>
      <c r="H18" t="s">
        <v>157</v>
      </c>
      <c r="I18" s="2">
        <v>3.1</v>
      </c>
      <c r="J18" t="s">
        <v>42</v>
      </c>
    </row>
    <row r="19" spans="1:10">
      <c r="A19" t="s">
        <v>158</v>
      </c>
      <c r="B19" t="s">
        <v>39</v>
      </c>
      <c r="C19" s="1">
        <v>44420</v>
      </c>
      <c r="D19" t="s">
        <v>134</v>
      </c>
      <c r="E19" t="s">
        <v>24</v>
      </c>
      <c r="F19" s="3">
        <v>2023</v>
      </c>
      <c r="G19" s="3">
        <v>1</v>
      </c>
      <c r="H19" t="s">
        <v>157</v>
      </c>
      <c r="I19" s="2">
        <v>3.1</v>
      </c>
      <c r="J19" t="s">
        <v>42</v>
      </c>
    </row>
    <row r="20" spans="1:10">
      <c r="A20" t="s">
        <v>159</v>
      </c>
      <c r="B20" t="s">
        <v>39</v>
      </c>
      <c r="C20" s="1">
        <v>44420</v>
      </c>
      <c r="D20" t="s">
        <v>22</v>
      </c>
      <c r="E20" t="s">
        <v>22</v>
      </c>
      <c r="F20" s="3">
        <v>2023</v>
      </c>
      <c r="G20" s="3">
        <v>2</v>
      </c>
      <c r="H20" t="s">
        <v>160</v>
      </c>
      <c r="I20" s="2">
        <v>3.1</v>
      </c>
      <c r="J20" t="s">
        <v>42</v>
      </c>
    </row>
    <row r="21" spans="1:10">
      <c r="A21" t="s">
        <v>161</v>
      </c>
      <c r="B21" t="s">
        <v>39</v>
      </c>
      <c r="C21" s="1">
        <v>44420</v>
      </c>
      <c r="D21" t="s">
        <v>134</v>
      </c>
      <c r="E21" t="s">
        <v>24</v>
      </c>
      <c r="F21" s="3">
        <v>2023</v>
      </c>
      <c r="G21" s="3">
        <v>2</v>
      </c>
      <c r="H21" t="s">
        <v>160</v>
      </c>
      <c r="I21" s="2">
        <v>3</v>
      </c>
      <c r="J21" t="s">
        <v>42</v>
      </c>
    </row>
    <row r="22" spans="1:10">
      <c r="A22" t="s">
        <v>162</v>
      </c>
      <c r="B22" t="s">
        <v>43</v>
      </c>
      <c r="C22" s="1">
        <v>44469</v>
      </c>
      <c r="D22" t="s">
        <v>22</v>
      </c>
      <c r="E22" t="s">
        <v>22</v>
      </c>
      <c r="F22" s="3">
        <v>2021</v>
      </c>
      <c r="G22" s="3">
        <v>1</v>
      </c>
      <c r="H22" t="s">
        <v>132</v>
      </c>
      <c r="I22" s="2">
        <v>4</v>
      </c>
      <c r="J22" t="s">
        <v>44</v>
      </c>
    </row>
    <row r="23" spans="1:10">
      <c r="A23" t="s">
        <v>163</v>
      </c>
      <c r="B23" t="s">
        <v>43</v>
      </c>
      <c r="C23" s="1">
        <v>44469</v>
      </c>
      <c r="D23" t="s">
        <v>134</v>
      </c>
      <c r="E23" t="s">
        <v>24</v>
      </c>
      <c r="F23" s="3">
        <v>2021</v>
      </c>
      <c r="G23" s="3">
        <v>1</v>
      </c>
      <c r="H23" t="s">
        <v>132</v>
      </c>
      <c r="I23" s="2">
        <v>3.9</v>
      </c>
      <c r="J23" t="s">
        <v>44</v>
      </c>
    </row>
    <row r="24" spans="1:10">
      <c r="A24" t="s">
        <v>164</v>
      </c>
      <c r="B24" t="s">
        <v>43</v>
      </c>
      <c r="C24" s="1">
        <v>44469</v>
      </c>
      <c r="D24" t="s">
        <v>22</v>
      </c>
      <c r="E24" t="s">
        <v>22</v>
      </c>
      <c r="F24" s="3">
        <v>2021</v>
      </c>
      <c r="G24" s="3">
        <v>2</v>
      </c>
      <c r="H24" t="s">
        <v>136</v>
      </c>
      <c r="I24" s="2">
        <v>6</v>
      </c>
      <c r="J24" t="s">
        <v>44</v>
      </c>
    </row>
    <row r="25" spans="1:10">
      <c r="A25" t="s">
        <v>165</v>
      </c>
      <c r="B25" t="s">
        <v>43</v>
      </c>
      <c r="C25" s="1">
        <v>44469</v>
      </c>
      <c r="D25" t="s">
        <v>134</v>
      </c>
      <c r="E25" t="s">
        <v>24</v>
      </c>
      <c r="F25" s="3">
        <v>2021</v>
      </c>
      <c r="G25" s="3">
        <v>2</v>
      </c>
      <c r="H25" t="s">
        <v>136</v>
      </c>
      <c r="I25" s="2">
        <v>4.4000000000000004</v>
      </c>
      <c r="J25" t="s">
        <v>44</v>
      </c>
    </row>
    <row r="26" spans="1:10">
      <c r="A26" t="s">
        <v>166</v>
      </c>
      <c r="B26" t="s">
        <v>43</v>
      </c>
      <c r="C26" s="1">
        <v>44469</v>
      </c>
      <c r="D26" t="s">
        <v>22</v>
      </c>
      <c r="E26" t="s">
        <v>22</v>
      </c>
      <c r="F26" s="3">
        <v>2021</v>
      </c>
      <c r="G26" s="3">
        <v>3</v>
      </c>
      <c r="H26" t="s">
        <v>139</v>
      </c>
      <c r="I26" s="2">
        <v>5.8</v>
      </c>
      <c r="J26" t="s">
        <v>44</v>
      </c>
    </row>
    <row r="27" spans="1:10">
      <c r="A27" t="s">
        <v>167</v>
      </c>
      <c r="B27" t="s">
        <v>43</v>
      </c>
      <c r="C27" s="1">
        <v>44469</v>
      </c>
      <c r="D27" t="s">
        <v>134</v>
      </c>
      <c r="E27" t="s">
        <v>24</v>
      </c>
      <c r="F27" s="3">
        <v>2021</v>
      </c>
      <c r="G27" s="3">
        <v>3</v>
      </c>
      <c r="H27" t="s">
        <v>139</v>
      </c>
      <c r="I27" s="2">
        <v>4.8</v>
      </c>
      <c r="J27" t="s">
        <v>44</v>
      </c>
    </row>
    <row r="28" spans="1:10">
      <c r="A28" t="s">
        <v>168</v>
      </c>
      <c r="B28" t="s">
        <v>43</v>
      </c>
      <c r="C28" s="1">
        <v>44469</v>
      </c>
      <c r="D28" t="s">
        <v>22</v>
      </c>
      <c r="E28" t="s">
        <v>22</v>
      </c>
      <c r="F28" s="3">
        <v>2021</v>
      </c>
      <c r="G28" s="3">
        <v>4</v>
      </c>
      <c r="H28" t="s">
        <v>142</v>
      </c>
      <c r="I28" s="2">
        <v>6.2</v>
      </c>
      <c r="J28" t="s">
        <v>44</v>
      </c>
    </row>
    <row r="29" spans="1:10">
      <c r="A29" t="s">
        <v>169</v>
      </c>
      <c r="B29" t="s">
        <v>43</v>
      </c>
      <c r="C29" s="1">
        <v>44469</v>
      </c>
      <c r="D29" t="s">
        <v>134</v>
      </c>
      <c r="E29" t="s">
        <v>24</v>
      </c>
      <c r="F29" s="3">
        <v>2021</v>
      </c>
      <c r="G29" s="3">
        <v>4</v>
      </c>
      <c r="H29" t="s">
        <v>142</v>
      </c>
      <c r="I29" s="2">
        <v>5.3</v>
      </c>
      <c r="J29" t="s">
        <v>44</v>
      </c>
    </row>
    <row r="30" spans="1:10">
      <c r="A30" t="s">
        <v>170</v>
      </c>
      <c r="B30" t="s">
        <v>43</v>
      </c>
      <c r="C30" s="1">
        <v>44469</v>
      </c>
      <c r="D30" t="s">
        <v>22</v>
      </c>
      <c r="E30" t="s">
        <v>22</v>
      </c>
      <c r="F30" s="3">
        <v>2022</v>
      </c>
      <c r="G30" s="3">
        <v>1</v>
      </c>
      <c r="H30" t="s">
        <v>145</v>
      </c>
      <c r="I30" s="2">
        <v>5.6</v>
      </c>
      <c r="J30" t="s">
        <v>44</v>
      </c>
    </row>
    <row r="31" spans="1:10">
      <c r="A31" t="s">
        <v>171</v>
      </c>
      <c r="B31" t="s">
        <v>43</v>
      </c>
      <c r="C31" s="1">
        <v>44469</v>
      </c>
      <c r="D31" t="s">
        <v>134</v>
      </c>
      <c r="E31" t="s">
        <v>24</v>
      </c>
      <c r="F31" s="3">
        <v>2022</v>
      </c>
      <c r="G31" s="3">
        <v>1</v>
      </c>
      <c r="H31" t="s">
        <v>145</v>
      </c>
      <c r="I31" s="2">
        <v>5.4</v>
      </c>
      <c r="J31" t="s">
        <v>44</v>
      </c>
    </row>
    <row r="32" spans="1:10">
      <c r="A32" t="s">
        <v>172</v>
      </c>
      <c r="B32" t="s">
        <v>43</v>
      </c>
      <c r="C32" s="1">
        <v>44469</v>
      </c>
      <c r="D32" t="s">
        <v>22</v>
      </c>
      <c r="E32" t="s">
        <v>22</v>
      </c>
      <c r="F32" s="3">
        <v>2022</v>
      </c>
      <c r="G32" s="3">
        <v>2</v>
      </c>
      <c r="H32" t="s">
        <v>148</v>
      </c>
      <c r="I32" s="2">
        <v>4.3</v>
      </c>
      <c r="J32" t="s">
        <v>44</v>
      </c>
    </row>
    <row r="33" spans="1:10">
      <c r="A33" t="s">
        <v>173</v>
      </c>
      <c r="B33" t="s">
        <v>43</v>
      </c>
      <c r="C33" s="1">
        <v>44469</v>
      </c>
      <c r="D33" t="s">
        <v>134</v>
      </c>
      <c r="E33" t="s">
        <v>24</v>
      </c>
      <c r="F33" s="3">
        <v>2022</v>
      </c>
      <c r="G33" s="3">
        <v>2</v>
      </c>
      <c r="H33" t="s">
        <v>148</v>
      </c>
      <c r="I33" s="2">
        <v>4.8</v>
      </c>
      <c r="J33" t="s">
        <v>44</v>
      </c>
    </row>
    <row r="34" spans="1:10">
      <c r="A34" t="s">
        <v>174</v>
      </c>
      <c r="B34" t="s">
        <v>43</v>
      </c>
      <c r="C34" s="1">
        <v>44469</v>
      </c>
      <c r="D34" t="s">
        <v>22</v>
      </c>
      <c r="E34" t="s">
        <v>22</v>
      </c>
      <c r="F34" s="3">
        <v>2022</v>
      </c>
      <c r="G34" s="3">
        <v>3</v>
      </c>
      <c r="H34" t="s">
        <v>151</v>
      </c>
      <c r="I34" s="2">
        <v>3.5</v>
      </c>
      <c r="J34" t="s">
        <v>44</v>
      </c>
    </row>
    <row r="35" spans="1:10">
      <c r="A35" t="s">
        <v>175</v>
      </c>
      <c r="B35" t="s">
        <v>43</v>
      </c>
      <c r="C35" s="1">
        <v>44469</v>
      </c>
      <c r="D35" t="s">
        <v>134</v>
      </c>
      <c r="E35" t="s">
        <v>24</v>
      </c>
      <c r="F35" s="3">
        <v>2022</v>
      </c>
      <c r="G35" s="3">
        <v>3</v>
      </c>
      <c r="H35" t="s">
        <v>151</v>
      </c>
      <c r="I35" s="2">
        <v>4</v>
      </c>
      <c r="J35" t="s">
        <v>44</v>
      </c>
    </row>
    <row r="36" spans="1:10">
      <c r="A36" t="s">
        <v>176</v>
      </c>
      <c r="B36" t="s">
        <v>43</v>
      </c>
      <c r="C36" s="1">
        <v>44469</v>
      </c>
      <c r="D36" t="s">
        <v>22</v>
      </c>
      <c r="E36" t="s">
        <v>22</v>
      </c>
      <c r="F36" s="3">
        <v>2022</v>
      </c>
      <c r="G36" s="3">
        <v>4</v>
      </c>
      <c r="H36" t="s">
        <v>154</v>
      </c>
      <c r="I36" s="2">
        <v>3.4</v>
      </c>
      <c r="J36" t="s">
        <v>44</v>
      </c>
    </row>
    <row r="37" spans="1:10">
      <c r="A37" t="s">
        <v>177</v>
      </c>
      <c r="B37" t="s">
        <v>43</v>
      </c>
      <c r="C37" s="1">
        <v>44469</v>
      </c>
      <c r="D37" t="s">
        <v>134</v>
      </c>
      <c r="E37" t="s">
        <v>24</v>
      </c>
      <c r="F37" s="3">
        <v>2022</v>
      </c>
      <c r="G37" s="3">
        <v>4</v>
      </c>
      <c r="H37" t="s">
        <v>154</v>
      </c>
      <c r="I37" s="2">
        <v>3.4</v>
      </c>
      <c r="J37" t="s">
        <v>44</v>
      </c>
    </row>
    <row r="38" spans="1:10">
      <c r="A38" t="s">
        <v>178</v>
      </c>
      <c r="B38" t="s">
        <v>43</v>
      </c>
      <c r="C38" s="1">
        <v>44469</v>
      </c>
      <c r="D38" t="s">
        <v>22</v>
      </c>
      <c r="E38" t="s">
        <v>22</v>
      </c>
      <c r="F38" s="3">
        <v>2023</v>
      </c>
      <c r="G38" s="3">
        <v>1</v>
      </c>
      <c r="H38" t="s">
        <v>157</v>
      </c>
      <c r="I38" s="2">
        <v>3.3</v>
      </c>
      <c r="J38" t="s">
        <v>44</v>
      </c>
    </row>
    <row r="39" spans="1:10">
      <c r="A39" t="s">
        <v>179</v>
      </c>
      <c r="B39" t="s">
        <v>43</v>
      </c>
      <c r="C39" s="1">
        <v>44469</v>
      </c>
      <c r="D39" t="s">
        <v>134</v>
      </c>
      <c r="E39" t="s">
        <v>24</v>
      </c>
      <c r="F39" s="3">
        <v>2023</v>
      </c>
      <c r="G39" s="3">
        <v>1</v>
      </c>
      <c r="H39" t="s">
        <v>157</v>
      </c>
      <c r="I39" s="2">
        <v>3.1</v>
      </c>
      <c r="J39" t="s">
        <v>44</v>
      </c>
    </row>
    <row r="40" spans="1:10">
      <c r="A40" t="s">
        <v>180</v>
      </c>
      <c r="B40" t="s">
        <v>43</v>
      </c>
      <c r="C40" s="1">
        <v>44469</v>
      </c>
      <c r="D40" t="s">
        <v>22</v>
      </c>
      <c r="E40" t="s">
        <v>22</v>
      </c>
      <c r="F40" s="3">
        <v>2023</v>
      </c>
      <c r="G40" s="3">
        <v>2</v>
      </c>
      <c r="H40" t="s">
        <v>160</v>
      </c>
      <c r="I40" s="2">
        <v>3.2</v>
      </c>
      <c r="J40" t="s">
        <v>44</v>
      </c>
    </row>
    <row r="41" spans="1:10">
      <c r="A41" t="s">
        <v>181</v>
      </c>
      <c r="B41" t="s">
        <v>43</v>
      </c>
      <c r="C41" s="1">
        <v>44469</v>
      </c>
      <c r="D41" t="s">
        <v>134</v>
      </c>
      <c r="E41" t="s">
        <v>24</v>
      </c>
      <c r="F41" s="3">
        <v>2023</v>
      </c>
      <c r="G41" s="3">
        <v>2</v>
      </c>
      <c r="H41" t="s">
        <v>160</v>
      </c>
      <c r="I41" s="2">
        <v>2.9</v>
      </c>
      <c r="J41" t="s">
        <v>44</v>
      </c>
    </row>
    <row r="42" spans="1:10">
      <c r="A42" t="s">
        <v>182</v>
      </c>
      <c r="B42" t="s">
        <v>43</v>
      </c>
      <c r="C42" s="1">
        <v>44469</v>
      </c>
      <c r="D42" t="s">
        <v>22</v>
      </c>
      <c r="E42" t="s">
        <v>22</v>
      </c>
      <c r="F42" s="3">
        <v>2023</v>
      </c>
      <c r="G42" s="3">
        <v>3</v>
      </c>
      <c r="H42" t="s">
        <v>183</v>
      </c>
      <c r="I42" s="2">
        <v>3.1</v>
      </c>
      <c r="J42" t="s">
        <v>44</v>
      </c>
    </row>
    <row r="43" spans="1:10">
      <c r="A43" t="s">
        <v>184</v>
      </c>
      <c r="B43" t="s">
        <v>43</v>
      </c>
      <c r="C43" s="1">
        <v>44469</v>
      </c>
      <c r="D43" t="s">
        <v>134</v>
      </c>
      <c r="E43" t="s">
        <v>24</v>
      </c>
      <c r="F43" s="3">
        <v>2023</v>
      </c>
      <c r="G43" s="3">
        <v>3</v>
      </c>
      <c r="H43" t="s">
        <v>183</v>
      </c>
      <c r="I43" s="2">
        <v>2.8</v>
      </c>
      <c r="J43" t="s">
        <v>44</v>
      </c>
    </row>
    <row r="44" spans="1:10">
      <c r="A44" t="s">
        <v>185</v>
      </c>
      <c r="B44" t="s">
        <v>45</v>
      </c>
      <c r="C44" s="1">
        <v>44511</v>
      </c>
      <c r="D44" t="s">
        <v>22</v>
      </c>
      <c r="E44" t="s">
        <v>22</v>
      </c>
      <c r="F44" s="3">
        <v>2021</v>
      </c>
      <c r="G44" s="3">
        <v>1</v>
      </c>
      <c r="H44" t="s">
        <v>132</v>
      </c>
      <c r="I44" s="2">
        <v>4</v>
      </c>
      <c r="J44" t="s">
        <v>46</v>
      </c>
    </row>
    <row r="45" spans="1:10">
      <c r="A45" t="s">
        <v>186</v>
      </c>
      <c r="B45" t="s">
        <v>45</v>
      </c>
      <c r="C45" s="1">
        <v>44511</v>
      </c>
      <c r="D45" t="s">
        <v>134</v>
      </c>
      <c r="E45" t="s">
        <v>24</v>
      </c>
      <c r="F45" s="3">
        <v>2021</v>
      </c>
      <c r="G45" s="3">
        <v>1</v>
      </c>
      <c r="H45" t="s">
        <v>132</v>
      </c>
      <c r="I45" s="2">
        <v>3.9</v>
      </c>
      <c r="J45" t="s">
        <v>46</v>
      </c>
    </row>
    <row r="46" spans="1:10">
      <c r="A46" t="s">
        <v>187</v>
      </c>
      <c r="B46" t="s">
        <v>45</v>
      </c>
      <c r="C46" s="1">
        <v>44511</v>
      </c>
      <c r="D46" t="s">
        <v>22</v>
      </c>
      <c r="E46" t="s">
        <v>22</v>
      </c>
      <c r="F46" s="3">
        <v>2021</v>
      </c>
      <c r="G46" s="3">
        <v>2</v>
      </c>
      <c r="H46" t="s">
        <v>136</v>
      </c>
      <c r="I46" s="2">
        <v>6</v>
      </c>
      <c r="J46" t="s">
        <v>46</v>
      </c>
    </row>
    <row r="47" spans="1:10">
      <c r="A47" t="s">
        <v>188</v>
      </c>
      <c r="B47" t="s">
        <v>45</v>
      </c>
      <c r="C47" s="1">
        <v>44511</v>
      </c>
      <c r="D47" t="s">
        <v>134</v>
      </c>
      <c r="E47" t="s">
        <v>24</v>
      </c>
      <c r="F47" s="3">
        <v>2021</v>
      </c>
      <c r="G47" s="3">
        <v>2</v>
      </c>
      <c r="H47" t="s">
        <v>136</v>
      </c>
      <c r="I47" s="2">
        <v>4.4000000000000004</v>
      </c>
      <c r="J47" t="s">
        <v>46</v>
      </c>
    </row>
    <row r="48" spans="1:10">
      <c r="A48" t="s">
        <v>189</v>
      </c>
      <c r="B48" t="s">
        <v>45</v>
      </c>
      <c r="C48" s="1">
        <v>44511</v>
      </c>
      <c r="D48" t="s">
        <v>22</v>
      </c>
      <c r="E48" t="s">
        <v>22</v>
      </c>
      <c r="F48" s="3">
        <v>2021</v>
      </c>
      <c r="G48" s="3">
        <v>3</v>
      </c>
      <c r="H48" t="s">
        <v>139</v>
      </c>
      <c r="I48" s="2">
        <v>5.8</v>
      </c>
      <c r="J48" t="s">
        <v>46</v>
      </c>
    </row>
    <row r="49" spans="1:10">
      <c r="A49" t="s">
        <v>190</v>
      </c>
      <c r="B49" t="s">
        <v>45</v>
      </c>
      <c r="C49" s="1">
        <v>44511</v>
      </c>
      <c r="D49" t="s">
        <v>134</v>
      </c>
      <c r="E49" t="s">
        <v>24</v>
      </c>
      <c r="F49" s="3">
        <v>2021</v>
      </c>
      <c r="G49" s="3">
        <v>3</v>
      </c>
      <c r="H49" t="s">
        <v>139</v>
      </c>
      <c r="I49" s="2">
        <v>4.8</v>
      </c>
      <c r="J49" t="s">
        <v>46</v>
      </c>
    </row>
    <row r="50" spans="1:10">
      <c r="A50" t="s">
        <v>191</v>
      </c>
      <c r="B50" t="s">
        <v>45</v>
      </c>
      <c r="C50" s="1">
        <v>44511</v>
      </c>
      <c r="D50" t="s">
        <v>22</v>
      </c>
      <c r="E50" t="s">
        <v>22</v>
      </c>
      <c r="F50" s="3">
        <v>2021</v>
      </c>
      <c r="G50" s="3">
        <v>4</v>
      </c>
      <c r="H50" t="s">
        <v>142</v>
      </c>
      <c r="I50" s="2">
        <v>6.8</v>
      </c>
      <c r="J50" t="s">
        <v>46</v>
      </c>
    </row>
    <row r="51" spans="1:10">
      <c r="A51" t="s">
        <v>192</v>
      </c>
      <c r="B51" t="s">
        <v>45</v>
      </c>
      <c r="C51" s="1">
        <v>44511</v>
      </c>
      <c r="D51" t="s">
        <v>134</v>
      </c>
      <c r="E51" t="s">
        <v>24</v>
      </c>
      <c r="F51" s="3">
        <v>2021</v>
      </c>
      <c r="G51" s="3">
        <v>4</v>
      </c>
      <c r="H51" t="s">
        <v>142</v>
      </c>
      <c r="I51" s="2">
        <v>5.5</v>
      </c>
      <c r="J51" t="s">
        <v>46</v>
      </c>
    </row>
    <row r="52" spans="1:10">
      <c r="A52" t="s">
        <v>193</v>
      </c>
      <c r="B52" t="s">
        <v>45</v>
      </c>
      <c r="C52" s="1">
        <v>44511</v>
      </c>
      <c r="D52" t="s">
        <v>22</v>
      </c>
      <c r="E52" t="s">
        <v>22</v>
      </c>
      <c r="F52" s="3">
        <v>2022</v>
      </c>
      <c r="G52" s="3">
        <v>1</v>
      </c>
      <c r="H52" t="s">
        <v>145</v>
      </c>
      <c r="I52" s="2">
        <v>6.3</v>
      </c>
      <c r="J52" t="s">
        <v>46</v>
      </c>
    </row>
    <row r="53" spans="1:10">
      <c r="A53" t="s">
        <v>194</v>
      </c>
      <c r="B53" t="s">
        <v>45</v>
      </c>
      <c r="C53" s="1">
        <v>44511</v>
      </c>
      <c r="D53" t="s">
        <v>134</v>
      </c>
      <c r="E53" t="s">
        <v>24</v>
      </c>
      <c r="F53" s="3">
        <v>2022</v>
      </c>
      <c r="G53" s="3">
        <v>1</v>
      </c>
      <c r="H53" t="s">
        <v>145</v>
      </c>
      <c r="I53" s="2">
        <v>5.8</v>
      </c>
      <c r="J53" t="s">
        <v>46</v>
      </c>
    </row>
    <row r="54" spans="1:10">
      <c r="A54" t="s">
        <v>195</v>
      </c>
      <c r="B54" t="s">
        <v>45</v>
      </c>
      <c r="C54" s="1">
        <v>44511</v>
      </c>
      <c r="D54" t="s">
        <v>22</v>
      </c>
      <c r="E54" t="s">
        <v>22</v>
      </c>
      <c r="F54" s="3">
        <v>2022</v>
      </c>
      <c r="G54" s="3">
        <v>2</v>
      </c>
      <c r="H54" t="s">
        <v>148</v>
      </c>
      <c r="I54" s="2">
        <v>4.8</v>
      </c>
      <c r="J54" t="s">
        <v>46</v>
      </c>
    </row>
    <row r="55" spans="1:10">
      <c r="A55" t="s">
        <v>196</v>
      </c>
      <c r="B55" t="s">
        <v>45</v>
      </c>
      <c r="C55" s="1">
        <v>44511</v>
      </c>
      <c r="D55" t="s">
        <v>134</v>
      </c>
      <c r="E55" t="s">
        <v>24</v>
      </c>
      <c r="F55" s="3">
        <v>2022</v>
      </c>
      <c r="G55" s="3">
        <v>2</v>
      </c>
      <c r="H55" t="s">
        <v>148</v>
      </c>
      <c r="I55" s="2">
        <v>5.3</v>
      </c>
      <c r="J55" t="s">
        <v>46</v>
      </c>
    </row>
    <row r="56" spans="1:10">
      <c r="A56" t="s">
        <v>197</v>
      </c>
      <c r="B56" t="s">
        <v>45</v>
      </c>
      <c r="C56" s="1">
        <v>44511</v>
      </c>
      <c r="D56" t="s">
        <v>22</v>
      </c>
      <c r="E56" t="s">
        <v>22</v>
      </c>
      <c r="F56" s="3">
        <v>2022</v>
      </c>
      <c r="G56" s="3">
        <v>3</v>
      </c>
      <c r="H56" t="s">
        <v>151</v>
      </c>
      <c r="I56" s="2">
        <v>3.9</v>
      </c>
      <c r="J56" t="s">
        <v>46</v>
      </c>
    </row>
    <row r="57" spans="1:10">
      <c r="A57" t="s">
        <v>198</v>
      </c>
      <c r="B57" t="s">
        <v>45</v>
      </c>
      <c r="C57" s="1">
        <v>44511</v>
      </c>
      <c r="D57" t="s">
        <v>134</v>
      </c>
      <c r="E57" t="s">
        <v>24</v>
      </c>
      <c r="F57" s="3">
        <v>2022</v>
      </c>
      <c r="G57" s="3">
        <v>3</v>
      </c>
      <c r="H57" t="s">
        <v>151</v>
      </c>
      <c r="I57" s="2">
        <v>4.3</v>
      </c>
      <c r="J57" t="s">
        <v>46</v>
      </c>
    </row>
    <row r="58" spans="1:10">
      <c r="A58" t="s">
        <v>199</v>
      </c>
      <c r="B58" t="s">
        <v>45</v>
      </c>
      <c r="C58" s="1">
        <v>44511</v>
      </c>
      <c r="D58" t="s">
        <v>22</v>
      </c>
      <c r="E58" t="s">
        <v>22</v>
      </c>
      <c r="F58" s="3">
        <v>2022</v>
      </c>
      <c r="G58" s="3">
        <v>4</v>
      </c>
      <c r="H58" t="s">
        <v>154</v>
      </c>
      <c r="I58" s="2">
        <v>3.3</v>
      </c>
      <c r="J58" t="s">
        <v>46</v>
      </c>
    </row>
    <row r="59" spans="1:10">
      <c r="A59" t="s">
        <v>200</v>
      </c>
      <c r="B59" t="s">
        <v>45</v>
      </c>
      <c r="C59" s="1">
        <v>44511</v>
      </c>
      <c r="D59" t="s">
        <v>134</v>
      </c>
      <c r="E59" t="s">
        <v>24</v>
      </c>
      <c r="F59" s="3">
        <v>2022</v>
      </c>
      <c r="G59" s="3">
        <v>4</v>
      </c>
      <c r="H59" t="s">
        <v>154</v>
      </c>
      <c r="I59" s="2">
        <v>3.5</v>
      </c>
      <c r="J59" t="s">
        <v>46</v>
      </c>
    </row>
    <row r="60" spans="1:10">
      <c r="A60" t="s">
        <v>201</v>
      </c>
      <c r="B60" t="s">
        <v>45</v>
      </c>
      <c r="C60" s="1">
        <v>44511</v>
      </c>
      <c r="D60" t="s">
        <v>22</v>
      </c>
      <c r="E60" t="s">
        <v>22</v>
      </c>
      <c r="F60" s="3">
        <v>2023</v>
      </c>
      <c r="G60" s="3">
        <v>1</v>
      </c>
      <c r="H60" t="s">
        <v>157</v>
      </c>
      <c r="I60" s="2">
        <v>3.2</v>
      </c>
      <c r="J60" t="s">
        <v>46</v>
      </c>
    </row>
    <row r="61" spans="1:10">
      <c r="A61" t="s">
        <v>202</v>
      </c>
      <c r="B61" t="s">
        <v>45</v>
      </c>
      <c r="C61" s="1">
        <v>44511</v>
      </c>
      <c r="D61" t="s">
        <v>134</v>
      </c>
      <c r="E61" t="s">
        <v>24</v>
      </c>
      <c r="F61" s="3">
        <v>2023</v>
      </c>
      <c r="G61" s="3">
        <v>1</v>
      </c>
      <c r="H61" t="s">
        <v>157</v>
      </c>
      <c r="I61" s="2">
        <v>3</v>
      </c>
      <c r="J61" t="s">
        <v>46</v>
      </c>
    </row>
    <row r="62" spans="1:10">
      <c r="A62" t="s">
        <v>203</v>
      </c>
      <c r="B62" t="s">
        <v>45</v>
      </c>
      <c r="C62" s="1">
        <v>44511</v>
      </c>
      <c r="D62" t="s">
        <v>22</v>
      </c>
      <c r="E62" t="s">
        <v>22</v>
      </c>
      <c r="F62" s="3">
        <v>2023</v>
      </c>
      <c r="G62" s="3">
        <v>2</v>
      </c>
      <c r="H62" t="s">
        <v>160</v>
      </c>
      <c r="I62" s="2">
        <v>3.2</v>
      </c>
      <c r="J62" t="s">
        <v>46</v>
      </c>
    </row>
    <row r="63" spans="1:10">
      <c r="A63" t="s">
        <v>204</v>
      </c>
      <c r="B63" t="s">
        <v>45</v>
      </c>
      <c r="C63" s="1">
        <v>44511</v>
      </c>
      <c r="D63" t="s">
        <v>134</v>
      </c>
      <c r="E63" t="s">
        <v>24</v>
      </c>
      <c r="F63" s="3">
        <v>2023</v>
      </c>
      <c r="G63" s="3">
        <v>2</v>
      </c>
      <c r="H63" t="s">
        <v>160</v>
      </c>
      <c r="I63" s="2">
        <v>2.7</v>
      </c>
      <c r="J63" t="s">
        <v>46</v>
      </c>
    </row>
    <row r="64" spans="1:10">
      <c r="A64" t="s">
        <v>205</v>
      </c>
      <c r="B64" t="s">
        <v>45</v>
      </c>
      <c r="C64" s="1">
        <v>44511</v>
      </c>
      <c r="D64" t="s">
        <v>22</v>
      </c>
      <c r="E64" t="s">
        <v>22</v>
      </c>
      <c r="F64" s="3">
        <v>2023</v>
      </c>
      <c r="G64" s="3">
        <v>3</v>
      </c>
      <c r="H64" t="s">
        <v>183</v>
      </c>
      <c r="I64" s="2">
        <v>3.1</v>
      </c>
      <c r="J64" t="s">
        <v>46</v>
      </c>
    </row>
    <row r="65" spans="1:10">
      <c r="A65" t="s">
        <v>206</v>
      </c>
      <c r="B65" t="s">
        <v>45</v>
      </c>
      <c r="C65" s="1">
        <v>44511</v>
      </c>
      <c r="D65" t="s">
        <v>134</v>
      </c>
      <c r="E65" t="s">
        <v>24</v>
      </c>
      <c r="F65" s="3">
        <v>2023</v>
      </c>
      <c r="G65" s="3">
        <v>3</v>
      </c>
      <c r="H65" t="s">
        <v>183</v>
      </c>
      <c r="I65" s="2">
        <v>2.6</v>
      </c>
      <c r="J65" t="s">
        <v>46</v>
      </c>
    </row>
    <row r="66" spans="1:10">
      <c r="A66" t="s">
        <v>207</v>
      </c>
      <c r="B66" t="s">
        <v>47</v>
      </c>
      <c r="C66" s="1">
        <v>44546</v>
      </c>
      <c r="D66" t="s">
        <v>22</v>
      </c>
      <c r="E66" t="s">
        <v>22</v>
      </c>
      <c r="F66" s="3">
        <v>2021</v>
      </c>
      <c r="G66" s="3">
        <v>1</v>
      </c>
      <c r="H66" t="s">
        <v>132</v>
      </c>
      <c r="I66" s="2">
        <v>4</v>
      </c>
      <c r="J66" t="s">
        <v>49</v>
      </c>
    </row>
    <row r="67" spans="1:10">
      <c r="A67" t="s">
        <v>208</v>
      </c>
      <c r="B67" t="s">
        <v>47</v>
      </c>
      <c r="C67" s="1">
        <v>44546</v>
      </c>
      <c r="D67" t="s">
        <v>134</v>
      </c>
      <c r="E67" t="s">
        <v>24</v>
      </c>
      <c r="F67" s="3">
        <v>2021</v>
      </c>
      <c r="G67" s="3">
        <v>1</v>
      </c>
      <c r="H67" t="s">
        <v>132</v>
      </c>
      <c r="I67" s="2">
        <v>3.9</v>
      </c>
      <c r="J67" t="s">
        <v>49</v>
      </c>
    </row>
    <row r="68" spans="1:10">
      <c r="A68" t="s">
        <v>209</v>
      </c>
      <c r="B68" t="s">
        <v>47</v>
      </c>
      <c r="C68" s="1">
        <v>44546</v>
      </c>
      <c r="D68" t="s">
        <v>210</v>
      </c>
      <c r="E68" t="s">
        <v>25</v>
      </c>
      <c r="F68" s="3">
        <v>2021</v>
      </c>
      <c r="G68" s="3">
        <v>1</v>
      </c>
      <c r="H68" t="s">
        <v>132</v>
      </c>
      <c r="I68" s="2">
        <v>5.7</v>
      </c>
      <c r="J68" t="s">
        <v>49</v>
      </c>
    </row>
    <row r="69" spans="1:10">
      <c r="A69" t="s">
        <v>211</v>
      </c>
      <c r="B69" t="s">
        <v>47</v>
      </c>
      <c r="C69" s="1">
        <v>44546</v>
      </c>
      <c r="D69" t="s">
        <v>212</v>
      </c>
      <c r="E69" t="s">
        <v>26</v>
      </c>
      <c r="F69" s="3">
        <v>2021</v>
      </c>
      <c r="G69" s="3">
        <v>1</v>
      </c>
      <c r="H69" t="s">
        <v>132</v>
      </c>
      <c r="I69" s="2">
        <v>3.9</v>
      </c>
      <c r="J69" t="s">
        <v>49</v>
      </c>
    </row>
    <row r="70" spans="1:10">
      <c r="A70" t="s">
        <v>213</v>
      </c>
      <c r="B70" t="s">
        <v>47</v>
      </c>
      <c r="C70" s="1">
        <v>44546</v>
      </c>
      <c r="D70" t="s">
        <v>22</v>
      </c>
      <c r="E70" t="s">
        <v>22</v>
      </c>
      <c r="F70" s="3">
        <v>2021</v>
      </c>
      <c r="G70" s="3">
        <v>2</v>
      </c>
      <c r="H70" t="s">
        <v>136</v>
      </c>
      <c r="I70" s="2">
        <v>6</v>
      </c>
      <c r="J70" t="s">
        <v>49</v>
      </c>
    </row>
    <row r="71" spans="1:10">
      <c r="A71" t="s">
        <v>214</v>
      </c>
      <c r="B71" t="s">
        <v>47</v>
      </c>
      <c r="C71" s="1">
        <v>44546</v>
      </c>
      <c r="D71" t="s">
        <v>134</v>
      </c>
      <c r="E71" t="s">
        <v>24</v>
      </c>
      <c r="F71" s="3">
        <v>2021</v>
      </c>
      <c r="G71" s="3">
        <v>2</v>
      </c>
      <c r="H71" t="s">
        <v>136</v>
      </c>
      <c r="I71" s="2">
        <v>4.4000000000000004</v>
      </c>
      <c r="J71" t="s">
        <v>49</v>
      </c>
    </row>
    <row r="72" spans="1:10">
      <c r="A72" t="s">
        <v>215</v>
      </c>
      <c r="B72" t="s">
        <v>47</v>
      </c>
      <c r="C72" s="1">
        <v>44546</v>
      </c>
      <c r="D72" t="s">
        <v>210</v>
      </c>
      <c r="E72" t="s">
        <v>25</v>
      </c>
      <c r="F72" s="3">
        <v>2021</v>
      </c>
      <c r="G72" s="3">
        <v>2</v>
      </c>
      <c r="H72" t="s">
        <v>136</v>
      </c>
      <c r="I72" s="2">
        <v>9.3000000000000007</v>
      </c>
      <c r="J72" t="s">
        <v>49</v>
      </c>
    </row>
    <row r="73" spans="1:10">
      <c r="A73" t="s">
        <v>216</v>
      </c>
      <c r="B73" t="s">
        <v>47</v>
      </c>
      <c r="C73" s="1">
        <v>44546</v>
      </c>
      <c r="D73" t="s">
        <v>212</v>
      </c>
      <c r="E73" t="s">
        <v>26</v>
      </c>
      <c r="F73" s="3">
        <v>2021</v>
      </c>
      <c r="G73" s="3">
        <v>2</v>
      </c>
      <c r="H73" t="s">
        <v>136</v>
      </c>
      <c r="I73" s="2">
        <v>5.6</v>
      </c>
      <c r="J73" t="s">
        <v>49</v>
      </c>
    </row>
    <row r="74" spans="1:10">
      <c r="A74" t="s">
        <v>217</v>
      </c>
      <c r="B74" t="s">
        <v>47</v>
      </c>
      <c r="C74" s="1">
        <v>44546</v>
      </c>
      <c r="D74" t="s">
        <v>22</v>
      </c>
      <c r="E74" t="s">
        <v>22</v>
      </c>
      <c r="F74" s="3">
        <v>2021</v>
      </c>
      <c r="G74" s="3">
        <v>3</v>
      </c>
      <c r="H74" t="s">
        <v>139</v>
      </c>
      <c r="I74" s="2">
        <v>5.8</v>
      </c>
      <c r="J74" t="s">
        <v>49</v>
      </c>
    </row>
    <row r="75" spans="1:10">
      <c r="A75" t="s">
        <v>218</v>
      </c>
      <c r="B75" t="s">
        <v>47</v>
      </c>
      <c r="C75" s="1">
        <v>44546</v>
      </c>
      <c r="D75" t="s">
        <v>134</v>
      </c>
      <c r="E75" t="s">
        <v>24</v>
      </c>
      <c r="F75" s="3">
        <v>2021</v>
      </c>
      <c r="G75" s="3">
        <v>3</v>
      </c>
      <c r="H75" t="s">
        <v>139</v>
      </c>
      <c r="I75" s="2">
        <v>4.8</v>
      </c>
      <c r="J75" t="s">
        <v>49</v>
      </c>
    </row>
    <row r="76" spans="1:10">
      <c r="A76" t="s">
        <v>219</v>
      </c>
      <c r="B76" t="s">
        <v>47</v>
      </c>
      <c r="C76" s="1">
        <v>44546</v>
      </c>
      <c r="D76" t="s">
        <v>210</v>
      </c>
      <c r="E76" t="s">
        <v>25</v>
      </c>
      <c r="F76" s="3">
        <v>2021</v>
      </c>
      <c r="G76" s="3">
        <v>3</v>
      </c>
      <c r="H76" t="s">
        <v>139</v>
      </c>
      <c r="I76" s="2">
        <v>6.3</v>
      </c>
      <c r="J76" t="s">
        <v>49</v>
      </c>
    </row>
    <row r="77" spans="1:10">
      <c r="A77" t="s">
        <v>220</v>
      </c>
      <c r="B77" t="s">
        <v>47</v>
      </c>
      <c r="C77" s="1">
        <v>44546</v>
      </c>
      <c r="D77" t="s">
        <v>212</v>
      </c>
      <c r="E77" t="s">
        <v>26</v>
      </c>
      <c r="F77" s="3">
        <v>2021</v>
      </c>
      <c r="G77" s="3">
        <v>3</v>
      </c>
      <c r="H77" t="s">
        <v>139</v>
      </c>
      <c r="I77" s="2">
        <v>6.6</v>
      </c>
      <c r="J77" t="s">
        <v>49</v>
      </c>
    </row>
    <row r="78" spans="1:10">
      <c r="A78" t="s">
        <v>221</v>
      </c>
      <c r="B78" t="s">
        <v>47</v>
      </c>
      <c r="C78" s="1">
        <v>44546</v>
      </c>
      <c r="D78" t="s">
        <v>22</v>
      </c>
      <c r="E78" t="s">
        <v>22</v>
      </c>
      <c r="F78" s="3">
        <v>2021</v>
      </c>
      <c r="G78" s="3">
        <v>4</v>
      </c>
      <c r="H78" t="s">
        <v>142</v>
      </c>
      <c r="I78" s="2">
        <v>7.1</v>
      </c>
      <c r="J78" t="s">
        <v>49</v>
      </c>
    </row>
    <row r="79" spans="1:10">
      <c r="A79" t="s">
        <v>222</v>
      </c>
      <c r="B79" t="s">
        <v>47</v>
      </c>
      <c r="C79" s="1">
        <v>44546</v>
      </c>
      <c r="D79" t="s">
        <v>134</v>
      </c>
      <c r="E79" t="s">
        <v>24</v>
      </c>
      <c r="F79" s="3">
        <v>2021</v>
      </c>
      <c r="G79" s="3">
        <v>4</v>
      </c>
      <c r="H79" t="s">
        <v>142</v>
      </c>
      <c r="I79" s="2">
        <v>5.6</v>
      </c>
      <c r="J79" t="s">
        <v>49</v>
      </c>
    </row>
    <row r="80" spans="1:10">
      <c r="A80" t="s">
        <v>223</v>
      </c>
      <c r="B80" t="s">
        <v>47</v>
      </c>
      <c r="C80" s="1">
        <v>44546</v>
      </c>
      <c r="D80" t="s">
        <v>210</v>
      </c>
      <c r="E80" t="s">
        <v>25</v>
      </c>
      <c r="F80" s="3">
        <v>2021</v>
      </c>
      <c r="G80" s="3">
        <v>4</v>
      </c>
      <c r="H80" t="s">
        <v>142</v>
      </c>
      <c r="I80" s="2">
        <v>7</v>
      </c>
      <c r="J80" t="s">
        <v>49</v>
      </c>
    </row>
    <row r="81" spans="1:10">
      <c r="A81" t="s">
        <v>224</v>
      </c>
      <c r="B81" t="s">
        <v>47</v>
      </c>
      <c r="C81" s="1">
        <v>44546</v>
      </c>
      <c r="D81" t="s">
        <v>212</v>
      </c>
      <c r="E81" t="s">
        <v>26</v>
      </c>
      <c r="F81" s="3">
        <v>2021</v>
      </c>
      <c r="G81" s="3">
        <v>4</v>
      </c>
      <c r="H81" t="s">
        <v>142</v>
      </c>
      <c r="I81" s="2">
        <v>6.3</v>
      </c>
      <c r="J81" t="s">
        <v>49</v>
      </c>
    </row>
    <row r="82" spans="1:10">
      <c r="A82" t="s">
        <v>225</v>
      </c>
      <c r="B82" t="s">
        <v>47</v>
      </c>
      <c r="C82" s="1">
        <v>44546</v>
      </c>
      <c r="D82" t="s">
        <v>22</v>
      </c>
      <c r="E82" t="s">
        <v>22</v>
      </c>
      <c r="F82" s="3">
        <v>2022</v>
      </c>
      <c r="G82" s="3">
        <v>1</v>
      </c>
      <c r="H82" t="s">
        <v>145</v>
      </c>
      <c r="I82" s="2">
        <v>6.7</v>
      </c>
      <c r="J82" t="s">
        <v>49</v>
      </c>
    </row>
    <row r="83" spans="1:10">
      <c r="A83" t="s">
        <v>226</v>
      </c>
      <c r="B83" t="s">
        <v>47</v>
      </c>
      <c r="C83" s="1">
        <v>44546</v>
      </c>
      <c r="D83" t="s">
        <v>134</v>
      </c>
      <c r="E83" t="s">
        <v>24</v>
      </c>
      <c r="F83" s="3">
        <v>2022</v>
      </c>
      <c r="G83" s="3">
        <v>1</v>
      </c>
      <c r="H83" t="s">
        <v>145</v>
      </c>
      <c r="I83" s="2">
        <v>6.2</v>
      </c>
      <c r="J83" t="s">
        <v>49</v>
      </c>
    </row>
    <row r="84" spans="1:10">
      <c r="A84" t="s">
        <v>227</v>
      </c>
      <c r="B84" t="s">
        <v>47</v>
      </c>
      <c r="C84" s="1">
        <v>44546</v>
      </c>
      <c r="D84" t="s">
        <v>210</v>
      </c>
      <c r="E84" t="s">
        <v>25</v>
      </c>
      <c r="F84" s="3">
        <v>2022</v>
      </c>
      <c r="G84" s="3">
        <v>1</v>
      </c>
      <c r="H84" t="s">
        <v>145</v>
      </c>
      <c r="I84" s="2">
        <v>4.0999999999999996</v>
      </c>
      <c r="J84" t="s">
        <v>49</v>
      </c>
    </row>
    <row r="85" spans="1:10">
      <c r="A85" t="s">
        <v>228</v>
      </c>
      <c r="B85" t="s">
        <v>47</v>
      </c>
      <c r="C85" s="1">
        <v>44546</v>
      </c>
      <c r="D85" t="s">
        <v>212</v>
      </c>
      <c r="E85" t="s">
        <v>26</v>
      </c>
      <c r="F85" s="3">
        <v>2022</v>
      </c>
      <c r="G85" s="3">
        <v>1</v>
      </c>
      <c r="H85" t="s">
        <v>145</v>
      </c>
      <c r="I85" s="2">
        <v>6.2</v>
      </c>
      <c r="J85" t="s">
        <v>49</v>
      </c>
    </row>
    <row r="86" spans="1:10">
      <c r="A86" t="s">
        <v>229</v>
      </c>
      <c r="B86" t="s">
        <v>47</v>
      </c>
      <c r="C86" s="1">
        <v>44546</v>
      </c>
      <c r="D86" t="s">
        <v>22</v>
      </c>
      <c r="E86" t="s">
        <v>22</v>
      </c>
      <c r="F86" s="3">
        <v>2022</v>
      </c>
      <c r="G86" s="3">
        <v>2</v>
      </c>
      <c r="H86" t="s">
        <v>148</v>
      </c>
      <c r="I86" s="2">
        <v>5.0999999999999996</v>
      </c>
      <c r="J86" t="s">
        <v>49</v>
      </c>
    </row>
    <row r="87" spans="1:10">
      <c r="A87" t="s">
        <v>230</v>
      </c>
      <c r="B87" t="s">
        <v>47</v>
      </c>
      <c r="C87" s="1">
        <v>44546</v>
      </c>
      <c r="D87" t="s">
        <v>134</v>
      </c>
      <c r="E87" t="s">
        <v>24</v>
      </c>
      <c r="F87" s="3">
        <v>2022</v>
      </c>
      <c r="G87" s="3">
        <v>2</v>
      </c>
      <c r="H87" t="s">
        <v>148</v>
      </c>
      <c r="I87" s="2">
        <v>5.8</v>
      </c>
      <c r="J87" t="s">
        <v>49</v>
      </c>
    </row>
    <row r="88" spans="1:10">
      <c r="A88" t="s">
        <v>231</v>
      </c>
      <c r="B88" t="s">
        <v>47</v>
      </c>
      <c r="C88" s="1">
        <v>44546</v>
      </c>
      <c r="D88" t="s">
        <v>210</v>
      </c>
      <c r="E88" t="s">
        <v>25</v>
      </c>
      <c r="F88" s="3">
        <v>2022</v>
      </c>
      <c r="G88" s="3">
        <v>2</v>
      </c>
      <c r="H88" t="s">
        <v>148</v>
      </c>
      <c r="I88" s="2">
        <v>2.9</v>
      </c>
      <c r="J88" t="s">
        <v>49</v>
      </c>
    </row>
    <row r="89" spans="1:10">
      <c r="A89" t="s">
        <v>232</v>
      </c>
      <c r="B89" t="s">
        <v>47</v>
      </c>
      <c r="C89" s="1">
        <v>44546</v>
      </c>
      <c r="D89" t="s">
        <v>212</v>
      </c>
      <c r="E89" t="s">
        <v>26</v>
      </c>
      <c r="F89" s="3">
        <v>2022</v>
      </c>
      <c r="G89" s="3">
        <v>2</v>
      </c>
      <c r="H89" t="s">
        <v>148</v>
      </c>
      <c r="I89" s="2">
        <v>4.0999999999999996</v>
      </c>
      <c r="J89" t="s">
        <v>49</v>
      </c>
    </row>
    <row r="90" spans="1:10">
      <c r="A90" t="s">
        <v>233</v>
      </c>
      <c r="B90" t="s">
        <v>47</v>
      </c>
      <c r="C90" s="1">
        <v>44546</v>
      </c>
      <c r="D90" t="s">
        <v>22</v>
      </c>
      <c r="E90" t="s">
        <v>22</v>
      </c>
      <c r="F90" s="3">
        <v>2022</v>
      </c>
      <c r="G90" s="3">
        <v>3</v>
      </c>
      <c r="H90" t="s">
        <v>151</v>
      </c>
      <c r="I90" s="2">
        <v>4.3</v>
      </c>
      <c r="J90" t="s">
        <v>49</v>
      </c>
    </row>
    <row r="91" spans="1:10">
      <c r="A91" t="s">
        <v>234</v>
      </c>
      <c r="B91" t="s">
        <v>47</v>
      </c>
      <c r="C91" s="1">
        <v>44546</v>
      </c>
      <c r="D91" t="s">
        <v>134</v>
      </c>
      <c r="E91" t="s">
        <v>24</v>
      </c>
      <c r="F91" s="3">
        <v>2022</v>
      </c>
      <c r="G91" s="3">
        <v>3</v>
      </c>
      <c r="H91" t="s">
        <v>151</v>
      </c>
      <c r="I91" s="2">
        <v>4.9000000000000004</v>
      </c>
      <c r="J91" t="s">
        <v>49</v>
      </c>
    </row>
    <row r="92" spans="1:10">
      <c r="A92" t="s">
        <v>235</v>
      </c>
      <c r="B92" t="s">
        <v>47</v>
      </c>
      <c r="C92" s="1">
        <v>44546</v>
      </c>
      <c r="D92" t="s">
        <v>210</v>
      </c>
      <c r="E92" t="s">
        <v>25</v>
      </c>
      <c r="F92" s="3">
        <v>2022</v>
      </c>
      <c r="G92" s="3">
        <v>3</v>
      </c>
      <c r="H92" t="s">
        <v>151</v>
      </c>
      <c r="I92" s="2">
        <v>3.2</v>
      </c>
      <c r="J92" t="s">
        <v>49</v>
      </c>
    </row>
    <row r="93" spans="1:10">
      <c r="A93" t="s">
        <v>236</v>
      </c>
      <c r="B93" t="s">
        <v>47</v>
      </c>
      <c r="C93" s="1">
        <v>44546</v>
      </c>
      <c r="D93" t="s">
        <v>212</v>
      </c>
      <c r="E93" t="s">
        <v>26</v>
      </c>
      <c r="F93" s="3">
        <v>2022</v>
      </c>
      <c r="G93" s="3">
        <v>3</v>
      </c>
      <c r="H93" t="s">
        <v>151</v>
      </c>
      <c r="I93" s="2">
        <v>3.1</v>
      </c>
      <c r="J93" t="s">
        <v>49</v>
      </c>
    </row>
    <row r="94" spans="1:10">
      <c r="A94" t="s">
        <v>237</v>
      </c>
      <c r="B94" t="s">
        <v>47</v>
      </c>
      <c r="C94" s="1">
        <v>44546</v>
      </c>
      <c r="D94" t="s">
        <v>22</v>
      </c>
      <c r="E94" t="s">
        <v>22</v>
      </c>
      <c r="F94" s="3">
        <v>2022</v>
      </c>
      <c r="G94" s="3">
        <v>4</v>
      </c>
      <c r="H94" t="s">
        <v>154</v>
      </c>
      <c r="I94" s="2">
        <v>3.5</v>
      </c>
      <c r="J94" t="s">
        <v>49</v>
      </c>
    </row>
    <row r="95" spans="1:10">
      <c r="A95" t="s">
        <v>238</v>
      </c>
      <c r="B95" t="s">
        <v>47</v>
      </c>
      <c r="C95" s="1">
        <v>44546</v>
      </c>
      <c r="D95" t="s">
        <v>134</v>
      </c>
      <c r="E95" t="s">
        <v>24</v>
      </c>
      <c r="F95" s="3">
        <v>2022</v>
      </c>
      <c r="G95" s="3">
        <v>4</v>
      </c>
      <c r="H95" t="s">
        <v>154</v>
      </c>
      <c r="I95" s="2">
        <v>4.0999999999999996</v>
      </c>
      <c r="J95" t="s">
        <v>49</v>
      </c>
    </row>
    <row r="96" spans="1:10">
      <c r="A96" t="s">
        <v>239</v>
      </c>
      <c r="B96" t="s">
        <v>47</v>
      </c>
      <c r="C96" s="1">
        <v>44546</v>
      </c>
      <c r="D96" t="s">
        <v>210</v>
      </c>
      <c r="E96" t="s">
        <v>25</v>
      </c>
      <c r="F96" s="3">
        <v>2022</v>
      </c>
      <c r="G96" s="3">
        <v>4</v>
      </c>
      <c r="H96" t="s">
        <v>154</v>
      </c>
      <c r="I96" s="2">
        <v>3.9</v>
      </c>
      <c r="J96" t="s">
        <v>49</v>
      </c>
    </row>
    <row r="97" spans="1:10">
      <c r="A97" t="s">
        <v>240</v>
      </c>
      <c r="B97" t="s">
        <v>47</v>
      </c>
      <c r="C97" s="1">
        <v>44546</v>
      </c>
      <c r="D97" t="s">
        <v>212</v>
      </c>
      <c r="E97" t="s">
        <v>26</v>
      </c>
      <c r="F97" s="3">
        <v>2022</v>
      </c>
      <c r="G97" s="3">
        <v>4</v>
      </c>
      <c r="H97" t="s">
        <v>154</v>
      </c>
      <c r="I97" s="2">
        <v>3.2</v>
      </c>
      <c r="J97" t="s">
        <v>49</v>
      </c>
    </row>
    <row r="98" spans="1:10">
      <c r="A98" t="s">
        <v>241</v>
      </c>
      <c r="B98" t="s">
        <v>47</v>
      </c>
      <c r="C98" s="1">
        <v>44546</v>
      </c>
      <c r="D98" t="s">
        <v>22</v>
      </c>
      <c r="E98" t="s">
        <v>22</v>
      </c>
      <c r="F98" s="3">
        <v>2023</v>
      </c>
      <c r="G98" s="3">
        <v>1</v>
      </c>
      <c r="H98" t="s">
        <v>157</v>
      </c>
      <c r="I98" s="2">
        <v>3.3</v>
      </c>
      <c r="J98" t="s">
        <v>49</v>
      </c>
    </row>
    <row r="99" spans="1:10">
      <c r="A99" t="s">
        <v>242</v>
      </c>
      <c r="B99" t="s">
        <v>47</v>
      </c>
      <c r="C99" s="1">
        <v>44546</v>
      </c>
      <c r="D99" t="s">
        <v>134</v>
      </c>
      <c r="E99" t="s">
        <v>24</v>
      </c>
      <c r="F99" s="3">
        <v>2023</v>
      </c>
      <c r="G99" s="3">
        <v>1</v>
      </c>
      <c r="H99" t="s">
        <v>157</v>
      </c>
      <c r="I99" s="2">
        <v>3.3</v>
      </c>
      <c r="J99" t="s">
        <v>49</v>
      </c>
    </row>
    <row r="100" spans="1:10">
      <c r="A100" t="s">
        <v>243</v>
      </c>
      <c r="B100" t="s">
        <v>47</v>
      </c>
      <c r="C100" s="1">
        <v>44546</v>
      </c>
      <c r="D100" t="s">
        <v>210</v>
      </c>
      <c r="E100" t="s">
        <v>25</v>
      </c>
      <c r="F100" s="3">
        <v>2023</v>
      </c>
      <c r="G100" s="3">
        <v>1</v>
      </c>
      <c r="H100" t="s">
        <v>157</v>
      </c>
      <c r="I100" s="2">
        <v>3.1</v>
      </c>
      <c r="J100" t="s">
        <v>49</v>
      </c>
    </row>
    <row r="101" spans="1:10">
      <c r="A101" t="s">
        <v>244</v>
      </c>
      <c r="B101" t="s">
        <v>47</v>
      </c>
      <c r="C101" s="1">
        <v>44546</v>
      </c>
      <c r="D101" t="s">
        <v>212</v>
      </c>
      <c r="E101" t="s">
        <v>26</v>
      </c>
      <c r="F101" s="3">
        <v>2023</v>
      </c>
      <c r="G101" s="3">
        <v>1</v>
      </c>
      <c r="H101" t="s">
        <v>157</v>
      </c>
      <c r="I101" s="2">
        <v>2.8</v>
      </c>
      <c r="J101" t="s">
        <v>49</v>
      </c>
    </row>
    <row r="102" spans="1:10">
      <c r="A102" t="s">
        <v>245</v>
      </c>
      <c r="B102" t="s">
        <v>47</v>
      </c>
      <c r="C102" s="1">
        <v>44546</v>
      </c>
      <c r="D102" t="s">
        <v>22</v>
      </c>
      <c r="E102" t="s">
        <v>22</v>
      </c>
      <c r="F102" s="3">
        <v>2023</v>
      </c>
      <c r="G102" s="3">
        <v>2</v>
      </c>
      <c r="H102" t="s">
        <v>160</v>
      </c>
      <c r="I102" s="2">
        <v>3.2</v>
      </c>
      <c r="J102" t="s">
        <v>49</v>
      </c>
    </row>
    <row r="103" spans="1:10">
      <c r="A103" t="s">
        <v>246</v>
      </c>
      <c r="B103" t="s">
        <v>47</v>
      </c>
      <c r="C103" s="1">
        <v>44546</v>
      </c>
      <c r="D103" t="s">
        <v>134</v>
      </c>
      <c r="E103" t="s">
        <v>24</v>
      </c>
      <c r="F103" s="3">
        <v>2023</v>
      </c>
      <c r="G103" s="3">
        <v>2</v>
      </c>
      <c r="H103" t="s">
        <v>160</v>
      </c>
      <c r="I103" s="2">
        <v>2.9</v>
      </c>
      <c r="J103" t="s">
        <v>49</v>
      </c>
    </row>
    <row r="104" spans="1:10">
      <c r="A104" t="s">
        <v>247</v>
      </c>
      <c r="B104" t="s">
        <v>47</v>
      </c>
      <c r="C104" s="1">
        <v>44546</v>
      </c>
      <c r="D104" t="s">
        <v>210</v>
      </c>
      <c r="E104" t="s">
        <v>25</v>
      </c>
      <c r="F104" s="3">
        <v>2023</v>
      </c>
      <c r="G104" s="3">
        <v>2</v>
      </c>
      <c r="H104" t="s">
        <v>160</v>
      </c>
      <c r="I104" s="2">
        <v>2.4</v>
      </c>
      <c r="J104" t="s">
        <v>49</v>
      </c>
    </row>
    <row r="105" spans="1:10">
      <c r="A105" t="s">
        <v>248</v>
      </c>
      <c r="B105" t="s">
        <v>47</v>
      </c>
      <c r="C105" s="1">
        <v>44546</v>
      </c>
      <c r="D105" t="s">
        <v>212</v>
      </c>
      <c r="E105" t="s">
        <v>26</v>
      </c>
      <c r="F105" s="3">
        <v>2023</v>
      </c>
      <c r="G105" s="3">
        <v>2</v>
      </c>
      <c r="H105" t="s">
        <v>160</v>
      </c>
      <c r="I105" s="2">
        <v>2.6</v>
      </c>
      <c r="J105" t="s">
        <v>49</v>
      </c>
    </row>
    <row r="106" spans="1:10">
      <c r="A106" t="s">
        <v>249</v>
      </c>
      <c r="B106" t="s">
        <v>47</v>
      </c>
      <c r="C106" s="1">
        <v>44546</v>
      </c>
      <c r="D106" t="s">
        <v>22</v>
      </c>
      <c r="E106" t="s">
        <v>22</v>
      </c>
      <c r="F106" s="3">
        <v>2023</v>
      </c>
      <c r="G106" s="3">
        <v>3</v>
      </c>
      <c r="H106" t="s">
        <v>183</v>
      </c>
      <c r="I106" s="2">
        <v>3.1</v>
      </c>
      <c r="J106" t="s">
        <v>49</v>
      </c>
    </row>
    <row r="107" spans="1:10">
      <c r="A107" t="s">
        <v>250</v>
      </c>
      <c r="B107" t="s">
        <v>47</v>
      </c>
      <c r="C107" s="1">
        <v>44546</v>
      </c>
      <c r="D107" t="s">
        <v>134</v>
      </c>
      <c r="E107" t="s">
        <v>24</v>
      </c>
      <c r="F107" s="3">
        <v>2023</v>
      </c>
      <c r="G107" s="3">
        <v>3</v>
      </c>
      <c r="H107" t="s">
        <v>183</v>
      </c>
      <c r="I107" s="2">
        <v>2.8</v>
      </c>
      <c r="J107" t="s">
        <v>49</v>
      </c>
    </row>
    <row r="108" spans="1:10">
      <c r="A108" t="s">
        <v>251</v>
      </c>
      <c r="B108" t="s">
        <v>47</v>
      </c>
      <c r="C108" s="1">
        <v>44546</v>
      </c>
      <c r="D108" t="s">
        <v>210</v>
      </c>
      <c r="E108" t="s">
        <v>25</v>
      </c>
      <c r="F108" s="3">
        <v>2023</v>
      </c>
      <c r="G108" s="3">
        <v>3</v>
      </c>
      <c r="H108" t="s">
        <v>183</v>
      </c>
      <c r="I108" s="2">
        <v>3</v>
      </c>
      <c r="J108" t="s">
        <v>49</v>
      </c>
    </row>
    <row r="109" spans="1:10">
      <c r="A109" t="s">
        <v>252</v>
      </c>
      <c r="B109" t="s">
        <v>47</v>
      </c>
      <c r="C109" s="1">
        <v>44546</v>
      </c>
      <c r="D109" t="s">
        <v>212</v>
      </c>
      <c r="E109" t="s">
        <v>26</v>
      </c>
      <c r="F109" s="3">
        <v>2023</v>
      </c>
      <c r="G109" s="3">
        <v>3</v>
      </c>
      <c r="H109" t="s">
        <v>183</v>
      </c>
      <c r="I109" s="2">
        <v>2.5</v>
      </c>
      <c r="J109" t="s">
        <v>49</v>
      </c>
    </row>
    <row r="110" spans="1:10">
      <c r="A110" t="s">
        <v>253</v>
      </c>
      <c r="B110" t="s">
        <v>47</v>
      </c>
      <c r="C110" s="1">
        <v>44546</v>
      </c>
      <c r="D110" t="s">
        <v>22</v>
      </c>
      <c r="E110" t="s">
        <v>22</v>
      </c>
      <c r="F110" s="3">
        <v>2023</v>
      </c>
      <c r="G110" s="3">
        <v>4</v>
      </c>
      <c r="H110" t="s">
        <v>254</v>
      </c>
      <c r="I110" s="2">
        <v>3</v>
      </c>
      <c r="J110" t="s">
        <v>49</v>
      </c>
    </row>
    <row r="111" spans="1:10">
      <c r="A111" t="s">
        <v>255</v>
      </c>
      <c r="B111" t="s">
        <v>47</v>
      </c>
      <c r="C111" s="1">
        <v>44546</v>
      </c>
      <c r="D111" t="s">
        <v>134</v>
      </c>
      <c r="E111" t="s">
        <v>24</v>
      </c>
      <c r="F111" s="3">
        <v>2023</v>
      </c>
      <c r="G111" s="3">
        <v>4</v>
      </c>
      <c r="H111" t="s">
        <v>254</v>
      </c>
      <c r="I111" s="2">
        <v>2.7</v>
      </c>
      <c r="J111" t="s">
        <v>49</v>
      </c>
    </row>
    <row r="112" spans="1:10">
      <c r="A112" t="s">
        <v>256</v>
      </c>
      <c r="B112" t="s">
        <v>47</v>
      </c>
      <c r="C112" s="1">
        <v>44546</v>
      </c>
      <c r="D112" t="s">
        <v>210</v>
      </c>
      <c r="E112" t="s">
        <v>25</v>
      </c>
      <c r="F112" s="3">
        <v>2023</v>
      </c>
      <c r="G112" s="3">
        <v>4</v>
      </c>
      <c r="H112" t="s">
        <v>254</v>
      </c>
      <c r="I112" s="2">
        <v>3.4</v>
      </c>
      <c r="J112" t="s">
        <v>49</v>
      </c>
    </row>
    <row r="113" spans="1:10">
      <c r="A113" t="s">
        <v>257</v>
      </c>
      <c r="B113" t="s">
        <v>47</v>
      </c>
      <c r="C113" s="1">
        <v>44546</v>
      </c>
      <c r="D113" t="s">
        <v>212</v>
      </c>
      <c r="E113" t="s">
        <v>26</v>
      </c>
      <c r="F113" s="3">
        <v>2023</v>
      </c>
      <c r="G113" s="3">
        <v>4</v>
      </c>
      <c r="H113" t="s">
        <v>254</v>
      </c>
      <c r="I113" s="2">
        <v>2.7</v>
      </c>
      <c r="J113" t="s">
        <v>49</v>
      </c>
    </row>
    <row r="114" spans="1:10">
      <c r="A114" t="s">
        <v>258</v>
      </c>
      <c r="B114" t="s">
        <v>50</v>
      </c>
      <c r="C114" s="1">
        <v>44602</v>
      </c>
      <c r="D114" t="s">
        <v>22</v>
      </c>
      <c r="E114" t="s">
        <v>22</v>
      </c>
      <c r="F114" s="3">
        <v>2021</v>
      </c>
      <c r="G114" s="3">
        <v>1</v>
      </c>
      <c r="H114" t="s">
        <v>132</v>
      </c>
      <c r="I114" s="2">
        <v>4</v>
      </c>
      <c r="J114" t="s">
        <v>51</v>
      </c>
    </row>
    <row r="115" spans="1:10">
      <c r="A115" t="s">
        <v>259</v>
      </c>
      <c r="B115" t="s">
        <v>50</v>
      </c>
      <c r="C115" s="1">
        <v>44602</v>
      </c>
      <c r="D115" t="s">
        <v>134</v>
      </c>
      <c r="E115" t="s">
        <v>24</v>
      </c>
      <c r="F115" s="3">
        <v>2021</v>
      </c>
      <c r="G115" s="3">
        <v>1</v>
      </c>
      <c r="H115" t="s">
        <v>132</v>
      </c>
      <c r="I115" s="2">
        <v>3.9</v>
      </c>
      <c r="J115" t="s">
        <v>51</v>
      </c>
    </row>
    <row r="116" spans="1:10">
      <c r="A116" t="s">
        <v>260</v>
      </c>
      <c r="B116" t="s">
        <v>50</v>
      </c>
      <c r="C116" s="1">
        <v>44602</v>
      </c>
      <c r="D116" t="s">
        <v>210</v>
      </c>
      <c r="E116" t="s">
        <v>25</v>
      </c>
      <c r="F116" s="3">
        <v>2021</v>
      </c>
      <c r="G116" s="3">
        <v>1</v>
      </c>
      <c r="H116" t="s">
        <v>132</v>
      </c>
      <c r="I116" s="2">
        <v>5.5</v>
      </c>
      <c r="J116" t="s">
        <v>51</v>
      </c>
    </row>
    <row r="117" spans="1:10">
      <c r="A117" t="s">
        <v>261</v>
      </c>
      <c r="B117" t="s">
        <v>50</v>
      </c>
      <c r="C117" s="1">
        <v>44602</v>
      </c>
      <c r="D117" t="s">
        <v>212</v>
      </c>
      <c r="E117" t="s">
        <v>26</v>
      </c>
      <c r="F117" s="3">
        <v>2021</v>
      </c>
      <c r="G117" s="3">
        <v>1</v>
      </c>
      <c r="H117" t="s">
        <v>132</v>
      </c>
      <c r="I117" s="2">
        <v>3.7</v>
      </c>
      <c r="J117" t="s">
        <v>51</v>
      </c>
    </row>
    <row r="118" spans="1:10">
      <c r="A118" t="s">
        <v>262</v>
      </c>
      <c r="B118" t="s">
        <v>50</v>
      </c>
      <c r="C118" s="1">
        <v>44602</v>
      </c>
      <c r="D118" t="s">
        <v>22</v>
      </c>
      <c r="E118" t="s">
        <v>22</v>
      </c>
      <c r="F118" s="3">
        <v>2021</v>
      </c>
      <c r="G118" s="3">
        <v>2</v>
      </c>
      <c r="H118" t="s">
        <v>136</v>
      </c>
      <c r="I118" s="2">
        <v>6</v>
      </c>
      <c r="J118" t="s">
        <v>51</v>
      </c>
    </row>
    <row r="119" spans="1:10">
      <c r="A119" t="s">
        <v>263</v>
      </c>
      <c r="B119" t="s">
        <v>50</v>
      </c>
      <c r="C119" s="1">
        <v>44602</v>
      </c>
      <c r="D119" t="s">
        <v>134</v>
      </c>
      <c r="E119" t="s">
        <v>24</v>
      </c>
      <c r="F119" s="3">
        <v>2021</v>
      </c>
      <c r="G119" s="3">
        <v>2</v>
      </c>
      <c r="H119" t="s">
        <v>136</v>
      </c>
      <c r="I119" s="2">
        <v>4.4000000000000004</v>
      </c>
      <c r="J119" t="s">
        <v>51</v>
      </c>
    </row>
    <row r="120" spans="1:10">
      <c r="A120" t="s">
        <v>264</v>
      </c>
      <c r="B120" t="s">
        <v>50</v>
      </c>
      <c r="C120" s="1">
        <v>44602</v>
      </c>
      <c r="D120" t="s">
        <v>210</v>
      </c>
      <c r="E120" t="s">
        <v>25</v>
      </c>
      <c r="F120" s="3">
        <v>2021</v>
      </c>
      <c r="G120" s="3">
        <v>2</v>
      </c>
      <c r="H120" t="s">
        <v>136</v>
      </c>
      <c r="I120" s="2">
        <v>9.3000000000000007</v>
      </c>
      <c r="J120" t="s">
        <v>51</v>
      </c>
    </row>
    <row r="121" spans="1:10">
      <c r="A121" t="s">
        <v>265</v>
      </c>
      <c r="B121" t="s">
        <v>50</v>
      </c>
      <c r="C121" s="1">
        <v>44602</v>
      </c>
      <c r="D121" t="s">
        <v>212</v>
      </c>
      <c r="E121" t="s">
        <v>26</v>
      </c>
      <c r="F121" s="3">
        <v>2021</v>
      </c>
      <c r="G121" s="3">
        <v>2</v>
      </c>
      <c r="H121" t="s">
        <v>136</v>
      </c>
      <c r="I121" s="2">
        <v>5.6</v>
      </c>
      <c r="J121" t="s">
        <v>51</v>
      </c>
    </row>
    <row r="122" spans="1:10">
      <c r="A122" t="s">
        <v>266</v>
      </c>
      <c r="B122" t="s">
        <v>50</v>
      </c>
      <c r="C122" s="1">
        <v>44602</v>
      </c>
      <c r="D122" t="s">
        <v>22</v>
      </c>
      <c r="E122" t="s">
        <v>22</v>
      </c>
      <c r="F122" s="3">
        <v>2021</v>
      </c>
      <c r="G122" s="3">
        <v>3</v>
      </c>
      <c r="H122" t="s">
        <v>139</v>
      </c>
      <c r="I122" s="2">
        <v>5.8</v>
      </c>
      <c r="J122" t="s">
        <v>51</v>
      </c>
    </row>
    <row r="123" spans="1:10">
      <c r="A123" t="s">
        <v>267</v>
      </c>
      <c r="B123" t="s">
        <v>50</v>
      </c>
      <c r="C123" s="1">
        <v>44602</v>
      </c>
      <c r="D123" t="s">
        <v>134</v>
      </c>
      <c r="E123" t="s">
        <v>24</v>
      </c>
      <c r="F123" s="3">
        <v>2021</v>
      </c>
      <c r="G123" s="3">
        <v>3</v>
      </c>
      <c r="H123" t="s">
        <v>139</v>
      </c>
      <c r="I123" s="2">
        <v>4.8</v>
      </c>
      <c r="J123" t="s">
        <v>51</v>
      </c>
    </row>
    <row r="124" spans="1:10">
      <c r="A124" t="s">
        <v>268</v>
      </c>
      <c r="B124" t="s">
        <v>50</v>
      </c>
      <c r="C124" s="1">
        <v>44602</v>
      </c>
      <c r="D124" t="s">
        <v>210</v>
      </c>
      <c r="E124" t="s">
        <v>25</v>
      </c>
      <c r="F124" s="3">
        <v>2021</v>
      </c>
      <c r="G124" s="3">
        <v>3</v>
      </c>
      <c r="H124" t="s">
        <v>139</v>
      </c>
      <c r="I124" s="2">
        <v>6.4</v>
      </c>
      <c r="J124" t="s">
        <v>51</v>
      </c>
    </row>
    <row r="125" spans="1:10">
      <c r="A125" t="s">
        <v>269</v>
      </c>
      <c r="B125" t="s">
        <v>50</v>
      </c>
      <c r="C125" s="1">
        <v>44602</v>
      </c>
      <c r="D125" t="s">
        <v>212</v>
      </c>
      <c r="E125" t="s">
        <v>26</v>
      </c>
      <c r="F125" s="3">
        <v>2021</v>
      </c>
      <c r="G125" s="3">
        <v>3</v>
      </c>
      <c r="H125" t="s">
        <v>139</v>
      </c>
      <c r="I125" s="2">
        <v>6.6</v>
      </c>
      <c r="J125" t="s">
        <v>51</v>
      </c>
    </row>
    <row r="126" spans="1:10">
      <c r="A126" t="s">
        <v>270</v>
      </c>
      <c r="B126" t="s">
        <v>50</v>
      </c>
      <c r="C126" s="1">
        <v>44602</v>
      </c>
      <c r="D126" t="s">
        <v>22</v>
      </c>
      <c r="E126" t="s">
        <v>22</v>
      </c>
      <c r="F126" s="3">
        <v>2021</v>
      </c>
      <c r="G126" s="3">
        <v>4</v>
      </c>
      <c r="H126" t="s">
        <v>142</v>
      </c>
      <c r="I126" s="2">
        <v>7</v>
      </c>
      <c r="J126" t="s">
        <v>51</v>
      </c>
    </row>
    <row r="127" spans="1:10">
      <c r="A127" t="s">
        <v>271</v>
      </c>
      <c r="B127" t="s">
        <v>50</v>
      </c>
      <c r="C127" s="1">
        <v>44602</v>
      </c>
      <c r="D127" t="s">
        <v>134</v>
      </c>
      <c r="E127" t="s">
        <v>24</v>
      </c>
      <c r="F127" s="3">
        <v>2021</v>
      </c>
      <c r="G127" s="3">
        <v>4</v>
      </c>
      <c r="H127" t="s">
        <v>142</v>
      </c>
      <c r="I127" s="2">
        <v>5.6</v>
      </c>
      <c r="J127" t="s">
        <v>51</v>
      </c>
    </row>
    <row r="128" spans="1:10">
      <c r="A128" t="s">
        <v>272</v>
      </c>
      <c r="B128" t="s">
        <v>50</v>
      </c>
      <c r="C128" s="1">
        <v>44602</v>
      </c>
      <c r="D128" t="s">
        <v>210</v>
      </c>
      <c r="E128" t="s">
        <v>25</v>
      </c>
      <c r="F128" s="3">
        <v>2021</v>
      </c>
      <c r="G128" s="3">
        <v>4</v>
      </c>
      <c r="H128" t="s">
        <v>142</v>
      </c>
      <c r="I128" s="2">
        <v>6.8</v>
      </c>
      <c r="J128" t="s">
        <v>51</v>
      </c>
    </row>
    <row r="129" spans="1:10">
      <c r="A129" t="s">
        <v>273</v>
      </c>
      <c r="B129" t="s">
        <v>50</v>
      </c>
      <c r="C129" s="1">
        <v>44602</v>
      </c>
      <c r="D129" t="s">
        <v>212</v>
      </c>
      <c r="E129" t="s">
        <v>26</v>
      </c>
      <c r="F129" s="3">
        <v>2021</v>
      </c>
      <c r="G129" s="3">
        <v>4</v>
      </c>
      <c r="H129" t="s">
        <v>142</v>
      </c>
      <c r="I129" s="2">
        <v>6.5</v>
      </c>
      <c r="J129" t="s">
        <v>51</v>
      </c>
    </row>
    <row r="130" spans="1:10">
      <c r="A130" t="s">
        <v>274</v>
      </c>
      <c r="B130" t="s">
        <v>50</v>
      </c>
      <c r="C130" s="1">
        <v>44602</v>
      </c>
      <c r="D130" t="s">
        <v>22</v>
      </c>
      <c r="E130" t="s">
        <v>22</v>
      </c>
      <c r="F130" s="3">
        <v>2022</v>
      </c>
      <c r="G130" s="3">
        <v>1</v>
      </c>
      <c r="H130" t="s">
        <v>145</v>
      </c>
      <c r="I130" s="2">
        <v>6.9</v>
      </c>
      <c r="J130" t="s">
        <v>51</v>
      </c>
    </row>
    <row r="131" spans="1:10">
      <c r="A131" t="s">
        <v>275</v>
      </c>
      <c r="B131" t="s">
        <v>50</v>
      </c>
      <c r="C131" s="1">
        <v>44602</v>
      </c>
      <c r="D131" t="s">
        <v>134</v>
      </c>
      <c r="E131" t="s">
        <v>24</v>
      </c>
      <c r="F131" s="3">
        <v>2022</v>
      </c>
      <c r="G131" s="3">
        <v>1</v>
      </c>
      <c r="H131" t="s">
        <v>145</v>
      </c>
      <c r="I131" s="2">
        <v>6.4</v>
      </c>
      <c r="J131" t="s">
        <v>51</v>
      </c>
    </row>
    <row r="132" spans="1:10">
      <c r="A132" t="s">
        <v>276</v>
      </c>
      <c r="B132" t="s">
        <v>50</v>
      </c>
      <c r="C132" s="1">
        <v>44602</v>
      </c>
      <c r="D132" t="s">
        <v>210</v>
      </c>
      <c r="E132" t="s">
        <v>25</v>
      </c>
      <c r="F132" s="3">
        <v>2022</v>
      </c>
      <c r="G132" s="3">
        <v>1</v>
      </c>
      <c r="H132" t="s">
        <v>145</v>
      </c>
      <c r="I132" s="2">
        <v>4.9000000000000004</v>
      </c>
      <c r="J132" t="s">
        <v>51</v>
      </c>
    </row>
    <row r="133" spans="1:10">
      <c r="A133" t="s">
        <v>277</v>
      </c>
      <c r="B133" t="s">
        <v>50</v>
      </c>
      <c r="C133" s="1">
        <v>44602</v>
      </c>
      <c r="D133" t="s">
        <v>212</v>
      </c>
      <c r="E133" t="s">
        <v>26</v>
      </c>
      <c r="F133" s="3">
        <v>2022</v>
      </c>
      <c r="G133" s="3">
        <v>1</v>
      </c>
      <c r="H133" t="s">
        <v>145</v>
      </c>
      <c r="I133" s="2">
        <v>6.8</v>
      </c>
      <c r="J133" t="s">
        <v>51</v>
      </c>
    </row>
    <row r="134" spans="1:10">
      <c r="A134" t="s">
        <v>278</v>
      </c>
      <c r="B134" t="s">
        <v>50</v>
      </c>
      <c r="C134" s="1">
        <v>44602</v>
      </c>
      <c r="D134" t="s">
        <v>22</v>
      </c>
      <c r="E134" t="s">
        <v>22</v>
      </c>
      <c r="F134" s="3">
        <v>2022</v>
      </c>
      <c r="G134" s="3">
        <v>2</v>
      </c>
      <c r="H134" t="s">
        <v>148</v>
      </c>
      <c r="I134" s="2">
        <v>5.4</v>
      </c>
      <c r="J134" t="s">
        <v>51</v>
      </c>
    </row>
    <row r="135" spans="1:10">
      <c r="A135" t="s">
        <v>279</v>
      </c>
      <c r="B135" t="s">
        <v>50</v>
      </c>
      <c r="C135" s="1">
        <v>44602</v>
      </c>
      <c r="D135" t="s">
        <v>134</v>
      </c>
      <c r="E135" t="s">
        <v>24</v>
      </c>
      <c r="F135" s="3">
        <v>2022</v>
      </c>
      <c r="G135" s="3">
        <v>2</v>
      </c>
      <c r="H135" t="s">
        <v>148</v>
      </c>
      <c r="I135" s="2">
        <v>6.1</v>
      </c>
      <c r="J135" t="s">
        <v>51</v>
      </c>
    </row>
    <row r="136" spans="1:10">
      <c r="A136" t="s">
        <v>280</v>
      </c>
      <c r="B136" t="s">
        <v>50</v>
      </c>
      <c r="C136" s="1">
        <v>44602</v>
      </c>
      <c r="D136" t="s">
        <v>210</v>
      </c>
      <c r="E136" t="s">
        <v>25</v>
      </c>
      <c r="F136" s="3">
        <v>2022</v>
      </c>
      <c r="G136" s="3">
        <v>2</v>
      </c>
      <c r="H136" t="s">
        <v>148</v>
      </c>
      <c r="I136" s="2">
        <v>3.4</v>
      </c>
      <c r="J136" t="s">
        <v>51</v>
      </c>
    </row>
    <row r="137" spans="1:10">
      <c r="A137" t="s">
        <v>281</v>
      </c>
      <c r="B137" t="s">
        <v>50</v>
      </c>
      <c r="C137" s="1">
        <v>44602</v>
      </c>
      <c r="D137" t="s">
        <v>212</v>
      </c>
      <c r="E137" t="s">
        <v>26</v>
      </c>
      <c r="F137" s="3">
        <v>2022</v>
      </c>
      <c r="G137" s="3">
        <v>2</v>
      </c>
      <c r="H137" t="s">
        <v>148</v>
      </c>
      <c r="I137" s="2">
        <v>4.2</v>
      </c>
      <c r="J137" t="s">
        <v>51</v>
      </c>
    </row>
    <row r="138" spans="1:10">
      <c r="A138" t="s">
        <v>282</v>
      </c>
      <c r="B138" t="s">
        <v>50</v>
      </c>
      <c r="C138" s="1">
        <v>44602</v>
      </c>
      <c r="D138" t="s">
        <v>22</v>
      </c>
      <c r="E138" t="s">
        <v>22</v>
      </c>
      <c r="F138" s="3">
        <v>2022</v>
      </c>
      <c r="G138" s="3">
        <v>3</v>
      </c>
      <c r="H138" t="s">
        <v>151</v>
      </c>
      <c r="I138" s="2">
        <v>4.5999999999999996</v>
      </c>
      <c r="J138" t="s">
        <v>51</v>
      </c>
    </row>
    <row r="139" spans="1:10">
      <c r="A139" t="s">
        <v>283</v>
      </c>
      <c r="B139" t="s">
        <v>50</v>
      </c>
      <c r="C139" s="1">
        <v>44602</v>
      </c>
      <c r="D139" t="s">
        <v>134</v>
      </c>
      <c r="E139" t="s">
        <v>24</v>
      </c>
      <c r="F139" s="3">
        <v>2022</v>
      </c>
      <c r="G139" s="3">
        <v>3</v>
      </c>
      <c r="H139" t="s">
        <v>151</v>
      </c>
      <c r="I139" s="2">
        <v>5.0999999999999996</v>
      </c>
      <c r="J139" t="s">
        <v>51</v>
      </c>
    </row>
    <row r="140" spans="1:10">
      <c r="A140" t="s">
        <v>284</v>
      </c>
      <c r="B140" t="s">
        <v>50</v>
      </c>
      <c r="C140" s="1">
        <v>44602</v>
      </c>
      <c r="D140" t="s">
        <v>210</v>
      </c>
      <c r="E140" t="s">
        <v>25</v>
      </c>
      <c r="F140" s="3">
        <v>2022</v>
      </c>
      <c r="G140" s="3">
        <v>3</v>
      </c>
      <c r="H140" t="s">
        <v>151</v>
      </c>
      <c r="I140" s="2">
        <v>3.4</v>
      </c>
      <c r="J140" t="s">
        <v>51</v>
      </c>
    </row>
    <row r="141" spans="1:10">
      <c r="A141" t="s">
        <v>285</v>
      </c>
      <c r="B141" t="s">
        <v>50</v>
      </c>
      <c r="C141" s="1">
        <v>44602</v>
      </c>
      <c r="D141" t="s">
        <v>212</v>
      </c>
      <c r="E141" t="s">
        <v>26</v>
      </c>
      <c r="F141" s="3">
        <v>2022</v>
      </c>
      <c r="G141" s="3">
        <v>3</v>
      </c>
      <c r="H141" t="s">
        <v>151</v>
      </c>
      <c r="I141" s="2">
        <v>3.1</v>
      </c>
      <c r="J141" t="s">
        <v>51</v>
      </c>
    </row>
    <row r="142" spans="1:10">
      <c r="A142" t="s">
        <v>286</v>
      </c>
      <c r="B142" t="s">
        <v>50</v>
      </c>
      <c r="C142" s="1">
        <v>44602</v>
      </c>
      <c r="D142" t="s">
        <v>22</v>
      </c>
      <c r="E142" t="s">
        <v>22</v>
      </c>
      <c r="F142" s="3">
        <v>2022</v>
      </c>
      <c r="G142" s="3">
        <v>4</v>
      </c>
      <c r="H142" t="s">
        <v>154</v>
      </c>
      <c r="I142" s="2">
        <v>4</v>
      </c>
      <c r="J142" t="s">
        <v>51</v>
      </c>
    </row>
    <row r="143" spans="1:10">
      <c r="A143" t="s">
        <v>287</v>
      </c>
      <c r="B143" t="s">
        <v>50</v>
      </c>
      <c r="C143" s="1">
        <v>44602</v>
      </c>
      <c r="D143" t="s">
        <v>134</v>
      </c>
      <c r="E143" t="s">
        <v>24</v>
      </c>
      <c r="F143" s="3">
        <v>2022</v>
      </c>
      <c r="G143" s="3">
        <v>4</v>
      </c>
      <c r="H143" t="s">
        <v>154</v>
      </c>
      <c r="I143" s="2">
        <v>4.3</v>
      </c>
      <c r="J143" t="s">
        <v>51</v>
      </c>
    </row>
    <row r="144" spans="1:10">
      <c r="A144" t="s">
        <v>288</v>
      </c>
      <c r="B144" t="s">
        <v>50</v>
      </c>
      <c r="C144" s="1">
        <v>44602</v>
      </c>
      <c r="D144" t="s">
        <v>210</v>
      </c>
      <c r="E144" t="s">
        <v>25</v>
      </c>
      <c r="F144" s="3">
        <v>2022</v>
      </c>
      <c r="G144" s="3">
        <v>4</v>
      </c>
      <c r="H144" t="s">
        <v>154</v>
      </c>
      <c r="I144" s="2">
        <v>4.3</v>
      </c>
      <c r="J144" t="s">
        <v>51</v>
      </c>
    </row>
    <row r="145" spans="1:10">
      <c r="A145" t="s">
        <v>289</v>
      </c>
      <c r="B145" t="s">
        <v>50</v>
      </c>
      <c r="C145" s="1">
        <v>44602</v>
      </c>
      <c r="D145" t="s">
        <v>212</v>
      </c>
      <c r="E145" t="s">
        <v>26</v>
      </c>
      <c r="F145" s="3">
        <v>2022</v>
      </c>
      <c r="G145" s="3">
        <v>4</v>
      </c>
      <c r="H145" t="s">
        <v>154</v>
      </c>
      <c r="I145" s="2">
        <v>3.2</v>
      </c>
      <c r="J145" t="s">
        <v>51</v>
      </c>
    </row>
    <row r="146" spans="1:10">
      <c r="A146" t="s">
        <v>290</v>
      </c>
      <c r="B146" t="s">
        <v>50</v>
      </c>
      <c r="C146" s="1">
        <v>44602</v>
      </c>
      <c r="D146" t="s">
        <v>22</v>
      </c>
      <c r="E146" t="s">
        <v>22</v>
      </c>
      <c r="F146" s="3">
        <v>2023</v>
      </c>
      <c r="G146" s="3">
        <v>1</v>
      </c>
      <c r="H146" t="s">
        <v>157</v>
      </c>
      <c r="I146" s="2">
        <v>3.4</v>
      </c>
      <c r="J146" t="s">
        <v>51</v>
      </c>
    </row>
    <row r="147" spans="1:10">
      <c r="A147" t="s">
        <v>291</v>
      </c>
      <c r="B147" t="s">
        <v>50</v>
      </c>
      <c r="C147" s="1">
        <v>44602</v>
      </c>
      <c r="D147" t="s">
        <v>134</v>
      </c>
      <c r="E147" t="s">
        <v>24</v>
      </c>
      <c r="F147" s="3">
        <v>2023</v>
      </c>
      <c r="G147" s="3">
        <v>1</v>
      </c>
      <c r="H147" t="s">
        <v>157</v>
      </c>
      <c r="I147" s="2">
        <v>3.3</v>
      </c>
      <c r="J147" t="s">
        <v>51</v>
      </c>
    </row>
    <row r="148" spans="1:10">
      <c r="A148" t="s">
        <v>292</v>
      </c>
      <c r="B148" t="s">
        <v>50</v>
      </c>
      <c r="C148" s="1">
        <v>44602</v>
      </c>
      <c r="D148" t="s">
        <v>210</v>
      </c>
      <c r="E148" t="s">
        <v>25</v>
      </c>
      <c r="F148" s="3">
        <v>2023</v>
      </c>
      <c r="G148" s="3">
        <v>1</v>
      </c>
      <c r="H148" t="s">
        <v>157</v>
      </c>
      <c r="I148" s="2">
        <v>2.6</v>
      </c>
      <c r="J148" t="s">
        <v>51</v>
      </c>
    </row>
    <row r="149" spans="1:10">
      <c r="A149" t="s">
        <v>293</v>
      </c>
      <c r="B149" t="s">
        <v>50</v>
      </c>
      <c r="C149" s="1">
        <v>44602</v>
      </c>
      <c r="D149" t="s">
        <v>212</v>
      </c>
      <c r="E149" t="s">
        <v>26</v>
      </c>
      <c r="F149" s="3">
        <v>2023</v>
      </c>
      <c r="G149" s="3">
        <v>1</v>
      </c>
      <c r="H149" t="s">
        <v>157</v>
      </c>
      <c r="I149" s="2">
        <v>2.7</v>
      </c>
      <c r="J149" t="s">
        <v>51</v>
      </c>
    </row>
    <row r="150" spans="1:10">
      <c r="A150" t="s">
        <v>294</v>
      </c>
      <c r="B150" t="s">
        <v>50</v>
      </c>
      <c r="C150" s="1">
        <v>44602</v>
      </c>
      <c r="D150" t="s">
        <v>22</v>
      </c>
      <c r="E150" t="s">
        <v>22</v>
      </c>
      <c r="F150" s="3">
        <v>2023</v>
      </c>
      <c r="G150" s="3">
        <v>2</v>
      </c>
      <c r="H150" t="s">
        <v>160</v>
      </c>
      <c r="I150" s="2">
        <v>3.2</v>
      </c>
      <c r="J150" t="s">
        <v>51</v>
      </c>
    </row>
    <row r="151" spans="1:10">
      <c r="A151" t="s">
        <v>295</v>
      </c>
      <c r="B151" t="s">
        <v>50</v>
      </c>
      <c r="C151" s="1">
        <v>44602</v>
      </c>
      <c r="D151" t="s">
        <v>134</v>
      </c>
      <c r="E151" t="s">
        <v>24</v>
      </c>
      <c r="F151" s="3">
        <v>2023</v>
      </c>
      <c r="G151" s="3">
        <v>2</v>
      </c>
      <c r="H151" t="s">
        <v>160</v>
      </c>
      <c r="I151" s="2">
        <v>2.9</v>
      </c>
      <c r="J151" t="s">
        <v>51</v>
      </c>
    </row>
    <row r="152" spans="1:10">
      <c r="A152" t="s">
        <v>296</v>
      </c>
      <c r="B152" t="s">
        <v>50</v>
      </c>
      <c r="C152" s="1">
        <v>44602</v>
      </c>
      <c r="D152" t="s">
        <v>210</v>
      </c>
      <c r="E152" t="s">
        <v>25</v>
      </c>
      <c r="F152" s="3">
        <v>2023</v>
      </c>
      <c r="G152" s="3">
        <v>2</v>
      </c>
      <c r="H152" t="s">
        <v>160</v>
      </c>
      <c r="I152" s="2">
        <v>2.4</v>
      </c>
      <c r="J152" t="s">
        <v>51</v>
      </c>
    </row>
    <row r="153" spans="1:10">
      <c r="A153" t="s">
        <v>297</v>
      </c>
      <c r="B153" t="s">
        <v>50</v>
      </c>
      <c r="C153" s="1">
        <v>44602</v>
      </c>
      <c r="D153" t="s">
        <v>212</v>
      </c>
      <c r="E153" t="s">
        <v>26</v>
      </c>
      <c r="F153" s="3">
        <v>2023</v>
      </c>
      <c r="G153" s="3">
        <v>2</v>
      </c>
      <c r="H153" t="s">
        <v>160</v>
      </c>
      <c r="I153" s="2">
        <v>2.6</v>
      </c>
      <c r="J153" t="s">
        <v>51</v>
      </c>
    </row>
    <row r="154" spans="1:10">
      <c r="A154" t="s">
        <v>298</v>
      </c>
      <c r="B154" t="s">
        <v>50</v>
      </c>
      <c r="C154" s="1">
        <v>44602</v>
      </c>
      <c r="D154" t="s">
        <v>22</v>
      </c>
      <c r="E154" t="s">
        <v>22</v>
      </c>
      <c r="F154" s="3">
        <v>2023</v>
      </c>
      <c r="G154" s="3">
        <v>3</v>
      </c>
      <c r="H154" t="s">
        <v>183</v>
      </c>
      <c r="I154" s="2">
        <v>3.1</v>
      </c>
      <c r="J154" t="s">
        <v>51</v>
      </c>
    </row>
    <row r="155" spans="1:10">
      <c r="A155" t="s">
        <v>299</v>
      </c>
      <c r="B155" t="s">
        <v>50</v>
      </c>
      <c r="C155" s="1">
        <v>44602</v>
      </c>
      <c r="D155" t="s">
        <v>134</v>
      </c>
      <c r="E155" t="s">
        <v>24</v>
      </c>
      <c r="F155" s="3">
        <v>2023</v>
      </c>
      <c r="G155" s="3">
        <v>3</v>
      </c>
      <c r="H155" t="s">
        <v>183</v>
      </c>
      <c r="I155" s="2">
        <v>2.7</v>
      </c>
      <c r="J155" t="s">
        <v>51</v>
      </c>
    </row>
    <row r="156" spans="1:10">
      <c r="A156" t="s">
        <v>300</v>
      </c>
      <c r="B156" t="s">
        <v>50</v>
      </c>
      <c r="C156" s="1">
        <v>44602</v>
      </c>
      <c r="D156" t="s">
        <v>210</v>
      </c>
      <c r="E156" t="s">
        <v>25</v>
      </c>
      <c r="F156" s="3">
        <v>2023</v>
      </c>
      <c r="G156" s="3">
        <v>3</v>
      </c>
      <c r="H156" t="s">
        <v>183</v>
      </c>
      <c r="I156" s="2">
        <v>3.2</v>
      </c>
      <c r="J156" t="s">
        <v>51</v>
      </c>
    </row>
    <row r="157" spans="1:10">
      <c r="A157" t="s">
        <v>301</v>
      </c>
      <c r="B157" t="s">
        <v>50</v>
      </c>
      <c r="C157" s="1">
        <v>44602</v>
      </c>
      <c r="D157" t="s">
        <v>212</v>
      </c>
      <c r="E157" t="s">
        <v>26</v>
      </c>
      <c r="F157" s="3">
        <v>2023</v>
      </c>
      <c r="G157" s="3">
        <v>3</v>
      </c>
      <c r="H157" t="s">
        <v>183</v>
      </c>
      <c r="I157" s="2">
        <v>2.5</v>
      </c>
      <c r="J157" t="s">
        <v>51</v>
      </c>
    </row>
    <row r="158" spans="1:10">
      <c r="A158" t="s">
        <v>302</v>
      </c>
      <c r="B158" t="s">
        <v>50</v>
      </c>
      <c r="C158" s="1">
        <v>44602</v>
      </c>
      <c r="D158" t="s">
        <v>22</v>
      </c>
      <c r="E158" t="s">
        <v>22</v>
      </c>
      <c r="F158" s="3">
        <v>2023</v>
      </c>
      <c r="G158" s="3">
        <v>4</v>
      </c>
      <c r="H158" t="s">
        <v>254</v>
      </c>
      <c r="I158" s="2">
        <v>3.1</v>
      </c>
      <c r="J158" t="s">
        <v>51</v>
      </c>
    </row>
    <row r="159" spans="1:10">
      <c r="A159" t="s">
        <v>303</v>
      </c>
      <c r="B159" t="s">
        <v>50</v>
      </c>
      <c r="C159" s="1">
        <v>44602</v>
      </c>
      <c r="D159" t="s">
        <v>134</v>
      </c>
      <c r="E159" t="s">
        <v>24</v>
      </c>
      <c r="F159" s="3">
        <v>2023</v>
      </c>
      <c r="G159" s="3">
        <v>4</v>
      </c>
      <c r="H159" t="s">
        <v>254</v>
      </c>
      <c r="I159" s="2">
        <v>2.7</v>
      </c>
      <c r="J159" t="s">
        <v>51</v>
      </c>
    </row>
    <row r="160" spans="1:10">
      <c r="A160" t="s">
        <v>304</v>
      </c>
      <c r="B160" t="s">
        <v>50</v>
      </c>
      <c r="C160" s="1">
        <v>44602</v>
      </c>
      <c r="D160" t="s">
        <v>210</v>
      </c>
      <c r="E160" t="s">
        <v>25</v>
      </c>
      <c r="F160" s="3">
        <v>2023</v>
      </c>
      <c r="G160" s="3">
        <v>4</v>
      </c>
      <c r="H160" t="s">
        <v>254</v>
      </c>
      <c r="I160" s="2">
        <v>4</v>
      </c>
      <c r="J160" t="s">
        <v>51</v>
      </c>
    </row>
    <row r="161" spans="1:10">
      <c r="A161" t="s">
        <v>305</v>
      </c>
      <c r="B161" t="s">
        <v>50</v>
      </c>
      <c r="C161" s="1">
        <v>44602</v>
      </c>
      <c r="D161" t="s">
        <v>212</v>
      </c>
      <c r="E161" t="s">
        <v>26</v>
      </c>
      <c r="F161" s="3">
        <v>2023</v>
      </c>
      <c r="G161" s="3">
        <v>4</v>
      </c>
      <c r="H161" t="s">
        <v>254</v>
      </c>
      <c r="I161" s="2">
        <v>2.8</v>
      </c>
      <c r="J161" t="s">
        <v>51</v>
      </c>
    </row>
    <row r="162" spans="1:10">
      <c r="A162" t="s">
        <v>306</v>
      </c>
      <c r="B162" t="s">
        <v>52</v>
      </c>
      <c r="C162" s="1">
        <v>44644</v>
      </c>
      <c r="D162" t="s">
        <v>22</v>
      </c>
      <c r="E162" t="s">
        <v>22</v>
      </c>
      <c r="F162" s="3">
        <v>2021</v>
      </c>
      <c r="G162" s="3">
        <v>1</v>
      </c>
      <c r="H162" t="s">
        <v>132</v>
      </c>
      <c r="I162" s="2">
        <v>4</v>
      </c>
      <c r="J162" t="s">
        <v>53</v>
      </c>
    </row>
    <row r="163" spans="1:10">
      <c r="A163" t="s">
        <v>307</v>
      </c>
      <c r="B163" t="s">
        <v>52</v>
      </c>
      <c r="C163" s="1">
        <v>44644</v>
      </c>
      <c r="D163" t="s">
        <v>134</v>
      </c>
      <c r="E163" t="s">
        <v>24</v>
      </c>
      <c r="F163" s="3">
        <v>2021</v>
      </c>
      <c r="G163" s="3">
        <v>1</v>
      </c>
      <c r="H163" t="s">
        <v>132</v>
      </c>
      <c r="I163" s="2">
        <v>3.9</v>
      </c>
      <c r="J163" t="s">
        <v>53</v>
      </c>
    </row>
    <row r="164" spans="1:10">
      <c r="A164" t="s">
        <v>308</v>
      </c>
      <c r="B164" t="s">
        <v>52</v>
      </c>
      <c r="C164" s="1">
        <v>44644</v>
      </c>
      <c r="D164" t="s">
        <v>210</v>
      </c>
      <c r="E164" t="s">
        <v>25</v>
      </c>
      <c r="F164" s="3">
        <v>2021</v>
      </c>
      <c r="G164" s="3">
        <v>1</v>
      </c>
      <c r="H164" t="s">
        <v>132</v>
      </c>
      <c r="I164" s="2">
        <v>5.8</v>
      </c>
      <c r="J164" t="s">
        <v>53</v>
      </c>
    </row>
    <row r="165" spans="1:10">
      <c r="A165" t="s">
        <v>309</v>
      </c>
      <c r="B165" t="s">
        <v>52</v>
      </c>
      <c r="C165" s="1">
        <v>44644</v>
      </c>
      <c r="D165" t="s">
        <v>212</v>
      </c>
      <c r="E165" t="s">
        <v>26</v>
      </c>
      <c r="F165" s="3">
        <v>2021</v>
      </c>
      <c r="G165" s="3">
        <v>1</v>
      </c>
      <c r="H165" t="s">
        <v>132</v>
      </c>
      <c r="I165" s="2">
        <v>3.9</v>
      </c>
      <c r="J165" t="s">
        <v>53</v>
      </c>
    </row>
    <row r="166" spans="1:10">
      <c r="A166" t="s">
        <v>310</v>
      </c>
      <c r="B166" t="s">
        <v>52</v>
      </c>
      <c r="C166" s="1">
        <v>44644</v>
      </c>
      <c r="D166" t="s">
        <v>22</v>
      </c>
      <c r="E166" t="s">
        <v>22</v>
      </c>
      <c r="F166" s="3">
        <v>2021</v>
      </c>
      <c r="G166" s="3">
        <v>2</v>
      </c>
      <c r="H166" t="s">
        <v>136</v>
      </c>
      <c r="I166" s="2">
        <v>6</v>
      </c>
      <c r="J166" t="s">
        <v>53</v>
      </c>
    </row>
    <row r="167" spans="1:10">
      <c r="A167" t="s">
        <v>311</v>
      </c>
      <c r="B167" t="s">
        <v>52</v>
      </c>
      <c r="C167" s="1">
        <v>44644</v>
      </c>
      <c r="D167" t="s">
        <v>134</v>
      </c>
      <c r="E167" t="s">
        <v>24</v>
      </c>
      <c r="F167" s="3">
        <v>2021</v>
      </c>
      <c r="G167" s="3">
        <v>2</v>
      </c>
      <c r="H167" t="s">
        <v>136</v>
      </c>
      <c r="I167" s="2">
        <v>4.4000000000000004</v>
      </c>
      <c r="J167" t="s">
        <v>53</v>
      </c>
    </row>
    <row r="168" spans="1:10">
      <c r="A168" t="s">
        <v>312</v>
      </c>
      <c r="B168" t="s">
        <v>52</v>
      </c>
      <c r="C168" s="1">
        <v>44644</v>
      </c>
      <c r="D168" t="s">
        <v>210</v>
      </c>
      <c r="E168" t="s">
        <v>25</v>
      </c>
      <c r="F168" s="3">
        <v>2021</v>
      </c>
      <c r="G168" s="3">
        <v>2</v>
      </c>
      <c r="H168" t="s">
        <v>136</v>
      </c>
      <c r="I168" s="2">
        <v>8.6999999999999993</v>
      </c>
      <c r="J168" t="s">
        <v>53</v>
      </c>
    </row>
    <row r="169" spans="1:10">
      <c r="A169" t="s">
        <v>313</v>
      </c>
      <c r="B169" t="s">
        <v>52</v>
      </c>
      <c r="C169" s="1">
        <v>44644</v>
      </c>
      <c r="D169" t="s">
        <v>212</v>
      </c>
      <c r="E169" t="s">
        <v>26</v>
      </c>
      <c r="F169" s="3">
        <v>2021</v>
      </c>
      <c r="G169" s="3">
        <v>2</v>
      </c>
      <c r="H169" t="s">
        <v>136</v>
      </c>
      <c r="I169" s="2">
        <v>5.3</v>
      </c>
      <c r="J169" t="s">
        <v>53</v>
      </c>
    </row>
    <row r="170" spans="1:10">
      <c r="A170" t="s">
        <v>314</v>
      </c>
      <c r="B170" t="s">
        <v>52</v>
      </c>
      <c r="C170" s="1">
        <v>44644</v>
      </c>
      <c r="D170" t="s">
        <v>22</v>
      </c>
      <c r="E170" t="s">
        <v>22</v>
      </c>
      <c r="F170" s="3">
        <v>2021</v>
      </c>
      <c r="G170" s="3">
        <v>3</v>
      </c>
      <c r="H170" t="s">
        <v>139</v>
      </c>
      <c r="I170" s="2">
        <v>5.8</v>
      </c>
      <c r="J170" t="s">
        <v>53</v>
      </c>
    </row>
    <row r="171" spans="1:10">
      <c r="A171" t="s">
        <v>315</v>
      </c>
      <c r="B171" t="s">
        <v>52</v>
      </c>
      <c r="C171" s="1">
        <v>44644</v>
      </c>
      <c r="D171" t="s">
        <v>134</v>
      </c>
      <c r="E171" t="s">
        <v>24</v>
      </c>
      <c r="F171" s="3">
        <v>2021</v>
      </c>
      <c r="G171" s="3">
        <v>3</v>
      </c>
      <c r="H171" t="s">
        <v>139</v>
      </c>
      <c r="I171" s="2">
        <v>4.8</v>
      </c>
      <c r="J171" t="s">
        <v>53</v>
      </c>
    </row>
    <row r="172" spans="1:10">
      <c r="A172" t="s">
        <v>316</v>
      </c>
      <c r="B172" t="s">
        <v>52</v>
      </c>
      <c r="C172" s="1">
        <v>44644</v>
      </c>
      <c r="D172" t="s">
        <v>210</v>
      </c>
      <c r="E172" t="s">
        <v>25</v>
      </c>
      <c r="F172" s="3">
        <v>2021</v>
      </c>
      <c r="G172" s="3">
        <v>3</v>
      </c>
      <c r="H172" t="s">
        <v>139</v>
      </c>
      <c r="I172" s="2">
        <v>6.5</v>
      </c>
      <c r="J172" t="s">
        <v>53</v>
      </c>
    </row>
    <row r="173" spans="1:10">
      <c r="A173" t="s">
        <v>317</v>
      </c>
      <c r="B173" t="s">
        <v>52</v>
      </c>
      <c r="C173" s="1">
        <v>44644</v>
      </c>
      <c r="D173" t="s">
        <v>212</v>
      </c>
      <c r="E173" t="s">
        <v>26</v>
      </c>
      <c r="F173" s="3">
        <v>2021</v>
      </c>
      <c r="G173" s="3">
        <v>3</v>
      </c>
      <c r="H173" t="s">
        <v>139</v>
      </c>
      <c r="I173" s="2">
        <v>6.7</v>
      </c>
      <c r="J173" t="s">
        <v>53</v>
      </c>
    </row>
    <row r="174" spans="1:10">
      <c r="A174" t="s">
        <v>318</v>
      </c>
      <c r="B174" t="s">
        <v>52</v>
      </c>
      <c r="C174" s="1">
        <v>44644</v>
      </c>
      <c r="D174" t="s">
        <v>22</v>
      </c>
      <c r="E174" t="s">
        <v>22</v>
      </c>
      <c r="F174" s="3">
        <v>2021</v>
      </c>
      <c r="G174" s="3">
        <v>4</v>
      </c>
      <c r="H174" t="s">
        <v>142</v>
      </c>
      <c r="I174" s="2">
        <v>7</v>
      </c>
      <c r="J174" t="s">
        <v>53</v>
      </c>
    </row>
    <row r="175" spans="1:10">
      <c r="A175" t="s">
        <v>319</v>
      </c>
      <c r="B175" t="s">
        <v>52</v>
      </c>
      <c r="C175" s="1">
        <v>44644</v>
      </c>
      <c r="D175" t="s">
        <v>134</v>
      </c>
      <c r="E175" t="s">
        <v>24</v>
      </c>
      <c r="F175" s="3">
        <v>2021</v>
      </c>
      <c r="G175" s="3">
        <v>4</v>
      </c>
      <c r="H175" t="s">
        <v>142</v>
      </c>
      <c r="I175" s="2">
        <v>5.6</v>
      </c>
      <c r="J175" t="s">
        <v>53</v>
      </c>
    </row>
    <row r="176" spans="1:10">
      <c r="A176" t="s">
        <v>320</v>
      </c>
      <c r="B176" t="s">
        <v>52</v>
      </c>
      <c r="C176" s="1">
        <v>44644</v>
      </c>
      <c r="D176" t="s">
        <v>210</v>
      </c>
      <c r="E176" t="s">
        <v>25</v>
      </c>
      <c r="F176" s="3">
        <v>2021</v>
      </c>
      <c r="G176" s="3">
        <v>4</v>
      </c>
      <c r="H176" t="s">
        <v>142</v>
      </c>
      <c r="I176" s="2">
        <v>7</v>
      </c>
      <c r="J176" t="s">
        <v>53</v>
      </c>
    </row>
    <row r="177" spans="1:10">
      <c r="A177" t="s">
        <v>321</v>
      </c>
      <c r="B177" t="s">
        <v>52</v>
      </c>
      <c r="C177" s="1">
        <v>44644</v>
      </c>
      <c r="D177" t="s">
        <v>212</v>
      </c>
      <c r="E177" t="s">
        <v>26</v>
      </c>
      <c r="F177" s="3">
        <v>2021</v>
      </c>
      <c r="G177" s="3">
        <v>4</v>
      </c>
      <c r="H177" t="s">
        <v>142</v>
      </c>
      <c r="I177" s="2">
        <v>6.6</v>
      </c>
      <c r="J177" t="s">
        <v>53</v>
      </c>
    </row>
    <row r="178" spans="1:10">
      <c r="A178" t="s">
        <v>322</v>
      </c>
      <c r="B178" t="s">
        <v>52</v>
      </c>
      <c r="C178" s="1">
        <v>44644</v>
      </c>
      <c r="D178" t="s">
        <v>22</v>
      </c>
      <c r="E178" t="s">
        <v>22</v>
      </c>
      <c r="F178" s="3">
        <v>2022</v>
      </c>
      <c r="G178" s="3">
        <v>1</v>
      </c>
      <c r="H178" t="s">
        <v>145</v>
      </c>
      <c r="I178" s="2">
        <v>7.2</v>
      </c>
      <c r="J178" t="s">
        <v>53</v>
      </c>
    </row>
    <row r="179" spans="1:10">
      <c r="A179" t="s">
        <v>323</v>
      </c>
      <c r="B179" t="s">
        <v>52</v>
      </c>
      <c r="C179" s="1">
        <v>44644</v>
      </c>
      <c r="D179" t="s">
        <v>134</v>
      </c>
      <c r="E179" t="s">
        <v>24</v>
      </c>
      <c r="F179" s="3">
        <v>2022</v>
      </c>
      <c r="G179" s="3">
        <v>1</v>
      </c>
      <c r="H179" t="s">
        <v>145</v>
      </c>
      <c r="I179" s="2">
        <v>6.5</v>
      </c>
      <c r="J179" t="s">
        <v>53</v>
      </c>
    </row>
    <row r="180" spans="1:10">
      <c r="A180" t="s">
        <v>324</v>
      </c>
      <c r="B180" t="s">
        <v>52</v>
      </c>
      <c r="C180" s="1">
        <v>44644</v>
      </c>
      <c r="D180" t="s">
        <v>210</v>
      </c>
      <c r="E180" t="s">
        <v>25</v>
      </c>
      <c r="F180" s="3">
        <v>2022</v>
      </c>
      <c r="G180" s="3">
        <v>1</v>
      </c>
      <c r="H180" t="s">
        <v>145</v>
      </c>
      <c r="I180" s="2">
        <v>6.9</v>
      </c>
      <c r="J180" t="s">
        <v>53</v>
      </c>
    </row>
    <row r="181" spans="1:10">
      <c r="A181" t="s">
        <v>325</v>
      </c>
      <c r="B181" t="s">
        <v>52</v>
      </c>
      <c r="C181" s="1">
        <v>44644</v>
      </c>
      <c r="D181" t="s">
        <v>212</v>
      </c>
      <c r="E181" t="s">
        <v>26</v>
      </c>
      <c r="F181" s="3">
        <v>2022</v>
      </c>
      <c r="G181" s="3">
        <v>1</v>
      </c>
      <c r="H181" t="s">
        <v>145</v>
      </c>
      <c r="I181" s="2">
        <v>7.5</v>
      </c>
      <c r="J181" t="s">
        <v>53</v>
      </c>
    </row>
    <row r="182" spans="1:10">
      <c r="A182" t="s">
        <v>326</v>
      </c>
      <c r="B182" t="s">
        <v>52</v>
      </c>
      <c r="C182" s="1">
        <v>44644</v>
      </c>
      <c r="D182" t="s">
        <v>22</v>
      </c>
      <c r="E182" t="s">
        <v>22</v>
      </c>
      <c r="F182" s="3">
        <v>2022</v>
      </c>
      <c r="G182" s="3">
        <v>2</v>
      </c>
      <c r="H182" t="s">
        <v>148</v>
      </c>
      <c r="I182" s="2">
        <v>6.9</v>
      </c>
      <c r="J182" t="s">
        <v>53</v>
      </c>
    </row>
    <row r="183" spans="1:10">
      <c r="A183" t="s">
        <v>327</v>
      </c>
      <c r="B183" t="s">
        <v>52</v>
      </c>
      <c r="C183" s="1">
        <v>44644</v>
      </c>
      <c r="D183" t="s">
        <v>134</v>
      </c>
      <c r="E183" t="s">
        <v>24</v>
      </c>
      <c r="F183" s="3">
        <v>2022</v>
      </c>
      <c r="G183" s="3">
        <v>2</v>
      </c>
      <c r="H183" t="s">
        <v>148</v>
      </c>
      <c r="I183" s="2">
        <v>6.7</v>
      </c>
      <c r="J183" t="s">
        <v>53</v>
      </c>
    </row>
    <row r="184" spans="1:10">
      <c r="A184" t="s">
        <v>328</v>
      </c>
      <c r="B184" t="s">
        <v>52</v>
      </c>
      <c r="C184" s="1">
        <v>44644</v>
      </c>
      <c r="D184" t="s">
        <v>210</v>
      </c>
      <c r="E184" t="s">
        <v>25</v>
      </c>
      <c r="F184" s="3">
        <v>2022</v>
      </c>
      <c r="G184" s="3">
        <v>2</v>
      </c>
      <c r="H184" t="s">
        <v>148</v>
      </c>
      <c r="I184" s="2">
        <v>7</v>
      </c>
      <c r="J184" t="s">
        <v>53</v>
      </c>
    </row>
    <row r="185" spans="1:10">
      <c r="A185" t="s">
        <v>329</v>
      </c>
      <c r="B185" t="s">
        <v>52</v>
      </c>
      <c r="C185" s="1">
        <v>44644</v>
      </c>
      <c r="D185" t="s">
        <v>212</v>
      </c>
      <c r="E185" t="s">
        <v>26</v>
      </c>
      <c r="F185" s="3">
        <v>2022</v>
      </c>
      <c r="G185" s="3">
        <v>2</v>
      </c>
      <c r="H185" t="s">
        <v>148</v>
      </c>
      <c r="I185" s="2">
        <v>5.8</v>
      </c>
      <c r="J185" t="s">
        <v>53</v>
      </c>
    </row>
    <row r="186" spans="1:10">
      <c r="A186" t="s">
        <v>330</v>
      </c>
      <c r="B186" t="s">
        <v>52</v>
      </c>
      <c r="C186" s="1">
        <v>44644</v>
      </c>
      <c r="D186" t="s">
        <v>22</v>
      </c>
      <c r="E186" t="s">
        <v>22</v>
      </c>
      <c r="F186" s="3">
        <v>2022</v>
      </c>
      <c r="G186" s="3">
        <v>3</v>
      </c>
      <c r="H186" t="s">
        <v>151</v>
      </c>
      <c r="I186" s="2">
        <v>6.1</v>
      </c>
      <c r="J186" t="s">
        <v>53</v>
      </c>
    </row>
    <row r="187" spans="1:10">
      <c r="A187" t="s">
        <v>331</v>
      </c>
      <c r="B187" t="s">
        <v>52</v>
      </c>
      <c r="C187" s="1">
        <v>44644</v>
      </c>
      <c r="D187" t="s">
        <v>134</v>
      </c>
      <c r="E187" t="s">
        <v>24</v>
      </c>
      <c r="F187" s="3">
        <v>2022</v>
      </c>
      <c r="G187" s="3">
        <v>3</v>
      </c>
      <c r="H187" t="s">
        <v>151</v>
      </c>
      <c r="I187" s="2">
        <v>5.9</v>
      </c>
      <c r="J187" t="s">
        <v>53</v>
      </c>
    </row>
    <row r="188" spans="1:10">
      <c r="A188" t="s">
        <v>332</v>
      </c>
      <c r="B188" t="s">
        <v>52</v>
      </c>
      <c r="C188" s="1">
        <v>44644</v>
      </c>
      <c r="D188" t="s">
        <v>210</v>
      </c>
      <c r="E188" t="s">
        <v>25</v>
      </c>
      <c r="F188" s="3">
        <v>2022</v>
      </c>
      <c r="G188" s="3">
        <v>3</v>
      </c>
      <c r="H188" t="s">
        <v>151</v>
      </c>
      <c r="I188" s="2">
        <v>3.7</v>
      </c>
      <c r="J188" t="s">
        <v>53</v>
      </c>
    </row>
    <row r="189" spans="1:10">
      <c r="A189" t="s">
        <v>333</v>
      </c>
      <c r="B189" t="s">
        <v>52</v>
      </c>
      <c r="C189" s="1">
        <v>44644</v>
      </c>
      <c r="D189" t="s">
        <v>212</v>
      </c>
      <c r="E189" t="s">
        <v>26</v>
      </c>
      <c r="F189" s="3">
        <v>2022</v>
      </c>
      <c r="G189" s="3">
        <v>3</v>
      </c>
      <c r="H189" t="s">
        <v>151</v>
      </c>
      <c r="I189" s="2">
        <v>3.7</v>
      </c>
      <c r="J189" t="s">
        <v>53</v>
      </c>
    </row>
    <row r="190" spans="1:10">
      <c r="A190" t="s">
        <v>334</v>
      </c>
      <c r="B190" t="s">
        <v>52</v>
      </c>
      <c r="C190" s="1">
        <v>44644</v>
      </c>
      <c r="D190" t="s">
        <v>22</v>
      </c>
      <c r="E190" t="s">
        <v>22</v>
      </c>
      <c r="F190" s="3">
        <v>2022</v>
      </c>
      <c r="G190" s="3">
        <v>4</v>
      </c>
      <c r="H190" t="s">
        <v>154</v>
      </c>
      <c r="I190" s="2">
        <v>5.5</v>
      </c>
      <c r="J190" t="s">
        <v>53</v>
      </c>
    </row>
    <row r="191" spans="1:10">
      <c r="A191" t="s">
        <v>335</v>
      </c>
      <c r="B191" t="s">
        <v>52</v>
      </c>
      <c r="C191" s="1">
        <v>44644</v>
      </c>
      <c r="D191" t="s">
        <v>134</v>
      </c>
      <c r="E191" t="s">
        <v>24</v>
      </c>
      <c r="F191" s="3">
        <v>2022</v>
      </c>
      <c r="G191" s="3">
        <v>4</v>
      </c>
      <c r="H191" t="s">
        <v>154</v>
      </c>
      <c r="I191" s="2">
        <v>5.2</v>
      </c>
      <c r="J191" t="s">
        <v>53</v>
      </c>
    </row>
    <row r="192" spans="1:10">
      <c r="A192" t="s">
        <v>336</v>
      </c>
      <c r="B192" t="s">
        <v>52</v>
      </c>
      <c r="C192" s="1">
        <v>44644</v>
      </c>
      <c r="D192" t="s">
        <v>210</v>
      </c>
      <c r="E192" t="s">
        <v>25</v>
      </c>
      <c r="F192" s="3">
        <v>2022</v>
      </c>
      <c r="G192" s="3">
        <v>4</v>
      </c>
      <c r="H192" t="s">
        <v>154</v>
      </c>
      <c r="I192" s="2">
        <v>4.4000000000000004</v>
      </c>
      <c r="J192" t="s">
        <v>53</v>
      </c>
    </row>
    <row r="193" spans="1:10">
      <c r="A193" t="s">
        <v>337</v>
      </c>
      <c r="B193" t="s">
        <v>52</v>
      </c>
      <c r="C193" s="1">
        <v>44644</v>
      </c>
      <c r="D193" t="s">
        <v>212</v>
      </c>
      <c r="E193" t="s">
        <v>26</v>
      </c>
      <c r="F193" s="3">
        <v>2022</v>
      </c>
      <c r="G193" s="3">
        <v>4</v>
      </c>
      <c r="H193" t="s">
        <v>154</v>
      </c>
      <c r="I193" s="2">
        <v>3.8</v>
      </c>
      <c r="J193" t="s">
        <v>53</v>
      </c>
    </row>
    <row r="194" spans="1:10">
      <c r="A194" t="s">
        <v>338</v>
      </c>
      <c r="B194" t="s">
        <v>52</v>
      </c>
      <c r="C194" s="1">
        <v>44644</v>
      </c>
      <c r="D194" t="s">
        <v>22</v>
      </c>
      <c r="E194" t="s">
        <v>22</v>
      </c>
      <c r="F194" s="3">
        <v>2023</v>
      </c>
      <c r="G194" s="3">
        <v>1</v>
      </c>
      <c r="H194" t="s">
        <v>157</v>
      </c>
      <c r="I194" s="2">
        <v>4.5</v>
      </c>
      <c r="J194" t="s">
        <v>53</v>
      </c>
    </row>
    <row r="195" spans="1:10">
      <c r="A195" t="s">
        <v>339</v>
      </c>
      <c r="B195" t="s">
        <v>52</v>
      </c>
      <c r="C195" s="1">
        <v>44644</v>
      </c>
      <c r="D195" t="s">
        <v>134</v>
      </c>
      <c r="E195" t="s">
        <v>24</v>
      </c>
      <c r="F195" s="3">
        <v>2023</v>
      </c>
      <c r="G195" s="3">
        <v>1</v>
      </c>
      <c r="H195" t="s">
        <v>157</v>
      </c>
      <c r="I195" s="2">
        <v>4.0999999999999996</v>
      </c>
      <c r="J195" t="s">
        <v>53</v>
      </c>
    </row>
    <row r="196" spans="1:10">
      <c r="A196" t="s">
        <v>340</v>
      </c>
      <c r="B196" t="s">
        <v>52</v>
      </c>
      <c r="C196" s="1">
        <v>44644</v>
      </c>
      <c r="D196" t="s">
        <v>210</v>
      </c>
      <c r="E196" t="s">
        <v>25</v>
      </c>
      <c r="F196" s="3">
        <v>2023</v>
      </c>
      <c r="G196" s="3">
        <v>1</v>
      </c>
      <c r="H196" t="s">
        <v>157</v>
      </c>
      <c r="I196" s="2">
        <v>3</v>
      </c>
      <c r="J196" t="s">
        <v>53</v>
      </c>
    </row>
    <row r="197" spans="1:10">
      <c r="A197" t="s">
        <v>341</v>
      </c>
      <c r="B197" t="s">
        <v>52</v>
      </c>
      <c r="C197" s="1">
        <v>44644</v>
      </c>
      <c r="D197" t="s">
        <v>212</v>
      </c>
      <c r="E197" t="s">
        <v>26</v>
      </c>
      <c r="F197" s="3">
        <v>2023</v>
      </c>
      <c r="G197" s="3">
        <v>1</v>
      </c>
      <c r="H197" t="s">
        <v>157</v>
      </c>
      <c r="I197" s="2">
        <v>3.1</v>
      </c>
      <c r="J197" t="s">
        <v>53</v>
      </c>
    </row>
    <row r="198" spans="1:10">
      <c r="A198" t="s">
        <v>342</v>
      </c>
      <c r="B198" t="s">
        <v>52</v>
      </c>
      <c r="C198" s="1">
        <v>44644</v>
      </c>
      <c r="D198" t="s">
        <v>22</v>
      </c>
      <c r="E198" t="s">
        <v>22</v>
      </c>
      <c r="F198" s="3">
        <v>2023</v>
      </c>
      <c r="G198" s="3">
        <v>2</v>
      </c>
      <c r="H198" t="s">
        <v>160</v>
      </c>
      <c r="I198" s="2">
        <v>3.4</v>
      </c>
      <c r="J198" t="s">
        <v>53</v>
      </c>
    </row>
    <row r="199" spans="1:10">
      <c r="A199" t="s">
        <v>343</v>
      </c>
      <c r="B199" t="s">
        <v>52</v>
      </c>
      <c r="C199" s="1">
        <v>44644</v>
      </c>
      <c r="D199" t="s">
        <v>134</v>
      </c>
      <c r="E199" t="s">
        <v>24</v>
      </c>
      <c r="F199" s="3">
        <v>2023</v>
      </c>
      <c r="G199" s="3">
        <v>2</v>
      </c>
      <c r="H199" t="s">
        <v>160</v>
      </c>
      <c r="I199" s="2">
        <v>3.4</v>
      </c>
      <c r="J199" t="s">
        <v>53</v>
      </c>
    </row>
    <row r="200" spans="1:10">
      <c r="A200" t="s">
        <v>344</v>
      </c>
      <c r="B200" t="s">
        <v>52</v>
      </c>
      <c r="C200" s="1">
        <v>44644</v>
      </c>
      <c r="D200" t="s">
        <v>210</v>
      </c>
      <c r="E200" t="s">
        <v>25</v>
      </c>
      <c r="F200" s="3">
        <v>2023</v>
      </c>
      <c r="G200" s="3">
        <v>2</v>
      </c>
      <c r="H200" t="s">
        <v>160</v>
      </c>
      <c r="I200" s="2">
        <v>2.5</v>
      </c>
      <c r="J200" t="s">
        <v>53</v>
      </c>
    </row>
    <row r="201" spans="1:10">
      <c r="A201" t="s">
        <v>345</v>
      </c>
      <c r="B201" t="s">
        <v>52</v>
      </c>
      <c r="C201" s="1">
        <v>44644</v>
      </c>
      <c r="D201" t="s">
        <v>212</v>
      </c>
      <c r="E201" t="s">
        <v>26</v>
      </c>
      <c r="F201" s="3">
        <v>2023</v>
      </c>
      <c r="G201" s="3">
        <v>2</v>
      </c>
      <c r="H201" t="s">
        <v>160</v>
      </c>
      <c r="I201" s="2">
        <v>3</v>
      </c>
      <c r="J201" t="s">
        <v>53</v>
      </c>
    </row>
    <row r="202" spans="1:10">
      <c r="A202" t="s">
        <v>346</v>
      </c>
      <c r="B202" t="s">
        <v>52</v>
      </c>
      <c r="C202" s="1">
        <v>44644</v>
      </c>
      <c r="D202" t="s">
        <v>22</v>
      </c>
      <c r="E202" t="s">
        <v>22</v>
      </c>
      <c r="F202" s="3">
        <v>2023</v>
      </c>
      <c r="G202" s="3">
        <v>3</v>
      </c>
      <c r="H202" t="s">
        <v>183</v>
      </c>
      <c r="I202" s="2">
        <v>3.2</v>
      </c>
      <c r="J202" t="s">
        <v>53</v>
      </c>
    </row>
    <row r="203" spans="1:10">
      <c r="A203" t="s">
        <v>347</v>
      </c>
      <c r="B203" t="s">
        <v>52</v>
      </c>
      <c r="C203" s="1">
        <v>44644</v>
      </c>
      <c r="D203" t="s">
        <v>134</v>
      </c>
      <c r="E203" t="s">
        <v>24</v>
      </c>
      <c r="F203" s="3">
        <v>2023</v>
      </c>
      <c r="G203" s="3">
        <v>3</v>
      </c>
      <c r="H203" t="s">
        <v>183</v>
      </c>
      <c r="I203" s="2">
        <v>3.1</v>
      </c>
      <c r="J203" t="s">
        <v>53</v>
      </c>
    </row>
    <row r="204" spans="1:10">
      <c r="A204" t="s">
        <v>348</v>
      </c>
      <c r="B204" t="s">
        <v>52</v>
      </c>
      <c r="C204" s="1">
        <v>44644</v>
      </c>
      <c r="D204" t="s">
        <v>210</v>
      </c>
      <c r="E204" t="s">
        <v>25</v>
      </c>
      <c r="F204" s="3">
        <v>2023</v>
      </c>
      <c r="G204" s="3">
        <v>3</v>
      </c>
      <c r="H204" t="s">
        <v>183</v>
      </c>
      <c r="I204" s="2">
        <v>3.2</v>
      </c>
      <c r="J204" t="s">
        <v>53</v>
      </c>
    </row>
    <row r="205" spans="1:10">
      <c r="A205" t="s">
        <v>349</v>
      </c>
      <c r="B205" t="s">
        <v>52</v>
      </c>
      <c r="C205" s="1">
        <v>44644</v>
      </c>
      <c r="D205" t="s">
        <v>212</v>
      </c>
      <c r="E205" t="s">
        <v>26</v>
      </c>
      <c r="F205" s="3">
        <v>2023</v>
      </c>
      <c r="G205" s="3">
        <v>3</v>
      </c>
      <c r="H205" t="s">
        <v>183</v>
      </c>
      <c r="I205" s="2">
        <v>2.8</v>
      </c>
      <c r="J205" t="s">
        <v>53</v>
      </c>
    </row>
    <row r="206" spans="1:10">
      <c r="A206" t="s">
        <v>350</v>
      </c>
      <c r="B206" t="s">
        <v>52</v>
      </c>
      <c r="C206" s="1">
        <v>44644</v>
      </c>
      <c r="D206" t="s">
        <v>22</v>
      </c>
      <c r="E206" t="s">
        <v>22</v>
      </c>
      <c r="F206" s="3">
        <v>2023</v>
      </c>
      <c r="G206" s="3">
        <v>4</v>
      </c>
      <c r="H206" t="s">
        <v>254</v>
      </c>
      <c r="I206" s="2">
        <v>3.2</v>
      </c>
      <c r="J206" t="s">
        <v>53</v>
      </c>
    </row>
    <row r="207" spans="1:10">
      <c r="A207" t="s">
        <v>351</v>
      </c>
      <c r="B207" t="s">
        <v>52</v>
      </c>
      <c r="C207" s="1">
        <v>44644</v>
      </c>
      <c r="D207" t="s">
        <v>134</v>
      </c>
      <c r="E207" t="s">
        <v>24</v>
      </c>
      <c r="F207" s="3">
        <v>2023</v>
      </c>
      <c r="G207" s="3">
        <v>4</v>
      </c>
      <c r="H207" t="s">
        <v>254</v>
      </c>
      <c r="I207" s="2">
        <v>3.1</v>
      </c>
      <c r="J207" t="s">
        <v>53</v>
      </c>
    </row>
    <row r="208" spans="1:10">
      <c r="A208" t="s">
        <v>352</v>
      </c>
      <c r="B208" t="s">
        <v>52</v>
      </c>
      <c r="C208" s="1">
        <v>44644</v>
      </c>
      <c r="D208" t="s">
        <v>210</v>
      </c>
      <c r="E208" t="s">
        <v>25</v>
      </c>
      <c r="F208" s="3">
        <v>2023</v>
      </c>
      <c r="G208" s="3">
        <v>4</v>
      </c>
      <c r="H208" t="s">
        <v>254</v>
      </c>
      <c r="I208" s="2">
        <v>4</v>
      </c>
      <c r="J208" t="s">
        <v>53</v>
      </c>
    </row>
    <row r="209" spans="1:10">
      <c r="A209" t="s">
        <v>353</v>
      </c>
      <c r="B209" t="s">
        <v>52</v>
      </c>
      <c r="C209" s="1">
        <v>44644</v>
      </c>
      <c r="D209" t="s">
        <v>212</v>
      </c>
      <c r="E209" t="s">
        <v>26</v>
      </c>
      <c r="F209" s="3">
        <v>2023</v>
      </c>
      <c r="G209" s="3">
        <v>4</v>
      </c>
      <c r="H209" t="s">
        <v>254</v>
      </c>
      <c r="I209" s="2">
        <v>3.4</v>
      </c>
      <c r="J209" t="s">
        <v>53</v>
      </c>
    </row>
    <row r="210" spans="1:10">
      <c r="A210" t="s">
        <v>354</v>
      </c>
      <c r="B210" t="s">
        <v>52</v>
      </c>
      <c r="C210" s="1">
        <v>44644</v>
      </c>
      <c r="D210" t="s">
        <v>22</v>
      </c>
      <c r="E210" t="s">
        <v>22</v>
      </c>
      <c r="F210" s="3">
        <v>2024</v>
      </c>
      <c r="G210" s="3">
        <v>1</v>
      </c>
      <c r="H210" t="s">
        <v>355</v>
      </c>
      <c r="I210" s="2">
        <v>3.1</v>
      </c>
      <c r="J210" t="s">
        <v>53</v>
      </c>
    </row>
    <row r="211" spans="1:10">
      <c r="A211" t="s">
        <v>356</v>
      </c>
      <c r="B211" t="s">
        <v>52</v>
      </c>
      <c r="C211" s="1">
        <v>44644</v>
      </c>
      <c r="D211" t="s">
        <v>134</v>
      </c>
      <c r="E211" t="s">
        <v>24</v>
      </c>
      <c r="F211" s="3">
        <v>2024</v>
      </c>
      <c r="G211" s="3">
        <v>1</v>
      </c>
      <c r="H211" t="s">
        <v>355</v>
      </c>
      <c r="I211" s="2">
        <v>3</v>
      </c>
      <c r="J211" t="s">
        <v>53</v>
      </c>
    </row>
    <row r="212" spans="1:10">
      <c r="A212" t="s">
        <v>357</v>
      </c>
      <c r="B212" t="s">
        <v>52</v>
      </c>
      <c r="C212" s="1">
        <v>44644</v>
      </c>
      <c r="D212" t="s">
        <v>210</v>
      </c>
      <c r="E212" t="s">
        <v>25</v>
      </c>
      <c r="F212" s="3">
        <v>2024</v>
      </c>
      <c r="G212" s="3">
        <v>1</v>
      </c>
      <c r="H212" t="s">
        <v>355</v>
      </c>
      <c r="I212" s="2">
        <v>2.8</v>
      </c>
      <c r="J212" t="s">
        <v>53</v>
      </c>
    </row>
    <row r="213" spans="1:10">
      <c r="A213" t="s">
        <v>358</v>
      </c>
      <c r="B213" t="s">
        <v>52</v>
      </c>
      <c r="C213" s="1">
        <v>44644</v>
      </c>
      <c r="D213" t="s">
        <v>212</v>
      </c>
      <c r="E213" t="s">
        <v>26</v>
      </c>
      <c r="F213" s="3">
        <v>2024</v>
      </c>
      <c r="G213" s="3">
        <v>1</v>
      </c>
      <c r="H213" t="s">
        <v>355</v>
      </c>
      <c r="I213" s="2">
        <v>2.7</v>
      </c>
      <c r="J213" t="s">
        <v>53</v>
      </c>
    </row>
    <row r="214" spans="1:10">
      <c r="A214" t="s">
        <v>359</v>
      </c>
      <c r="B214" t="s">
        <v>54</v>
      </c>
      <c r="C214" s="1">
        <v>44693</v>
      </c>
      <c r="D214" t="s">
        <v>22</v>
      </c>
      <c r="E214" t="s">
        <v>22</v>
      </c>
      <c r="F214" s="3">
        <v>2021</v>
      </c>
      <c r="G214" s="3">
        <v>1</v>
      </c>
      <c r="H214" t="s">
        <v>132</v>
      </c>
      <c r="I214" s="2">
        <v>4</v>
      </c>
      <c r="J214" t="s">
        <v>55</v>
      </c>
    </row>
    <row r="215" spans="1:10">
      <c r="A215" t="s">
        <v>360</v>
      </c>
      <c r="B215" t="s">
        <v>54</v>
      </c>
      <c r="C215" s="1">
        <v>44693</v>
      </c>
      <c r="D215" t="s">
        <v>134</v>
      </c>
      <c r="E215" t="s">
        <v>24</v>
      </c>
      <c r="F215" s="3">
        <v>2021</v>
      </c>
      <c r="G215" s="3">
        <v>1</v>
      </c>
      <c r="H215" t="s">
        <v>132</v>
      </c>
      <c r="I215" s="2">
        <v>3.9</v>
      </c>
      <c r="J215" t="s">
        <v>55</v>
      </c>
    </row>
    <row r="216" spans="1:10">
      <c r="A216" t="s">
        <v>361</v>
      </c>
      <c r="B216" t="s">
        <v>54</v>
      </c>
      <c r="C216" s="1">
        <v>44693</v>
      </c>
      <c r="D216" t="s">
        <v>210</v>
      </c>
      <c r="E216" t="s">
        <v>25</v>
      </c>
      <c r="F216" s="3">
        <v>2021</v>
      </c>
      <c r="G216" s="3">
        <v>1</v>
      </c>
      <c r="H216" t="s">
        <v>132</v>
      </c>
      <c r="I216" s="2">
        <v>6.1</v>
      </c>
      <c r="J216" t="s">
        <v>55</v>
      </c>
    </row>
    <row r="217" spans="1:10">
      <c r="A217" t="s">
        <v>362</v>
      </c>
      <c r="B217" t="s">
        <v>54</v>
      </c>
      <c r="C217" s="1">
        <v>44693</v>
      </c>
      <c r="D217" t="s">
        <v>212</v>
      </c>
      <c r="E217" t="s">
        <v>26</v>
      </c>
      <c r="F217" s="3">
        <v>2021</v>
      </c>
      <c r="G217" s="3">
        <v>1</v>
      </c>
      <c r="H217" t="s">
        <v>132</v>
      </c>
      <c r="I217" s="2">
        <v>4.2</v>
      </c>
      <c r="J217" t="s">
        <v>55</v>
      </c>
    </row>
    <row r="218" spans="1:10">
      <c r="A218" t="s">
        <v>363</v>
      </c>
      <c r="B218" t="s">
        <v>54</v>
      </c>
      <c r="C218" s="1">
        <v>44693</v>
      </c>
      <c r="D218" t="s">
        <v>22</v>
      </c>
      <c r="E218" t="s">
        <v>22</v>
      </c>
      <c r="F218" s="3">
        <v>2021</v>
      </c>
      <c r="G218" s="3">
        <v>2</v>
      </c>
      <c r="H218" t="s">
        <v>136</v>
      </c>
      <c r="I218" s="2">
        <v>6</v>
      </c>
      <c r="J218" t="s">
        <v>55</v>
      </c>
    </row>
    <row r="219" spans="1:10">
      <c r="A219" t="s">
        <v>364</v>
      </c>
      <c r="B219" t="s">
        <v>54</v>
      </c>
      <c r="C219" s="1">
        <v>44693</v>
      </c>
      <c r="D219" t="s">
        <v>134</v>
      </c>
      <c r="E219" t="s">
        <v>24</v>
      </c>
      <c r="F219" s="3">
        <v>2021</v>
      </c>
      <c r="G219" s="3">
        <v>2</v>
      </c>
      <c r="H219" t="s">
        <v>136</v>
      </c>
      <c r="I219" s="2">
        <v>4.4000000000000004</v>
      </c>
      <c r="J219" t="s">
        <v>55</v>
      </c>
    </row>
    <row r="220" spans="1:10">
      <c r="A220" t="s">
        <v>365</v>
      </c>
      <c r="B220" t="s">
        <v>54</v>
      </c>
      <c r="C220" s="1">
        <v>44693</v>
      </c>
      <c r="D220" t="s">
        <v>210</v>
      </c>
      <c r="E220" t="s">
        <v>25</v>
      </c>
      <c r="F220" s="3">
        <v>2021</v>
      </c>
      <c r="G220" s="3">
        <v>2</v>
      </c>
      <c r="H220" t="s">
        <v>136</v>
      </c>
      <c r="I220" s="2">
        <v>8.3000000000000007</v>
      </c>
      <c r="J220" t="s">
        <v>55</v>
      </c>
    </row>
    <row r="221" spans="1:10">
      <c r="A221" t="s">
        <v>366</v>
      </c>
      <c r="B221" t="s">
        <v>54</v>
      </c>
      <c r="C221" s="1">
        <v>44693</v>
      </c>
      <c r="D221" t="s">
        <v>212</v>
      </c>
      <c r="E221" t="s">
        <v>26</v>
      </c>
      <c r="F221" s="3">
        <v>2021</v>
      </c>
      <c r="G221" s="3">
        <v>2</v>
      </c>
      <c r="H221" t="s">
        <v>136</v>
      </c>
      <c r="I221" s="2">
        <v>5</v>
      </c>
      <c r="J221" t="s">
        <v>55</v>
      </c>
    </row>
    <row r="222" spans="1:10">
      <c r="A222" t="s">
        <v>367</v>
      </c>
      <c r="B222" t="s">
        <v>54</v>
      </c>
      <c r="C222" s="1">
        <v>44693</v>
      </c>
      <c r="D222" t="s">
        <v>22</v>
      </c>
      <c r="E222" t="s">
        <v>22</v>
      </c>
      <c r="F222" s="3">
        <v>2021</v>
      </c>
      <c r="G222" s="3">
        <v>3</v>
      </c>
      <c r="H222" t="s">
        <v>139</v>
      </c>
      <c r="I222" s="2">
        <v>5.8</v>
      </c>
      <c r="J222" t="s">
        <v>55</v>
      </c>
    </row>
    <row r="223" spans="1:10">
      <c r="A223" t="s">
        <v>368</v>
      </c>
      <c r="B223" t="s">
        <v>54</v>
      </c>
      <c r="C223" s="1">
        <v>44693</v>
      </c>
      <c r="D223" t="s">
        <v>134</v>
      </c>
      <c r="E223" t="s">
        <v>24</v>
      </c>
      <c r="F223" s="3">
        <v>2021</v>
      </c>
      <c r="G223" s="3">
        <v>3</v>
      </c>
      <c r="H223" t="s">
        <v>139</v>
      </c>
      <c r="I223" s="2">
        <v>4.8</v>
      </c>
      <c r="J223" t="s">
        <v>55</v>
      </c>
    </row>
    <row r="224" spans="1:10">
      <c r="A224" t="s">
        <v>369</v>
      </c>
      <c r="B224" t="s">
        <v>54</v>
      </c>
      <c r="C224" s="1">
        <v>44693</v>
      </c>
      <c r="D224" t="s">
        <v>210</v>
      </c>
      <c r="E224" t="s">
        <v>25</v>
      </c>
      <c r="F224" s="3">
        <v>2021</v>
      </c>
      <c r="G224" s="3">
        <v>3</v>
      </c>
      <c r="H224" t="s">
        <v>139</v>
      </c>
      <c r="I224" s="2">
        <v>6.4</v>
      </c>
      <c r="J224" t="s">
        <v>55</v>
      </c>
    </row>
    <row r="225" spans="1:10">
      <c r="A225" t="s">
        <v>370</v>
      </c>
      <c r="B225" t="s">
        <v>54</v>
      </c>
      <c r="C225" s="1">
        <v>44693</v>
      </c>
      <c r="D225" t="s">
        <v>212</v>
      </c>
      <c r="E225" t="s">
        <v>26</v>
      </c>
      <c r="F225" s="3">
        <v>2021</v>
      </c>
      <c r="G225" s="3">
        <v>3</v>
      </c>
      <c r="H225" t="s">
        <v>139</v>
      </c>
      <c r="I225" s="2">
        <v>6.6</v>
      </c>
      <c r="J225" t="s">
        <v>55</v>
      </c>
    </row>
    <row r="226" spans="1:10">
      <c r="A226" t="s">
        <v>371</v>
      </c>
      <c r="B226" t="s">
        <v>54</v>
      </c>
      <c r="C226" s="1">
        <v>44693</v>
      </c>
      <c r="D226" t="s">
        <v>22</v>
      </c>
      <c r="E226" t="s">
        <v>22</v>
      </c>
      <c r="F226" s="3">
        <v>2021</v>
      </c>
      <c r="G226" s="3">
        <v>4</v>
      </c>
      <c r="H226" t="s">
        <v>142</v>
      </c>
      <c r="I226" s="2">
        <v>7</v>
      </c>
      <c r="J226" t="s">
        <v>55</v>
      </c>
    </row>
    <row r="227" spans="1:10">
      <c r="A227" t="s">
        <v>372</v>
      </c>
      <c r="B227" t="s">
        <v>54</v>
      </c>
      <c r="C227" s="1">
        <v>44693</v>
      </c>
      <c r="D227" t="s">
        <v>134</v>
      </c>
      <c r="E227" t="s">
        <v>24</v>
      </c>
      <c r="F227" s="3">
        <v>2021</v>
      </c>
      <c r="G227" s="3">
        <v>4</v>
      </c>
      <c r="H227" t="s">
        <v>142</v>
      </c>
      <c r="I227" s="2">
        <v>5.6</v>
      </c>
      <c r="J227" t="s">
        <v>55</v>
      </c>
    </row>
    <row r="228" spans="1:10">
      <c r="A228" t="s">
        <v>373</v>
      </c>
      <c r="B228" t="s">
        <v>54</v>
      </c>
      <c r="C228" s="1">
        <v>44693</v>
      </c>
      <c r="D228" t="s">
        <v>210</v>
      </c>
      <c r="E228" t="s">
        <v>25</v>
      </c>
      <c r="F228" s="3">
        <v>2021</v>
      </c>
      <c r="G228" s="3">
        <v>4</v>
      </c>
      <c r="H228" t="s">
        <v>142</v>
      </c>
      <c r="I228" s="2">
        <v>7.1</v>
      </c>
      <c r="J228" t="s">
        <v>55</v>
      </c>
    </row>
    <row r="229" spans="1:10">
      <c r="A229" t="s">
        <v>374</v>
      </c>
      <c r="B229" t="s">
        <v>54</v>
      </c>
      <c r="C229" s="1">
        <v>44693</v>
      </c>
      <c r="D229" t="s">
        <v>212</v>
      </c>
      <c r="E229" t="s">
        <v>26</v>
      </c>
      <c r="F229" s="3">
        <v>2021</v>
      </c>
      <c r="G229" s="3">
        <v>4</v>
      </c>
      <c r="H229" t="s">
        <v>142</v>
      </c>
      <c r="I229" s="2">
        <v>6.7</v>
      </c>
      <c r="J229" t="s">
        <v>55</v>
      </c>
    </row>
    <row r="230" spans="1:10">
      <c r="A230" t="s">
        <v>375</v>
      </c>
      <c r="B230" t="s">
        <v>54</v>
      </c>
      <c r="C230" s="1">
        <v>44693</v>
      </c>
      <c r="D230" t="s">
        <v>22</v>
      </c>
      <c r="E230" t="s">
        <v>22</v>
      </c>
      <c r="F230" s="3">
        <v>2022</v>
      </c>
      <c r="G230" s="3">
        <v>1</v>
      </c>
      <c r="H230" t="s">
        <v>145</v>
      </c>
      <c r="I230" s="2">
        <v>7.3</v>
      </c>
      <c r="J230" t="s">
        <v>55</v>
      </c>
    </row>
    <row r="231" spans="1:10">
      <c r="A231" t="s">
        <v>376</v>
      </c>
      <c r="B231" t="s">
        <v>54</v>
      </c>
      <c r="C231" s="1">
        <v>44693</v>
      </c>
      <c r="D231" t="s">
        <v>134</v>
      </c>
      <c r="E231" t="s">
        <v>24</v>
      </c>
      <c r="F231" s="3">
        <v>2022</v>
      </c>
      <c r="G231" s="3">
        <v>1</v>
      </c>
      <c r="H231" t="s">
        <v>145</v>
      </c>
      <c r="I231" s="2">
        <v>6.5</v>
      </c>
      <c r="J231" t="s">
        <v>55</v>
      </c>
    </row>
    <row r="232" spans="1:10">
      <c r="A232" t="s">
        <v>377</v>
      </c>
      <c r="B232" t="s">
        <v>54</v>
      </c>
      <c r="C232" s="1">
        <v>44693</v>
      </c>
      <c r="D232" t="s">
        <v>210</v>
      </c>
      <c r="E232" t="s">
        <v>25</v>
      </c>
      <c r="F232" s="3">
        <v>2022</v>
      </c>
      <c r="G232" s="3">
        <v>1</v>
      </c>
      <c r="H232" t="s">
        <v>145</v>
      </c>
      <c r="I232" s="2">
        <v>7.3</v>
      </c>
      <c r="J232" t="s">
        <v>55</v>
      </c>
    </row>
    <row r="233" spans="1:10">
      <c r="A233" t="s">
        <v>378</v>
      </c>
      <c r="B233" t="s">
        <v>54</v>
      </c>
      <c r="C233" s="1">
        <v>44693</v>
      </c>
      <c r="D233" t="s">
        <v>212</v>
      </c>
      <c r="E233" t="s">
        <v>26</v>
      </c>
      <c r="F233" s="3">
        <v>2022</v>
      </c>
      <c r="G233" s="3">
        <v>1</v>
      </c>
      <c r="H233" t="s">
        <v>145</v>
      </c>
      <c r="I233" s="2">
        <v>7.8</v>
      </c>
      <c r="J233" t="s">
        <v>55</v>
      </c>
    </row>
    <row r="234" spans="1:10">
      <c r="A234" t="s">
        <v>379</v>
      </c>
      <c r="B234" t="s">
        <v>54</v>
      </c>
      <c r="C234" s="1">
        <v>44693</v>
      </c>
      <c r="D234" t="s">
        <v>22</v>
      </c>
      <c r="E234" t="s">
        <v>22</v>
      </c>
      <c r="F234" s="3">
        <v>2022</v>
      </c>
      <c r="G234" s="3">
        <v>2</v>
      </c>
      <c r="H234" t="s">
        <v>148</v>
      </c>
      <c r="I234" s="2">
        <v>7.6</v>
      </c>
      <c r="J234" t="s">
        <v>55</v>
      </c>
    </row>
    <row r="235" spans="1:10">
      <c r="A235" t="s">
        <v>380</v>
      </c>
      <c r="B235" t="s">
        <v>54</v>
      </c>
      <c r="C235" s="1">
        <v>44693</v>
      </c>
      <c r="D235" t="s">
        <v>134</v>
      </c>
      <c r="E235" t="s">
        <v>24</v>
      </c>
      <c r="F235" s="3">
        <v>2022</v>
      </c>
      <c r="G235" s="3">
        <v>2</v>
      </c>
      <c r="H235" t="s">
        <v>148</v>
      </c>
      <c r="I235" s="2">
        <v>7.2</v>
      </c>
      <c r="J235" t="s">
        <v>55</v>
      </c>
    </row>
    <row r="236" spans="1:10">
      <c r="A236" t="s">
        <v>381</v>
      </c>
      <c r="B236" t="s">
        <v>54</v>
      </c>
      <c r="C236" s="1">
        <v>44693</v>
      </c>
      <c r="D236" t="s">
        <v>210</v>
      </c>
      <c r="E236" t="s">
        <v>25</v>
      </c>
      <c r="F236" s="3">
        <v>2022</v>
      </c>
      <c r="G236" s="3">
        <v>2</v>
      </c>
      <c r="H236" t="s">
        <v>148</v>
      </c>
      <c r="I236" s="2">
        <v>9.3000000000000007</v>
      </c>
      <c r="J236" t="s">
        <v>55</v>
      </c>
    </row>
    <row r="237" spans="1:10">
      <c r="A237" t="s">
        <v>382</v>
      </c>
      <c r="B237" t="s">
        <v>54</v>
      </c>
      <c r="C237" s="1">
        <v>44693</v>
      </c>
      <c r="D237" t="s">
        <v>212</v>
      </c>
      <c r="E237" t="s">
        <v>26</v>
      </c>
      <c r="F237" s="3">
        <v>2022</v>
      </c>
      <c r="G237" s="3">
        <v>2</v>
      </c>
      <c r="H237" t="s">
        <v>148</v>
      </c>
      <c r="I237" s="2">
        <v>7.6</v>
      </c>
      <c r="J237" t="s">
        <v>55</v>
      </c>
    </row>
    <row r="238" spans="1:10">
      <c r="A238" t="s">
        <v>383</v>
      </c>
      <c r="B238" t="s">
        <v>54</v>
      </c>
      <c r="C238" s="1">
        <v>44693</v>
      </c>
      <c r="D238" t="s">
        <v>22</v>
      </c>
      <c r="E238" t="s">
        <v>22</v>
      </c>
      <c r="F238" s="3">
        <v>2022</v>
      </c>
      <c r="G238" s="3">
        <v>3</v>
      </c>
      <c r="H238" t="s">
        <v>151</v>
      </c>
      <c r="I238" s="2">
        <v>7</v>
      </c>
      <c r="J238" t="s">
        <v>55</v>
      </c>
    </row>
    <row r="239" spans="1:10">
      <c r="A239" t="s">
        <v>384</v>
      </c>
      <c r="B239" t="s">
        <v>54</v>
      </c>
      <c r="C239" s="1">
        <v>44693</v>
      </c>
      <c r="D239" t="s">
        <v>134</v>
      </c>
      <c r="E239" t="s">
        <v>24</v>
      </c>
      <c r="F239" s="3">
        <v>2022</v>
      </c>
      <c r="G239" s="3">
        <v>3</v>
      </c>
      <c r="H239" t="s">
        <v>151</v>
      </c>
      <c r="I239" s="2">
        <v>6.6</v>
      </c>
      <c r="J239" t="s">
        <v>55</v>
      </c>
    </row>
    <row r="240" spans="1:10">
      <c r="A240" t="s">
        <v>385</v>
      </c>
      <c r="B240" t="s">
        <v>54</v>
      </c>
      <c r="C240" s="1">
        <v>44693</v>
      </c>
      <c r="D240" t="s">
        <v>210</v>
      </c>
      <c r="E240" t="s">
        <v>25</v>
      </c>
      <c r="F240" s="3">
        <v>2022</v>
      </c>
      <c r="G240" s="3">
        <v>3</v>
      </c>
      <c r="H240" t="s">
        <v>151</v>
      </c>
      <c r="I240" s="2">
        <v>4.4000000000000004</v>
      </c>
      <c r="J240" t="s">
        <v>55</v>
      </c>
    </row>
    <row r="241" spans="1:10">
      <c r="A241" t="s">
        <v>386</v>
      </c>
      <c r="B241" t="s">
        <v>54</v>
      </c>
      <c r="C241" s="1">
        <v>44693</v>
      </c>
      <c r="D241" t="s">
        <v>212</v>
      </c>
      <c r="E241" t="s">
        <v>26</v>
      </c>
      <c r="F241" s="3">
        <v>2022</v>
      </c>
      <c r="G241" s="3">
        <v>3</v>
      </c>
      <c r="H241" t="s">
        <v>151</v>
      </c>
      <c r="I241" s="2">
        <v>4.2</v>
      </c>
      <c r="J241" t="s">
        <v>55</v>
      </c>
    </row>
    <row r="242" spans="1:10">
      <c r="A242" t="s">
        <v>387</v>
      </c>
      <c r="B242" t="s">
        <v>54</v>
      </c>
      <c r="C242" s="1">
        <v>44693</v>
      </c>
      <c r="D242" t="s">
        <v>22</v>
      </c>
      <c r="E242" t="s">
        <v>22</v>
      </c>
      <c r="F242" s="3">
        <v>2022</v>
      </c>
      <c r="G242" s="3">
        <v>4</v>
      </c>
      <c r="H242" t="s">
        <v>154</v>
      </c>
      <c r="I242" s="2">
        <v>6.4</v>
      </c>
      <c r="J242" t="s">
        <v>55</v>
      </c>
    </row>
    <row r="243" spans="1:10">
      <c r="A243" t="s">
        <v>388</v>
      </c>
      <c r="B243" t="s">
        <v>54</v>
      </c>
      <c r="C243" s="1">
        <v>44693</v>
      </c>
      <c r="D243" t="s">
        <v>134</v>
      </c>
      <c r="E243" t="s">
        <v>24</v>
      </c>
      <c r="F243" s="3">
        <v>2022</v>
      </c>
      <c r="G243" s="3">
        <v>4</v>
      </c>
      <c r="H243" t="s">
        <v>154</v>
      </c>
      <c r="I243" s="2">
        <v>5.9</v>
      </c>
      <c r="J243" t="s">
        <v>55</v>
      </c>
    </row>
    <row r="244" spans="1:10">
      <c r="A244" t="s">
        <v>389</v>
      </c>
      <c r="B244" t="s">
        <v>54</v>
      </c>
      <c r="C244" s="1">
        <v>44693</v>
      </c>
      <c r="D244" t="s">
        <v>210</v>
      </c>
      <c r="E244" t="s">
        <v>25</v>
      </c>
      <c r="F244" s="3">
        <v>2022</v>
      </c>
      <c r="G244" s="3">
        <v>4</v>
      </c>
      <c r="H244" t="s">
        <v>154</v>
      </c>
      <c r="I244" s="2">
        <v>4.5</v>
      </c>
      <c r="J244" t="s">
        <v>55</v>
      </c>
    </row>
    <row r="245" spans="1:10">
      <c r="A245" t="s">
        <v>390</v>
      </c>
      <c r="B245" t="s">
        <v>54</v>
      </c>
      <c r="C245" s="1">
        <v>44693</v>
      </c>
      <c r="D245" t="s">
        <v>212</v>
      </c>
      <c r="E245" t="s">
        <v>26</v>
      </c>
      <c r="F245" s="3">
        <v>2022</v>
      </c>
      <c r="G245" s="3">
        <v>4</v>
      </c>
      <c r="H245" t="s">
        <v>154</v>
      </c>
      <c r="I245" s="2">
        <v>4.2</v>
      </c>
      <c r="J245" t="s">
        <v>55</v>
      </c>
    </row>
    <row r="246" spans="1:10">
      <c r="A246" t="s">
        <v>391</v>
      </c>
      <c r="B246" t="s">
        <v>54</v>
      </c>
      <c r="C246" s="1">
        <v>44693</v>
      </c>
      <c r="D246" t="s">
        <v>22</v>
      </c>
      <c r="E246" t="s">
        <v>22</v>
      </c>
      <c r="F246" s="3">
        <v>2023</v>
      </c>
      <c r="G246" s="3">
        <v>1</v>
      </c>
      <c r="H246" t="s">
        <v>157</v>
      </c>
      <c r="I246" s="2">
        <v>5.3</v>
      </c>
      <c r="J246" t="s">
        <v>55</v>
      </c>
    </row>
    <row r="247" spans="1:10">
      <c r="A247" t="s">
        <v>392</v>
      </c>
      <c r="B247" t="s">
        <v>54</v>
      </c>
      <c r="C247" s="1">
        <v>44693</v>
      </c>
      <c r="D247" t="s">
        <v>134</v>
      </c>
      <c r="E247" t="s">
        <v>24</v>
      </c>
      <c r="F247" s="3">
        <v>2023</v>
      </c>
      <c r="G247" s="3">
        <v>1</v>
      </c>
      <c r="H247" t="s">
        <v>157</v>
      </c>
      <c r="I247" s="2">
        <v>4.8</v>
      </c>
      <c r="J247" t="s">
        <v>55</v>
      </c>
    </row>
    <row r="248" spans="1:10">
      <c r="A248" t="s">
        <v>393</v>
      </c>
      <c r="B248" t="s">
        <v>54</v>
      </c>
      <c r="C248" s="1">
        <v>44693</v>
      </c>
      <c r="D248" t="s">
        <v>210</v>
      </c>
      <c r="E248" t="s">
        <v>25</v>
      </c>
      <c r="F248" s="3">
        <v>2023</v>
      </c>
      <c r="G248" s="3">
        <v>1</v>
      </c>
      <c r="H248" t="s">
        <v>157</v>
      </c>
      <c r="I248" s="2">
        <v>3.2</v>
      </c>
      <c r="J248" t="s">
        <v>55</v>
      </c>
    </row>
    <row r="249" spans="1:10">
      <c r="A249" t="s">
        <v>394</v>
      </c>
      <c r="B249" t="s">
        <v>54</v>
      </c>
      <c r="C249" s="1">
        <v>44693</v>
      </c>
      <c r="D249" t="s">
        <v>212</v>
      </c>
      <c r="E249" t="s">
        <v>26</v>
      </c>
      <c r="F249" s="3">
        <v>2023</v>
      </c>
      <c r="G249" s="3">
        <v>1</v>
      </c>
      <c r="H249" t="s">
        <v>157</v>
      </c>
      <c r="I249" s="2">
        <v>3.2</v>
      </c>
      <c r="J249" t="s">
        <v>55</v>
      </c>
    </row>
    <row r="250" spans="1:10">
      <c r="A250" t="s">
        <v>395</v>
      </c>
      <c r="B250" t="s">
        <v>54</v>
      </c>
      <c r="C250" s="1">
        <v>44693</v>
      </c>
      <c r="D250" t="s">
        <v>22</v>
      </c>
      <c r="E250" t="s">
        <v>22</v>
      </c>
      <c r="F250" s="3">
        <v>2023</v>
      </c>
      <c r="G250" s="3">
        <v>2</v>
      </c>
      <c r="H250" t="s">
        <v>160</v>
      </c>
      <c r="I250" s="2">
        <v>3.5</v>
      </c>
      <c r="J250" t="s">
        <v>55</v>
      </c>
    </row>
    <row r="251" spans="1:10">
      <c r="A251" t="s">
        <v>396</v>
      </c>
      <c r="B251" t="s">
        <v>54</v>
      </c>
      <c r="C251" s="1">
        <v>44693</v>
      </c>
      <c r="D251" t="s">
        <v>134</v>
      </c>
      <c r="E251" t="s">
        <v>24</v>
      </c>
      <c r="F251" s="3">
        <v>2023</v>
      </c>
      <c r="G251" s="3">
        <v>2</v>
      </c>
      <c r="H251" t="s">
        <v>160</v>
      </c>
      <c r="I251" s="2">
        <v>3.6</v>
      </c>
      <c r="J251" t="s">
        <v>55</v>
      </c>
    </row>
    <row r="252" spans="1:10">
      <c r="A252" t="s">
        <v>397</v>
      </c>
      <c r="B252" t="s">
        <v>54</v>
      </c>
      <c r="C252" s="1">
        <v>44693</v>
      </c>
      <c r="D252" t="s">
        <v>210</v>
      </c>
      <c r="E252" t="s">
        <v>25</v>
      </c>
      <c r="F252" s="3">
        <v>2023</v>
      </c>
      <c r="G252" s="3">
        <v>2</v>
      </c>
      <c r="H252" t="s">
        <v>160</v>
      </c>
      <c r="I252" s="2">
        <v>1.9</v>
      </c>
      <c r="J252" t="s">
        <v>55</v>
      </c>
    </row>
    <row r="253" spans="1:10">
      <c r="A253" t="s">
        <v>398</v>
      </c>
      <c r="B253" t="s">
        <v>54</v>
      </c>
      <c r="C253" s="1">
        <v>44693</v>
      </c>
      <c r="D253" t="s">
        <v>212</v>
      </c>
      <c r="E253" t="s">
        <v>26</v>
      </c>
      <c r="F253" s="3">
        <v>2023</v>
      </c>
      <c r="G253" s="3">
        <v>2</v>
      </c>
      <c r="H253" t="s">
        <v>160</v>
      </c>
      <c r="I253" s="2">
        <v>2.7</v>
      </c>
      <c r="J253" t="s">
        <v>55</v>
      </c>
    </row>
    <row r="254" spans="1:10">
      <c r="A254" t="s">
        <v>399</v>
      </c>
      <c r="B254" t="s">
        <v>54</v>
      </c>
      <c r="C254" s="1">
        <v>44693</v>
      </c>
      <c r="D254" t="s">
        <v>22</v>
      </c>
      <c r="E254" t="s">
        <v>22</v>
      </c>
      <c r="F254" s="3">
        <v>2023</v>
      </c>
      <c r="G254" s="3">
        <v>3</v>
      </c>
      <c r="H254" t="s">
        <v>183</v>
      </c>
      <c r="I254" s="2">
        <v>3.2</v>
      </c>
      <c r="J254" t="s">
        <v>55</v>
      </c>
    </row>
    <row r="255" spans="1:10">
      <c r="A255" t="s">
        <v>400</v>
      </c>
      <c r="B255" t="s">
        <v>54</v>
      </c>
      <c r="C255" s="1">
        <v>44693</v>
      </c>
      <c r="D255" t="s">
        <v>134</v>
      </c>
      <c r="E255" t="s">
        <v>24</v>
      </c>
      <c r="F255" s="3">
        <v>2023</v>
      </c>
      <c r="G255" s="3">
        <v>3</v>
      </c>
      <c r="H255" t="s">
        <v>183</v>
      </c>
      <c r="I255" s="2">
        <v>3.3</v>
      </c>
      <c r="J255" t="s">
        <v>55</v>
      </c>
    </row>
    <row r="256" spans="1:10">
      <c r="A256" t="s">
        <v>401</v>
      </c>
      <c r="B256" t="s">
        <v>54</v>
      </c>
      <c r="C256" s="1">
        <v>44693</v>
      </c>
      <c r="D256" t="s">
        <v>210</v>
      </c>
      <c r="E256" t="s">
        <v>25</v>
      </c>
      <c r="F256" s="3">
        <v>2023</v>
      </c>
      <c r="G256" s="3">
        <v>3</v>
      </c>
      <c r="H256" t="s">
        <v>183</v>
      </c>
      <c r="I256" s="2">
        <v>3.5</v>
      </c>
      <c r="J256" t="s">
        <v>55</v>
      </c>
    </row>
    <row r="257" spans="1:10">
      <c r="A257" t="s">
        <v>402</v>
      </c>
      <c r="B257" t="s">
        <v>54</v>
      </c>
      <c r="C257" s="1">
        <v>44693</v>
      </c>
      <c r="D257" t="s">
        <v>212</v>
      </c>
      <c r="E257" t="s">
        <v>26</v>
      </c>
      <c r="F257" s="3">
        <v>2023</v>
      </c>
      <c r="G257" s="3">
        <v>3</v>
      </c>
      <c r="H257" t="s">
        <v>183</v>
      </c>
      <c r="I257" s="2">
        <v>3.2</v>
      </c>
      <c r="J257" t="s">
        <v>55</v>
      </c>
    </row>
    <row r="258" spans="1:10">
      <c r="A258" t="s">
        <v>403</v>
      </c>
      <c r="B258" t="s">
        <v>54</v>
      </c>
      <c r="C258" s="1">
        <v>44693</v>
      </c>
      <c r="D258" t="s">
        <v>22</v>
      </c>
      <c r="E258" t="s">
        <v>22</v>
      </c>
      <c r="F258" s="3">
        <v>2023</v>
      </c>
      <c r="G258" s="3">
        <v>4</v>
      </c>
      <c r="H258" t="s">
        <v>254</v>
      </c>
      <c r="I258" s="2">
        <v>3.2</v>
      </c>
      <c r="J258" t="s">
        <v>55</v>
      </c>
    </row>
    <row r="259" spans="1:10">
      <c r="A259" t="s">
        <v>404</v>
      </c>
      <c r="B259" t="s">
        <v>54</v>
      </c>
      <c r="C259" s="1">
        <v>44693</v>
      </c>
      <c r="D259" t="s">
        <v>134</v>
      </c>
      <c r="E259" t="s">
        <v>24</v>
      </c>
      <c r="F259" s="3">
        <v>2023</v>
      </c>
      <c r="G259" s="3">
        <v>4</v>
      </c>
      <c r="H259" t="s">
        <v>254</v>
      </c>
      <c r="I259" s="2">
        <v>3.1</v>
      </c>
      <c r="J259" t="s">
        <v>55</v>
      </c>
    </row>
    <row r="260" spans="1:10">
      <c r="A260" t="s">
        <v>405</v>
      </c>
      <c r="B260" t="s">
        <v>54</v>
      </c>
      <c r="C260" s="1">
        <v>44693</v>
      </c>
      <c r="D260" t="s">
        <v>210</v>
      </c>
      <c r="E260" t="s">
        <v>25</v>
      </c>
      <c r="F260" s="3">
        <v>2023</v>
      </c>
      <c r="G260" s="3">
        <v>4</v>
      </c>
      <c r="H260" t="s">
        <v>254</v>
      </c>
      <c r="I260" s="2">
        <v>4</v>
      </c>
      <c r="J260" t="s">
        <v>55</v>
      </c>
    </row>
    <row r="261" spans="1:10">
      <c r="A261" t="s">
        <v>406</v>
      </c>
      <c r="B261" t="s">
        <v>54</v>
      </c>
      <c r="C261" s="1">
        <v>44693</v>
      </c>
      <c r="D261" t="s">
        <v>212</v>
      </c>
      <c r="E261" t="s">
        <v>26</v>
      </c>
      <c r="F261" s="3">
        <v>2023</v>
      </c>
      <c r="G261" s="3">
        <v>4</v>
      </c>
      <c r="H261" t="s">
        <v>254</v>
      </c>
      <c r="I261" s="2">
        <v>3.4</v>
      </c>
      <c r="J261" t="s">
        <v>55</v>
      </c>
    </row>
    <row r="262" spans="1:10">
      <c r="A262" t="s">
        <v>407</v>
      </c>
      <c r="B262" t="s">
        <v>54</v>
      </c>
      <c r="C262" s="1">
        <v>44693</v>
      </c>
      <c r="D262" t="s">
        <v>22</v>
      </c>
      <c r="E262" t="s">
        <v>22</v>
      </c>
      <c r="F262" s="3">
        <v>2024</v>
      </c>
      <c r="G262" s="3">
        <v>1</v>
      </c>
      <c r="H262" t="s">
        <v>355</v>
      </c>
      <c r="I262" s="2">
        <v>3.1</v>
      </c>
      <c r="J262" t="s">
        <v>55</v>
      </c>
    </row>
    <row r="263" spans="1:10">
      <c r="A263" t="s">
        <v>408</v>
      </c>
      <c r="B263" t="s">
        <v>54</v>
      </c>
      <c r="C263" s="1">
        <v>44693</v>
      </c>
      <c r="D263" t="s">
        <v>134</v>
      </c>
      <c r="E263" t="s">
        <v>24</v>
      </c>
      <c r="F263" s="3">
        <v>2024</v>
      </c>
      <c r="G263" s="3">
        <v>1</v>
      </c>
      <c r="H263" t="s">
        <v>355</v>
      </c>
      <c r="I263" s="2">
        <v>3</v>
      </c>
      <c r="J263" t="s">
        <v>55</v>
      </c>
    </row>
    <row r="264" spans="1:10">
      <c r="A264" t="s">
        <v>409</v>
      </c>
      <c r="B264" t="s">
        <v>54</v>
      </c>
      <c r="C264" s="1">
        <v>44693</v>
      </c>
      <c r="D264" t="s">
        <v>210</v>
      </c>
      <c r="E264" t="s">
        <v>25</v>
      </c>
      <c r="F264" s="3">
        <v>2024</v>
      </c>
      <c r="G264" s="3">
        <v>1</v>
      </c>
      <c r="H264" t="s">
        <v>355</v>
      </c>
      <c r="I264" s="2">
        <v>2.9</v>
      </c>
      <c r="J264" t="s">
        <v>55</v>
      </c>
    </row>
    <row r="265" spans="1:10">
      <c r="A265" t="s">
        <v>410</v>
      </c>
      <c r="B265" t="s">
        <v>54</v>
      </c>
      <c r="C265" s="1">
        <v>44693</v>
      </c>
      <c r="D265" t="s">
        <v>212</v>
      </c>
      <c r="E265" t="s">
        <v>26</v>
      </c>
      <c r="F265" s="3">
        <v>2024</v>
      </c>
      <c r="G265" s="3">
        <v>1</v>
      </c>
      <c r="H265" t="s">
        <v>355</v>
      </c>
      <c r="I265" s="2">
        <v>2.7</v>
      </c>
      <c r="J265" t="s">
        <v>55</v>
      </c>
    </row>
    <row r="266" spans="1:10">
      <c r="A266" t="s">
        <v>411</v>
      </c>
      <c r="B266" t="s">
        <v>56</v>
      </c>
      <c r="C266" s="1">
        <v>44735</v>
      </c>
      <c r="D266" t="s">
        <v>22</v>
      </c>
      <c r="E266" t="s">
        <v>22</v>
      </c>
      <c r="F266" s="3">
        <v>2021</v>
      </c>
      <c r="G266" s="3">
        <v>2</v>
      </c>
      <c r="H266" t="s">
        <v>136</v>
      </c>
      <c r="I266" s="2">
        <v>6</v>
      </c>
      <c r="J266" t="s">
        <v>57</v>
      </c>
    </row>
    <row r="267" spans="1:10">
      <c r="A267" t="s">
        <v>412</v>
      </c>
      <c r="B267" t="s">
        <v>56</v>
      </c>
      <c r="C267" s="1">
        <v>44735</v>
      </c>
      <c r="D267" t="s">
        <v>134</v>
      </c>
      <c r="E267" t="s">
        <v>24</v>
      </c>
      <c r="F267" s="3">
        <v>2021</v>
      </c>
      <c r="G267" s="3">
        <v>2</v>
      </c>
      <c r="H267" t="s">
        <v>136</v>
      </c>
      <c r="I267" s="2">
        <v>4.4000000000000004</v>
      </c>
      <c r="J267" t="s">
        <v>57</v>
      </c>
    </row>
    <row r="268" spans="1:10">
      <c r="A268" t="s">
        <v>413</v>
      </c>
      <c r="B268" t="s">
        <v>56</v>
      </c>
      <c r="C268" s="1">
        <v>44735</v>
      </c>
      <c r="D268" t="s">
        <v>210</v>
      </c>
      <c r="E268" t="s">
        <v>25</v>
      </c>
      <c r="F268" s="3">
        <v>2021</v>
      </c>
      <c r="G268" s="3">
        <v>2</v>
      </c>
      <c r="H268" t="s">
        <v>136</v>
      </c>
      <c r="I268" s="2">
        <v>8.6</v>
      </c>
      <c r="J268" t="s">
        <v>57</v>
      </c>
    </row>
    <row r="269" spans="1:10">
      <c r="A269" t="s">
        <v>414</v>
      </c>
      <c r="B269" t="s">
        <v>56</v>
      </c>
      <c r="C269" s="1">
        <v>44735</v>
      </c>
      <c r="D269" t="s">
        <v>212</v>
      </c>
      <c r="E269" t="s">
        <v>26</v>
      </c>
      <c r="F269" s="3">
        <v>2021</v>
      </c>
      <c r="G269" s="3">
        <v>2</v>
      </c>
      <c r="H269" t="s">
        <v>136</v>
      </c>
      <c r="I269" s="2">
        <v>5.2</v>
      </c>
      <c r="J269" t="s">
        <v>57</v>
      </c>
    </row>
    <row r="270" spans="1:10">
      <c r="A270" t="s">
        <v>415</v>
      </c>
      <c r="B270" t="s">
        <v>56</v>
      </c>
      <c r="C270" s="1">
        <v>44735</v>
      </c>
      <c r="D270" t="s">
        <v>22</v>
      </c>
      <c r="E270" t="s">
        <v>22</v>
      </c>
      <c r="F270" s="3">
        <v>2021</v>
      </c>
      <c r="G270" s="3">
        <v>3</v>
      </c>
      <c r="H270" t="s">
        <v>139</v>
      </c>
      <c r="I270" s="2">
        <v>5.8</v>
      </c>
      <c r="J270" t="s">
        <v>57</v>
      </c>
    </row>
    <row r="271" spans="1:10">
      <c r="A271" t="s">
        <v>416</v>
      </c>
      <c r="B271" t="s">
        <v>56</v>
      </c>
      <c r="C271" s="1">
        <v>44735</v>
      </c>
      <c r="D271" t="s">
        <v>134</v>
      </c>
      <c r="E271" t="s">
        <v>24</v>
      </c>
      <c r="F271" s="3">
        <v>2021</v>
      </c>
      <c r="G271" s="3">
        <v>3</v>
      </c>
      <c r="H271" t="s">
        <v>139</v>
      </c>
      <c r="I271" s="2">
        <v>4.8</v>
      </c>
      <c r="J271" t="s">
        <v>57</v>
      </c>
    </row>
    <row r="272" spans="1:10">
      <c r="A272" t="s">
        <v>417</v>
      </c>
      <c r="B272" t="s">
        <v>56</v>
      </c>
      <c r="C272" s="1">
        <v>44735</v>
      </c>
      <c r="D272" t="s">
        <v>210</v>
      </c>
      <c r="E272" t="s">
        <v>25</v>
      </c>
      <c r="F272" s="3">
        <v>2021</v>
      </c>
      <c r="G272" s="3">
        <v>3</v>
      </c>
      <c r="H272" t="s">
        <v>139</v>
      </c>
      <c r="I272" s="2">
        <v>5.9</v>
      </c>
      <c r="J272" t="s">
        <v>57</v>
      </c>
    </row>
    <row r="273" spans="1:10">
      <c r="A273" t="s">
        <v>418</v>
      </c>
      <c r="B273" t="s">
        <v>56</v>
      </c>
      <c r="C273" s="1">
        <v>44735</v>
      </c>
      <c r="D273" t="s">
        <v>212</v>
      </c>
      <c r="E273" t="s">
        <v>26</v>
      </c>
      <c r="F273" s="3">
        <v>2021</v>
      </c>
      <c r="G273" s="3">
        <v>3</v>
      </c>
      <c r="H273" t="s">
        <v>139</v>
      </c>
      <c r="I273" s="2">
        <v>6</v>
      </c>
      <c r="J273" t="s">
        <v>57</v>
      </c>
    </row>
    <row r="274" spans="1:10">
      <c r="A274" t="s">
        <v>419</v>
      </c>
      <c r="B274" t="s">
        <v>56</v>
      </c>
      <c r="C274" s="1">
        <v>44735</v>
      </c>
      <c r="D274" t="s">
        <v>22</v>
      </c>
      <c r="E274" t="s">
        <v>22</v>
      </c>
      <c r="F274" s="3">
        <v>2021</v>
      </c>
      <c r="G274" s="3">
        <v>4</v>
      </c>
      <c r="H274" t="s">
        <v>142</v>
      </c>
      <c r="I274" s="2">
        <v>7</v>
      </c>
      <c r="J274" t="s">
        <v>57</v>
      </c>
    </row>
    <row r="275" spans="1:10">
      <c r="A275" t="s">
        <v>420</v>
      </c>
      <c r="B275" t="s">
        <v>56</v>
      </c>
      <c r="C275" s="1">
        <v>44735</v>
      </c>
      <c r="D275" t="s">
        <v>134</v>
      </c>
      <c r="E275" t="s">
        <v>24</v>
      </c>
      <c r="F275" s="3">
        <v>2021</v>
      </c>
      <c r="G275" s="3">
        <v>4</v>
      </c>
      <c r="H275" t="s">
        <v>142</v>
      </c>
      <c r="I275" s="2">
        <v>5.6</v>
      </c>
      <c r="J275" t="s">
        <v>57</v>
      </c>
    </row>
    <row r="276" spans="1:10">
      <c r="A276" t="s">
        <v>421</v>
      </c>
      <c r="B276" t="s">
        <v>56</v>
      </c>
      <c r="C276" s="1">
        <v>44735</v>
      </c>
      <c r="D276" t="s">
        <v>210</v>
      </c>
      <c r="E276" t="s">
        <v>25</v>
      </c>
      <c r="F276" s="3">
        <v>2021</v>
      </c>
      <c r="G276" s="3">
        <v>4</v>
      </c>
      <c r="H276" t="s">
        <v>142</v>
      </c>
      <c r="I276" s="2">
        <v>7.3</v>
      </c>
      <c r="J276" t="s">
        <v>57</v>
      </c>
    </row>
    <row r="277" spans="1:10">
      <c r="A277" t="s">
        <v>422</v>
      </c>
      <c r="B277" t="s">
        <v>56</v>
      </c>
      <c r="C277" s="1">
        <v>44735</v>
      </c>
      <c r="D277" t="s">
        <v>212</v>
      </c>
      <c r="E277" t="s">
        <v>26</v>
      </c>
      <c r="F277" s="3">
        <v>2021</v>
      </c>
      <c r="G277" s="3">
        <v>4</v>
      </c>
      <c r="H277" t="s">
        <v>142</v>
      </c>
      <c r="I277" s="2">
        <v>6.9</v>
      </c>
      <c r="J277" t="s">
        <v>57</v>
      </c>
    </row>
    <row r="278" spans="1:10">
      <c r="A278" t="s">
        <v>423</v>
      </c>
      <c r="B278" t="s">
        <v>56</v>
      </c>
      <c r="C278" s="1">
        <v>44735</v>
      </c>
      <c r="D278" t="s">
        <v>22</v>
      </c>
      <c r="E278" t="s">
        <v>22</v>
      </c>
      <c r="F278" s="3">
        <v>2022</v>
      </c>
      <c r="G278" s="3">
        <v>1</v>
      </c>
      <c r="H278" t="s">
        <v>145</v>
      </c>
      <c r="I278" s="2">
        <v>7.3</v>
      </c>
      <c r="J278" t="s">
        <v>57</v>
      </c>
    </row>
    <row r="279" spans="1:10">
      <c r="A279" t="s">
        <v>424</v>
      </c>
      <c r="B279" t="s">
        <v>56</v>
      </c>
      <c r="C279" s="1">
        <v>44735</v>
      </c>
      <c r="D279" t="s">
        <v>134</v>
      </c>
      <c r="E279" t="s">
        <v>24</v>
      </c>
      <c r="F279" s="3">
        <v>2022</v>
      </c>
      <c r="G279" s="3">
        <v>1</v>
      </c>
      <c r="H279" t="s">
        <v>145</v>
      </c>
      <c r="I279" s="2">
        <v>6.5</v>
      </c>
      <c r="J279" t="s">
        <v>57</v>
      </c>
    </row>
    <row r="280" spans="1:10">
      <c r="A280" t="s">
        <v>425</v>
      </c>
      <c r="B280" t="s">
        <v>56</v>
      </c>
      <c r="C280" s="1">
        <v>44735</v>
      </c>
      <c r="D280" t="s">
        <v>210</v>
      </c>
      <c r="E280" t="s">
        <v>25</v>
      </c>
      <c r="F280" s="3">
        <v>2022</v>
      </c>
      <c r="G280" s="3">
        <v>1</v>
      </c>
      <c r="H280" t="s">
        <v>145</v>
      </c>
      <c r="I280" s="2">
        <v>7.4</v>
      </c>
      <c r="J280" t="s">
        <v>57</v>
      </c>
    </row>
    <row r="281" spans="1:10">
      <c r="A281" t="s">
        <v>426</v>
      </c>
      <c r="B281" t="s">
        <v>56</v>
      </c>
      <c r="C281" s="1">
        <v>44735</v>
      </c>
      <c r="D281" t="s">
        <v>212</v>
      </c>
      <c r="E281" t="s">
        <v>26</v>
      </c>
      <c r="F281" s="3">
        <v>2022</v>
      </c>
      <c r="G281" s="3">
        <v>1</v>
      </c>
      <c r="H281" t="s">
        <v>145</v>
      </c>
      <c r="I281" s="2">
        <v>8</v>
      </c>
      <c r="J281" t="s">
        <v>57</v>
      </c>
    </row>
    <row r="282" spans="1:10">
      <c r="A282" t="s">
        <v>427</v>
      </c>
      <c r="B282" t="s">
        <v>56</v>
      </c>
      <c r="C282" s="1">
        <v>44735</v>
      </c>
      <c r="D282" t="s">
        <v>22</v>
      </c>
      <c r="E282" t="s">
        <v>22</v>
      </c>
      <c r="F282" s="3">
        <v>2022</v>
      </c>
      <c r="G282" s="3">
        <v>2</v>
      </c>
      <c r="H282" t="s">
        <v>148</v>
      </c>
      <c r="I282" s="2">
        <v>7.8</v>
      </c>
      <c r="J282" t="s">
        <v>57</v>
      </c>
    </row>
    <row r="283" spans="1:10">
      <c r="A283" t="s">
        <v>428</v>
      </c>
      <c r="B283" t="s">
        <v>56</v>
      </c>
      <c r="C283" s="1">
        <v>44735</v>
      </c>
      <c r="D283" t="s">
        <v>134</v>
      </c>
      <c r="E283" t="s">
        <v>24</v>
      </c>
      <c r="F283" s="3">
        <v>2022</v>
      </c>
      <c r="G283" s="3">
        <v>2</v>
      </c>
      <c r="H283" t="s">
        <v>148</v>
      </c>
      <c r="I283" s="2">
        <v>7.3</v>
      </c>
      <c r="J283" t="s">
        <v>57</v>
      </c>
    </row>
    <row r="284" spans="1:10">
      <c r="A284" t="s">
        <v>429</v>
      </c>
      <c r="B284" t="s">
        <v>56</v>
      </c>
      <c r="C284" s="1">
        <v>44735</v>
      </c>
      <c r="D284" t="s">
        <v>210</v>
      </c>
      <c r="E284" t="s">
        <v>25</v>
      </c>
      <c r="F284" s="3">
        <v>2022</v>
      </c>
      <c r="G284" s="3">
        <v>2</v>
      </c>
      <c r="H284" t="s">
        <v>148</v>
      </c>
      <c r="I284" s="2">
        <v>10.5</v>
      </c>
      <c r="J284" t="s">
        <v>57</v>
      </c>
    </row>
    <row r="285" spans="1:10">
      <c r="A285" t="s">
        <v>430</v>
      </c>
      <c r="B285" t="s">
        <v>56</v>
      </c>
      <c r="C285" s="1">
        <v>44735</v>
      </c>
      <c r="D285" t="s">
        <v>212</v>
      </c>
      <c r="E285" t="s">
        <v>26</v>
      </c>
      <c r="F285" s="3">
        <v>2022</v>
      </c>
      <c r="G285" s="3">
        <v>2</v>
      </c>
      <c r="H285" t="s">
        <v>148</v>
      </c>
      <c r="I285" s="2">
        <v>8.4</v>
      </c>
      <c r="J285" t="s">
        <v>57</v>
      </c>
    </row>
    <row r="286" spans="1:10">
      <c r="A286" t="s">
        <v>431</v>
      </c>
      <c r="B286" t="s">
        <v>56</v>
      </c>
      <c r="C286" s="1">
        <v>44735</v>
      </c>
      <c r="D286" t="s">
        <v>22</v>
      </c>
      <c r="E286" t="s">
        <v>22</v>
      </c>
      <c r="F286" s="3">
        <v>2022</v>
      </c>
      <c r="G286" s="3">
        <v>3</v>
      </c>
      <c r="H286" t="s">
        <v>151</v>
      </c>
      <c r="I286" s="2">
        <v>8.1</v>
      </c>
      <c r="J286" t="s">
        <v>57</v>
      </c>
    </row>
    <row r="287" spans="1:10">
      <c r="A287" t="s">
        <v>432</v>
      </c>
      <c r="B287" t="s">
        <v>56</v>
      </c>
      <c r="C287" s="1">
        <v>44735</v>
      </c>
      <c r="D287" t="s">
        <v>134</v>
      </c>
      <c r="E287" t="s">
        <v>24</v>
      </c>
      <c r="F287" s="3">
        <v>2022</v>
      </c>
      <c r="G287" s="3">
        <v>3</v>
      </c>
      <c r="H287" t="s">
        <v>151</v>
      </c>
      <c r="I287" s="2">
        <v>7.4</v>
      </c>
      <c r="J287" t="s">
        <v>57</v>
      </c>
    </row>
    <row r="288" spans="1:10">
      <c r="A288" t="s">
        <v>433</v>
      </c>
      <c r="B288" t="s">
        <v>56</v>
      </c>
      <c r="C288" s="1">
        <v>44735</v>
      </c>
      <c r="D288" t="s">
        <v>210</v>
      </c>
      <c r="E288" t="s">
        <v>25</v>
      </c>
      <c r="F288" s="3">
        <v>2022</v>
      </c>
      <c r="G288" s="3">
        <v>3</v>
      </c>
      <c r="H288" t="s">
        <v>151</v>
      </c>
      <c r="I288" s="2">
        <v>7.2</v>
      </c>
      <c r="J288" t="s">
        <v>57</v>
      </c>
    </row>
    <row r="289" spans="1:10">
      <c r="A289" t="s">
        <v>434</v>
      </c>
      <c r="B289" t="s">
        <v>56</v>
      </c>
      <c r="C289" s="1">
        <v>44735</v>
      </c>
      <c r="D289" t="s">
        <v>212</v>
      </c>
      <c r="E289" t="s">
        <v>26</v>
      </c>
      <c r="F289" s="3">
        <v>2022</v>
      </c>
      <c r="G289" s="3">
        <v>3</v>
      </c>
      <c r="H289" t="s">
        <v>151</v>
      </c>
      <c r="I289" s="2">
        <v>6.4</v>
      </c>
      <c r="J289" t="s">
        <v>57</v>
      </c>
    </row>
    <row r="290" spans="1:10">
      <c r="A290" t="s">
        <v>435</v>
      </c>
      <c r="B290" t="s">
        <v>56</v>
      </c>
      <c r="C290" s="1">
        <v>44735</v>
      </c>
      <c r="D290" t="s">
        <v>22</v>
      </c>
      <c r="E290" t="s">
        <v>22</v>
      </c>
      <c r="F290" s="3">
        <v>2022</v>
      </c>
      <c r="G290" s="3">
        <v>4</v>
      </c>
      <c r="H290" t="s">
        <v>154</v>
      </c>
      <c r="I290" s="2">
        <v>7.5</v>
      </c>
      <c r="J290" t="s">
        <v>57</v>
      </c>
    </row>
    <row r="291" spans="1:10">
      <c r="A291" t="s">
        <v>436</v>
      </c>
      <c r="B291" t="s">
        <v>56</v>
      </c>
      <c r="C291" s="1">
        <v>44735</v>
      </c>
      <c r="D291" t="s">
        <v>134</v>
      </c>
      <c r="E291" t="s">
        <v>24</v>
      </c>
      <c r="F291" s="3">
        <v>2022</v>
      </c>
      <c r="G291" s="3">
        <v>4</v>
      </c>
      <c r="H291" t="s">
        <v>154</v>
      </c>
      <c r="I291" s="2">
        <v>6.8</v>
      </c>
      <c r="J291" t="s">
        <v>57</v>
      </c>
    </row>
    <row r="292" spans="1:10">
      <c r="A292" t="s">
        <v>437</v>
      </c>
      <c r="B292" t="s">
        <v>56</v>
      </c>
      <c r="C292" s="1">
        <v>44735</v>
      </c>
      <c r="D292" t="s">
        <v>210</v>
      </c>
      <c r="E292" t="s">
        <v>25</v>
      </c>
      <c r="F292" s="3">
        <v>2022</v>
      </c>
      <c r="G292" s="3">
        <v>4</v>
      </c>
      <c r="H292" t="s">
        <v>154</v>
      </c>
      <c r="I292" s="2">
        <v>5</v>
      </c>
      <c r="J292" t="s">
        <v>57</v>
      </c>
    </row>
    <row r="293" spans="1:10">
      <c r="A293" t="s">
        <v>438</v>
      </c>
      <c r="B293" t="s">
        <v>56</v>
      </c>
      <c r="C293" s="1">
        <v>44735</v>
      </c>
      <c r="D293" t="s">
        <v>212</v>
      </c>
      <c r="E293" t="s">
        <v>26</v>
      </c>
      <c r="F293" s="3">
        <v>2022</v>
      </c>
      <c r="G293" s="3">
        <v>4</v>
      </c>
      <c r="H293" t="s">
        <v>154</v>
      </c>
      <c r="I293" s="2">
        <v>4.5999999999999996</v>
      </c>
      <c r="J293" t="s">
        <v>57</v>
      </c>
    </row>
    <row r="294" spans="1:10">
      <c r="A294" t="s">
        <v>439</v>
      </c>
      <c r="B294" t="s">
        <v>56</v>
      </c>
      <c r="C294" s="1">
        <v>44735</v>
      </c>
      <c r="D294" t="s">
        <v>22</v>
      </c>
      <c r="E294" t="s">
        <v>22</v>
      </c>
      <c r="F294" s="3">
        <v>2023</v>
      </c>
      <c r="G294" s="3">
        <v>1</v>
      </c>
      <c r="H294" t="s">
        <v>157</v>
      </c>
      <c r="I294" s="2">
        <v>6.5</v>
      </c>
      <c r="J294" t="s">
        <v>57</v>
      </c>
    </row>
    <row r="295" spans="1:10">
      <c r="A295" t="s">
        <v>440</v>
      </c>
      <c r="B295" t="s">
        <v>56</v>
      </c>
      <c r="C295" s="1">
        <v>44735</v>
      </c>
      <c r="D295" t="s">
        <v>134</v>
      </c>
      <c r="E295" t="s">
        <v>24</v>
      </c>
      <c r="F295" s="3">
        <v>2023</v>
      </c>
      <c r="G295" s="3">
        <v>1</v>
      </c>
      <c r="H295" t="s">
        <v>157</v>
      </c>
      <c r="I295" s="2">
        <v>5.7</v>
      </c>
      <c r="J295" t="s">
        <v>57</v>
      </c>
    </row>
    <row r="296" spans="1:10">
      <c r="A296" t="s">
        <v>441</v>
      </c>
      <c r="B296" t="s">
        <v>56</v>
      </c>
      <c r="C296" s="1">
        <v>44735</v>
      </c>
      <c r="D296" t="s">
        <v>210</v>
      </c>
      <c r="E296" t="s">
        <v>25</v>
      </c>
      <c r="F296" s="3">
        <v>2023</v>
      </c>
      <c r="G296" s="3">
        <v>1</v>
      </c>
      <c r="H296" t="s">
        <v>157</v>
      </c>
      <c r="I296" s="2">
        <v>3.4</v>
      </c>
      <c r="J296" t="s">
        <v>57</v>
      </c>
    </row>
    <row r="297" spans="1:10">
      <c r="A297" t="s">
        <v>442</v>
      </c>
      <c r="B297" t="s">
        <v>56</v>
      </c>
      <c r="C297" s="1">
        <v>44735</v>
      </c>
      <c r="D297" t="s">
        <v>212</v>
      </c>
      <c r="E297" t="s">
        <v>26</v>
      </c>
      <c r="F297" s="3">
        <v>2023</v>
      </c>
      <c r="G297" s="3">
        <v>1</v>
      </c>
      <c r="H297" t="s">
        <v>157</v>
      </c>
      <c r="I297" s="2">
        <v>3.6</v>
      </c>
      <c r="J297" t="s">
        <v>57</v>
      </c>
    </row>
    <row r="298" spans="1:10">
      <c r="A298" t="s">
        <v>443</v>
      </c>
      <c r="B298" t="s">
        <v>56</v>
      </c>
      <c r="C298" s="1">
        <v>44735</v>
      </c>
      <c r="D298" t="s">
        <v>22</v>
      </c>
      <c r="E298" t="s">
        <v>22</v>
      </c>
      <c r="F298" s="3">
        <v>2023</v>
      </c>
      <c r="G298" s="3">
        <v>2</v>
      </c>
      <c r="H298" t="s">
        <v>160</v>
      </c>
      <c r="I298" s="2">
        <v>4.4000000000000004</v>
      </c>
      <c r="J298" t="s">
        <v>57</v>
      </c>
    </row>
    <row r="299" spans="1:10">
      <c r="A299" t="s">
        <v>444</v>
      </c>
      <c r="B299" t="s">
        <v>56</v>
      </c>
      <c r="C299" s="1">
        <v>44735</v>
      </c>
      <c r="D299" t="s">
        <v>134</v>
      </c>
      <c r="E299" t="s">
        <v>24</v>
      </c>
      <c r="F299" s="3">
        <v>2023</v>
      </c>
      <c r="G299" s="3">
        <v>2</v>
      </c>
      <c r="H299" t="s">
        <v>160</v>
      </c>
      <c r="I299" s="2">
        <v>4.3</v>
      </c>
      <c r="J299" t="s">
        <v>57</v>
      </c>
    </row>
    <row r="300" spans="1:10">
      <c r="A300" t="s">
        <v>445</v>
      </c>
      <c r="B300" t="s">
        <v>56</v>
      </c>
      <c r="C300" s="1">
        <v>44735</v>
      </c>
      <c r="D300" t="s">
        <v>210</v>
      </c>
      <c r="E300" t="s">
        <v>25</v>
      </c>
      <c r="F300" s="3">
        <v>2023</v>
      </c>
      <c r="G300" s="3">
        <v>2</v>
      </c>
      <c r="H300" t="s">
        <v>160</v>
      </c>
      <c r="I300" s="2">
        <v>2.2000000000000002</v>
      </c>
      <c r="J300" t="s">
        <v>57</v>
      </c>
    </row>
    <row r="301" spans="1:10">
      <c r="A301" t="s">
        <v>446</v>
      </c>
      <c r="B301" t="s">
        <v>56</v>
      </c>
      <c r="C301" s="1">
        <v>44735</v>
      </c>
      <c r="D301" t="s">
        <v>212</v>
      </c>
      <c r="E301" t="s">
        <v>26</v>
      </c>
      <c r="F301" s="3">
        <v>2023</v>
      </c>
      <c r="G301" s="3">
        <v>2</v>
      </c>
      <c r="H301" t="s">
        <v>160</v>
      </c>
      <c r="I301" s="2">
        <v>2.7</v>
      </c>
      <c r="J301" t="s">
        <v>57</v>
      </c>
    </row>
    <row r="302" spans="1:10">
      <c r="A302" t="s">
        <v>447</v>
      </c>
      <c r="B302" t="s">
        <v>56</v>
      </c>
      <c r="C302" s="1">
        <v>44735</v>
      </c>
      <c r="D302" t="s">
        <v>22</v>
      </c>
      <c r="E302" t="s">
        <v>22</v>
      </c>
      <c r="F302" s="3">
        <v>2023</v>
      </c>
      <c r="G302" s="3">
        <v>3</v>
      </c>
      <c r="H302" t="s">
        <v>183</v>
      </c>
      <c r="I302" s="2">
        <v>3.5</v>
      </c>
      <c r="J302" t="s">
        <v>57</v>
      </c>
    </row>
    <row r="303" spans="1:10">
      <c r="A303" t="s">
        <v>448</v>
      </c>
      <c r="B303" t="s">
        <v>56</v>
      </c>
      <c r="C303" s="1">
        <v>44735</v>
      </c>
      <c r="D303" t="s">
        <v>134</v>
      </c>
      <c r="E303" t="s">
        <v>24</v>
      </c>
      <c r="F303" s="3">
        <v>2023</v>
      </c>
      <c r="G303" s="3">
        <v>3</v>
      </c>
      <c r="H303" t="s">
        <v>183</v>
      </c>
      <c r="I303" s="2">
        <v>3.5</v>
      </c>
      <c r="J303" t="s">
        <v>57</v>
      </c>
    </row>
    <row r="304" spans="1:10">
      <c r="A304" t="s">
        <v>449</v>
      </c>
      <c r="B304" t="s">
        <v>56</v>
      </c>
      <c r="C304" s="1">
        <v>44735</v>
      </c>
      <c r="D304" t="s">
        <v>210</v>
      </c>
      <c r="E304" t="s">
        <v>25</v>
      </c>
      <c r="F304" s="3">
        <v>2023</v>
      </c>
      <c r="G304" s="3">
        <v>3</v>
      </c>
      <c r="H304" t="s">
        <v>183</v>
      </c>
      <c r="I304" s="2">
        <v>3.4</v>
      </c>
      <c r="J304" t="s">
        <v>57</v>
      </c>
    </row>
    <row r="305" spans="1:10">
      <c r="A305" t="s">
        <v>450</v>
      </c>
      <c r="B305" t="s">
        <v>56</v>
      </c>
      <c r="C305" s="1">
        <v>44735</v>
      </c>
      <c r="D305" t="s">
        <v>212</v>
      </c>
      <c r="E305" t="s">
        <v>26</v>
      </c>
      <c r="F305" s="3">
        <v>2023</v>
      </c>
      <c r="G305" s="3">
        <v>3</v>
      </c>
      <c r="H305" t="s">
        <v>183</v>
      </c>
      <c r="I305" s="2">
        <v>3.2</v>
      </c>
      <c r="J305" t="s">
        <v>57</v>
      </c>
    </row>
    <row r="306" spans="1:10">
      <c r="A306" t="s">
        <v>451</v>
      </c>
      <c r="B306" t="s">
        <v>56</v>
      </c>
      <c r="C306" s="1">
        <v>44735</v>
      </c>
      <c r="D306" t="s">
        <v>22</v>
      </c>
      <c r="E306" t="s">
        <v>22</v>
      </c>
      <c r="F306" s="3">
        <v>2023</v>
      </c>
      <c r="G306" s="3">
        <v>4</v>
      </c>
      <c r="H306" t="s">
        <v>254</v>
      </c>
      <c r="I306" s="2">
        <v>3.2</v>
      </c>
      <c r="J306" t="s">
        <v>57</v>
      </c>
    </row>
    <row r="307" spans="1:10">
      <c r="A307" t="s">
        <v>452</v>
      </c>
      <c r="B307" t="s">
        <v>56</v>
      </c>
      <c r="C307" s="1">
        <v>44735</v>
      </c>
      <c r="D307" t="s">
        <v>134</v>
      </c>
      <c r="E307" t="s">
        <v>24</v>
      </c>
      <c r="F307" s="3">
        <v>2023</v>
      </c>
      <c r="G307" s="3">
        <v>4</v>
      </c>
      <c r="H307" t="s">
        <v>254</v>
      </c>
      <c r="I307" s="2">
        <v>3.2</v>
      </c>
      <c r="J307" t="s">
        <v>57</v>
      </c>
    </row>
    <row r="308" spans="1:10">
      <c r="A308" t="s">
        <v>453</v>
      </c>
      <c r="B308" t="s">
        <v>56</v>
      </c>
      <c r="C308" s="1">
        <v>44735</v>
      </c>
      <c r="D308" t="s">
        <v>210</v>
      </c>
      <c r="E308" t="s">
        <v>25</v>
      </c>
      <c r="F308" s="3">
        <v>2023</v>
      </c>
      <c r="G308" s="3">
        <v>4</v>
      </c>
      <c r="H308" t="s">
        <v>254</v>
      </c>
      <c r="I308" s="2">
        <v>3.9</v>
      </c>
      <c r="J308" t="s">
        <v>57</v>
      </c>
    </row>
    <row r="309" spans="1:10">
      <c r="A309" t="s">
        <v>454</v>
      </c>
      <c r="B309" t="s">
        <v>56</v>
      </c>
      <c r="C309" s="1">
        <v>44735</v>
      </c>
      <c r="D309" t="s">
        <v>212</v>
      </c>
      <c r="E309" t="s">
        <v>26</v>
      </c>
      <c r="F309" s="3">
        <v>2023</v>
      </c>
      <c r="G309" s="3">
        <v>4</v>
      </c>
      <c r="H309" t="s">
        <v>254</v>
      </c>
      <c r="I309" s="2">
        <v>3.3</v>
      </c>
      <c r="J309" t="s">
        <v>57</v>
      </c>
    </row>
    <row r="310" spans="1:10">
      <c r="A310" t="s">
        <v>455</v>
      </c>
      <c r="B310" t="s">
        <v>56</v>
      </c>
      <c r="C310" s="1">
        <v>44735</v>
      </c>
      <c r="D310" t="s">
        <v>22</v>
      </c>
      <c r="E310" t="s">
        <v>22</v>
      </c>
      <c r="F310" s="3">
        <v>2024</v>
      </c>
      <c r="G310" s="3">
        <v>1</v>
      </c>
      <c r="H310" t="s">
        <v>355</v>
      </c>
      <c r="I310" s="2">
        <v>3.1</v>
      </c>
      <c r="J310" t="s">
        <v>57</v>
      </c>
    </row>
    <row r="311" spans="1:10">
      <c r="A311" t="s">
        <v>456</v>
      </c>
      <c r="B311" t="s">
        <v>56</v>
      </c>
      <c r="C311" s="1">
        <v>44735</v>
      </c>
      <c r="D311" t="s">
        <v>134</v>
      </c>
      <c r="E311" t="s">
        <v>24</v>
      </c>
      <c r="F311" s="3">
        <v>2024</v>
      </c>
      <c r="G311" s="3">
        <v>1</v>
      </c>
      <c r="H311" t="s">
        <v>355</v>
      </c>
      <c r="I311" s="2">
        <v>3.1</v>
      </c>
      <c r="J311" t="s">
        <v>57</v>
      </c>
    </row>
    <row r="312" spans="1:10">
      <c r="A312" t="s">
        <v>457</v>
      </c>
      <c r="B312" t="s">
        <v>56</v>
      </c>
      <c r="C312" s="1">
        <v>44735</v>
      </c>
      <c r="D312" t="s">
        <v>210</v>
      </c>
      <c r="E312" t="s">
        <v>25</v>
      </c>
      <c r="F312" s="3">
        <v>2024</v>
      </c>
      <c r="G312" s="3">
        <v>1</v>
      </c>
      <c r="H312" t="s">
        <v>355</v>
      </c>
      <c r="I312" s="2">
        <v>3.1</v>
      </c>
      <c r="J312" t="s">
        <v>57</v>
      </c>
    </row>
    <row r="313" spans="1:10">
      <c r="A313" t="s">
        <v>458</v>
      </c>
      <c r="B313" t="s">
        <v>56</v>
      </c>
      <c r="C313" s="1">
        <v>44735</v>
      </c>
      <c r="D313" t="s">
        <v>212</v>
      </c>
      <c r="E313" t="s">
        <v>26</v>
      </c>
      <c r="F313" s="3">
        <v>2024</v>
      </c>
      <c r="G313" s="3">
        <v>1</v>
      </c>
      <c r="H313" t="s">
        <v>355</v>
      </c>
      <c r="I313" s="2">
        <v>3.1</v>
      </c>
      <c r="J313" t="s">
        <v>57</v>
      </c>
    </row>
    <row r="314" spans="1:10">
      <c r="A314" t="s">
        <v>459</v>
      </c>
      <c r="B314" t="s">
        <v>56</v>
      </c>
      <c r="C314" s="1">
        <v>44735</v>
      </c>
      <c r="D314" t="s">
        <v>22</v>
      </c>
      <c r="E314" t="s">
        <v>22</v>
      </c>
      <c r="F314" s="3">
        <v>2024</v>
      </c>
      <c r="G314" s="3">
        <v>2</v>
      </c>
      <c r="H314" t="s">
        <v>460</v>
      </c>
      <c r="I314" s="2">
        <v>3.1</v>
      </c>
      <c r="J314" t="s">
        <v>57</v>
      </c>
    </row>
    <row r="315" spans="1:10">
      <c r="A315" t="s">
        <v>461</v>
      </c>
      <c r="B315" t="s">
        <v>56</v>
      </c>
      <c r="C315" s="1">
        <v>44735</v>
      </c>
      <c r="D315" t="s">
        <v>134</v>
      </c>
      <c r="E315" t="s">
        <v>24</v>
      </c>
      <c r="F315" s="3">
        <v>2024</v>
      </c>
      <c r="G315" s="3">
        <v>2</v>
      </c>
      <c r="H315" t="s">
        <v>460</v>
      </c>
      <c r="I315" s="2">
        <v>3.1</v>
      </c>
      <c r="J315" t="s">
        <v>57</v>
      </c>
    </row>
    <row r="316" spans="1:10">
      <c r="A316" t="s">
        <v>462</v>
      </c>
      <c r="B316" t="s">
        <v>56</v>
      </c>
      <c r="C316" s="1">
        <v>44735</v>
      </c>
      <c r="D316" t="s">
        <v>210</v>
      </c>
      <c r="E316" t="s">
        <v>25</v>
      </c>
      <c r="F316" s="3">
        <v>2024</v>
      </c>
      <c r="G316" s="3">
        <v>2</v>
      </c>
      <c r="H316" t="s">
        <v>460</v>
      </c>
      <c r="I316" s="2">
        <v>2.2999999999999998</v>
      </c>
      <c r="J316" t="s">
        <v>57</v>
      </c>
    </row>
    <row r="317" spans="1:10">
      <c r="A317" t="s">
        <v>463</v>
      </c>
      <c r="B317" t="s">
        <v>56</v>
      </c>
      <c r="C317" s="1">
        <v>44735</v>
      </c>
      <c r="D317" t="s">
        <v>212</v>
      </c>
      <c r="E317" t="s">
        <v>26</v>
      </c>
      <c r="F317" s="3">
        <v>2024</v>
      </c>
      <c r="G317" s="3">
        <v>2</v>
      </c>
      <c r="H317" t="s">
        <v>460</v>
      </c>
      <c r="I317" s="2">
        <v>2.7</v>
      </c>
      <c r="J317" t="s">
        <v>57</v>
      </c>
    </row>
    <row r="318" spans="1:10">
      <c r="A318" t="s">
        <v>464</v>
      </c>
      <c r="B318" t="s">
        <v>58</v>
      </c>
      <c r="C318" s="1">
        <v>44784</v>
      </c>
      <c r="D318" t="s">
        <v>22</v>
      </c>
      <c r="E318" t="s">
        <v>22</v>
      </c>
      <c r="F318" s="3">
        <v>2021</v>
      </c>
      <c r="G318" s="3">
        <v>2</v>
      </c>
      <c r="H318" t="s">
        <v>136</v>
      </c>
      <c r="I318" s="2">
        <v>6</v>
      </c>
      <c r="J318" t="s">
        <v>59</v>
      </c>
    </row>
    <row r="319" spans="1:10">
      <c r="A319" t="s">
        <v>465</v>
      </c>
      <c r="B319" t="s">
        <v>58</v>
      </c>
      <c r="C319" s="1">
        <v>44784</v>
      </c>
      <c r="D319" t="s">
        <v>134</v>
      </c>
      <c r="E319" t="s">
        <v>24</v>
      </c>
      <c r="F319" s="3">
        <v>2021</v>
      </c>
      <c r="G319" s="3">
        <v>2</v>
      </c>
      <c r="H319" t="s">
        <v>136</v>
      </c>
      <c r="I319" s="2">
        <v>4.4000000000000004</v>
      </c>
      <c r="J319" t="s">
        <v>59</v>
      </c>
    </row>
    <row r="320" spans="1:10">
      <c r="A320" t="s">
        <v>466</v>
      </c>
      <c r="B320" t="s">
        <v>58</v>
      </c>
      <c r="C320" s="1">
        <v>44784</v>
      </c>
      <c r="D320" t="s">
        <v>210</v>
      </c>
      <c r="E320" t="s">
        <v>25</v>
      </c>
      <c r="F320" s="3">
        <v>2021</v>
      </c>
      <c r="G320" s="3">
        <v>2</v>
      </c>
      <c r="H320" t="s">
        <v>136</v>
      </c>
      <c r="I320" s="2">
        <v>8.6999999999999993</v>
      </c>
      <c r="J320" t="s">
        <v>59</v>
      </c>
    </row>
    <row r="321" spans="1:10">
      <c r="A321" t="s">
        <v>467</v>
      </c>
      <c r="B321" t="s">
        <v>58</v>
      </c>
      <c r="C321" s="1">
        <v>44784</v>
      </c>
      <c r="D321" t="s">
        <v>212</v>
      </c>
      <c r="E321" t="s">
        <v>26</v>
      </c>
      <c r="F321" s="3">
        <v>2021</v>
      </c>
      <c r="G321" s="3">
        <v>2</v>
      </c>
      <c r="H321" t="s">
        <v>136</v>
      </c>
      <c r="I321" s="2">
        <v>5.3</v>
      </c>
      <c r="J321" t="s">
        <v>59</v>
      </c>
    </row>
    <row r="322" spans="1:10">
      <c r="A322" t="s">
        <v>468</v>
      </c>
      <c r="B322" t="s">
        <v>58</v>
      </c>
      <c r="C322" s="1">
        <v>44784</v>
      </c>
      <c r="D322" t="s">
        <v>22</v>
      </c>
      <c r="E322" t="s">
        <v>22</v>
      </c>
      <c r="F322" s="3">
        <v>2021</v>
      </c>
      <c r="G322" s="3">
        <v>3</v>
      </c>
      <c r="H322" t="s">
        <v>139</v>
      </c>
      <c r="I322" s="2">
        <v>5.8</v>
      </c>
      <c r="J322" t="s">
        <v>59</v>
      </c>
    </row>
    <row r="323" spans="1:10">
      <c r="A323" t="s">
        <v>469</v>
      </c>
      <c r="B323" t="s">
        <v>58</v>
      </c>
      <c r="C323" s="1">
        <v>44784</v>
      </c>
      <c r="D323" t="s">
        <v>134</v>
      </c>
      <c r="E323" t="s">
        <v>24</v>
      </c>
      <c r="F323" s="3">
        <v>2021</v>
      </c>
      <c r="G323" s="3">
        <v>3</v>
      </c>
      <c r="H323" t="s">
        <v>139</v>
      </c>
      <c r="I323" s="2">
        <v>4.8</v>
      </c>
      <c r="J323" t="s">
        <v>59</v>
      </c>
    </row>
    <row r="324" spans="1:10">
      <c r="A324" t="s">
        <v>470</v>
      </c>
      <c r="B324" t="s">
        <v>58</v>
      </c>
      <c r="C324" s="1">
        <v>44784</v>
      </c>
      <c r="D324" t="s">
        <v>210</v>
      </c>
      <c r="E324" t="s">
        <v>25</v>
      </c>
      <c r="F324" s="3">
        <v>2021</v>
      </c>
      <c r="G324" s="3">
        <v>3</v>
      </c>
      <c r="H324" t="s">
        <v>139</v>
      </c>
      <c r="I324" s="2">
        <v>5.8</v>
      </c>
      <c r="J324" t="s">
        <v>59</v>
      </c>
    </row>
    <row r="325" spans="1:10">
      <c r="A325" t="s">
        <v>471</v>
      </c>
      <c r="B325" t="s">
        <v>58</v>
      </c>
      <c r="C325" s="1">
        <v>44784</v>
      </c>
      <c r="D325" t="s">
        <v>212</v>
      </c>
      <c r="E325" t="s">
        <v>26</v>
      </c>
      <c r="F325" s="3">
        <v>2021</v>
      </c>
      <c r="G325" s="3">
        <v>3</v>
      </c>
      <c r="H325" t="s">
        <v>139</v>
      </c>
      <c r="I325" s="2">
        <v>5.9</v>
      </c>
      <c r="J325" t="s">
        <v>59</v>
      </c>
    </row>
    <row r="326" spans="1:10">
      <c r="A326" t="s">
        <v>472</v>
      </c>
      <c r="B326" t="s">
        <v>58</v>
      </c>
      <c r="C326" s="1">
        <v>44784</v>
      </c>
      <c r="D326" t="s">
        <v>22</v>
      </c>
      <c r="E326" t="s">
        <v>22</v>
      </c>
      <c r="F326" s="3">
        <v>2021</v>
      </c>
      <c r="G326" s="3">
        <v>4</v>
      </c>
      <c r="H326" t="s">
        <v>142</v>
      </c>
      <c r="I326" s="2">
        <v>7</v>
      </c>
      <c r="J326" t="s">
        <v>59</v>
      </c>
    </row>
    <row r="327" spans="1:10">
      <c r="A327" t="s">
        <v>473</v>
      </c>
      <c r="B327" t="s">
        <v>58</v>
      </c>
      <c r="C327" s="1">
        <v>44784</v>
      </c>
      <c r="D327" t="s">
        <v>134</v>
      </c>
      <c r="E327" t="s">
        <v>24</v>
      </c>
      <c r="F327" s="3">
        <v>2021</v>
      </c>
      <c r="G327" s="3">
        <v>4</v>
      </c>
      <c r="H327" t="s">
        <v>142</v>
      </c>
      <c r="I327" s="2">
        <v>5.6</v>
      </c>
      <c r="J327" t="s">
        <v>59</v>
      </c>
    </row>
    <row r="328" spans="1:10">
      <c r="A328" t="s">
        <v>474</v>
      </c>
      <c r="B328" t="s">
        <v>58</v>
      </c>
      <c r="C328" s="1">
        <v>44784</v>
      </c>
      <c r="D328" t="s">
        <v>210</v>
      </c>
      <c r="E328" t="s">
        <v>25</v>
      </c>
      <c r="F328" s="3">
        <v>2021</v>
      </c>
      <c r="G328" s="3">
        <v>4</v>
      </c>
      <c r="H328" t="s">
        <v>142</v>
      </c>
      <c r="I328" s="2">
        <v>7.2</v>
      </c>
      <c r="J328" t="s">
        <v>59</v>
      </c>
    </row>
    <row r="329" spans="1:10">
      <c r="A329" t="s">
        <v>475</v>
      </c>
      <c r="B329" t="s">
        <v>58</v>
      </c>
      <c r="C329" s="1">
        <v>44784</v>
      </c>
      <c r="D329" t="s">
        <v>212</v>
      </c>
      <c r="E329" t="s">
        <v>26</v>
      </c>
      <c r="F329" s="3">
        <v>2021</v>
      </c>
      <c r="G329" s="3">
        <v>4</v>
      </c>
      <c r="H329" t="s">
        <v>142</v>
      </c>
      <c r="I329" s="2">
        <v>6.8</v>
      </c>
      <c r="J329" t="s">
        <v>59</v>
      </c>
    </row>
    <row r="330" spans="1:10">
      <c r="A330" t="s">
        <v>476</v>
      </c>
      <c r="B330" t="s">
        <v>58</v>
      </c>
      <c r="C330" s="1">
        <v>44784</v>
      </c>
      <c r="D330" t="s">
        <v>22</v>
      </c>
      <c r="E330" t="s">
        <v>22</v>
      </c>
      <c r="F330" s="3">
        <v>2022</v>
      </c>
      <c r="G330" s="3">
        <v>1</v>
      </c>
      <c r="H330" t="s">
        <v>145</v>
      </c>
      <c r="I330" s="2">
        <v>7.3</v>
      </c>
      <c r="J330" t="s">
        <v>59</v>
      </c>
    </row>
    <row r="331" spans="1:10">
      <c r="A331" t="s">
        <v>477</v>
      </c>
      <c r="B331" t="s">
        <v>58</v>
      </c>
      <c r="C331" s="1">
        <v>44784</v>
      </c>
      <c r="D331" t="s">
        <v>134</v>
      </c>
      <c r="E331" t="s">
        <v>24</v>
      </c>
      <c r="F331" s="3">
        <v>2022</v>
      </c>
      <c r="G331" s="3">
        <v>1</v>
      </c>
      <c r="H331" t="s">
        <v>145</v>
      </c>
      <c r="I331" s="2">
        <v>6.5</v>
      </c>
      <c r="J331" t="s">
        <v>59</v>
      </c>
    </row>
    <row r="332" spans="1:10">
      <c r="A332" t="s">
        <v>478</v>
      </c>
      <c r="B332" t="s">
        <v>58</v>
      </c>
      <c r="C332" s="1">
        <v>44784</v>
      </c>
      <c r="D332" t="s">
        <v>210</v>
      </c>
      <c r="E332" t="s">
        <v>25</v>
      </c>
      <c r="F332" s="3">
        <v>2022</v>
      </c>
      <c r="G332" s="3">
        <v>1</v>
      </c>
      <c r="H332" t="s">
        <v>145</v>
      </c>
      <c r="I332" s="2">
        <v>7.5</v>
      </c>
      <c r="J332" t="s">
        <v>59</v>
      </c>
    </row>
    <row r="333" spans="1:10">
      <c r="A333" t="s">
        <v>479</v>
      </c>
      <c r="B333" t="s">
        <v>58</v>
      </c>
      <c r="C333" s="1">
        <v>44784</v>
      </c>
      <c r="D333" t="s">
        <v>212</v>
      </c>
      <c r="E333" t="s">
        <v>26</v>
      </c>
      <c r="F333" s="3">
        <v>2022</v>
      </c>
      <c r="G333" s="3">
        <v>1</v>
      </c>
      <c r="H333" t="s">
        <v>145</v>
      </c>
      <c r="I333" s="2">
        <v>8.1999999999999993</v>
      </c>
      <c r="J333" t="s">
        <v>59</v>
      </c>
    </row>
    <row r="334" spans="1:10">
      <c r="A334" t="s">
        <v>480</v>
      </c>
      <c r="B334" t="s">
        <v>58</v>
      </c>
      <c r="C334" s="1">
        <v>44784</v>
      </c>
      <c r="D334" t="s">
        <v>22</v>
      </c>
      <c r="E334" t="s">
        <v>22</v>
      </c>
      <c r="F334" s="3">
        <v>2022</v>
      </c>
      <c r="G334" s="3">
        <v>2</v>
      </c>
      <c r="H334" t="s">
        <v>148</v>
      </c>
      <c r="I334" s="2">
        <v>7.8</v>
      </c>
      <c r="J334" t="s">
        <v>59</v>
      </c>
    </row>
    <row r="335" spans="1:10">
      <c r="A335" t="s">
        <v>481</v>
      </c>
      <c r="B335" t="s">
        <v>58</v>
      </c>
      <c r="C335" s="1">
        <v>44784</v>
      </c>
      <c r="D335" t="s">
        <v>134</v>
      </c>
      <c r="E335" t="s">
        <v>24</v>
      </c>
      <c r="F335" s="3">
        <v>2022</v>
      </c>
      <c r="G335" s="3">
        <v>2</v>
      </c>
      <c r="H335" t="s">
        <v>148</v>
      </c>
      <c r="I335" s="2">
        <v>7.3</v>
      </c>
      <c r="J335" t="s">
        <v>59</v>
      </c>
    </row>
    <row r="336" spans="1:10">
      <c r="A336" t="s">
        <v>482</v>
      </c>
      <c r="B336" t="s">
        <v>58</v>
      </c>
      <c r="C336" s="1">
        <v>44784</v>
      </c>
      <c r="D336" t="s">
        <v>210</v>
      </c>
      <c r="E336" t="s">
        <v>25</v>
      </c>
      <c r="F336" s="3">
        <v>2022</v>
      </c>
      <c r="G336" s="3">
        <v>2</v>
      </c>
      <c r="H336" t="s">
        <v>148</v>
      </c>
      <c r="I336" s="2">
        <v>10.7</v>
      </c>
      <c r="J336" t="s">
        <v>59</v>
      </c>
    </row>
    <row r="337" spans="1:10">
      <c r="A337" t="s">
        <v>483</v>
      </c>
      <c r="B337" t="s">
        <v>58</v>
      </c>
      <c r="C337" s="1">
        <v>44784</v>
      </c>
      <c r="D337" t="s">
        <v>212</v>
      </c>
      <c r="E337" t="s">
        <v>26</v>
      </c>
      <c r="F337" s="3">
        <v>2022</v>
      </c>
      <c r="G337" s="3">
        <v>2</v>
      </c>
      <c r="H337" t="s">
        <v>148</v>
      </c>
      <c r="I337" s="2">
        <v>8.5</v>
      </c>
      <c r="J337" t="s">
        <v>59</v>
      </c>
    </row>
    <row r="338" spans="1:10">
      <c r="A338" t="s">
        <v>484</v>
      </c>
      <c r="B338" t="s">
        <v>58</v>
      </c>
      <c r="C338" s="1">
        <v>44784</v>
      </c>
      <c r="D338" t="s">
        <v>22</v>
      </c>
      <c r="E338" t="s">
        <v>22</v>
      </c>
      <c r="F338" s="3">
        <v>2022</v>
      </c>
      <c r="G338" s="3">
        <v>3</v>
      </c>
      <c r="H338" t="s">
        <v>151</v>
      </c>
      <c r="I338" s="2">
        <v>8.5</v>
      </c>
      <c r="J338" t="s">
        <v>59</v>
      </c>
    </row>
    <row r="339" spans="1:10">
      <c r="A339" t="s">
        <v>485</v>
      </c>
      <c r="B339" t="s">
        <v>58</v>
      </c>
      <c r="C339" s="1">
        <v>44784</v>
      </c>
      <c r="D339" t="s">
        <v>134</v>
      </c>
      <c r="E339" t="s">
        <v>24</v>
      </c>
      <c r="F339" s="3">
        <v>2022</v>
      </c>
      <c r="G339" s="3">
        <v>3</v>
      </c>
      <c r="H339" t="s">
        <v>151</v>
      </c>
      <c r="I339" s="2">
        <v>7.9</v>
      </c>
      <c r="J339" t="s">
        <v>59</v>
      </c>
    </row>
    <row r="340" spans="1:10">
      <c r="A340" t="s">
        <v>486</v>
      </c>
      <c r="B340" t="s">
        <v>58</v>
      </c>
      <c r="C340" s="1">
        <v>44784</v>
      </c>
      <c r="D340" t="s">
        <v>210</v>
      </c>
      <c r="E340" t="s">
        <v>25</v>
      </c>
      <c r="F340" s="3">
        <v>2022</v>
      </c>
      <c r="G340" s="3">
        <v>3</v>
      </c>
      <c r="H340" t="s">
        <v>151</v>
      </c>
      <c r="I340" s="2">
        <v>8.5</v>
      </c>
      <c r="J340" t="s">
        <v>59</v>
      </c>
    </row>
    <row r="341" spans="1:10">
      <c r="A341" t="s">
        <v>487</v>
      </c>
      <c r="B341" t="s">
        <v>58</v>
      </c>
      <c r="C341" s="1">
        <v>44784</v>
      </c>
      <c r="D341" t="s">
        <v>212</v>
      </c>
      <c r="E341" t="s">
        <v>26</v>
      </c>
      <c r="F341" s="3">
        <v>2022</v>
      </c>
      <c r="G341" s="3">
        <v>3</v>
      </c>
      <c r="H341" t="s">
        <v>151</v>
      </c>
      <c r="I341" s="2">
        <v>8.1999999999999993</v>
      </c>
      <c r="J341" t="s">
        <v>59</v>
      </c>
    </row>
    <row r="342" spans="1:10">
      <c r="A342" t="s">
        <v>488</v>
      </c>
      <c r="B342" t="s">
        <v>58</v>
      </c>
      <c r="C342" s="1">
        <v>44784</v>
      </c>
      <c r="D342" t="s">
        <v>22</v>
      </c>
      <c r="E342" t="s">
        <v>22</v>
      </c>
      <c r="F342" s="3">
        <v>2022</v>
      </c>
      <c r="G342" s="3">
        <v>4</v>
      </c>
      <c r="H342" t="s">
        <v>154</v>
      </c>
      <c r="I342" s="2">
        <v>8.1</v>
      </c>
      <c r="J342" t="s">
        <v>59</v>
      </c>
    </row>
    <row r="343" spans="1:10">
      <c r="A343" t="s">
        <v>489</v>
      </c>
      <c r="B343" t="s">
        <v>58</v>
      </c>
      <c r="C343" s="1">
        <v>44784</v>
      </c>
      <c r="D343" t="s">
        <v>134</v>
      </c>
      <c r="E343" t="s">
        <v>24</v>
      </c>
      <c r="F343" s="3">
        <v>2022</v>
      </c>
      <c r="G343" s="3">
        <v>4</v>
      </c>
      <c r="H343" t="s">
        <v>154</v>
      </c>
      <c r="I343" s="2">
        <v>7.6</v>
      </c>
      <c r="J343" t="s">
        <v>59</v>
      </c>
    </row>
    <row r="344" spans="1:10">
      <c r="A344" t="s">
        <v>490</v>
      </c>
      <c r="B344" t="s">
        <v>58</v>
      </c>
      <c r="C344" s="1">
        <v>44784</v>
      </c>
      <c r="D344" t="s">
        <v>210</v>
      </c>
      <c r="E344" t="s">
        <v>25</v>
      </c>
      <c r="F344" s="3">
        <v>2022</v>
      </c>
      <c r="G344" s="3">
        <v>4</v>
      </c>
      <c r="H344" t="s">
        <v>154</v>
      </c>
      <c r="I344" s="2">
        <v>5.8</v>
      </c>
      <c r="J344" t="s">
        <v>59</v>
      </c>
    </row>
    <row r="345" spans="1:10">
      <c r="A345" t="s">
        <v>491</v>
      </c>
      <c r="B345" t="s">
        <v>58</v>
      </c>
      <c r="C345" s="1">
        <v>44784</v>
      </c>
      <c r="D345" t="s">
        <v>212</v>
      </c>
      <c r="E345" t="s">
        <v>26</v>
      </c>
      <c r="F345" s="3">
        <v>2022</v>
      </c>
      <c r="G345" s="3">
        <v>4</v>
      </c>
      <c r="H345" t="s">
        <v>154</v>
      </c>
      <c r="I345" s="2">
        <v>5.6</v>
      </c>
      <c r="J345" t="s">
        <v>59</v>
      </c>
    </row>
    <row r="346" spans="1:10">
      <c r="A346" t="s">
        <v>492</v>
      </c>
      <c r="B346" t="s">
        <v>58</v>
      </c>
      <c r="C346" s="1">
        <v>44784</v>
      </c>
      <c r="D346" t="s">
        <v>22</v>
      </c>
      <c r="E346" t="s">
        <v>22</v>
      </c>
      <c r="F346" s="3">
        <v>2023</v>
      </c>
      <c r="G346" s="3">
        <v>1</v>
      </c>
      <c r="H346" t="s">
        <v>157</v>
      </c>
      <c r="I346" s="2">
        <v>7.1</v>
      </c>
      <c r="J346" t="s">
        <v>59</v>
      </c>
    </row>
    <row r="347" spans="1:10">
      <c r="A347" t="s">
        <v>493</v>
      </c>
      <c r="B347" t="s">
        <v>58</v>
      </c>
      <c r="C347" s="1">
        <v>44784</v>
      </c>
      <c r="D347" t="s">
        <v>134</v>
      </c>
      <c r="E347" t="s">
        <v>24</v>
      </c>
      <c r="F347" s="3">
        <v>2023</v>
      </c>
      <c r="G347" s="3">
        <v>1</v>
      </c>
      <c r="H347" t="s">
        <v>157</v>
      </c>
      <c r="I347" s="2">
        <v>6.5</v>
      </c>
      <c r="J347" t="s">
        <v>59</v>
      </c>
    </row>
    <row r="348" spans="1:10">
      <c r="A348" t="s">
        <v>494</v>
      </c>
      <c r="B348" t="s">
        <v>58</v>
      </c>
      <c r="C348" s="1">
        <v>44784</v>
      </c>
      <c r="D348" t="s">
        <v>210</v>
      </c>
      <c r="E348" t="s">
        <v>25</v>
      </c>
      <c r="F348" s="3">
        <v>2023</v>
      </c>
      <c r="G348" s="3">
        <v>1</v>
      </c>
      <c r="H348" t="s">
        <v>157</v>
      </c>
      <c r="I348" s="2">
        <v>3.6</v>
      </c>
      <c r="J348" t="s">
        <v>59</v>
      </c>
    </row>
    <row r="349" spans="1:10">
      <c r="A349" t="s">
        <v>495</v>
      </c>
      <c r="B349" t="s">
        <v>58</v>
      </c>
      <c r="C349" s="1">
        <v>44784</v>
      </c>
      <c r="D349" t="s">
        <v>212</v>
      </c>
      <c r="E349" t="s">
        <v>26</v>
      </c>
      <c r="F349" s="3">
        <v>2023</v>
      </c>
      <c r="G349" s="3">
        <v>1</v>
      </c>
      <c r="H349" t="s">
        <v>157</v>
      </c>
      <c r="I349" s="2">
        <v>3.9</v>
      </c>
      <c r="J349" t="s">
        <v>59</v>
      </c>
    </row>
    <row r="350" spans="1:10">
      <c r="A350" t="s">
        <v>496</v>
      </c>
      <c r="B350" t="s">
        <v>58</v>
      </c>
      <c r="C350" s="1">
        <v>44784</v>
      </c>
      <c r="D350" t="s">
        <v>22</v>
      </c>
      <c r="E350" t="s">
        <v>22</v>
      </c>
      <c r="F350" s="3">
        <v>2023</v>
      </c>
      <c r="G350" s="3">
        <v>2</v>
      </c>
      <c r="H350" t="s">
        <v>160</v>
      </c>
      <c r="I350" s="2">
        <v>5</v>
      </c>
      <c r="J350" t="s">
        <v>59</v>
      </c>
    </row>
    <row r="351" spans="1:10">
      <c r="A351" t="s">
        <v>497</v>
      </c>
      <c r="B351" t="s">
        <v>58</v>
      </c>
      <c r="C351" s="1">
        <v>44784</v>
      </c>
      <c r="D351" t="s">
        <v>134</v>
      </c>
      <c r="E351" t="s">
        <v>24</v>
      </c>
      <c r="F351" s="3">
        <v>2023</v>
      </c>
      <c r="G351" s="3">
        <v>2</v>
      </c>
      <c r="H351" t="s">
        <v>160</v>
      </c>
      <c r="I351" s="2">
        <v>5.0999999999999996</v>
      </c>
      <c r="J351" t="s">
        <v>59</v>
      </c>
    </row>
    <row r="352" spans="1:10">
      <c r="A352" t="s">
        <v>498</v>
      </c>
      <c r="B352" t="s">
        <v>58</v>
      </c>
      <c r="C352" s="1">
        <v>44784</v>
      </c>
      <c r="D352" t="s">
        <v>210</v>
      </c>
      <c r="E352" t="s">
        <v>25</v>
      </c>
      <c r="F352" s="3">
        <v>2023</v>
      </c>
      <c r="G352" s="3">
        <v>2</v>
      </c>
      <c r="H352" t="s">
        <v>160</v>
      </c>
      <c r="I352" s="2">
        <v>2.2999999999999998</v>
      </c>
      <c r="J352" t="s">
        <v>59</v>
      </c>
    </row>
    <row r="353" spans="1:10">
      <c r="A353" t="s">
        <v>499</v>
      </c>
      <c r="B353" t="s">
        <v>58</v>
      </c>
      <c r="C353" s="1">
        <v>44784</v>
      </c>
      <c r="D353" t="s">
        <v>212</v>
      </c>
      <c r="E353" t="s">
        <v>26</v>
      </c>
      <c r="F353" s="3">
        <v>2023</v>
      </c>
      <c r="G353" s="3">
        <v>2</v>
      </c>
      <c r="H353" t="s">
        <v>160</v>
      </c>
      <c r="I353" s="2">
        <v>2.9</v>
      </c>
      <c r="J353" t="s">
        <v>59</v>
      </c>
    </row>
    <row r="354" spans="1:10">
      <c r="A354" t="s">
        <v>500</v>
      </c>
      <c r="B354" t="s">
        <v>58</v>
      </c>
      <c r="C354" s="1">
        <v>44784</v>
      </c>
      <c r="D354" t="s">
        <v>22</v>
      </c>
      <c r="E354" t="s">
        <v>22</v>
      </c>
      <c r="F354" s="3">
        <v>2023</v>
      </c>
      <c r="G354" s="3">
        <v>3</v>
      </c>
      <c r="H354" t="s">
        <v>183</v>
      </c>
      <c r="I354" s="2">
        <v>3.7</v>
      </c>
      <c r="J354" t="s">
        <v>59</v>
      </c>
    </row>
    <row r="355" spans="1:10">
      <c r="A355" t="s">
        <v>501</v>
      </c>
      <c r="B355" t="s">
        <v>58</v>
      </c>
      <c r="C355" s="1">
        <v>44784</v>
      </c>
      <c r="D355" t="s">
        <v>134</v>
      </c>
      <c r="E355" t="s">
        <v>24</v>
      </c>
      <c r="F355" s="3">
        <v>2023</v>
      </c>
      <c r="G355" s="3">
        <v>3</v>
      </c>
      <c r="H355" t="s">
        <v>183</v>
      </c>
      <c r="I355" s="2">
        <v>3.8</v>
      </c>
      <c r="J355" t="s">
        <v>59</v>
      </c>
    </row>
    <row r="356" spans="1:10">
      <c r="A356" t="s">
        <v>502</v>
      </c>
      <c r="B356" t="s">
        <v>58</v>
      </c>
      <c r="C356" s="1">
        <v>44784</v>
      </c>
      <c r="D356" t="s">
        <v>210</v>
      </c>
      <c r="E356" t="s">
        <v>25</v>
      </c>
      <c r="F356" s="3">
        <v>2023</v>
      </c>
      <c r="G356" s="3">
        <v>3</v>
      </c>
      <c r="H356" t="s">
        <v>183</v>
      </c>
      <c r="I356" s="2">
        <v>3.2</v>
      </c>
      <c r="J356" t="s">
        <v>59</v>
      </c>
    </row>
    <row r="357" spans="1:10">
      <c r="A357" t="s">
        <v>503</v>
      </c>
      <c r="B357" t="s">
        <v>58</v>
      </c>
      <c r="C357" s="1">
        <v>44784</v>
      </c>
      <c r="D357" t="s">
        <v>212</v>
      </c>
      <c r="E357" t="s">
        <v>26</v>
      </c>
      <c r="F357" s="3">
        <v>2023</v>
      </c>
      <c r="G357" s="3">
        <v>3</v>
      </c>
      <c r="H357" t="s">
        <v>183</v>
      </c>
      <c r="I357" s="2">
        <v>2.9</v>
      </c>
      <c r="J357" t="s">
        <v>59</v>
      </c>
    </row>
    <row r="358" spans="1:10">
      <c r="A358" t="s">
        <v>504</v>
      </c>
      <c r="B358" t="s">
        <v>58</v>
      </c>
      <c r="C358" s="1">
        <v>44784</v>
      </c>
      <c r="D358" t="s">
        <v>22</v>
      </c>
      <c r="E358" t="s">
        <v>22</v>
      </c>
      <c r="F358" s="3">
        <v>2023</v>
      </c>
      <c r="G358" s="3">
        <v>4</v>
      </c>
      <c r="H358" t="s">
        <v>254</v>
      </c>
      <c r="I358" s="2">
        <v>3.2</v>
      </c>
      <c r="J358" t="s">
        <v>59</v>
      </c>
    </row>
    <row r="359" spans="1:10">
      <c r="A359" t="s">
        <v>505</v>
      </c>
      <c r="B359" t="s">
        <v>58</v>
      </c>
      <c r="C359" s="1">
        <v>44784</v>
      </c>
      <c r="D359" t="s">
        <v>134</v>
      </c>
      <c r="E359" t="s">
        <v>24</v>
      </c>
      <c r="F359" s="3">
        <v>2023</v>
      </c>
      <c r="G359" s="3">
        <v>4</v>
      </c>
      <c r="H359" t="s">
        <v>254</v>
      </c>
      <c r="I359" s="2">
        <v>3.2</v>
      </c>
      <c r="J359" t="s">
        <v>59</v>
      </c>
    </row>
    <row r="360" spans="1:10">
      <c r="A360" t="s">
        <v>506</v>
      </c>
      <c r="B360" t="s">
        <v>58</v>
      </c>
      <c r="C360" s="1">
        <v>44784</v>
      </c>
      <c r="D360" t="s">
        <v>210</v>
      </c>
      <c r="E360" t="s">
        <v>25</v>
      </c>
      <c r="F360" s="3">
        <v>2023</v>
      </c>
      <c r="G360" s="3">
        <v>4</v>
      </c>
      <c r="H360" t="s">
        <v>254</v>
      </c>
      <c r="I360" s="2">
        <v>3.8</v>
      </c>
      <c r="J360" t="s">
        <v>59</v>
      </c>
    </row>
    <row r="361" spans="1:10">
      <c r="A361" t="s">
        <v>507</v>
      </c>
      <c r="B361" t="s">
        <v>58</v>
      </c>
      <c r="C361" s="1">
        <v>44784</v>
      </c>
      <c r="D361" t="s">
        <v>212</v>
      </c>
      <c r="E361" t="s">
        <v>26</v>
      </c>
      <c r="F361" s="3">
        <v>2023</v>
      </c>
      <c r="G361" s="3">
        <v>4</v>
      </c>
      <c r="H361" t="s">
        <v>254</v>
      </c>
      <c r="I361" s="2">
        <v>3.1</v>
      </c>
      <c r="J361" t="s">
        <v>59</v>
      </c>
    </row>
    <row r="362" spans="1:10">
      <c r="A362" t="s">
        <v>508</v>
      </c>
      <c r="B362" t="s">
        <v>58</v>
      </c>
      <c r="C362" s="1">
        <v>44784</v>
      </c>
      <c r="D362" t="s">
        <v>22</v>
      </c>
      <c r="E362" t="s">
        <v>22</v>
      </c>
      <c r="F362" s="3">
        <v>2024</v>
      </c>
      <c r="G362" s="3">
        <v>1</v>
      </c>
      <c r="H362" t="s">
        <v>355</v>
      </c>
      <c r="I362" s="2">
        <v>3.1</v>
      </c>
      <c r="J362" t="s">
        <v>59</v>
      </c>
    </row>
    <row r="363" spans="1:10">
      <c r="A363" t="s">
        <v>509</v>
      </c>
      <c r="B363" t="s">
        <v>58</v>
      </c>
      <c r="C363" s="1">
        <v>44784</v>
      </c>
      <c r="D363" t="s">
        <v>134</v>
      </c>
      <c r="E363" t="s">
        <v>24</v>
      </c>
      <c r="F363" s="3">
        <v>2024</v>
      </c>
      <c r="G363" s="3">
        <v>1</v>
      </c>
      <c r="H363" t="s">
        <v>355</v>
      </c>
      <c r="I363" s="2">
        <v>3.1</v>
      </c>
      <c r="J363" t="s">
        <v>59</v>
      </c>
    </row>
    <row r="364" spans="1:10">
      <c r="A364" t="s">
        <v>510</v>
      </c>
      <c r="B364" t="s">
        <v>58</v>
      </c>
      <c r="C364" s="1">
        <v>44784</v>
      </c>
      <c r="D364" t="s">
        <v>210</v>
      </c>
      <c r="E364" t="s">
        <v>25</v>
      </c>
      <c r="F364" s="3">
        <v>2024</v>
      </c>
      <c r="G364" s="3">
        <v>1</v>
      </c>
      <c r="H364" t="s">
        <v>355</v>
      </c>
      <c r="I364" s="2">
        <v>3.2</v>
      </c>
      <c r="J364" t="s">
        <v>59</v>
      </c>
    </row>
    <row r="365" spans="1:10">
      <c r="A365" t="s">
        <v>511</v>
      </c>
      <c r="B365" t="s">
        <v>58</v>
      </c>
      <c r="C365" s="1">
        <v>44784</v>
      </c>
      <c r="D365" t="s">
        <v>212</v>
      </c>
      <c r="E365" t="s">
        <v>26</v>
      </c>
      <c r="F365" s="3">
        <v>2024</v>
      </c>
      <c r="G365" s="3">
        <v>1</v>
      </c>
      <c r="H365" t="s">
        <v>355</v>
      </c>
      <c r="I365" s="2">
        <v>3.2</v>
      </c>
      <c r="J365" t="s">
        <v>59</v>
      </c>
    </row>
    <row r="366" spans="1:10">
      <c r="A366" t="s">
        <v>512</v>
      </c>
      <c r="B366" t="s">
        <v>58</v>
      </c>
      <c r="C366" s="1">
        <v>44784</v>
      </c>
      <c r="D366" t="s">
        <v>22</v>
      </c>
      <c r="E366" t="s">
        <v>22</v>
      </c>
      <c r="F366" s="3">
        <v>2024</v>
      </c>
      <c r="G366" s="3">
        <v>2</v>
      </c>
      <c r="H366" t="s">
        <v>460</v>
      </c>
      <c r="I366" s="2">
        <v>3.1</v>
      </c>
      <c r="J366" t="s">
        <v>59</v>
      </c>
    </row>
    <row r="367" spans="1:10">
      <c r="A367" t="s">
        <v>513</v>
      </c>
      <c r="B367" t="s">
        <v>58</v>
      </c>
      <c r="C367" s="1">
        <v>44784</v>
      </c>
      <c r="D367" t="s">
        <v>134</v>
      </c>
      <c r="E367" t="s">
        <v>24</v>
      </c>
      <c r="F367" s="3">
        <v>2024</v>
      </c>
      <c r="G367" s="3">
        <v>2</v>
      </c>
      <c r="H367" t="s">
        <v>460</v>
      </c>
      <c r="I367" s="2">
        <v>3</v>
      </c>
      <c r="J367" t="s">
        <v>59</v>
      </c>
    </row>
    <row r="368" spans="1:10">
      <c r="A368" t="s">
        <v>514</v>
      </c>
      <c r="B368" t="s">
        <v>58</v>
      </c>
      <c r="C368" s="1">
        <v>44784</v>
      </c>
      <c r="D368" t="s">
        <v>210</v>
      </c>
      <c r="E368" t="s">
        <v>25</v>
      </c>
      <c r="F368" s="3">
        <v>2024</v>
      </c>
      <c r="G368" s="3">
        <v>2</v>
      </c>
      <c r="H368" t="s">
        <v>460</v>
      </c>
      <c r="I368" s="2">
        <v>2.2999999999999998</v>
      </c>
      <c r="J368" t="s">
        <v>59</v>
      </c>
    </row>
    <row r="369" spans="1:10">
      <c r="A369" t="s">
        <v>515</v>
      </c>
      <c r="B369" t="s">
        <v>58</v>
      </c>
      <c r="C369" s="1">
        <v>44784</v>
      </c>
      <c r="D369" t="s">
        <v>212</v>
      </c>
      <c r="E369" t="s">
        <v>26</v>
      </c>
      <c r="F369" s="3">
        <v>2024</v>
      </c>
      <c r="G369" s="3">
        <v>2</v>
      </c>
      <c r="H369" t="s">
        <v>460</v>
      </c>
      <c r="I369" s="2">
        <v>2.8</v>
      </c>
      <c r="J369" t="s">
        <v>59</v>
      </c>
    </row>
    <row r="370" spans="1:10">
      <c r="A370" t="s">
        <v>516</v>
      </c>
      <c r="B370" t="s">
        <v>60</v>
      </c>
      <c r="C370" s="1">
        <v>44833</v>
      </c>
      <c r="D370" t="s">
        <v>22</v>
      </c>
      <c r="E370" t="s">
        <v>22</v>
      </c>
      <c r="F370" s="3">
        <v>2021</v>
      </c>
      <c r="G370" s="3">
        <v>3</v>
      </c>
      <c r="H370" t="s">
        <v>139</v>
      </c>
      <c r="I370" s="2">
        <v>5.8</v>
      </c>
      <c r="J370" t="s">
        <v>61</v>
      </c>
    </row>
    <row r="371" spans="1:10">
      <c r="A371" t="s">
        <v>517</v>
      </c>
      <c r="B371" t="s">
        <v>60</v>
      </c>
      <c r="C371" s="1">
        <v>44833</v>
      </c>
      <c r="D371" t="s">
        <v>134</v>
      </c>
      <c r="E371" t="s">
        <v>24</v>
      </c>
      <c r="F371" s="3">
        <v>2021</v>
      </c>
      <c r="G371" s="3">
        <v>3</v>
      </c>
      <c r="H371" t="s">
        <v>139</v>
      </c>
      <c r="I371" s="2">
        <v>4.8</v>
      </c>
      <c r="J371" t="s">
        <v>61</v>
      </c>
    </row>
    <row r="372" spans="1:10">
      <c r="A372" t="s">
        <v>518</v>
      </c>
      <c r="B372" t="s">
        <v>60</v>
      </c>
      <c r="C372" s="1">
        <v>44833</v>
      </c>
      <c r="D372" t="s">
        <v>210</v>
      </c>
      <c r="E372" t="s">
        <v>25</v>
      </c>
      <c r="F372" s="3">
        <v>2021</v>
      </c>
      <c r="G372" s="3">
        <v>3</v>
      </c>
      <c r="H372" t="s">
        <v>139</v>
      </c>
      <c r="I372" s="2">
        <v>5.8</v>
      </c>
      <c r="J372" t="s">
        <v>61</v>
      </c>
    </row>
    <row r="373" spans="1:10">
      <c r="A373" t="s">
        <v>519</v>
      </c>
      <c r="B373" t="s">
        <v>60</v>
      </c>
      <c r="C373" s="1">
        <v>44833</v>
      </c>
      <c r="D373" t="s">
        <v>212</v>
      </c>
      <c r="E373" t="s">
        <v>26</v>
      </c>
      <c r="F373" s="3">
        <v>2021</v>
      </c>
      <c r="G373" s="3">
        <v>3</v>
      </c>
      <c r="H373" t="s">
        <v>139</v>
      </c>
      <c r="I373" s="2">
        <v>5.9</v>
      </c>
      <c r="J373" t="s">
        <v>61</v>
      </c>
    </row>
    <row r="374" spans="1:10">
      <c r="A374" t="s">
        <v>520</v>
      </c>
      <c r="B374" t="s">
        <v>60</v>
      </c>
      <c r="C374" s="1">
        <v>44833</v>
      </c>
      <c r="D374" t="s">
        <v>22</v>
      </c>
      <c r="E374" t="s">
        <v>22</v>
      </c>
      <c r="F374" s="3">
        <v>2021</v>
      </c>
      <c r="G374" s="3">
        <v>4</v>
      </c>
      <c r="H374" t="s">
        <v>142</v>
      </c>
      <c r="I374" s="2">
        <v>7</v>
      </c>
      <c r="J374" t="s">
        <v>61</v>
      </c>
    </row>
    <row r="375" spans="1:10">
      <c r="A375" t="s">
        <v>521</v>
      </c>
      <c r="B375" t="s">
        <v>60</v>
      </c>
      <c r="C375" s="1">
        <v>44833</v>
      </c>
      <c r="D375" t="s">
        <v>134</v>
      </c>
      <c r="E375" t="s">
        <v>24</v>
      </c>
      <c r="F375" s="3">
        <v>2021</v>
      </c>
      <c r="G375" s="3">
        <v>4</v>
      </c>
      <c r="H375" t="s">
        <v>142</v>
      </c>
      <c r="I375" s="2">
        <v>5.6</v>
      </c>
      <c r="J375" t="s">
        <v>61</v>
      </c>
    </row>
    <row r="376" spans="1:10">
      <c r="A376" t="s">
        <v>522</v>
      </c>
      <c r="B376" t="s">
        <v>60</v>
      </c>
      <c r="C376" s="1">
        <v>44833</v>
      </c>
      <c r="D376" t="s">
        <v>210</v>
      </c>
      <c r="E376" t="s">
        <v>25</v>
      </c>
      <c r="F376" s="3">
        <v>2021</v>
      </c>
      <c r="G376" s="3">
        <v>4</v>
      </c>
      <c r="H376" t="s">
        <v>142</v>
      </c>
      <c r="I376" s="2">
        <v>7.2</v>
      </c>
      <c r="J376" t="s">
        <v>61</v>
      </c>
    </row>
    <row r="377" spans="1:10">
      <c r="A377" t="s">
        <v>523</v>
      </c>
      <c r="B377" t="s">
        <v>60</v>
      </c>
      <c r="C377" s="1">
        <v>44833</v>
      </c>
      <c r="D377" t="s">
        <v>212</v>
      </c>
      <c r="E377" t="s">
        <v>26</v>
      </c>
      <c r="F377" s="3">
        <v>2021</v>
      </c>
      <c r="G377" s="3">
        <v>4</v>
      </c>
      <c r="H377" t="s">
        <v>142</v>
      </c>
      <c r="I377" s="2">
        <v>6.6</v>
      </c>
      <c r="J377" t="s">
        <v>61</v>
      </c>
    </row>
    <row r="378" spans="1:10">
      <c r="A378" t="s">
        <v>524</v>
      </c>
      <c r="B378" t="s">
        <v>60</v>
      </c>
      <c r="C378" s="1">
        <v>44833</v>
      </c>
      <c r="D378" t="s">
        <v>22</v>
      </c>
      <c r="E378" t="s">
        <v>22</v>
      </c>
      <c r="F378" s="3">
        <v>2022</v>
      </c>
      <c r="G378" s="3">
        <v>1</v>
      </c>
      <c r="H378" t="s">
        <v>145</v>
      </c>
      <c r="I378" s="2">
        <v>7.3</v>
      </c>
      <c r="J378" t="s">
        <v>61</v>
      </c>
    </row>
    <row r="379" spans="1:10">
      <c r="A379" t="s">
        <v>525</v>
      </c>
      <c r="B379" t="s">
        <v>60</v>
      </c>
      <c r="C379" s="1">
        <v>44833</v>
      </c>
      <c r="D379" t="s">
        <v>134</v>
      </c>
      <c r="E379" t="s">
        <v>24</v>
      </c>
      <c r="F379" s="3">
        <v>2022</v>
      </c>
      <c r="G379" s="3">
        <v>1</v>
      </c>
      <c r="H379" t="s">
        <v>145</v>
      </c>
      <c r="I379" s="2">
        <v>6.5</v>
      </c>
      <c r="J379" t="s">
        <v>61</v>
      </c>
    </row>
    <row r="380" spans="1:10">
      <c r="A380" t="s">
        <v>526</v>
      </c>
      <c r="B380" t="s">
        <v>60</v>
      </c>
      <c r="C380" s="1">
        <v>44833</v>
      </c>
      <c r="D380" t="s">
        <v>210</v>
      </c>
      <c r="E380" t="s">
        <v>25</v>
      </c>
      <c r="F380" s="3">
        <v>2022</v>
      </c>
      <c r="G380" s="3">
        <v>1</v>
      </c>
      <c r="H380" t="s">
        <v>145</v>
      </c>
      <c r="I380" s="2">
        <v>7.5</v>
      </c>
      <c r="J380" t="s">
        <v>61</v>
      </c>
    </row>
    <row r="381" spans="1:10">
      <c r="A381" t="s">
        <v>527</v>
      </c>
      <c r="B381" t="s">
        <v>60</v>
      </c>
      <c r="C381" s="1">
        <v>44833</v>
      </c>
      <c r="D381" t="s">
        <v>212</v>
      </c>
      <c r="E381" t="s">
        <v>26</v>
      </c>
      <c r="F381" s="3">
        <v>2022</v>
      </c>
      <c r="G381" s="3">
        <v>1</v>
      </c>
      <c r="H381" t="s">
        <v>145</v>
      </c>
      <c r="I381" s="2">
        <v>8.3000000000000007</v>
      </c>
      <c r="J381" t="s">
        <v>61</v>
      </c>
    </row>
    <row r="382" spans="1:10">
      <c r="A382" t="s">
        <v>528</v>
      </c>
      <c r="B382" t="s">
        <v>60</v>
      </c>
      <c r="C382" s="1">
        <v>44833</v>
      </c>
      <c r="D382" t="s">
        <v>22</v>
      </c>
      <c r="E382" t="s">
        <v>22</v>
      </c>
      <c r="F382" s="3">
        <v>2022</v>
      </c>
      <c r="G382" s="3">
        <v>2</v>
      </c>
      <c r="H382" t="s">
        <v>148</v>
      </c>
      <c r="I382" s="2">
        <v>7.8</v>
      </c>
      <c r="J382" t="s">
        <v>61</v>
      </c>
    </row>
    <row r="383" spans="1:10">
      <c r="A383" t="s">
        <v>529</v>
      </c>
      <c r="B383" t="s">
        <v>60</v>
      </c>
      <c r="C383" s="1">
        <v>44833</v>
      </c>
      <c r="D383" t="s">
        <v>134</v>
      </c>
      <c r="E383" t="s">
        <v>24</v>
      </c>
      <c r="F383" s="3">
        <v>2022</v>
      </c>
      <c r="G383" s="3">
        <v>2</v>
      </c>
      <c r="H383" t="s">
        <v>148</v>
      </c>
      <c r="I383" s="2">
        <v>7.3</v>
      </c>
      <c r="J383" t="s">
        <v>61</v>
      </c>
    </row>
    <row r="384" spans="1:10">
      <c r="A384" t="s">
        <v>530</v>
      </c>
      <c r="B384" t="s">
        <v>60</v>
      </c>
      <c r="C384" s="1">
        <v>44833</v>
      </c>
      <c r="D384" t="s">
        <v>210</v>
      </c>
      <c r="E384" t="s">
        <v>25</v>
      </c>
      <c r="F384" s="3">
        <v>2022</v>
      </c>
      <c r="G384" s="3">
        <v>2</v>
      </c>
      <c r="H384" t="s">
        <v>148</v>
      </c>
      <c r="I384" s="2">
        <v>10.7</v>
      </c>
      <c r="J384" t="s">
        <v>61</v>
      </c>
    </row>
    <row r="385" spans="1:10">
      <c r="A385" t="s">
        <v>531</v>
      </c>
      <c r="B385" t="s">
        <v>60</v>
      </c>
      <c r="C385" s="1">
        <v>44833</v>
      </c>
      <c r="D385" t="s">
        <v>212</v>
      </c>
      <c r="E385" t="s">
        <v>26</v>
      </c>
      <c r="F385" s="3">
        <v>2022</v>
      </c>
      <c r="G385" s="3">
        <v>2</v>
      </c>
      <c r="H385" t="s">
        <v>148</v>
      </c>
      <c r="I385" s="2">
        <v>8.6999999999999993</v>
      </c>
      <c r="J385" t="s">
        <v>61</v>
      </c>
    </row>
    <row r="386" spans="1:10">
      <c r="A386" t="s">
        <v>532</v>
      </c>
      <c r="B386" t="s">
        <v>60</v>
      </c>
      <c r="C386" s="1">
        <v>44833</v>
      </c>
      <c r="D386" t="s">
        <v>22</v>
      </c>
      <c r="E386" t="s">
        <v>22</v>
      </c>
      <c r="F386" s="3">
        <v>2022</v>
      </c>
      <c r="G386" s="3">
        <v>3</v>
      </c>
      <c r="H386" t="s">
        <v>151</v>
      </c>
      <c r="I386" s="2">
        <v>8.6</v>
      </c>
      <c r="J386" t="s">
        <v>61</v>
      </c>
    </row>
    <row r="387" spans="1:10">
      <c r="A387" t="s">
        <v>533</v>
      </c>
      <c r="B387" t="s">
        <v>60</v>
      </c>
      <c r="C387" s="1">
        <v>44833</v>
      </c>
      <c r="D387" t="s">
        <v>134</v>
      </c>
      <c r="E387" t="s">
        <v>24</v>
      </c>
      <c r="F387" s="3">
        <v>2022</v>
      </c>
      <c r="G387" s="3">
        <v>3</v>
      </c>
      <c r="H387" t="s">
        <v>151</v>
      </c>
      <c r="I387" s="2">
        <v>8</v>
      </c>
      <c r="J387" t="s">
        <v>61</v>
      </c>
    </row>
    <row r="388" spans="1:10">
      <c r="A388" t="s">
        <v>534</v>
      </c>
      <c r="B388" t="s">
        <v>60</v>
      </c>
      <c r="C388" s="1">
        <v>44833</v>
      </c>
      <c r="D388" t="s">
        <v>210</v>
      </c>
      <c r="E388" t="s">
        <v>25</v>
      </c>
      <c r="F388" s="3">
        <v>2022</v>
      </c>
      <c r="G388" s="3">
        <v>3</v>
      </c>
      <c r="H388" t="s">
        <v>151</v>
      </c>
      <c r="I388" s="2">
        <v>8.9</v>
      </c>
      <c r="J388" t="s">
        <v>61</v>
      </c>
    </row>
    <row r="389" spans="1:10">
      <c r="A389" t="s">
        <v>535</v>
      </c>
      <c r="B389" t="s">
        <v>60</v>
      </c>
      <c r="C389" s="1">
        <v>44833</v>
      </c>
      <c r="D389" t="s">
        <v>212</v>
      </c>
      <c r="E389" t="s">
        <v>26</v>
      </c>
      <c r="F389" s="3">
        <v>2022</v>
      </c>
      <c r="G389" s="3">
        <v>3</v>
      </c>
      <c r="H389" t="s">
        <v>151</v>
      </c>
      <c r="I389" s="2">
        <v>8.5</v>
      </c>
      <c r="J389" t="s">
        <v>61</v>
      </c>
    </row>
    <row r="390" spans="1:10">
      <c r="A390" t="s">
        <v>536</v>
      </c>
      <c r="B390" t="s">
        <v>60</v>
      </c>
      <c r="C390" s="1">
        <v>44833</v>
      </c>
      <c r="D390" t="s">
        <v>22</v>
      </c>
      <c r="E390" t="s">
        <v>22</v>
      </c>
      <c r="F390" s="3">
        <v>2022</v>
      </c>
      <c r="G390" s="3">
        <v>4</v>
      </c>
      <c r="H390" t="s">
        <v>154</v>
      </c>
      <c r="I390" s="2">
        <v>8.6</v>
      </c>
      <c r="J390" t="s">
        <v>61</v>
      </c>
    </row>
    <row r="391" spans="1:10">
      <c r="A391" t="s">
        <v>537</v>
      </c>
      <c r="B391" t="s">
        <v>60</v>
      </c>
      <c r="C391" s="1">
        <v>44833</v>
      </c>
      <c r="D391" t="s">
        <v>134</v>
      </c>
      <c r="E391" t="s">
        <v>24</v>
      </c>
      <c r="F391" s="3">
        <v>2022</v>
      </c>
      <c r="G391" s="3">
        <v>4</v>
      </c>
      <c r="H391" t="s">
        <v>154</v>
      </c>
      <c r="I391" s="2">
        <v>8.1999999999999993</v>
      </c>
      <c r="J391" t="s">
        <v>61</v>
      </c>
    </row>
    <row r="392" spans="1:10">
      <c r="A392" t="s">
        <v>538</v>
      </c>
      <c r="B392" t="s">
        <v>60</v>
      </c>
      <c r="C392" s="1">
        <v>44833</v>
      </c>
      <c r="D392" t="s">
        <v>210</v>
      </c>
      <c r="E392" t="s">
        <v>25</v>
      </c>
      <c r="F392" s="3">
        <v>2022</v>
      </c>
      <c r="G392" s="3">
        <v>4</v>
      </c>
      <c r="H392" t="s">
        <v>154</v>
      </c>
      <c r="I392" s="2">
        <v>7.4</v>
      </c>
      <c r="J392" t="s">
        <v>61</v>
      </c>
    </row>
    <row r="393" spans="1:10">
      <c r="A393" t="s">
        <v>539</v>
      </c>
      <c r="B393" t="s">
        <v>60</v>
      </c>
      <c r="C393" s="1">
        <v>44833</v>
      </c>
      <c r="D393" t="s">
        <v>212</v>
      </c>
      <c r="E393" t="s">
        <v>26</v>
      </c>
      <c r="F393" s="3">
        <v>2022</v>
      </c>
      <c r="G393" s="3">
        <v>4</v>
      </c>
      <c r="H393" t="s">
        <v>154</v>
      </c>
      <c r="I393" s="2">
        <v>7.1</v>
      </c>
      <c r="J393" t="s">
        <v>61</v>
      </c>
    </row>
    <row r="394" spans="1:10">
      <c r="A394" t="s">
        <v>540</v>
      </c>
      <c r="B394" t="s">
        <v>60</v>
      </c>
      <c r="C394" s="1">
        <v>44833</v>
      </c>
      <c r="D394" t="s">
        <v>22</v>
      </c>
      <c r="E394" t="s">
        <v>22</v>
      </c>
      <c r="F394" s="3">
        <v>2023</v>
      </c>
      <c r="G394" s="3">
        <v>1</v>
      </c>
      <c r="H394" t="s">
        <v>157</v>
      </c>
      <c r="I394" s="2">
        <v>7.9</v>
      </c>
      <c r="J394" t="s">
        <v>61</v>
      </c>
    </row>
    <row r="395" spans="1:10">
      <c r="A395" t="s">
        <v>541</v>
      </c>
      <c r="B395" t="s">
        <v>60</v>
      </c>
      <c r="C395" s="1">
        <v>44833</v>
      </c>
      <c r="D395" t="s">
        <v>134</v>
      </c>
      <c r="E395" t="s">
        <v>24</v>
      </c>
      <c r="F395" s="3">
        <v>2023</v>
      </c>
      <c r="G395" s="3">
        <v>1</v>
      </c>
      <c r="H395" t="s">
        <v>157</v>
      </c>
      <c r="I395" s="2">
        <v>7.3</v>
      </c>
      <c r="J395" t="s">
        <v>61</v>
      </c>
    </row>
    <row r="396" spans="1:10">
      <c r="A396" t="s">
        <v>542</v>
      </c>
      <c r="B396" t="s">
        <v>60</v>
      </c>
      <c r="C396" s="1">
        <v>44833</v>
      </c>
      <c r="D396" t="s">
        <v>210</v>
      </c>
      <c r="E396" t="s">
        <v>25</v>
      </c>
      <c r="F396" s="3">
        <v>2023</v>
      </c>
      <c r="G396" s="3">
        <v>1</v>
      </c>
      <c r="H396" t="s">
        <v>157</v>
      </c>
      <c r="I396" s="2">
        <v>4.5</v>
      </c>
      <c r="J396" t="s">
        <v>61</v>
      </c>
    </row>
    <row r="397" spans="1:10">
      <c r="A397" t="s">
        <v>543</v>
      </c>
      <c r="B397" t="s">
        <v>60</v>
      </c>
      <c r="C397" s="1">
        <v>44833</v>
      </c>
      <c r="D397" t="s">
        <v>212</v>
      </c>
      <c r="E397" t="s">
        <v>26</v>
      </c>
      <c r="F397" s="3">
        <v>2023</v>
      </c>
      <c r="G397" s="3">
        <v>1</v>
      </c>
      <c r="H397" t="s">
        <v>157</v>
      </c>
      <c r="I397" s="2">
        <v>5</v>
      </c>
      <c r="J397" t="s">
        <v>61</v>
      </c>
    </row>
    <row r="398" spans="1:10">
      <c r="A398" t="s">
        <v>544</v>
      </c>
      <c r="B398" t="s">
        <v>60</v>
      </c>
      <c r="C398" s="1">
        <v>44833</v>
      </c>
      <c r="D398" t="s">
        <v>22</v>
      </c>
      <c r="E398" t="s">
        <v>22</v>
      </c>
      <c r="F398" s="3">
        <v>2023</v>
      </c>
      <c r="G398" s="3">
        <v>2</v>
      </c>
      <c r="H398" t="s">
        <v>160</v>
      </c>
      <c r="I398" s="2">
        <v>6</v>
      </c>
      <c r="J398" t="s">
        <v>61</v>
      </c>
    </row>
    <row r="399" spans="1:10">
      <c r="A399" t="s">
        <v>545</v>
      </c>
      <c r="B399" t="s">
        <v>60</v>
      </c>
      <c r="C399" s="1">
        <v>44833</v>
      </c>
      <c r="D399" t="s">
        <v>134</v>
      </c>
      <c r="E399" t="s">
        <v>24</v>
      </c>
      <c r="F399" s="3">
        <v>2023</v>
      </c>
      <c r="G399" s="3">
        <v>2</v>
      </c>
      <c r="H399" t="s">
        <v>160</v>
      </c>
      <c r="I399" s="2">
        <v>6.2</v>
      </c>
      <c r="J399" t="s">
        <v>61</v>
      </c>
    </row>
    <row r="400" spans="1:10">
      <c r="A400" t="s">
        <v>546</v>
      </c>
      <c r="B400" t="s">
        <v>60</v>
      </c>
      <c r="C400" s="1">
        <v>44833</v>
      </c>
      <c r="D400" t="s">
        <v>210</v>
      </c>
      <c r="E400" t="s">
        <v>25</v>
      </c>
      <c r="F400" s="3">
        <v>2023</v>
      </c>
      <c r="G400" s="3">
        <v>2</v>
      </c>
      <c r="H400" t="s">
        <v>160</v>
      </c>
      <c r="I400" s="2">
        <v>3.3</v>
      </c>
      <c r="J400" t="s">
        <v>61</v>
      </c>
    </row>
    <row r="401" spans="1:10">
      <c r="A401" t="s">
        <v>547</v>
      </c>
      <c r="B401" t="s">
        <v>60</v>
      </c>
      <c r="C401" s="1">
        <v>44833</v>
      </c>
      <c r="D401" t="s">
        <v>212</v>
      </c>
      <c r="E401" t="s">
        <v>26</v>
      </c>
      <c r="F401" s="3">
        <v>2023</v>
      </c>
      <c r="G401" s="3">
        <v>2</v>
      </c>
      <c r="H401" t="s">
        <v>160</v>
      </c>
      <c r="I401" s="2">
        <v>4.2</v>
      </c>
      <c r="J401" t="s">
        <v>61</v>
      </c>
    </row>
    <row r="402" spans="1:10">
      <c r="A402" t="s">
        <v>548</v>
      </c>
      <c r="B402" t="s">
        <v>60</v>
      </c>
      <c r="C402" s="1">
        <v>44833</v>
      </c>
      <c r="D402" t="s">
        <v>22</v>
      </c>
      <c r="E402" t="s">
        <v>22</v>
      </c>
      <c r="F402" s="3">
        <v>2023</v>
      </c>
      <c r="G402" s="3">
        <v>3</v>
      </c>
      <c r="H402" t="s">
        <v>183</v>
      </c>
      <c r="I402" s="2">
        <v>4.8</v>
      </c>
      <c r="J402" t="s">
        <v>61</v>
      </c>
    </row>
    <row r="403" spans="1:10">
      <c r="A403" t="s">
        <v>549</v>
      </c>
      <c r="B403" t="s">
        <v>60</v>
      </c>
      <c r="C403" s="1">
        <v>44833</v>
      </c>
      <c r="D403" t="s">
        <v>134</v>
      </c>
      <c r="E403" t="s">
        <v>24</v>
      </c>
      <c r="F403" s="3">
        <v>2023</v>
      </c>
      <c r="G403" s="3">
        <v>3</v>
      </c>
      <c r="H403" t="s">
        <v>183</v>
      </c>
      <c r="I403" s="2">
        <v>5</v>
      </c>
      <c r="J403" t="s">
        <v>61</v>
      </c>
    </row>
    <row r="404" spans="1:10">
      <c r="A404" t="s">
        <v>550</v>
      </c>
      <c r="B404" t="s">
        <v>60</v>
      </c>
      <c r="C404" s="1">
        <v>44833</v>
      </c>
      <c r="D404" t="s">
        <v>210</v>
      </c>
      <c r="E404" t="s">
        <v>25</v>
      </c>
      <c r="F404" s="3">
        <v>2023</v>
      </c>
      <c r="G404" s="3">
        <v>3</v>
      </c>
      <c r="H404" t="s">
        <v>183</v>
      </c>
      <c r="I404" s="2">
        <v>4.2</v>
      </c>
      <c r="J404" t="s">
        <v>61</v>
      </c>
    </row>
    <row r="405" spans="1:10">
      <c r="A405" t="s">
        <v>551</v>
      </c>
      <c r="B405" t="s">
        <v>60</v>
      </c>
      <c r="C405" s="1">
        <v>44833</v>
      </c>
      <c r="D405" t="s">
        <v>212</v>
      </c>
      <c r="E405" t="s">
        <v>26</v>
      </c>
      <c r="F405" s="3">
        <v>2023</v>
      </c>
      <c r="G405" s="3">
        <v>3</v>
      </c>
      <c r="H405" t="s">
        <v>183</v>
      </c>
      <c r="I405" s="2">
        <v>3.8</v>
      </c>
      <c r="J405" t="s">
        <v>61</v>
      </c>
    </row>
    <row r="406" spans="1:10">
      <c r="A406" t="s">
        <v>552</v>
      </c>
      <c r="B406" t="s">
        <v>60</v>
      </c>
      <c r="C406" s="1">
        <v>44833</v>
      </c>
      <c r="D406" t="s">
        <v>22</v>
      </c>
      <c r="E406" t="s">
        <v>22</v>
      </c>
      <c r="F406" s="3">
        <v>2023</v>
      </c>
      <c r="G406" s="3">
        <v>4</v>
      </c>
      <c r="H406" t="s">
        <v>254</v>
      </c>
      <c r="I406" s="2">
        <v>4</v>
      </c>
      <c r="J406" t="s">
        <v>61</v>
      </c>
    </row>
    <row r="407" spans="1:10">
      <c r="A407" t="s">
        <v>553</v>
      </c>
      <c r="B407" t="s">
        <v>60</v>
      </c>
      <c r="C407" s="1">
        <v>44833</v>
      </c>
      <c r="D407" t="s">
        <v>134</v>
      </c>
      <c r="E407" t="s">
        <v>24</v>
      </c>
      <c r="F407" s="3">
        <v>2023</v>
      </c>
      <c r="G407" s="3">
        <v>4</v>
      </c>
      <c r="H407" t="s">
        <v>254</v>
      </c>
      <c r="I407" s="2">
        <v>4.0999999999999996</v>
      </c>
      <c r="J407" t="s">
        <v>61</v>
      </c>
    </row>
    <row r="408" spans="1:10">
      <c r="A408" t="s">
        <v>554</v>
      </c>
      <c r="B408" t="s">
        <v>60</v>
      </c>
      <c r="C408" s="1">
        <v>44833</v>
      </c>
      <c r="D408" t="s">
        <v>210</v>
      </c>
      <c r="E408" t="s">
        <v>25</v>
      </c>
      <c r="F408" s="3">
        <v>2023</v>
      </c>
      <c r="G408" s="3">
        <v>4</v>
      </c>
      <c r="H408" t="s">
        <v>254</v>
      </c>
      <c r="I408" s="2">
        <v>4</v>
      </c>
      <c r="J408" t="s">
        <v>61</v>
      </c>
    </row>
    <row r="409" spans="1:10">
      <c r="A409" t="s">
        <v>555</v>
      </c>
      <c r="B409" t="s">
        <v>60</v>
      </c>
      <c r="C409" s="1">
        <v>44833</v>
      </c>
      <c r="D409" t="s">
        <v>212</v>
      </c>
      <c r="E409" t="s">
        <v>26</v>
      </c>
      <c r="F409" s="3">
        <v>2023</v>
      </c>
      <c r="G409" s="3">
        <v>4</v>
      </c>
      <c r="H409" t="s">
        <v>254</v>
      </c>
      <c r="I409" s="2">
        <v>3.3</v>
      </c>
      <c r="J409" t="s">
        <v>61</v>
      </c>
    </row>
    <row r="410" spans="1:10">
      <c r="A410" t="s">
        <v>556</v>
      </c>
      <c r="B410" t="s">
        <v>60</v>
      </c>
      <c r="C410" s="1">
        <v>44833</v>
      </c>
      <c r="D410" t="s">
        <v>22</v>
      </c>
      <c r="E410" t="s">
        <v>22</v>
      </c>
      <c r="F410" s="3">
        <v>2024</v>
      </c>
      <c r="G410" s="3">
        <v>1</v>
      </c>
      <c r="H410" t="s">
        <v>355</v>
      </c>
      <c r="I410" s="2">
        <v>3.7</v>
      </c>
      <c r="J410" t="s">
        <v>61</v>
      </c>
    </row>
    <row r="411" spans="1:10">
      <c r="A411" t="s">
        <v>557</v>
      </c>
      <c r="B411" t="s">
        <v>60</v>
      </c>
      <c r="C411" s="1">
        <v>44833</v>
      </c>
      <c r="D411" t="s">
        <v>134</v>
      </c>
      <c r="E411" t="s">
        <v>24</v>
      </c>
      <c r="F411" s="3">
        <v>2024</v>
      </c>
      <c r="G411" s="3">
        <v>1</v>
      </c>
      <c r="H411" t="s">
        <v>355</v>
      </c>
      <c r="I411" s="2">
        <v>3.6</v>
      </c>
      <c r="J411" t="s">
        <v>61</v>
      </c>
    </row>
    <row r="412" spans="1:10">
      <c r="A412" t="s">
        <v>558</v>
      </c>
      <c r="B412" t="s">
        <v>60</v>
      </c>
      <c r="C412" s="1">
        <v>44833</v>
      </c>
      <c r="D412" t="s">
        <v>210</v>
      </c>
      <c r="E412" t="s">
        <v>25</v>
      </c>
      <c r="F412" s="3">
        <v>2024</v>
      </c>
      <c r="G412" s="3">
        <v>1</v>
      </c>
      <c r="H412" t="s">
        <v>355</v>
      </c>
      <c r="I412" s="2">
        <v>3.2</v>
      </c>
      <c r="J412" t="s">
        <v>61</v>
      </c>
    </row>
    <row r="413" spans="1:10">
      <c r="A413" t="s">
        <v>559</v>
      </c>
      <c r="B413" t="s">
        <v>60</v>
      </c>
      <c r="C413" s="1">
        <v>44833</v>
      </c>
      <c r="D413" t="s">
        <v>212</v>
      </c>
      <c r="E413" t="s">
        <v>26</v>
      </c>
      <c r="F413" s="3">
        <v>2024</v>
      </c>
      <c r="G413" s="3">
        <v>1</v>
      </c>
      <c r="H413" t="s">
        <v>355</v>
      </c>
      <c r="I413" s="2">
        <v>3.2</v>
      </c>
      <c r="J413" t="s">
        <v>61</v>
      </c>
    </row>
    <row r="414" spans="1:10">
      <c r="A414" t="s">
        <v>560</v>
      </c>
      <c r="B414" t="s">
        <v>60</v>
      </c>
      <c r="C414" s="1">
        <v>44833</v>
      </c>
      <c r="D414" t="s">
        <v>22</v>
      </c>
      <c r="E414" t="s">
        <v>22</v>
      </c>
      <c r="F414" s="3">
        <v>2024</v>
      </c>
      <c r="G414" s="3">
        <v>2</v>
      </c>
      <c r="H414" t="s">
        <v>460</v>
      </c>
      <c r="I414" s="2">
        <v>3.4</v>
      </c>
      <c r="J414" t="s">
        <v>61</v>
      </c>
    </row>
    <row r="415" spans="1:10">
      <c r="A415" t="s">
        <v>561</v>
      </c>
      <c r="B415" t="s">
        <v>60</v>
      </c>
      <c r="C415" s="1">
        <v>44833</v>
      </c>
      <c r="D415" t="s">
        <v>134</v>
      </c>
      <c r="E415" t="s">
        <v>24</v>
      </c>
      <c r="F415" s="3">
        <v>2024</v>
      </c>
      <c r="G415" s="3">
        <v>2</v>
      </c>
      <c r="H415" t="s">
        <v>460</v>
      </c>
      <c r="I415" s="2">
        <v>3.2</v>
      </c>
      <c r="J415" t="s">
        <v>61</v>
      </c>
    </row>
    <row r="416" spans="1:10">
      <c r="A416" t="s">
        <v>562</v>
      </c>
      <c r="B416" t="s">
        <v>60</v>
      </c>
      <c r="C416" s="1">
        <v>44833</v>
      </c>
      <c r="D416" t="s">
        <v>210</v>
      </c>
      <c r="E416" t="s">
        <v>25</v>
      </c>
      <c r="F416" s="3">
        <v>2024</v>
      </c>
      <c r="G416" s="3">
        <v>2</v>
      </c>
      <c r="H416" t="s">
        <v>460</v>
      </c>
      <c r="I416" s="2">
        <v>2.2999999999999998</v>
      </c>
      <c r="J416" t="s">
        <v>61</v>
      </c>
    </row>
    <row r="417" spans="1:10">
      <c r="A417" t="s">
        <v>563</v>
      </c>
      <c r="B417" t="s">
        <v>60</v>
      </c>
      <c r="C417" s="1">
        <v>44833</v>
      </c>
      <c r="D417" t="s">
        <v>212</v>
      </c>
      <c r="E417" t="s">
        <v>26</v>
      </c>
      <c r="F417" s="3">
        <v>2024</v>
      </c>
      <c r="G417" s="3">
        <v>2</v>
      </c>
      <c r="H417" t="s">
        <v>460</v>
      </c>
      <c r="I417" s="2">
        <v>2.8</v>
      </c>
      <c r="J417" t="s">
        <v>61</v>
      </c>
    </row>
    <row r="418" spans="1:10">
      <c r="A418" t="s">
        <v>564</v>
      </c>
      <c r="B418" t="s">
        <v>60</v>
      </c>
      <c r="C418" s="1">
        <v>44833</v>
      </c>
      <c r="D418" t="s">
        <v>22</v>
      </c>
      <c r="E418" t="s">
        <v>22</v>
      </c>
      <c r="F418" s="3">
        <v>2024</v>
      </c>
      <c r="G418" s="3">
        <v>3</v>
      </c>
      <c r="H418" t="s">
        <v>565</v>
      </c>
      <c r="I418" s="2">
        <v>3.1</v>
      </c>
      <c r="J418" t="s">
        <v>61</v>
      </c>
    </row>
    <row r="419" spans="1:10">
      <c r="A419" t="s">
        <v>566</v>
      </c>
      <c r="B419" t="s">
        <v>60</v>
      </c>
      <c r="C419" s="1">
        <v>44833</v>
      </c>
      <c r="D419" t="s">
        <v>134</v>
      </c>
      <c r="E419" t="s">
        <v>24</v>
      </c>
      <c r="F419" s="3">
        <v>2024</v>
      </c>
      <c r="G419" s="3">
        <v>3</v>
      </c>
      <c r="H419" t="s">
        <v>565</v>
      </c>
      <c r="I419" s="2">
        <v>3</v>
      </c>
      <c r="J419" t="s">
        <v>61</v>
      </c>
    </row>
    <row r="420" spans="1:10">
      <c r="A420" t="s">
        <v>567</v>
      </c>
      <c r="B420" t="s">
        <v>60</v>
      </c>
      <c r="C420" s="1">
        <v>44833</v>
      </c>
      <c r="D420" t="s">
        <v>210</v>
      </c>
      <c r="E420" t="s">
        <v>25</v>
      </c>
      <c r="F420" s="3">
        <v>2024</v>
      </c>
      <c r="G420" s="3">
        <v>3</v>
      </c>
      <c r="H420" t="s">
        <v>565</v>
      </c>
      <c r="I420" s="2">
        <v>2.9</v>
      </c>
      <c r="J420" t="s">
        <v>61</v>
      </c>
    </row>
    <row r="421" spans="1:10">
      <c r="A421" t="s">
        <v>568</v>
      </c>
      <c r="B421" t="s">
        <v>60</v>
      </c>
      <c r="C421" s="1">
        <v>44833</v>
      </c>
      <c r="D421" t="s">
        <v>212</v>
      </c>
      <c r="E421" t="s">
        <v>26</v>
      </c>
      <c r="F421" s="3">
        <v>2024</v>
      </c>
      <c r="G421" s="3">
        <v>3</v>
      </c>
      <c r="H421" t="s">
        <v>565</v>
      </c>
      <c r="I421" s="2">
        <v>2.7</v>
      </c>
      <c r="J421" t="s">
        <v>61</v>
      </c>
    </row>
    <row r="422" spans="1:10">
      <c r="A422" t="s">
        <v>569</v>
      </c>
      <c r="B422" t="s">
        <v>62</v>
      </c>
      <c r="C422" s="1">
        <v>44875</v>
      </c>
      <c r="D422" t="s">
        <v>22</v>
      </c>
      <c r="E422" t="s">
        <v>22</v>
      </c>
      <c r="F422" s="3">
        <v>2021</v>
      </c>
      <c r="G422" s="3">
        <v>3</v>
      </c>
      <c r="H422" t="s">
        <v>139</v>
      </c>
      <c r="I422" s="2">
        <v>5.8</v>
      </c>
      <c r="J422" t="s">
        <v>63</v>
      </c>
    </row>
    <row r="423" spans="1:10">
      <c r="A423" t="s">
        <v>570</v>
      </c>
      <c r="B423" t="s">
        <v>62</v>
      </c>
      <c r="C423" s="1">
        <v>44875</v>
      </c>
      <c r="D423" t="s">
        <v>134</v>
      </c>
      <c r="E423" t="s">
        <v>24</v>
      </c>
      <c r="F423" s="3">
        <v>2021</v>
      </c>
      <c r="G423" s="3">
        <v>3</v>
      </c>
      <c r="H423" t="s">
        <v>139</v>
      </c>
      <c r="I423" s="2">
        <v>4.8</v>
      </c>
      <c r="J423" t="s">
        <v>63</v>
      </c>
    </row>
    <row r="424" spans="1:10">
      <c r="A424" t="s">
        <v>571</v>
      </c>
      <c r="B424" t="s">
        <v>62</v>
      </c>
      <c r="C424" s="1">
        <v>44875</v>
      </c>
      <c r="D424" t="s">
        <v>210</v>
      </c>
      <c r="E424" t="s">
        <v>25</v>
      </c>
      <c r="F424" s="3">
        <v>2021</v>
      </c>
      <c r="G424" s="3">
        <v>3</v>
      </c>
      <c r="H424" t="s">
        <v>139</v>
      </c>
      <c r="I424" s="2">
        <v>5.8</v>
      </c>
      <c r="J424" t="s">
        <v>63</v>
      </c>
    </row>
    <row r="425" spans="1:10">
      <c r="A425" t="s">
        <v>572</v>
      </c>
      <c r="B425" t="s">
        <v>62</v>
      </c>
      <c r="C425" s="1">
        <v>44875</v>
      </c>
      <c r="D425" t="s">
        <v>212</v>
      </c>
      <c r="E425" t="s">
        <v>26</v>
      </c>
      <c r="F425" s="3">
        <v>2021</v>
      </c>
      <c r="G425" s="3">
        <v>3</v>
      </c>
      <c r="H425" t="s">
        <v>139</v>
      </c>
      <c r="I425" s="2">
        <v>5.9</v>
      </c>
      <c r="J425" t="s">
        <v>63</v>
      </c>
    </row>
    <row r="426" spans="1:10">
      <c r="A426" t="s">
        <v>573</v>
      </c>
      <c r="B426" t="s">
        <v>62</v>
      </c>
      <c r="C426" s="1">
        <v>44875</v>
      </c>
      <c r="D426" t="s">
        <v>22</v>
      </c>
      <c r="E426" t="s">
        <v>22</v>
      </c>
      <c r="F426" s="3">
        <v>2021</v>
      </c>
      <c r="G426" s="3">
        <v>4</v>
      </c>
      <c r="H426" t="s">
        <v>142</v>
      </c>
      <c r="I426" s="2">
        <v>7</v>
      </c>
      <c r="J426" t="s">
        <v>63</v>
      </c>
    </row>
    <row r="427" spans="1:10">
      <c r="A427" t="s">
        <v>574</v>
      </c>
      <c r="B427" t="s">
        <v>62</v>
      </c>
      <c r="C427" s="1">
        <v>44875</v>
      </c>
      <c r="D427" t="s">
        <v>134</v>
      </c>
      <c r="E427" t="s">
        <v>24</v>
      </c>
      <c r="F427" s="3">
        <v>2021</v>
      </c>
      <c r="G427" s="3">
        <v>4</v>
      </c>
      <c r="H427" t="s">
        <v>142</v>
      </c>
      <c r="I427" s="2">
        <v>5.6</v>
      </c>
      <c r="J427" t="s">
        <v>63</v>
      </c>
    </row>
    <row r="428" spans="1:10">
      <c r="A428" t="s">
        <v>575</v>
      </c>
      <c r="B428" t="s">
        <v>62</v>
      </c>
      <c r="C428" s="1">
        <v>44875</v>
      </c>
      <c r="D428" t="s">
        <v>210</v>
      </c>
      <c r="E428" t="s">
        <v>25</v>
      </c>
      <c r="F428" s="3">
        <v>2021</v>
      </c>
      <c r="G428" s="3">
        <v>4</v>
      </c>
      <c r="H428" t="s">
        <v>142</v>
      </c>
      <c r="I428" s="2">
        <v>7.5</v>
      </c>
      <c r="J428" t="s">
        <v>63</v>
      </c>
    </row>
    <row r="429" spans="1:10">
      <c r="A429" t="s">
        <v>576</v>
      </c>
      <c r="B429" t="s">
        <v>62</v>
      </c>
      <c r="C429" s="1">
        <v>44875</v>
      </c>
      <c r="D429" t="s">
        <v>212</v>
      </c>
      <c r="E429" t="s">
        <v>26</v>
      </c>
      <c r="F429" s="3">
        <v>2021</v>
      </c>
      <c r="G429" s="3">
        <v>4</v>
      </c>
      <c r="H429" t="s">
        <v>142</v>
      </c>
      <c r="I429" s="2">
        <v>6.5</v>
      </c>
      <c r="J429" t="s">
        <v>63</v>
      </c>
    </row>
    <row r="430" spans="1:10">
      <c r="A430" t="s">
        <v>577</v>
      </c>
      <c r="B430" t="s">
        <v>62</v>
      </c>
      <c r="C430" s="1">
        <v>44875</v>
      </c>
      <c r="D430" t="s">
        <v>22</v>
      </c>
      <c r="E430" t="s">
        <v>22</v>
      </c>
      <c r="F430" s="3">
        <v>2022</v>
      </c>
      <c r="G430" s="3">
        <v>1</v>
      </c>
      <c r="H430" t="s">
        <v>145</v>
      </c>
      <c r="I430" s="2">
        <v>7.3</v>
      </c>
      <c r="J430" t="s">
        <v>63</v>
      </c>
    </row>
    <row r="431" spans="1:10">
      <c r="A431" t="s">
        <v>578</v>
      </c>
      <c r="B431" t="s">
        <v>62</v>
      </c>
      <c r="C431" s="1">
        <v>44875</v>
      </c>
      <c r="D431" t="s">
        <v>134</v>
      </c>
      <c r="E431" t="s">
        <v>24</v>
      </c>
      <c r="F431" s="3">
        <v>2022</v>
      </c>
      <c r="G431" s="3">
        <v>1</v>
      </c>
      <c r="H431" t="s">
        <v>145</v>
      </c>
      <c r="I431" s="2">
        <v>6.5</v>
      </c>
      <c r="J431" t="s">
        <v>63</v>
      </c>
    </row>
    <row r="432" spans="1:10">
      <c r="A432" t="s">
        <v>579</v>
      </c>
      <c r="B432" t="s">
        <v>62</v>
      </c>
      <c r="C432" s="1">
        <v>44875</v>
      </c>
      <c r="D432" t="s">
        <v>210</v>
      </c>
      <c r="E432" t="s">
        <v>25</v>
      </c>
      <c r="F432" s="3">
        <v>2022</v>
      </c>
      <c r="G432" s="3">
        <v>1</v>
      </c>
      <c r="H432" t="s">
        <v>145</v>
      </c>
      <c r="I432" s="2">
        <v>7.3</v>
      </c>
      <c r="J432" t="s">
        <v>63</v>
      </c>
    </row>
    <row r="433" spans="1:10">
      <c r="A433" t="s">
        <v>580</v>
      </c>
      <c r="B433" t="s">
        <v>62</v>
      </c>
      <c r="C433" s="1">
        <v>44875</v>
      </c>
      <c r="D433" t="s">
        <v>212</v>
      </c>
      <c r="E433" t="s">
        <v>26</v>
      </c>
      <c r="F433" s="3">
        <v>2022</v>
      </c>
      <c r="G433" s="3">
        <v>1</v>
      </c>
      <c r="H433" t="s">
        <v>145</v>
      </c>
      <c r="I433" s="2">
        <v>8.3000000000000007</v>
      </c>
      <c r="J433" t="s">
        <v>63</v>
      </c>
    </row>
    <row r="434" spans="1:10">
      <c r="A434" t="s">
        <v>581</v>
      </c>
      <c r="B434" t="s">
        <v>62</v>
      </c>
      <c r="C434" s="1">
        <v>44875</v>
      </c>
      <c r="D434" t="s">
        <v>22</v>
      </c>
      <c r="E434" t="s">
        <v>22</v>
      </c>
      <c r="F434" s="3">
        <v>2022</v>
      </c>
      <c r="G434" s="3">
        <v>2</v>
      </c>
      <c r="H434" t="s">
        <v>148</v>
      </c>
      <c r="I434" s="2">
        <v>7.8</v>
      </c>
      <c r="J434" t="s">
        <v>63</v>
      </c>
    </row>
    <row r="435" spans="1:10">
      <c r="A435" t="s">
        <v>582</v>
      </c>
      <c r="B435" t="s">
        <v>62</v>
      </c>
      <c r="C435" s="1">
        <v>44875</v>
      </c>
      <c r="D435" t="s">
        <v>134</v>
      </c>
      <c r="E435" t="s">
        <v>24</v>
      </c>
      <c r="F435" s="3">
        <v>2022</v>
      </c>
      <c r="G435" s="3">
        <v>2</v>
      </c>
      <c r="H435" t="s">
        <v>148</v>
      </c>
      <c r="I435" s="2">
        <v>7.3</v>
      </c>
      <c r="J435" t="s">
        <v>63</v>
      </c>
    </row>
    <row r="436" spans="1:10">
      <c r="A436" t="s">
        <v>583</v>
      </c>
      <c r="B436" t="s">
        <v>62</v>
      </c>
      <c r="C436" s="1">
        <v>44875</v>
      </c>
      <c r="D436" t="s">
        <v>210</v>
      </c>
      <c r="E436" t="s">
        <v>25</v>
      </c>
      <c r="F436" s="3">
        <v>2022</v>
      </c>
      <c r="G436" s="3">
        <v>2</v>
      </c>
      <c r="H436" t="s">
        <v>148</v>
      </c>
      <c r="I436" s="2">
        <v>10.6</v>
      </c>
      <c r="J436" t="s">
        <v>63</v>
      </c>
    </row>
    <row r="437" spans="1:10">
      <c r="A437" t="s">
        <v>584</v>
      </c>
      <c r="B437" t="s">
        <v>62</v>
      </c>
      <c r="C437" s="1">
        <v>44875</v>
      </c>
      <c r="D437" t="s">
        <v>212</v>
      </c>
      <c r="E437" t="s">
        <v>26</v>
      </c>
      <c r="F437" s="3">
        <v>2022</v>
      </c>
      <c r="G437" s="3">
        <v>2</v>
      </c>
      <c r="H437" t="s">
        <v>148</v>
      </c>
      <c r="I437" s="2">
        <v>8.6999999999999993</v>
      </c>
      <c r="J437" t="s">
        <v>63</v>
      </c>
    </row>
    <row r="438" spans="1:10">
      <c r="A438" t="s">
        <v>585</v>
      </c>
      <c r="B438" t="s">
        <v>62</v>
      </c>
      <c r="C438" s="1">
        <v>44875</v>
      </c>
      <c r="D438" t="s">
        <v>22</v>
      </c>
      <c r="E438" t="s">
        <v>22</v>
      </c>
      <c r="F438" s="3">
        <v>2022</v>
      </c>
      <c r="G438" s="3">
        <v>3</v>
      </c>
      <c r="H438" t="s">
        <v>151</v>
      </c>
      <c r="I438" s="2">
        <v>8.5</v>
      </c>
      <c r="J438" t="s">
        <v>63</v>
      </c>
    </row>
    <row r="439" spans="1:10">
      <c r="A439" t="s">
        <v>586</v>
      </c>
      <c r="B439" t="s">
        <v>62</v>
      </c>
      <c r="C439" s="1">
        <v>44875</v>
      </c>
      <c r="D439" t="s">
        <v>134</v>
      </c>
      <c r="E439" t="s">
        <v>24</v>
      </c>
      <c r="F439" s="3">
        <v>2022</v>
      </c>
      <c r="G439" s="3">
        <v>3</v>
      </c>
      <c r="H439" t="s">
        <v>151</v>
      </c>
      <c r="I439" s="2">
        <v>8</v>
      </c>
      <c r="J439" t="s">
        <v>63</v>
      </c>
    </row>
    <row r="440" spans="1:10">
      <c r="A440" t="s">
        <v>587</v>
      </c>
      <c r="B440" t="s">
        <v>62</v>
      </c>
      <c r="C440" s="1">
        <v>44875</v>
      </c>
      <c r="D440" t="s">
        <v>210</v>
      </c>
      <c r="E440" t="s">
        <v>25</v>
      </c>
      <c r="F440" s="3">
        <v>2022</v>
      </c>
      <c r="G440" s="3">
        <v>3</v>
      </c>
      <c r="H440" t="s">
        <v>151</v>
      </c>
      <c r="I440" s="2">
        <v>8.6999999999999993</v>
      </c>
      <c r="J440" t="s">
        <v>63</v>
      </c>
    </row>
    <row r="441" spans="1:10">
      <c r="A441" t="s">
        <v>588</v>
      </c>
      <c r="B441" t="s">
        <v>62</v>
      </c>
      <c r="C441" s="1">
        <v>44875</v>
      </c>
      <c r="D441" t="s">
        <v>212</v>
      </c>
      <c r="E441" t="s">
        <v>26</v>
      </c>
      <c r="F441" s="3">
        <v>2022</v>
      </c>
      <c r="G441" s="3">
        <v>3</v>
      </c>
      <c r="H441" t="s">
        <v>151</v>
      </c>
      <c r="I441" s="2">
        <v>8.5</v>
      </c>
      <c r="J441" t="s">
        <v>63</v>
      </c>
    </row>
    <row r="442" spans="1:10">
      <c r="A442" t="s">
        <v>589</v>
      </c>
      <c r="B442" t="s">
        <v>62</v>
      </c>
      <c r="C442" s="1">
        <v>44875</v>
      </c>
      <c r="D442" t="s">
        <v>22</v>
      </c>
      <c r="E442" t="s">
        <v>22</v>
      </c>
      <c r="F442" s="3">
        <v>2022</v>
      </c>
      <c r="G442" s="3">
        <v>4</v>
      </c>
      <c r="H442" t="s">
        <v>154</v>
      </c>
      <c r="I442" s="2">
        <v>8.3000000000000007</v>
      </c>
      <c r="J442" t="s">
        <v>63</v>
      </c>
    </row>
    <row r="443" spans="1:10">
      <c r="A443" t="s">
        <v>590</v>
      </c>
      <c r="B443" t="s">
        <v>62</v>
      </c>
      <c r="C443" s="1">
        <v>44875</v>
      </c>
      <c r="D443" t="s">
        <v>134</v>
      </c>
      <c r="E443" t="s">
        <v>24</v>
      </c>
      <c r="F443" s="3">
        <v>2022</v>
      </c>
      <c r="G443" s="3">
        <v>4</v>
      </c>
      <c r="H443" t="s">
        <v>154</v>
      </c>
      <c r="I443" s="2">
        <v>8.3000000000000007</v>
      </c>
      <c r="J443" t="s">
        <v>63</v>
      </c>
    </row>
    <row r="444" spans="1:10">
      <c r="A444" t="s">
        <v>591</v>
      </c>
      <c r="B444" t="s">
        <v>62</v>
      </c>
      <c r="C444" s="1">
        <v>44875</v>
      </c>
      <c r="D444" t="s">
        <v>210</v>
      </c>
      <c r="E444" t="s">
        <v>25</v>
      </c>
      <c r="F444" s="3">
        <v>2022</v>
      </c>
      <c r="G444" s="3">
        <v>4</v>
      </c>
      <c r="H444" t="s">
        <v>154</v>
      </c>
      <c r="I444" s="2">
        <v>6.6</v>
      </c>
      <c r="J444" t="s">
        <v>63</v>
      </c>
    </row>
    <row r="445" spans="1:10">
      <c r="A445" t="s">
        <v>592</v>
      </c>
      <c r="B445" t="s">
        <v>62</v>
      </c>
      <c r="C445" s="1">
        <v>44875</v>
      </c>
      <c r="D445" t="s">
        <v>212</v>
      </c>
      <c r="E445" t="s">
        <v>26</v>
      </c>
      <c r="F445" s="3">
        <v>2022</v>
      </c>
      <c r="G445" s="3">
        <v>4</v>
      </c>
      <c r="H445" t="s">
        <v>154</v>
      </c>
      <c r="I445" s="2">
        <v>7.8</v>
      </c>
      <c r="J445" t="s">
        <v>63</v>
      </c>
    </row>
    <row r="446" spans="1:10">
      <c r="A446" t="s">
        <v>593</v>
      </c>
      <c r="B446" t="s">
        <v>62</v>
      </c>
      <c r="C446" s="1">
        <v>44875</v>
      </c>
      <c r="D446" t="s">
        <v>22</v>
      </c>
      <c r="E446" t="s">
        <v>22</v>
      </c>
      <c r="F446" s="3">
        <v>2023</v>
      </c>
      <c r="G446" s="3">
        <v>1</v>
      </c>
      <c r="H446" t="s">
        <v>157</v>
      </c>
      <c r="I446" s="2">
        <v>7.6</v>
      </c>
      <c r="J446" t="s">
        <v>63</v>
      </c>
    </row>
    <row r="447" spans="1:10">
      <c r="A447" t="s">
        <v>594</v>
      </c>
      <c r="B447" t="s">
        <v>62</v>
      </c>
      <c r="C447" s="1">
        <v>44875</v>
      </c>
      <c r="D447" t="s">
        <v>134</v>
      </c>
      <c r="E447" t="s">
        <v>24</v>
      </c>
      <c r="F447" s="3">
        <v>2023</v>
      </c>
      <c r="G447" s="3">
        <v>1</v>
      </c>
      <c r="H447" t="s">
        <v>157</v>
      </c>
      <c r="I447" s="2">
        <v>7.5</v>
      </c>
      <c r="J447" t="s">
        <v>63</v>
      </c>
    </row>
    <row r="448" spans="1:10">
      <c r="A448" t="s">
        <v>595</v>
      </c>
      <c r="B448" t="s">
        <v>62</v>
      </c>
      <c r="C448" s="1">
        <v>44875</v>
      </c>
      <c r="D448" t="s">
        <v>210</v>
      </c>
      <c r="E448" t="s">
        <v>25</v>
      </c>
      <c r="F448" s="3">
        <v>2023</v>
      </c>
      <c r="G448" s="3">
        <v>1</v>
      </c>
      <c r="H448" t="s">
        <v>157</v>
      </c>
      <c r="I448" s="2">
        <v>4.5999999999999996</v>
      </c>
      <c r="J448" t="s">
        <v>63</v>
      </c>
    </row>
    <row r="449" spans="1:10">
      <c r="A449" t="s">
        <v>596</v>
      </c>
      <c r="B449" t="s">
        <v>62</v>
      </c>
      <c r="C449" s="1">
        <v>44875</v>
      </c>
      <c r="D449" t="s">
        <v>212</v>
      </c>
      <c r="E449" t="s">
        <v>26</v>
      </c>
      <c r="F449" s="3">
        <v>2023</v>
      </c>
      <c r="G449" s="3">
        <v>1</v>
      </c>
      <c r="H449" t="s">
        <v>157</v>
      </c>
      <c r="I449" s="2">
        <v>5.0999999999999996</v>
      </c>
      <c r="J449" t="s">
        <v>63</v>
      </c>
    </row>
    <row r="450" spans="1:10">
      <c r="A450" t="s">
        <v>597</v>
      </c>
      <c r="B450" t="s">
        <v>62</v>
      </c>
      <c r="C450" s="1">
        <v>44875</v>
      </c>
      <c r="D450" t="s">
        <v>22</v>
      </c>
      <c r="E450" t="s">
        <v>22</v>
      </c>
      <c r="F450" s="3">
        <v>2023</v>
      </c>
      <c r="G450" s="3">
        <v>2</v>
      </c>
      <c r="H450" t="s">
        <v>160</v>
      </c>
      <c r="I450" s="2">
        <v>5.8</v>
      </c>
      <c r="J450" t="s">
        <v>63</v>
      </c>
    </row>
    <row r="451" spans="1:10">
      <c r="A451" t="s">
        <v>598</v>
      </c>
      <c r="B451" t="s">
        <v>62</v>
      </c>
      <c r="C451" s="1">
        <v>44875</v>
      </c>
      <c r="D451" t="s">
        <v>134</v>
      </c>
      <c r="E451" t="s">
        <v>24</v>
      </c>
      <c r="F451" s="3">
        <v>2023</v>
      </c>
      <c r="G451" s="3">
        <v>2</v>
      </c>
      <c r="H451" t="s">
        <v>160</v>
      </c>
      <c r="I451" s="2">
        <v>6.4</v>
      </c>
      <c r="J451" t="s">
        <v>63</v>
      </c>
    </row>
    <row r="452" spans="1:10">
      <c r="A452" t="s">
        <v>599</v>
      </c>
      <c r="B452" t="s">
        <v>62</v>
      </c>
      <c r="C452" s="1">
        <v>44875</v>
      </c>
      <c r="D452" t="s">
        <v>210</v>
      </c>
      <c r="E452" t="s">
        <v>25</v>
      </c>
      <c r="F452" s="3">
        <v>2023</v>
      </c>
      <c r="G452" s="3">
        <v>2</v>
      </c>
      <c r="H452" t="s">
        <v>160</v>
      </c>
      <c r="I452" s="2">
        <v>3.4</v>
      </c>
      <c r="J452" t="s">
        <v>63</v>
      </c>
    </row>
    <row r="453" spans="1:10">
      <c r="A453" t="s">
        <v>600</v>
      </c>
      <c r="B453" t="s">
        <v>62</v>
      </c>
      <c r="C453" s="1">
        <v>44875</v>
      </c>
      <c r="D453" t="s">
        <v>212</v>
      </c>
      <c r="E453" t="s">
        <v>26</v>
      </c>
      <c r="F453" s="3">
        <v>2023</v>
      </c>
      <c r="G453" s="3">
        <v>2</v>
      </c>
      <c r="H453" t="s">
        <v>160</v>
      </c>
      <c r="I453" s="2">
        <v>4.2</v>
      </c>
      <c r="J453" t="s">
        <v>63</v>
      </c>
    </row>
    <row r="454" spans="1:10">
      <c r="A454" t="s">
        <v>601</v>
      </c>
      <c r="B454" t="s">
        <v>62</v>
      </c>
      <c r="C454" s="1">
        <v>44875</v>
      </c>
      <c r="D454" t="s">
        <v>22</v>
      </c>
      <c r="E454" t="s">
        <v>22</v>
      </c>
      <c r="F454" s="3">
        <v>2023</v>
      </c>
      <c r="G454" s="3">
        <v>3</v>
      </c>
      <c r="H454" t="s">
        <v>183</v>
      </c>
      <c r="I454" s="2">
        <v>4.7</v>
      </c>
      <c r="J454" t="s">
        <v>63</v>
      </c>
    </row>
    <row r="455" spans="1:10">
      <c r="A455" t="s">
        <v>602</v>
      </c>
      <c r="B455" t="s">
        <v>62</v>
      </c>
      <c r="C455" s="1">
        <v>44875</v>
      </c>
      <c r="D455" t="s">
        <v>134</v>
      </c>
      <c r="E455" t="s">
        <v>24</v>
      </c>
      <c r="F455" s="3">
        <v>2023</v>
      </c>
      <c r="G455" s="3">
        <v>3</v>
      </c>
      <c r="H455" t="s">
        <v>183</v>
      </c>
      <c r="I455" s="2">
        <v>5.2</v>
      </c>
      <c r="J455" t="s">
        <v>63</v>
      </c>
    </row>
    <row r="456" spans="1:10">
      <c r="A456" t="s">
        <v>603</v>
      </c>
      <c r="B456" t="s">
        <v>62</v>
      </c>
      <c r="C456" s="1">
        <v>44875</v>
      </c>
      <c r="D456" t="s">
        <v>210</v>
      </c>
      <c r="E456" t="s">
        <v>25</v>
      </c>
      <c r="F456" s="3">
        <v>2023</v>
      </c>
      <c r="G456" s="3">
        <v>3</v>
      </c>
      <c r="H456" t="s">
        <v>183</v>
      </c>
      <c r="I456" s="2">
        <v>4.0999999999999996</v>
      </c>
      <c r="J456" t="s">
        <v>63</v>
      </c>
    </row>
    <row r="457" spans="1:10">
      <c r="A457" t="s">
        <v>604</v>
      </c>
      <c r="B457" t="s">
        <v>62</v>
      </c>
      <c r="C457" s="1">
        <v>44875</v>
      </c>
      <c r="D457" t="s">
        <v>212</v>
      </c>
      <c r="E457" t="s">
        <v>26</v>
      </c>
      <c r="F457" s="3">
        <v>2023</v>
      </c>
      <c r="G457" s="3">
        <v>3</v>
      </c>
      <c r="H457" t="s">
        <v>183</v>
      </c>
      <c r="I457" s="2">
        <v>3.7</v>
      </c>
      <c r="J457" t="s">
        <v>63</v>
      </c>
    </row>
    <row r="458" spans="1:10">
      <c r="A458" t="s">
        <v>605</v>
      </c>
      <c r="B458" t="s">
        <v>62</v>
      </c>
      <c r="C458" s="1">
        <v>44875</v>
      </c>
      <c r="D458" t="s">
        <v>22</v>
      </c>
      <c r="E458" t="s">
        <v>22</v>
      </c>
      <c r="F458" s="3">
        <v>2023</v>
      </c>
      <c r="G458" s="3">
        <v>4</v>
      </c>
      <c r="H458" t="s">
        <v>254</v>
      </c>
      <c r="I458" s="2">
        <v>4.0999999999999996</v>
      </c>
      <c r="J458" t="s">
        <v>63</v>
      </c>
    </row>
    <row r="459" spans="1:10">
      <c r="A459" t="s">
        <v>606</v>
      </c>
      <c r="B459" t="s">
        <v>62</v>
      </c>
      <c r="C459" s="1">
        <v>44875</v>
      </c>
      <c r="D459" t="s">
        <v>134</v>
      </c>
      <c r="E459" t="s">
        <v>24</v>
      </c>
      <c r="F459" s="3">
        <v>2023</v>
      </c>
      <c r="G459" s="3">
        <v>4</v>
      </c>
      <c r="H459" t="s">
        <v>254</v>
      </c>
      <c r="I459" s="2">
        <v>4.0999999999999996</v>
      </c>
      <c r="J459" t="s">
        <v>63</v>
      </c>
    </row>
    <row r="460" spans="1:10">
      <c r="A460" t="s">
        <v>607</v>
      </c>
      <c r="B460" t="s">
        <v>62</v>
      </c>
      <c r="C460" s="1">
        <v>44875</v>
      </c>
      <c r="D460" t="s">
        <v>210</v>
      </c>
      <c r="E460" t="s">
        <v>25</v>
      </c>
      <c r="F460" s="3">
        <v>2023</v>
      </c>
      <c r="G460" s="3">
        <v>4</v>
      </c>
      <c r="H460" t="s">
        <v>254</v>
      </c>
      <c r="I460" s="2">
        <v>4.0999999999999996</v>
      </c>
      <c r="J460" t="s">
        <v>63</v>
      </c>
    </row>
    <row r="461" spans="1:10">
      <c r="A461" t="s">
        <v>608</v>
      </c>
      <c r="B461" t="s">
        <v>62</v>
      </c>
      <c r="C461" s="1">
        <v>44875</v>
      </c>
      <c r="D461" t="s">
        <v>212</v>
      </c>
      <c r="E461" t="s">
        <v>26</v>
      </c>
      <c r="F461" s="3">
        <v>2023</v>
      </c>
      <c r="G461" s="3">
        <v>4</v>
      </c>
      <c r="H461" t="s">
        <v>254</v>
      </c>
      <c r="I461" s="2">
        <v>3.2</v>
      </c>
      <c r="J461" t="s">
        <v>63</v>
      </c>
    </row>
    <row r="462" spans="1:10">
      <c r="A462" t="s">
        <v>609</v>
      </c>
      <c r="B462" t="s">
        <v>62</v>
      </c>
      <c r="C462" s="1">
        <v>44875</v>
      </c>
      <c r="D462" t="s">
        <v>22</v>
      </c>
      <c r="E462" t="s">
        <v>22</v>
      </c>
      <c r="F462" s="3">
        <v>2024</v>
      </c>
      <c r="G462" s="3">
        <v>1</v>
      </c>
      <c r="H462" t="s">
        <v>355</v>
      </c>
      <c r="I462" s="2">
        <v>3.8</v>
      </c>
      <c r="J462" t="s">
        <v>63</v>
      </c>
    </row>
    <row r="463" spans="1:10">
      <c r="A463" t="s">
        <v>610</v>
      </c>
      <c r="B463" t="s">
        <v>62</v>
      </c>
      <c r="C463" s="1">
        <v>44875</v>
      </c>
      <c r="D463" t="s">
        <v>134</v>
      </c>
      <c r="E463" t="s">
        <v>24</v>
      </c>
      <c r="F463" s="3">
        <v>2024</v>
      </c>
      <c r="G463" s="3">
        <v>1</v>
      </c>
      <c r="H463" t="s">
        <v>355</v>
      </c>
      <c r="I463" s="2">
        <v>3.6</v>
      </c>
      <c r="J463" t="s">
        <v>63</v>
      </c>
    </row>
    <row r="464" spans="1:10">
      <c r="A464" t="s">
        <v>611</v>
      </c>
      <c r="B464" t="s">
        <v>62</v>
      </c>
      <c r="C464" s="1">
        <v>44875</v>
      </c>
      <c r="D464" t="s">
        <v>210</v>
      </c>
      <c r="E464" t="s">
        <v>25</v>
      </c>
      <c r="F464" s="3">
        <v>2024</v>
      </c>
      <c r="G464" s="3">
        <v>1</v>
      </c>
      <c r="H464" t="s">
        <v>355</v>
      </c>
      <c r="I464" s="2">
        <v>3.3</v>
      </c>
      <c r="J464" t="s">
        <v>63</v>
      </c>
    </row>
    <row r="465" spans="1:10">
      <c r="A465" t="s">
        <v>612</v>
      </c>
      <c r="B465" t="s">
        <v>62</v>
      </c>
      <c r="C465" s="1">
        <v>44875</v>
      </c>
      <c r="D465" t="s">
        <v>212</v>
      </c>
      <c r="E465" t="s">
        <v>26</v>
      </c>
      <c r="F465" s="3">
        <v>2024</v>
      </c>
      <c r="G465" s="3">
        <v>1</v>
      </c>
      <c r="H465" t="s">
        <v>355</v>
      </c>
      <c r="I465" s="2">
        <v>3.2</v>
      </c>
      <c r="J465" t="s">
        <v>63</v>
      </c>
    </row>
    <row r="466" spans="1:10">
      <c r="A466" t="s">
        <v>613</v>
      </c>
      <c r="B466" t="s">
        <v>62</v>
      </c>
      <c r="C466" s="1">
        <v>44875</v>
      </c>
      <c r="D466" t="s">
        <v>22</v>
      </c>
      <c r="E466" t="s">
        <v>22</v>
      </c>
      <c r="F466" s="3">
        <v>2024</v>
      </c>
      <c r="G466" s="3">
        <v>2</v>
      </c>
      <c r="H466" t="s">
        <v>460</v>
      </c>
      <c r="I466" s="2">
        <v>3.4</v>
      </c>
      <c r="J466" t="s">
        <v>63</v>
      </c>
    </row>
    <row r="467" spans="1:10">
      <c r="A467" t="s">
        <v>614</v>
      </c>
      <c r="B467" t="s">
        <v>62</v>
      </c>
      <c r="C467" s="1">
        <v>44875</v>
      </c>
      <c r="D467" t="s">
        <v>134</v>
      </c>
      <c r="E467" t="s">
        <v>24</v>
      </c>
      <c r="F467" s="3">
        <v>2024</v>
      </c>
      <c r="G467" s="3">
        <v>2</v>
      </c>
      <c r="H467" t="s">
        <v>460</v>
      </c>
      <c r="I467" s="2">
        <v>3.2</v>
      </c>
      <c r="J467" t="s">
        <v>63</v>
      </c>
    </row>
    <row r="468" spans="1:10">
      <c r="A468" t="s">
        <v>615</v>
      </c>
      <c r="B468" t="s">
        <v>62</v>
      </c>
      <c r="C468" s="1">
        <v>44875</v>
      </c>
      <c r="D468" t="s">
        <v>210</v>
      </c>
      <c r="E468" t="s">
        <v>25</v>
      </c>
      <c r="F468" s="3">
        <v>2024</v>
      </c>
      <c r="G468" s="3">
        <v>2</v>
      </c>
      <c r="H468" t="s">
        <v>460</v>
      </c>
      <c r="I468" s="2">
        <v>2.2000000000000002</v>
      </c>
      <c r="J468" t="s">
        <v>63</v>
      </c>
    </row>
    <row r="469" spans="1:10">
      <c r="A469" t="s">
        <v>616</v>
      </c>
      <c r="B469" t="s">
        <v>62</v>
      </c>
      <c r="C469" s="1">
        <v>44875</v>
      </c>
      <c r="D469" t="s">
        <v>212</v>
      </c>
      <c r="E469" t="s">
        <v>26</v>
      </c>
      <c r="F469" s="3">
        <v>2024</v>
      </c>
      <c r="G469" s="3">
        <v>2</v>
      </c>
      <c r="H469" t="s">
        <v>460</v>
      </c>
      <c r="I469" s="2">
        <v>2.9</v>
      </c>
      <c r="J469" t="s">
        <v>63</v>
      </c>
    </row>
    <row r="470" spans="1:10">
      <c r="A470" t="s">
        <v>617</v>
      </c>
      <c r="B470" t="s">
        <v>62</v>
      </c>
      <c r="C470" s="1">
        <v>44875</v>
      </c>
      <c r="D470" t="s">
        <v>22</v>
      </c>
      <c r="E470" t="s">
        <v>22</v>
      </c>
      <c r="F470" s="3">
        <v>2024</v>
      </c>
      <c r="G470" s="3">
        <v>3</v>
      </c>
      <c r="H470" t="s">
        <v>565</v>
      </c>
      <c r="I470" s="2">
        <v>3.1</v>
      </c>
      <c r="J470" t="s">
        <v>63</v>
      </c>
    </row>
    <row r="471" spans="1:10">
      <c r="A471" t="s">
        <v>618</v>
      </c>
      <c r="B471" t="s">
        <v>62</v>
      </c>
      <c r="C471" s="1">
        <v>44875</v>
      </c>
      <c r="D471" t="s">
        <v>134</v>
      </c>
      <c r="E471" t="s">
        <v>24</v>
      </c>
      <c r="F471" s="3">
        <v>2024</v>
      </c>
      <c r="G471" s="3">
        <v>3</v>
      </c>
      <c r="H471" t="s">
        <v>565</v>
      </c>
      <c r="I471" s="2">
        <v>3</v>
      </c>
      <c r="J471" t="s">
        <v>63</v>
      </c>
    </row>
    <row r="472" spans="1:10">
      <c r="A472" t="s">
        <v>619</v>
      </c>
      <c r="B472" t="s">
        <v>62</v>
      </c>
      <c r="C472" s="1">
        <v>44875</v>
      </c>
      <c r="D472" t="s">
        <v>210</v>
      </c>
      <c r="E472" t="s">
        <v>25</v>
      </c>
      <c r="F472" s="3">
        <v>2024</v>
      </c>
      <c r="G472" s="3">
        <v>3</v>
      </c>
      <c r="H472" t="s">
        <v>565</v>
      </c>
      <c r="I472" s="2">
        <v>2.9</v>
      </c>
      <c r="J472" t="s">
        <v>63</v>
      </c>
    </row>
    <row r="473" spans="1:10">
      <c r="A473" t="s">
        <v>620</v>
      </c>
      <c r="B473" t="s">
        <v>62</v>
      </c>
      <c r="C473" s="1">
        <v>44875</v>
      </c>
      <c r="D473" t="s">
        <v>212</v>
      </c>
      <c r="E473" t="s">
        <v>26</v>
      </c>
      <c r="F473" s="3">
        <v>2024</v>
      </c>
      <c r="G473" s="3">
        <v>3</v>
      </c>
      <c r="H473" t="s">
        <v>565</v>
      </c>
      <c r="I473" s="2">
        <v>2.6</v>
      </c>
      <c r="J473" t="s">
        <v>63</v>
      </c>
    </row>
    <row r="474" spans="1:10">
      <c r="A474" t="s">
        <v>621</v>
      </c>
      <c r="B474" t="s">
        <v>64</v>
      </c>
      <c r="C474" s="1">
        <v>44910</v>
      </c>
      <c r="D474" t="s">
        <v>22</v>
      </c>
      <c r="E474" t="s">
        <v>22</v>
      </c>
      <c r="F474" s="3">
        <v>2021</v>
      </c>
      <c r="G474" s="3">
        <v>4</v>
      </c>
      <c r="H474" t="s">
        <v>142</v>
      </c>
      <c r="I474" s="2">
        <v>7</v>
      </c>
      <c r="J474" t="s">
        <v>65</v>
      </c>
    </row>
    <row r="475" spans="1:10">
      <c r="A475" t="s">
        <v>622</v>
      </c>
      <c r="B475" t="s">
        <v>64</v>
      </c>
      <c r="C475" s="1">
        <v>44910</v>
      </c>
      <c r="D475" t="s">
        <v>134</v>
      </c>
      <c r="E475" t="s">
        <v>24</v>
      </c>
      <c r="F475" s="3">
        <v>2021</v>
      </c>
      <c r="G475" s="3">
        <v>4</v>
      </c>
      <c r="H475" t="s">
        <v>142</v>
      </c>
      <c r="I475" s="2">
        <v>5.6</v>
      </c>
      <c r="J475" t="s">
        <v>65</v>
      </c>
    </row>
    <row r="476" spans="1:10">
      <c r="A476" t="s">
        <v>623</v>
      </c>
      <c r="B476" t="s">
        <v>64</v>
      </c>
      <c r="C476" s="1">
        <v>44910</v>
      </c>
      <c r="D476" t="s">
        <v>210</v>
      </c>
      <c r="E476" t="s">
        <v>25</v>
      </c>
      <c r="F476" s="3">
        <v>2021</v>
      </c>
      <c r="G476" s="3">
        <v>4</v>
      </c>
      <c r="H476" t="s">
        <v>142</v>
      </c>
      <c r="I476" s="2">
        <v>8.1</v>
      </c>
      <c r="J476" t="s">
        <v>65</v>
      </c>
    </row>
    <row r="477" spans="1:10">
      <c r="A477" t="s">
        <v>624</v>
      </c>
      <c r="B477" t="s">
        <v>64</v>
      </c>
      <c r="C477" s="1">
        <v>44910</v>
      </c>
      <c r="D477" t="s">
        <v>212</v>
      </c>
      <c r="E477" t="s">
        <v>26</v>
      </c>
      <c r="F477" s="3">
        <v>2021</v>
      </c>
      <c r="G477" s="3">
        <v>4</v>
      </c>
      <c r="H477" t="s">
        <v>142</v>
      </c>
      <c r="I477" s="2">
        <v>6.5</v>
      </c>
      <c r="J477" t="s">
        <v>65</v>
      </c>
    </row>
    <row r="478" spans="1:10">
      <c r="A478" t="s">
        <v>625</v>
      </c>
      <c r="B478" t="s">
        <v>64</v>
      </c>
      <c r="C478" s="1">
        <v>44910</v>
      </c>
      <c r="D478" t="s">
        <v>22</v>
      </c>
      <c r="E478" t="s">
        <v>22</v>
      </c>
      <c r="F478" s="3">
        <v>2022</v>
      </c>
      <c r="G478" s="3">
        <v>1</v>
      </c>
      <c r="H478" t="s">
        <v>145</v>
      </c>
      <c r="I478" s="2">
        <v>7.3</v>
      </c>
      <c r="J478" t="s">
        <v>65</v>
      </c>
    </row>
    <row r="479" spans="1:10">
      <c r="A479" t="s">
        <v>626</v>
      </c>
      <c r="B479" t="s">
        <v>64</v>
      </c>
      <c r="C479" s="1">
        <v>44910</v>
      </c>
      <c r="D479" t="s">
        <v>134</v>
      </c>
      <c r="E479" t="s">
        <v>24</v>
      </c>
      <c r="F479" s="3">
        <v>2022</v>
      </c>
      <c r="G479" s="3">
        <v>1</v>
      </c>
      <c r="H479" t="s">
        <v>145</v>
      </c>
      <c r="I479" s="2">
        <v>6.5</v>
      </c>
      <c r="J479" t="s">
        <v>65</v>
      </c>
    </row>
    <row r="480" spans="1:10">
      <c r="A480" t="s">
        <v>627</v>
      </c>
      <c r="B480" t="s">
        <v>64</v>
      </c>
      <c r="C480" s="1">
        <v>44910</v>
      </c>
      <c r="D480" t="s">
        <v>210</v>
      </c>
      <c r="E480" t="s">
        <v>25</v>
      </c>
      <c r="F480" s="3">
        <v>2022</v>
      </c>
      <c r="G480" s="3">
        <v>1</v>
      </c>
      <c r="H480" t="s">
        <v>145</v>
      </c>
      <c r="I480" s="2">
        <v>7</v>
      </c>
      <c r="J480" t="s">
        <v>65</v>
      </c>
    </row>
    <row r="481" spans="1:10">
      <c r="A481" t="s">
        <v>628</v>
      </c>
      <c r="B481" t="s">
        <v>64</v>
      </c>
      <c r="C481" s="1">
        <v>44910</v>
      </c>
      <c r="D481" t="s">
        <v>212</v>
      </c>
      <c r="E481" t="s">
        <v>26</v>
      </c>
      <c r="F481" s="3">
        <v>2022</v>
      </c>
      <c r="G481" s="3">
        <v>1</v>
      </c>
      <c r="H481" t="s">
        <v>145</v>
      </c>
      <c r="I481" s="2">
        <v>8.1999999999999993</v>
      </c>
      <c r="J481" t="s">
        <v>65</v>
      </c>
    </row>
    <row r="482" spans="1:10">
      <c r="A482" t="s">
        <v>629</v>
      </c>
      <c r="B482" t="s">
        <v>64</v>
      </c>
      <c r="C482" s="1">
        <v>44910</v>
      </c>
      <c r="D482" t="s">
        <v>22</v>
      </c>
      <c r="E482" t="s">
        <v>22</v>
      </c>
      <c r="F482" s="3">
        <v>2022</v>
      </c>
      <c r="G482" s="3">
        <v>2</v>
      </c>
      <c r="H482" t="s">
        <v>148</v>
      </c>
      <c r="I482" s="2">
        <v>7.8</v>
      </c>
      <c r="J482" t="s">
        <v>65</v>
      </c>
    </row>
    <row r="483" spans="1:10">
      <c r="A483" t="s">
        <v>630</v>
      </c>
      <c r="B483" t="s">
        <v>64</v>
      </c>
      <c r="C483" s="1">
        <v>44910</v>
      </c>
      <c r="D483" t="s">
        <v>134</v>
      </c>
      <c r="E483" t="s">
        <v>24</v>
      </c>
      <c r="F483" s="3">
        <v>2022</v>
      </c>
      <c r="G483" s="3">
        <v>2</v>
      </c>
      <c r="H483" t="s">
        <v>148</v>
      </c>
      <c r="I483" s="2">
        <v>7.3</v>
      </c>
      <c r="J483" t="s">
        <v>65</v>
      </c>
    </row>
    <row r="484" spans="1:10">
      <c r="A484" t="s">
        <v>631</v>
      </c>
      <c r="B484" t="s">
        <v>64</v>
      </c>
      <c r="C484" s="1">
        <v>44910</v>
      </c>
      <c r="D484" t="s">
        <v>210</v>
      </c>
      <c r="E484" t="s">
        <v>25</v>
      </c>
      <c r="F484" s="3">
        <v>2022</v>
      </c>
      <c r="G484" s="3">
        <v>2</v>
      </c>
      <c r="H484" t="s">
        <v>148</v>
      </c>
      <c r="I484" s="2">
        <v>10.3</v>
      </c>
      <c r="J484" t="s">
        <v>65</v>
      </c>
    </row>
    <row r="485" spans="1:10">
      <c r="A485" t="s">
        <v>632</v>
      </c>
      <c r="B485" t="s">
        <v>64</v>
      </c>
      <c r="C485" s="1">
        <v>44910</v>
      </c>
      <c r="D485" t="s">
        <v>212</v>
      </c>
      <c r="E485" t="s">
        <v>26</v>
      </c>
      <c r="F485" s="3">
        <v>2022</v>
      </c>
      <c r="G485" s="3">
        <v>2</v>
      </c>
      <c r="H485" t="s">
        <v>148</v>
      </c>
      <c r="I485" s="2">
        <v>8.6999999999999993</v>
      </c>
      <c r="J485" t="s">
        <v>65</v>
      </c>
    </row>
    <row r="486" spans="1:10">
      <c r="A486" t="s">
        <v>633</v>
      </c>
      <c r="B486" t="s">
        <v>64</v>
      </c>
      <c r="C486" s="1">
        <v>44910</v>
      </c>
      <c r="D486" t="s">
        <v>22</v>
      </c>
      <c r="E486" t="s">
        <v>22</v>
      </c>
      <c r="F486" s="3">
        <v>2022</v>
      </c>
      <c r="G486" s="3">
        <v>3</v>
      </c>
      <c r="H486" t="s">
        <v>151</v>
      </c>
      <c r="I486" s="2">
        <v>8.5</v>
      </c>
      <c r="J486" t="s">
        <v>65</v>
      </c>
    </row>
    <row r="487" spans="1:10">
      <c r="A487" t="s">
        <v>634</v>
      </c>
      <c r="B487" t="s">
        <v>64</v>
      </c>
      <c r="C487" s="1">
        <v>44910</v>
      </c>
      <c r="D487" t="s">
        <v>134</v>
      </c>
      <c r="E487" t="s">
        <v>24</v>
      </c>
      <c r="F487" s="3">
        <v>2022</v>
      </c>
      <c r="G487" s="3">
        <v>3</v>
      </c>
      <c r="H487" t="s">
        <v>151</v>
      </c>
      <c r="I487" s="2">
        <v>8</v>
      </c>
      <c r="J487" t="s">
        <v>65</v>
      </c>
    </row>
    <row r="488" spans="1:10">
      <c r="A488" t="s">
        <v>635</v>
      </c>
      <c r="B488" t="s">
        <v>64</v>
      </c>
      <c r="C488" s="1">
        <v>44910</v>
      </c>
      <c r="D488" t="s">
        <v>210</v>
      </c>
      <c r="E488" t="s">
        <v>25</v>
      </c>
      <c r="F488" s="3">
        <v>2022</v>
      </c>
      <c r="G488" s="3">
        <v>3</v>
      </c>
      <c r="H488" t="s">
        <v>151</v>
      </c>
      <c r="I488" s="2">
        <v>8.6</v>
      </c>
      <c r="J488" t="s">
        <v>65</v>
      </c>
    </row>
    <row r="489" spans="1:10">
      <c r="A489" t="s">
        <v>636</v>
      </c>
      <c r="B489" t="s">
        <v>64</v>
      </c>
      <c r="C489" s="1">
        <v>44910</v>
      </c>
      <c r="D489" t="s">
        <v>212</v>
      </c>
      <c r="E489" t="s">
        <v>26</v>
      </c>
      <c r="F489" s="3">
        <v>2022</v>
      </c>
      <c r="G489" s="3">
        <v>3</v>
      </c>
      <c r="H489" t="s">
        <v>151</v>
      </c>
      <c r="I489" s="2">
        <v>8.6</v>
      </c>
      <c r="J489" t="s">
        <v>65</v>
      </c>
    </row>
    <row r="490" spans="1:10">
      <c r="A490" t="s">
        <v>637</v>
      </c>
      <c r="B490" t="s">
        <v>64</v>
      </c>
      <c r="C490" s="1">
        <v>44910</v>
      </c>
      <c r="D490" t="s">
        <v>22</v>
      </c>
      <c r="E490" t="s">
        <v>22</v>
      </c>
      <c r="F490" s="3">
        <v>2022</v>
      </c>
      <c r="G490" s="3">
        <v>4</v>
      </c>
      <c r="H490" t="s">
        <v>154</v>
      </c>
      <c r="I490" s="2">
        <v>8.1</v>
      </c>
      <c r="J490" t="s">
        <v>65</v>
      </c>
    </row>
    <row r="491" spans="1:10">
      <c r="A491" t="s">
        <v>638</v>
      </c>
      <c r="B491" t="s">
        <v>64</v>
      </c>
      <c r="C491" s="1">
        <v>44910</v>
      </c>
      <c r="D491" t="s">
        <v>134</v>
      </c>
      <c r="E491" t="s">
        <v>24</v>
      </c>
      <c r="F491" s="3">
        <v>2022</v>
      </c>
      <c r="G491" s="3">
        <v>4</v>
      </c>
      <c r="H491" t="s">
        <v>154</v>
      </c>
      <c r="I491" s="2">
        <v>8.5</v>
      </c>
      <c r="J491" t="s">
        <v>65</v>
      </c>
    </row>
    <row r="492" spans="1:10">
      <c r="A492" t="s">
        <v>639</v>
      </c>
      <c r="B492" t="s">
        <v>64</v>
      </c>
      <c r="C492" s="1">
        <v>44910</v>
      </c>
      <c r="D492" t="s">
        <v>210</v>
      </c>
      <c r="E492" t="s">
        <v>25</v>
      </c>
      <c r="F492" s="3">
        <v>2022</v>
      </c>
      <c r="G492" s="3">
        <v>4</v>
      </c>
      <c r="H492" t="s">
        <v>154</v>
      </c>
      <c r="I492" s="2">
        <v>6.4</v>
      </c>
      <c r="J492" t="s">
        <v>65</v>
      </c>
    </row>
    <row r="493" spans="1:10">
      <c r="A493" t="s">
        <v>640</v>
      </c>
      <c r="B493" t="s">
        <v>64</v>
      </c>
      <c r="C493" s="1">
        <v>44910</v>
      </c>
      <c r="D493" t="s">
        <v>212</v>
      </c>
      <c r="E493" t="s">
        <v>26</v>
      </c>
      <c r="F493" s="3">
        <v>2022</v>
      </c>
      <c r="G493" s="3">
        <v>4</v>
      </c>
      <c r="H493" t="s">
        <v>154</v>
      </c>
      <c r="I493" s="2">
        <v>8.1999999999999993</v>
      </c>
      <c r="J493" t="s">
        <v>65</v>
      </c>
    </row>
    <row r="494" spans="1:10">
      <c r="A494" t="s">
        <v>641</v>
      </c>
      <c r="B494" t="s">
        <v>64</v>
      </c>
      <c r="C494" s="1">
        <v>44910</v>
      </c>
      <c r="D494" t="s">
        <v>22</v>
      </c>
      <c r="E494" t="s">
        <v>22</v>
      </c>
      <c r="F494" s="3">
        <v>2023</v>
      </c>
      <c r="G494" s="3">
        <v>1</v>
      </c>
      <c r="H494" t="s">
        <v>157</v>
      </c>
      <c r="I494" s="2">
        <v>7.5</v>
      </c>
      <c r="J494" t="s">
        <v>65</v>
      </c>
    </row>
    <row r="495" spans="1:10">
      <c r="A495" t="s">
        <v>642</v>
      </c>
      <c r="B495" t="s">
        <v>64</v>
      </c>
      <c r="C495" s="1">
        <v>44910</v>
      </c>
      <c r="D495" t="s">
        <v>134</v>
      </c>
      <c r="E495" t="s">
        <v>24</v>
      </c>
      <c r="F495" s="3">
        <v>2023</v>
      </c>
      <c r="G495" s="3">
        <v>1</v>
      </c>
      <c r="H495" t="s">
        <v>157</v>
      </c>
      <c r="I495" s="2">
        <v>7.8</v>
      </c>
      <c r="J495" t="s">
        <v>65</v>
      </c>
    </row>
    <row r="496" spans="1:10">
      <c r="A496" t="s">
        <v>643</v>
      </c>
      <c r="B496" t="s">
        <v>64</v>
      </c>
      <c r="C496" s="1">
        <v>44910</v>
      </c>
      <c r="D496" t="s">
        <v>210</v>
      </c>
      <c r="E496" t="s">
        <v>25</v>
      </c>
      <c r="F496" s="3">
        <v>2023</v>
      </c>
      <c r="G496" s="3">
        <v>1</v>
      </c>
      <c r="H496" t="s">
        <v>157</v>
      </c>
      <c r="I496" s="2">
        <v>4.9000000000000004</v>
      </c>
      <c r="J496" t="s">
        <v>65</v>
      </c>
    </row>
    <row r="497" spans="1:10">
      <c r="A497" t="s">
        <v>644</v>
      </c>
      <c r="B497" t="s">
        <v>64</v>
      </c>
      <c r="C497" s="1">
        <v>44910</v>
      </c>
      <c r="D497" t="s">
        <v>212</v>
      </c>
      <c r="E497" t="s">
        <v>26</v>
      </c>
      <c r="F497" s="3">
        <v>2023</v>
      </c>
      <c r="G497" s="3">
        <v>1</v>
      </c>
      <c r="H497" t="s">
        <v>157</v>
      </c>
      <c r="I497" s="2">
        <v>5.5</v>
      </c>
      <c r="J497" t="s">
        <v>65</v>
      </c>
    </row>
    <row r="498" spans="1:10">
      <c r="A498" t="s">
        <v>645</v>
      </c>
      <c r="B498" t="s">
        <v>64</v>
      </c>
      <c r="C498" s="1">
        <v>44910</v>
      </c>
      <c r="D498" t="s">
        <v>22</v>
      </c>
      <c r="E498" t="s">
        <v>22</v>
      </c>
      <c r="F498" s="3">
        <v>2023</v>
      </c>
      <c r="G498" s="3">
        <v>2</v>
      </c>
      <c r="H498" t="s">
        <v>160</v>
      </c>
      <c r="I498" s="2">
        <v>5.9</v>
      </c>
      <c r="J498" t="s">
        <v>65</v>
      </c>
    </row>
    <row r="499" spans="1:10">
      <c r="A499" t="s">
        <v>646</v>
      </c>
      <c r="B499" t="s">
        <v>64</v>
      </c>
      <c r="C499" s="1">
        <v>44910</v>
      </c>
      <c r="D499" t="s">
        <v>134</v>
      </c>
      <c r="E499" t="s">
        <v>24</v>
      </c>
      <c r="F499" s="3">
        <v>2023</v>
      </c>
      <c r="G499" s="3">
        <v>2</v>
      </c>
      <c r="H499" t="s">
        <v>160</v>
      </c>
      <c r="I499" s="2">
        <v>6.7</v>
      </c>
      <c r="J499" t="s">
        <v>65</v>
      </c>
    </row>
    <row r="500" spans="1:10">
      <c r="A500" t="s">
        <v>647</v>
      </c>
      <c r="B500" t="s">
        <v>64</v>
      </c>
      <c r="C500" s="1">
        <v>44910</v>
      </c>
      <c r="D500" t="s">
        <v>210</v>
      </c>
      <c r="E500" t="s">
        <v>25</v>
      </c>
      <c r="F500" s="3">
        <v>2023</v>
      </c>
      <c r="G500" s="3">
        <v>2</v>
      </c>
      <c r="H500" t="s">
        <v>160</v>
      </c>
      <c r="I500" s="2">
        <v>3.8</v>
      </c>
      <c r="J500" t="s">
        <v>65</v>
      </c>
    </row>
    <row r="501" spans="1:10">
      <c r="A501" t="s">
        <v>648</v>
      </c>
      <c r="B501" t="s">
        <v>64</v>
      </c>
      <c r="C501" s="1">
        <v>44910</v>
      </c>
      <c r="D501" t="s">
        <v>212</v>
      </c>
      <c r="E501" t="s">
        <v>26</v>
      </c>
      <c r="F501" s="3">
        <v>2023</v>
      </c>
      <c r="G501" s="3">
        <v>2</v>
      </c>
      <c r="H501" t="s">
        <v>160</v>
      </c>
      <c r="I501" s="2">
        <v>4.5</v>
      </c>
      <c r="J501" t="s">
        <v>65</v>
      </c>
    </row>
    <row r="502" spans="1:10">
      <c r="A502" t="s">
        <v>649</v>
      </c>
      <c r="B502" t="s">
        <v>64</v>
      </c>
      <c r="C502" s="1">
        <v>44910</v>
      </c>
      <c r="D502" t="s">
        <v>22</v>
      </c>
      <c r="E502" t="s">
        <v>22</v>
      </c>
      <c r="F502" s="3">
        <v>2023</v>
      </c>
      <c r="G502" s="3">
        <v>3</v>
      </c>
      <c r="H502" t="s">
        <v>183</v>
      </c>
      <c r="I502" s="2">
        <v>4.8</v>
      </c>
      <c r="J502" t="s">
        <v>65</v>
      </c>
    </row>
    <row r="503" spans="1:10">
      <c r="A503" t="s">
        <v>650</v>
      </c>
      <c r="B503" t="s">
        <v>64</v>
      </c>
      <c r="C503" s="1">
        <v>44910</v>
      </c>
      <c r="D503" t="s">
        <v>134</v>
      </c>
      <c r="E503" t="s">
        <v>24</v>
      </c>
      <c r="F503" s="3">
        <v>2023</v>
      </c>
      <c r="G503" s="3">
        <v>3</v>
      </c>
      <c r="H503" t="s">
        <v>183</v>
      </c>
      <c r="I503" s="2">
        <v>5.5</v>
      </c>
      <c r="J503" t="s">
        <v>65</v>
      </c>
    </row>
    <row r="504" spans="1:10">
      <c r="A504" t="s">
        <v>651</v>
      </c>
      <c r="B504" t="s">
        <v>64</v>
      </c>
      <c r="C504" s="1">
        <v>44910</v>
      </c>
      <c r="D504" t="s">
        <v>210</v>
      </c>
      <c r="E504" t="s">
        <v>25</v>
      </c>
      <c r="F504" s="3">
        <v>2023</v>
      </c>
      <c r="G504" s="3">
        <v>3</v>
      </c>
      <c r="H504" t="s">
        <v>183</v>
      </c>
      <c r="I504" s="2">
        <v>4</v>
      </c>
      <c r="J504" t="s">
        <v>65</v>
      </c>
    </row>
    <row r="505" spans="1:10">
      <c r="A505" t="s">
        <v>652</v>
      </c>
      <c r="B505" t="s">
        <v>64</v>
      </c>
      <c r="C505" s="1">
        <v>44910</v>
      </c>
      <c r="D505" t="s">
        <v>212</v>
      </c>
      <c r="E505" t="s">
        <v>26</v>
      </c>
      <c r="F505" s="3">
        <v>2023</v>
      </c>
      <c r="G505" s="3">
        <v>3</v>
      </c>
      <c r="H505" t="s">
        <v>183</v>
      </c>
      <c r="I505" s="2">
        <v>3.9</v>
      </c>
      <c r="J505" t="s">
        <v>65</v>
      </c>
    </row>
    <row r="506" spans="1:10">
      <c r="A506" t="s">
        <v>653</v>
      </c>
      <c r="B506" t="s">
        <v>64</v>
      </c>
      <c r="C506" s="1">
        <v>44910</v>
      </c>
      <c r="D506" t="s">
        <v>22</v>
      </c>
      <c r="E506" t="s">
        <v>22</v>
      </c>
      <c r="F506" s="3">
        <v>2023</v>
      </c>
      <c r="G506" s="3">
        <v>4</v>
      </c>
      <c r="H506" t="s">
        <v>254</v>
      </c>
      <c r="I506" s="2">
        <v>4.2</v>
      </c>
      <c r="J506" t="s">
        <v>65</v>
      </c>
    </row>
    <row r="507" spans="1:10">
      <c r="A507" t="s">
        <v>654</v>
      </c>
      <c r="B507" t="s">
        <v>64</v>
      </c>
      <c r="C507" s="1">
        <v>44910</v>
      </c>
      <c r="D507" t="s">
        <v>134</v>
      </c>
      <c r="E507" t="s">
        <v>24</v>
      </c>
      <c r="F507" s="3">
        <v>2023</v>
      </c>
      <c r="G507" s="3">
        <v>4</v>
      </c>
      <c r="H507" t="s">
        <v>254</v>
      </c>
      <c r="I507" s="2">
        <v>4.3</v>
      </c>
      <c r="J507" t="s">
        <v>65</v>
      </c>
    </row>
    <row r="508" spans="1:10">
      <c r="A508" t="s">
        <v>655</v>
      </c>
      <c r="B508" t="s">
        <v>64</v>
      </c>
      <c r="C508" s="1">
        <v>44910</v>
      </c>
      <c r="D508" t="s">
        <v>210</v>
      </c>
      <c r="E508" t="s">
        <v>25</v>
      </c>
      <c r="F508" s="3">
        <v>2023</v>
      </c>
      <c r="G508" s="3">
        <v>4</v>
      </c>
      <c r="H508" t="s">
        <v>254</v>
      </c>
      <c r="I508" s="2">
        <v>4</v>
      </c>
      <c r="J508" t="s">
        <v>65</v>
      </c>
    </row>
    <row r="509" spans="1:10">
      <c r="A509" t="s">
        <v>656</v>
      </c>
      <c r="B509" t="s">
        <v>64</v>
      </c>
      <c r="C509" s="1">
        <v>44910</v>
      </c>
      <c r="D509" t="s">
        <v>212</v>
      </c>
      <c r="E509" t="s">
        <v>26</v>
      </c>
      <c r="F509" s="3">
        <v>2023</v>
      </c>
      <c r="G509" s="3">
        <v>4</v>
      </c>
      <c r="H509" t="s">
        <v>254</v>
      </c>
      <c r="I509" s="2">
        <v>3.1</v>
      </c>
      <c r="J509" t="s">
        <v>65</v>
      </c>
    </row>
    <row r="510" spans="1:10">
      <c r="A510" t="s">
        <v>657</v>
      </c>
      <c r="B510" t="s">
        <v>64</v>
      </c>
      <c r="C510" s="1">
        <v>44910</v>
      </c>
      <c r="D510" t="s">
        <v>22</v>
      </c>
      <c r="E510" t="s">
        <v>22</v>
      </c>
      <c r="F510" s="3">
        <v>2024</v>
      </c>
      <c r="G510" s="3">
        <v>1</v>
      </c>
      <c r="H510" t="s">
        <v>355</v>
      </c>
      <c r="I510" s="2">
        <v>3.8</v>
      </c>
      <c r="J510" t="s">
        <v>65</v>
      </c>
    </row>
    <row r="511" spans="1:10">
      <c r="A511" t="s">
        <v>658</v>
      </c>
      <c r="B511" t="s">
        <v>64</v>
      </c>
      <c r="C511" s="1">
        <v>44910</v>
      </c>
      <c r="D511" t="s">
        <v>134</v>
      </c>
      <c r="E511" t="s">
        <v>24</v>
      </c>
      <c r="F511" s="3">
        <v>2024</v>
      </c>
      <c r="G511" s="3">
        <v>1</v>
      </c>
      <c r="H511" t="s">
        <v>355</v>
      </c>
      <c r="I511" s="2">
        <v>3.7</v>
      </c>
      <c r="J511" t="s">
        <v>65</v>
      </c>
    </row>
    <row r="512" spans="1:10">
      <c r="A512" t="s">
        <v>659</v>
      </c>
      <c r="B512" t="s">
        <v>64</v>
      </c>
      <c r="C512" s="1">
        <v>44910</v>
      </c>
      <c r="D512" t="s">
        <v>210</v>
      </c>
      <c r="E512" t="s">
        <v>25</v>
      </c>
      <c r="F512" s="3">
        <v>2024</v>
      </c>
      <c r="G512" s="3">
        <v>1</v>
      </c>
      <c r="H512" t="s">
        <v>355</v>
      </c>
      <c r="I512" s="2">
        <v>3.3</v>
      </c>
      <c r="J512" t="s">
        <v>65</v>
      </c>
    </row>
    <row r="513" spans="1:10">
      <c r="A513" t="s">
        <v>660</v>
      </c>
      <c r="B513" t="s">
        <v>64</v>
      </c>
      <c r="C513" s="1">
        <v>44910</v>
      </c>
      <c r="D513" t="s">
        <v>212</v>
      </c>
      <c r="E513" t="s">
        <v>26</v>
      </c>
      <c r="F513" s="3">
        <v>2024</v>
      </c>
      <c r="G513" s="3">
        <v>1</v>
      </c>
      <c r="H513" t="s">
        <v>355</v>
      </c>
      <c r="I513" s="2">
        <v>3.1</v>
      </c>
      <c r="J513" t="s">
        <v>65</v>
      </c>
    </row>
    <row r="514" spans="1:10">
      <c r="A514" t="s">
        <v>661</v>
      </c>
      <c r="B514" t="s">
        <v>64</v>
      </c>
      <c r="C514" s="1">
        <v>44910</v>
      </c>
      <c r="D514" t="s">
        <v>22</v>
      </c>
      <c r="E514" t="s">
        <v>22</v>
      </c>
      <c r="F514" s="3">
        <v>2024</v>
      </c>
      <c r="G514" s="3">
        <v>2</v>
      </c>
      <c r="H514" t="s">
        <v>460</v>
      </c>
      <c r="I514" s="2">
        <v>3.4</v>
      </c>
      <c r="J514" t="s">
        <v>65</v>
      </c>
    </row>
    <row r="515" spans="1:10">
      <c r="A515" t="s">
        <v>662</v>
      </c>
      <c r="B515" t="s">
        <v>64</v>
      </c>
      <c r="C515" s="1">
        <v>44910</v>
      </c>
      <c r="D515" t="s">
        <v>134</v>
      </c>
      <c r="E515" t="s">
        <v>24</v>
      </c>
      <c r="F515" s="3">
        <v>2024</v>
      </c>
      <c r="G515" s="3">
        <v>2</v>
      </c>
      <c r="H515" t="s">
        <v>460</v>
      </c>
      <c r="I515" s="2">
        <v>3.2</v>
      </c>
      <c r="J515" t="s">
        <v>65</v>
      </c>
    </row>
    <row r="516" spans="1:10">
      <c r="A516" t="s">
        <v>663</v>
      </c>
      <c r="B516" t="s">
        <v>64</v>
      </c>
      <c r="C516" s="1">
        <v>44910</v>
      </c>
      <c r="D516" t="s">
        <v>210</v>
      </c>
      <c r="E516" t="s">
        <v>25</v>
      </c>
      <c r="F516" s="3">
        <v>2024</v>
      </c>
      <c r="G516" s="3">
        <v>2</v>
      </c>
      <c r="H516" t="s">
        <v>460</v>
      </c>
      <c r="I516" s="2">
        <v>2.4</v>
      </c>
      <c r="J516" t="s">
        <v>65</v>
      </c>
    </row>
    <row r="517" spans="1:10">
      <c r="A517" t="s">
        <v>664</v>
      </c>
      <c r="B517" t="s">
        <v>64</v>
      </c>
      <c r="C517" s="1">
        <v>44910</v>
      </c>
      <c r="D517" t="s">
        <v>212</v>
      </c>
      <c r="E517" t="s">
        <v>26</v>
      </c>
      <c r="F517" s="3">
        <v>2024</v>
      </c>
      <c r="G517" s="3">
        <v>2</v>
      </c>
      <c r="H517" t="s">
        <v>460</v>
      </c>
      <c r="I517" s="2">
        <v>2.9</v>
      </c>
      <c r="J517" t="s">
        <v>65</v>
      </c>
    </row>
    <row r="518" spans="1:10">
      <c r="A518" t="s">
        <v>665</v>
      </c>
      <c r="B518" t="s">
        <v>64</v>
      </c>
      <c r="C518" s="1">
        <v>44910</v>
      </c>
      <c r="D518" t="s">
        <v>22</v>
      </c>
      <c r="E518" t="s">
        <v>22</v>
      </c>
      <c r="F518" s="3">
        <v>2024</v>
      </c>
      <c r="G518" s="3">
        <v>3</v>
      </c>
      <c r="H518" t="s">
        <v>565</v>
      </c>
      <c r="I518" s="2">
        <v>3.1</v>
      </c>
      <c r="J518" t="s">
        <v>65</v>
      </c>
    </row>
    <row r="519" spans="1:10">
      <c r="A519" t="s">
        <v>666</v>
      </c>
      <c r="B519" t="s">
        <v>64</v>
      </c>
      <c r="C519" s="1">
        <v>44910</v>
      </c>
      <c r="D519" t="s">
        <v>134</v>
      </c>
      <c r="E519" t="s">
        <v>24</v>
      </c>
      <c r="F519" s="3">
        <v>2024</v>
      </c>
      <c r="G519" s="3">
        <v>3</v>
      </c>
      <c r="H519" t="s">
        <v>565</v>
      </c>
      <c r="I519" s="2">
        <v>3</v>
      </c>
      <c r="J519" t="s">
        <v>65</v>
      </c>
    </row>
    <row r="520" spans="1:10">
      <c r="A520" t="s">
        <v>667</v>
      </c>
      <c r="B520" t="s">
        <v>64</v>
      </c>
      <c r="C520" s="1">
        <v>44910</v>
      </c>
      <c r="D520" t="s">
        <v>210</v>
      </c>
      <c r="E520" t="s">
        <v>25</v>
      </c>
      <c r="F520" s="3">
        <v>2024</v>
      </c>
      <c r="G520" s="3">
        <v>3</v>
      </c>
      <c r="H520" t="s">
        <v>565</v>
      </c>
      <c r="I520" s="2">
        <v>2.8</v>
      </c>
      <c r="J520" t="s">
        <v>65</v>
      </c>
    </row>
    <row r="521" spans="1:10">
      <c r="A521" t="s">
        <v>668</v>
      </c>
      <c r="B521" t="s">
        <v>64</v>
      </c>
      <c r="C521" s="1">
        <v>44910</v>
      </c>
      <c r="D521" t="s">
        <v>212</v>
      </c>
      <c r="E521" t="s">
        <v>26</v>
      </c>
      <c r="F521" s="3">
        <v>2024</v>
      </c>
      <c r="G521" s="3">
        <v>3</v>
      </c>
      <c r="H521" t="s">
        <v>565</v>
      </c>
      <c r="I521" s="2">
        <v>2.8</v>
      </c>
      <c r="J521" t="s">
        <v>65</v>
      </c>
    </row>
    <row r="522" spans="1:10">
      <c r="A522" t="s">
        <v>669</v>
      </c>
      <c r="B522" t="s">
        <v>64</v>
      </c>
      <c r="C522" s="1">
        <v>44910</v>
      </c>
      <c r="D522" t="s">
        <v>22</v>
      </c>
      <c r="E522" t="s">
        <v>22</v>
      </c>
      <c r="F522" s="3">
        <v>2024</v>
      </c>
      <c r="G522" s="3">
        <v>4</v>
      </c>
      <c r="H522" t="s">
        <v>670</v>
      </c>
      <c r="I522" s="2">
        <v>3</v>
      </c>
      <c r="J522" t="s">
        <v>65</v>
      </c>
    </row>
    <row r="523" spans="1:10">
      <c r="A523" t="s">
        <v>671</v>
      </c>
      <c r="B523" t="s">
        <v>64</v>
      </c>
      <c r="C523" s="1">
        <v>44910</v>
      </c>
      <c r="D523" t="s">
        <v>134</v>
      </c>
      <c r="E523" t="s">
        <v>24</v>
      </c>
      <c r="F523" s="3">
        <v>2024</v>
      </c>
      <c r="G523" s="3">
        <v>4</v>
      </c>
      <c r="H523" t="s">
        <v>670</v>
      </c>
      <c r="I523" s="2">
        <v>3</v>
      </c>
      <c r="J523" t="s">
        <v>65</v>
      </c>
    </row>
    <row r="524" spans="1:10">
      <c r="A524" t="s">
        <v>672</v>
      </c>
      <c r="B524" t="s">
        <v>64</v>
      </c>
      <c r="C524" s="1">
        <v>44910</v>
      </c>
      <c r="D524" t="s">
        <v>210</v>
      </c>
      <c r="E524" t="s">
        <v>25</v>
      </c>
      <c r="F524" s="3">
        <v>2024</v>
      </c>
      <c r="G524" s="3">
        <v>4</v>
      </c>
      <c r="H524" t="s">
        <v>670</v>
      </c>
      <c r="I524" s="2">
        <v>3.3</v>
      </c>
      <c r="J524" t="s">
        <v>65</v>
      </c>
    </row>
    <row r="525" spans="1:10">
      <c r="A525" t="s">
        <v>673</v>
      </c>
      <c r="B525" t="s">
        <v>64</v>
      </c>
      <c r="C525" s="1">
        <v>44910</v>
      </c>
      <c r="D525" t="s">
        <v>212</v>
      </c>
      <c r="E525" t="s">
        <v>26</v>
      </c>
      <c r="F525" s="3">
        <v>2024</v>
      </c>
      <c r="G525" s="3">
        <v>4</v>
      </c>
      <c r="H525" t="s">
        <v>670</v>
      </c>
      <c r="I525" s="2">
        <v>3</v>
      </c>
      <c r="J525" t="s">
        <v>65</v>
      </c>
    </row>
    <row r="526" spans="1:10">
      <c r="A526" t="s">
        <v>674</v>
      </c>
      <c r="B526" t="s">
        <v>66</v>
      </c>
      <c r="C526" s="1">
        <v>44966</v>
      </c>
      <c r="D526" t="s">
        <v>22</v>
      </c>
      <c r="E526" t="s">
        <v>22</v>
      </c>
      <c r="F526" s="3">
        <v>2022</v>
      </c>
      <c r="G526" s="3">
        <v>1</v>
      </c>
      <c r="H526" t="s">
        <v>145</v>
      </c>
      <c r="I526" s="2">
        <v>7.3</v>
      </c>
      <c r="J526" t="s">
        <v>67</v>
      </c>
    </row>
    <row r="527" spans="1:10">
      <c r="A527" t="s">
        <v>675</v>
      </c>
      <c r="B527" t="s">
        <v>66</v>
      </c>
      <c r="C527" s="1">
        <v>44966</v>
      </c>
      <c r="D527" t="s">
        <v>134</v>
      </c>
      <c r="E527" t="s">
        <v>24</v>
      </c>
      <c r="F527" s="3">
        <v>2022</v>
      </c>
      <c r="G527" s="3">
        <v>1</v>
      </c>
      <c r="H527" t="s">
        <v>145</v>
      </c>
      <c r="I527" s="2">
        <v>6.5</v>
      </c>
      <c r="J527" t="s">
        <v>67</v>
      </c>
    </row>
    <row r="528" spans="1:10">
      <c r="A528" t="s">
        <v>676</v>
      </c>
      <c r="B528" t="s">
        <v>66</v>
      </c>
      <c r="C528" s="1">
        <v>44966</v>
      </c>
      <c r="D528" t="s">
        <v>210</v>
      </c>
      <c r="E528" t="s">
        <v>25</v>
      </c>
      <c r="F528" s="3">
        <v>2022</v>
      </c>
      <c r="G528" s="3">
        <v>1</v>
      </c>
      <c r="H528" t="s">
        <v>145</v>
      </c>
      <c r="I528" s="2">
        <v>7</v>
      </c>
      <c r="J528" t="s">
        <v>67</v>
      </c>
    </row>
    <row r="529" spans="1:10">
      <c r="A529" t="s">
        <v>677</v>
      </c>
      <c r="B529" t="s">
        <v>66</v>
      </c>
      <c r="C529" s="1">
        <v>44966</v>
      </c>
      <c r="D529" t="s">
        <v>212</v>
      </c>
      <c r="E529" t="s">
        <v>26</v>
      </c>
      <c r="F529" s="3">
        <v>2022</v>
      </c>
      <c r="G529" s="3">
        <v>1</v>
      </c>
      <c r="H529" t="s">
        <v>145</v>
      </c>
      <c r="I529" s="2">
        <v>7.8</v>
      </c>
      <c r="J529" t="s">
        <v>67</v>
      </c>
    </row>
    <row r="530" spans="1:10">
      <c r="A530" t="s">
        <v>678</v>
      </c>
      <c r="B530" t="s">
        <v>66</v>
      </c>
      <c r="C530" s="1">
        <v>44966</v>
      </c>
      <c r="D530" t="s">
        <v>22</v>
      </c>
      <c r="E530" t="s">
        <v>22</v>
      </c>
      <c r="F530" s="3">
        <v>2022</v>
      </c>
      <c r="G530" s="3">
        <v>2</v>
      </c>
      <c r="H530" t="s">
        <v>148</v>
      </c>
      <c r="I530" s="2">
        <v>7.8</v>
      </c>
      <c r="J530" t="s">
        <v>67</v>
      </c>
    </row>
    <row r="531" spans="1:10">
      <c r="A531" t="s">
        <v>679</v>
      </c>
      <c r="B531" t="s">
        <v>66</v>
      </c>
      <c r="C531" s="1">
        <v>44966</v>
      </c>
      <c r="D531" t="s">
        <v>134</v>
      </c>
      <c r="E531" t="s">
        <v>24</v>
      </c>
      <c r="F531" s="3">
        <v>2022</v>
      </c>
      <c r="G531" s="3">
        <v>2</v>
      </c>
      <c r="H531" t="s">
        <v>148</v>
      </c>
      <c r="I531" s="2">
        <v>7.3</v>
      </c>
      <c r="J531" t="s">
        <v>67</v>
      </c>
    </row>
    <row r="532" spans="1:10">
      <c r="A532" t="s">
        <v>680</v>
      </c>
      <c r="B532" t="s">
        <v>66</v>
      </c>
      <c r="C532" s="1">
        <v>44966</v>
      </c>
      <c r="D532" t="s">
        <v>210</v>
      </c>
      <c r="E532" t="s">
        <v>25</v>
      </c>
      <c r="F532" s="3">
        <v>2022</v>
      </c>
      <c r="G532" s="3">
        <v>2</v>
      </c>
      <c r="H532" t="s">
        <v>148</v>
      </c>
      <c r="I532" s="2">
        <v>10</v>
      </c>
      <c r="J532" t="s">
        <v>67</v>
      </c>
    </row>
    <row r="533" spans="1:10">
      <c r="A533" t="s">
        <v>681</v>
      </c>
      <c r="B533" t="s">
        <v>66</v>
      </c>
      <c r="C533" s="1">
        <v>44966</v>
      </c>
      <c r="D533" t="s">
        <v>212</v>
      </c>
      <c r="E533" t="s">
        <v>26</v>
      </c>
      <c r="F533" s="3">
        <v>2022</v>
      </c>
      <c r="G533" s="3">
        <v>2</v>
      </c>
      <c r="H533" t="s">
        <v>148</v>
      </c>
      <c r="I533" s="2">
        <v>8.6999999999999993</v>
      </c>
      <c r="J533" t="s">
        <v>67</v>
      </c>
    </row>
    <row r="534" spans="1:10">
      <c r="A534" t="s">
        <v>682</v>
      </c>
      <c r="B534" t="s">
        <v>66</v>
      </c>
      <c r="C534" s="1">
        <v>44966</v>
      </c>
      <c r="D534" t="s">
        <v>22</v>
      </c>
      <c r="E534" t="s">
        <v>22</v>
      </c>
      <c r="F534" s="3">
        <v>2022</v>
      </c>
      <c r="G534" s="3">
        <v>3</v>
      </c>
      <c r="H534" t="s">
        <v>151</v>
      </c>
      <c r="I534" s="2">
        <v>8.5</v>
      </c>
      <c r="J534" t="s">
        <v>67</v>
      </c>
    </row>
    <row r="535" spans="1:10">
      <c r="A535" t="s">
        <v>683</v>
      </c>
      <c r="B535" t="s">
        <v>66</v>
      </c>
      <c r="C535" s="1">
        <v>44966</v>
      </c>
      <c r="D535" t="s">
        <v>134</v>
      </c>
      <c r="E535" t="s">
        <v>24</v>
      </c>
      <c r="F535" s="3">
        <v>2022</v>
      </c>
      <c r="G535" s="3">
        <v>3</v>
      </c>
      <c r="H535" t="s">
        <v>151</v>
      </c>
      <c r="I535" s="2">
        <v>8</v>
      </c>
      <c r="J535" t="s">
        <v>67</v>
      </c>
    </row>
    <row r="536" spans="1:10">
      <c r="A536" t="s">
        <v>684</v>
      </c>
      <c r="B536" t="s">
        <v>66</v>
      </c>
      <c r="C536" s="1">
        <v>44966</v>
      </c>
      <c r="D536" t="s">
        <v>210</v>
      </c>
      <c r="E536" t="s">
        <v>25</v>
      </c>
      <c r="F536" s="3">
        <v>2022</v>
      </c>
      <c r="G536" s="3">
        <v>3</v>
      </c>
      <c r="H536" t="s">
        <v>151</v>
      </c>
      <c r="I536" s="2">
        <v>8.6999999999999993</v>
      </c>
      <c r="J536" t="s">
        <v>67</v>
      </c>
    </row>
    <row r="537" spans="1:10">
      <c r="A537" t="s">
        <v>685</v>
      </c>
      <c r="B537" t="s">
        <v>66</v>
      </c>
      <c r="C537" s="1">
        <v>44966</v>
      </c>
      <c r="D537" t="s">
        <v>212</v>
      </c>
      <c r="E537" t="s">
        <v>26</v>
      </c>
      <c r="F537" s="3">
        <v>2022</v>
      </c>
      <c r="G537" s="3">
        <v>3</v>
      </c>
      <c r="H537" t="s">
        <v>151</v>
      </c>
      <c r="I537" s="2">
        <v>8.8000000000000007</v>
      </c>
      <c r="J537" t="s">
        <v>67</v>
      </c>
    </row>
    <row r="538" spans="1:10">
      <c r="A538" t="s">
        <v>686</v>
      </c>
      <c r="B538" t="s">
        <v>66</v>
      </c>
      <c r="C538" s="1">
        <v>44966</v>
      </c>
      <c r="D538" t="s">
        <v>22</v>
      </c>
      <c r="E538" t="s">
        <v>22</v>
      </c>
      <c r="F538" s="3">
        <v>2022</v>
      </c>
      <c r="G538" s="3">
        <v>4</v>
      </c>
      <c r="H538" t="s">
        <v>154</v>
      </c>
      <c r="I538" s="2">
        <v>8</v>
      </c>
      <c r="J538" t="s">
        <v>67</v>
      </c>
    </row>
    <row r="539" spans="1:10">
      <c r="A539" t="s">
        <v>687</v>
      </c>
      <c r="B539" t="s">
        <v>66</v>
      </c>
      <c r="C539" s="1">
        <v>44966</v>
      </c>
      <c r="D539" t="s">
        <v>134</v>
      </c>
      <c r="E539" t="s">
        <v>24</v>
      </c>
      <c r="F539" s="3">
        <v>2022</v>
      </c>
      <c r="G539" s="3">
        <v>4</v>
      </c>
      <c r="H539" t="s">
        <v>154</v>
      </c>
      <c r="I539" s="2">
        <v>8.4</v>
      </c>
      <c r="J539" t="s">
        <v>67</v>
      </c>
    </row>
    <row r="540" spans="1:10">
      <c r="A540" t="s">
        <v>688</v>
      </c>
      <c r="B540" t="s">
        <v>66</v>
      </c>
      <c r="C540" s="1">
        <v>44966</v>
      </c>
      <c r="D540" t="s">
        <v>210</v>
      </c>
      <c r="E540" t="s">
        <v>25</v>
      </c>
      <c r="F540" s="3">
        <v>2022</v>
      </c>
      <c r="G540" s="3">
        <v>4</v>
      </c>
      <c r="H540" t="s">
        <v>154</v>
      </c>
      <c r="I540" s="2">
        <v>6.4</v>
      </c>
      <c r="J540" t="s">
        <v>67</v>
      </c>
    </row>
    <row r="541" spans="1:10">
      <c r="A541" t="s">
        <v>689</v>
      </c>
      <c r="B541" t="s">
        <v>66</v>
      </c>
      <c r="C541" s="1">
        <v>44966</v>
      </c>
      <c r="D541" t="s">
        <v>212</v>
      </c>
      <c r="E541" t="s">
        <v>26</v>
      </c>
      <c r="F541" s="3">
        <v>2022</v>
      </c>
      <c r="G541" s="3">
        <v>4</v>
      </c>
      <c r="H541" t="s">
        <v>154</v>
      </c>
      <c r="I541" s="2">
        <v>8.4</v>
      </c>
      <c r="J541" t="s">
        <v>67</v>
      </c>
    </row>
    <row r="542" spans="1:10">
      <c r="A542" t="s">
        <v>690</v>
      </c>
      <c r="B542" t="s">
        <v>66</v>
      </c>
      <c r="C542" s="1">
        <v>44966</v>
      </c>
      <c r="D542" t="s">
        <v>22</v>
      </c>
      <c r="E542" t="s">
        <v>22</v>
      </c>
      <c r="F542" s="3">
        <v>2023</v>
      </c>
      <c r="G542" s="3">
        <v>1</v>
      </c>
      <c r="H542" t="s">
        <v>157</v>
      </c>
      <c r="I542" s="2">
        <v>7.7</v>
      </c>
      <c r="J542" t="s">
        <v>67</v>
      </c>
    </row>
    <row r="543" spans="1:10">
      <c r="A543" t="s">
        <v>691</v>
      </c>
      <c r="B543" t="s">
        <v>66</v>
      </c>
      <c r="C543" s="1">
        <v>44966</v>
      </c>
      <c r="D543" t="s">
        <v>134</v>
      </c>
      <c r="E543" t="s">
        <v>24</v>
      </c>
      <c r="F543" s="3">
        <v>2023</v>
      </c>
      <c r="G543" s="3">
        <v>1</v>
      </c>
      <c r="H543" t="s">
        <v>157</v>
      </c>
      <c r="I543" s="2">
        <v>8.1999999999999993</v>
      </c>
      <c r="J543" t="s">
        <v>67</v>
      </c>
    </row>
    <row r="544" spans="1:10">
      <c r="A544" t="s">
        <v>692</v>
      </c>
      <c r="B544" t="s">
        <v>66</v>
      </c>
      <c r="C544" s="1">
        <v>44966</v>
      </c>
      <c r="D544" t="s">
        <v>210</v>
      </c>
      <c r="E544" t="s">
        <v>25</v>
      </c>
      <c r="F544" s="3">
        <v>2023</v>
      </c>
      <c r="G544" s="3">
        <v>1</v>
      </c>
      <c r="H544" t="s">
        <v>157</v>
      </c>
      <c r="I544" s="2">
        <v>5.8</v>
      </c>
      <c r="J544" t="s">
        <v>67</v>
      </c>
    </row>
    <row r="545" spans="1:10">
      <c r="A545" t="s">
        <v>693</v>
      </c>
      <c r="B545" t="s">
        <v>66</v>
      </c>
      <c r="C545" s="1">
        <v>44966</v>
      </c>
      <c r="D545" t="s">
        <v>212</v>
      </c>
      <c r="E545" t="s">
        <v>26</v>
      </c>
      <c r="F545" s="3">
        <v>2023</v>
      </c>
      <c r="G545" s="3">
        <v>1</v>
      </c>
      <c r="H545" t="s">
        <v>157</v>
      </c>
      <c r="I545" s="2">
        <v>7</v>
      </c>
      <c r="J545" t="s">
        <v>67</v>
      </c>
    </row>
    <row r="546" spans="1:10">
      <c r="A546" t="s">
        <v>694</v>
      </c>
      <c r="B546" t="s">
        <v>66</v>
      </c>
      <c r="C546" s="1">
        <v>44966</v>
      </c>
      <c r="D546" t="s">
        <v>22</v>
      </c>
      <c r="E546" t="s">
        <v>22</v>
      </c>
      <c r="F546" s="3">
        <v>2023</v>
      </c>
      <c r="G546" s="3">
        <v>2</v>
      </c>
      <c r="H546" t="s">
        <v>160</v>
      </c>
      <c r="I546" s="2">
        <v>6.4</v>
      </c>
      <c r="J546" t="s">
        <v>67</v>
      </c>
    </row>
    <row r="547" spans="1:10">
      <c r="A547" t="s">
        <v>695</v>
      </c>
      <c r="B547" t="s">
        <v>66</v>
      </c>
      <c r="C547" s="1">
        <v>44966</v>
      </c>
      <c r="D547" t="s">
        <v>134</v>
      </c>
      <c r="E547" t="s">
        <v>24</v>
      </c>
      <c r="F547" s="3">
        <v>2023</v>
      </c>
      <c r="G547" s="3">
        <v>2</v>
      </c>
      <c r="H547" t="s">
        <v>160</v>
      </c>
      <c r="I547" s="2">
        <v>7.3</v>
      </c>
      <c r="J547" t="s">
        <v>67</v>
      </c>
    </row>
    <row r="548" spans="1:10">
      <c r="A548" t="s">
        <v>696</v>
      </c>
      <c r="B548" t="s">
        <v>66</v>
      </c>
      <c r="C548" s="1">
        <v>44966</v>
      </c>
      <c r="D548" t="s">
        <v>210</v>
      </c>
      <c r="E548" t="s">
        <v>25</v>
      </c>
      <c r="F548" s="3">
        <v>2023</v>
      </c>
      <c r="G548" s="3">
        <v>2</v>
      </c>
      <c r="H548" t="s">
        <v>160</v>
      </c>
      <c r="I548" s="2">
        <v>4.8</v>
      </c>
      <c r="J548" t="s">
        <v>67</v>
      </c>
    </row>
    <row r="549" spans="1:10">
      <c r="A549" t="s">
        <v>697</v>
      </c>
      <c r="B549" t="s">
        <v>66</v>
      </c>
      <c r="C549" s="1">
        <v>44966</v>
      </c>
      <c r="D549" t="s">
        <v>212</v>
      </c>
      <c r="E549" t="s">
        <v>26</v>
      </c>
      <c r="F549" s="3">
        <v>2023</v>
      </c>
      <c r="G549" s="3">
        <v>2</v>
      </c>
      <c r="H549" t="s">
        <v>160</v>
      </c>
      <c r="I549" s="2">
        <v>5.2</v>
      </c>
      <c r="J549" t="s">
        <v>67</v>
      </c>
    </row>
    <row r="550" spans="1:10">
      <c r="A550" t="s">
        <v>698</v>
      </c>
      <c r="B550" t="s">
        <v>66</v>
      </c>
      <c r="C550" s="1">
        <v>44966</v>
      </c>
      <c r="D550" t="s">
        <v>22</v>
      </c>
      <c r="E550" t="s">
        <v>22</v>
      </c>
      <c r="F550" s="3">
        <v>2023</v>
      </c>
      <c r="G550" s="3">
        <v>3</v>
      </c>
      <c r="H550" t="s">
        <v>183</v>
      </c>
      <c r="I550" s="2">
        <v>5.3</v>
      </c>
      <c r="J550" t="s">
        <v>67</v>
      </c>
    </row>
    <row r="551" spans="1:10">
      <c r="A551" t="s">
        <v>699</v>
      </c>
      <c r="B551" t="s">
        <v>66</v>
      </c>
      <c r="C551" s="1">
        <v>44966</v>
      </c>
      <c r="D551" t="s">
        <v>134</v>
      </c>
      <c r="E551" t="s">
        <v>24</v>
      </c>
      <c r="F551" s="3">
        <v>2023</v>
      </c>
      <c r="G551" s="3">
        <v>3</v>
      </c>
      <c r="H551" t="s">
        <v>183</v>
      </c>
      <c r="I551" s="2">
        <v>6.2</v>
      </c>
      <c r="J551" t="s">
        <v>67</v>
      </c>
    </row>
    <row r="552" spans="1:10">
      <c r="A552" t="s">
        <v>700</v>
      </c>
      <c r="B552" t="s">
        <v>66</v>
      </c>
      <c r="C552" s="1">
        <v>44966</v>
      </c>
      <c r="D552" t="s">
        <v>210</v>
      </c>
      <c r="E552" t="s">
        <v>25</v>
      </c>
      <c r="F552" s="3">
        <v>2023</v>
      </c>
      <c r="G552" s="3">
        <v>3</v>
      </c>
      <c r="H552" t="s">
        <v>183</v>
      </c>
      <c r="I552" s="2">
        <v>4.4000000000000004</v>
      </c>
      <c r="J552" t="s">
        <v>67</v>
      </c>
    </row>
    <row r="553" spans="1:10">
      <c r="A553" t="s">
        <v>701</v>
      </c>
      <c r="B553" t="s">
        <v>66</v>
      </c>
      <c r="C553" s="1">
        <v>44966</v>
      </c>
      <c r="D553" t="s">
        <v>212</v>
      </c>
      <c r="E553" t="s">
        <v>26</v>
      </c>
      <c r="F553" s="3">
        <v>2023</v>
      </c>
      <c r="G553" s="3">
        <v>3</v>
      </c>
      <c r="H553" t="s">
        <v>183</v>
      </c>
      <c r="I553" s="2">
        <v>4.3</v>
      </c>
      <c r="J553" t="s">
        <v>67</v>
      </c>
    </row>
    <row r="554" spans="1:10">
      <c r="A554" t="s">
        <v>702</v>
      </c>
      <c r="B554" t="s">
        <v>66</v>
      </c>
      <c r="C554" s="1">
        <v>44966</v>
      </c>
      <c r="D554" t="s">
        <v>22</v>
      </c>
      <c r="E554" t="s">
        <v>22</v>
      </c>
      <c r="F554" s="3">
        <v>2023</v>
      </c>
      <c r="G554" s="3">
        <v>4</v>
      </c>
      <c r="H554" t="s">
        <v>254</v>
      </c>
      <c r="I554" s="2">
        <v>4.9000000000000004</v>
      </c>
      <c r="J554" t="s">
        <v>67</v>
      </c>
    </row>
    <row r="555" spans="1:10">
      <c r="A555" t="s">
        <v>703</v>
      </c>
      <c r="B555" t="s">
        <v>66</v>
      </c>
      <c r="C555" s="1">
        <v>44966</v>
      </c>
      <c r="D555" t="s">
        <v>134</v>
      </c>
      <c r="E555" t="s">
        <v>24</v>
      </c>
      <c r="F555" s="3">
        <v>2023</v>
      </c>
      <c r="G555" s="3">
        <v>4</v>
      </c>
      <c r="H555" t="s">
        <v>254</v>
      </c>
      <c r="I555" s="2">
        <v>5</v>
      </c>
      <c r="J555" t="s">
        <v>67</v>
      </c>
    </row>
    <row r="556" spans="1:10">
      <c r="A556" t="s">
        <v>704</v>
      </c>
      <c r="B556" t="s">
        <v>66</v>
      </c>
      <c r="C556" s="1">
        <v>44966</v>
      </c>
      <c r="D556" t="s">
        <v>210</v>
      </c>
      <c r="E556" t="s">
        <v>25</v>
      </c>
      <c r="F556" s="3">
        <v>2023</v>
      </c>
      <c r="G556" s="3">
        <v>4</v>
      </c>
      <c r="H556" t="s">
        <v>254</v>
      </c>
      <c r="I556" s="2">
        <v>4.5999999999999996</v>
      </c>
      <c r="J556" t="s">
        <v>67</v>
      </c>
    </row>
    <row r="557" spans="1:10">
      <c r="A557" t="s">
        <v>705</v>
      </c>
      <c r="B557" t="s">
        <v>66</v>
      </c>
      <c r="C557" s="1">
        <v>44966</v>
      </c>
      <c r="D557" t="s">
        <v>212</v>
      </c>
      <c r="E557" t="s">
        <v>26</v>
      </c>
      <c r="F557" s="3">
        <v>2023</v>
      </c>
      <c r="G557" s="3">
        <v>4</v>
      </c>
      <c r="H557" t="s">
        <v>254</v>
      </c>
      <c r="I557" s="2">
        <v>3.5</v>
      </c>
      <c r="J557" t="s">
        <v>67</v>
      </c>
    </row>
    <row r="558" spans="1:10">
      <c r="A558" t="s">
        <v>706</v>
      </c>
      <c r="B558" t="s">
        <v>66</v>
      </c>
      <c r="C558" s="1">
        <v>44966</v>
      </c>
      <c r="D558" t="s">
        <v>22</v>
      </c>
      <c r="E558" t="s">
        <v>22</v>
      </c>
      <c r="F558" s="3">
        <v>2024</v>
      </c>
      <c r="G558" s="3">
        <v>1</v>
      </c>
      <c r="H558" t="s">
        <v>355</v>
      </c>
      <c r="I558" s="2">
        <v>4.2</v>
      </c>
      <c r="J558" t="s">
        <v>67</v>
      </c>
    </row>
    <row r="559" spans="1:10">
      <c r="A559" t="s">
        <v>707</v>
      </c>
      <c r="B559" t="s">
        <v>66</v>
      </c>
      <c r="C559" s="1">
        <v>44966</v>
      </c>
      <c r="D559" t="s">
        <v>134</v>
      </c>
      <c r="E559" t="s">
        <v>24</v>
      </c>
      <c r="F559" s="3">
        <v>2024</v>
      </c>
      <c r="G559" s="3">
        <v>1</v>
      </c>
      <c r="H559" t="s">
        <v>355</v>
      </c>
      <c r="I559" s="2">
        <v>4.0999999999999996</v>
      </c>
      <c r="J559" t="s">
        <v>67</v>
      </c>
    </row>
    <row r="560" spans="1:10">
      <c r="A560" t="s">
        <v>708</v>
      </c>
      <c r="B560" t="s">
        <v>66</v>
      </c>
      <c r="C560" s="1">
        <v>44966</v>
      </c>
      <c r="D560" t="s">
        <v>210</v>
      </c>
      <c r="E560" t="s">
        <v>25</v>
      </c>
      <c r="F560" s="3">
        <v>2024</v>
      </c>
      <c r="G560" s="3">
        <v>1</v>
      </c>
      <c r="H560" t="s">
        <v>355</v>
      </c>
      <c r="I560" s="2">
        <v>3.2</v>
      </c>
      <c r="J560" t="s">
        <v>67</v>
      </c>
    </row>
    <row r="561" spans="1:10">
      <c r="A561" t="s">
        <v>709</v>
      </c>
      <c r="B561" t="s">
        <v>66</v>
      </c>
      <c r="C561" s="1">
        <v>44966</v>
      </c>
      <c r="D561" t="s">
        <v>212</v>
      </c>
      <c r="E561" t="s">
        <v>26</v>
      </c>
      <c r="F561" s="3">
        <v>2024</v>
      </c>
      <c r="G561" s="3">
        <v>1</v>
      </c>
      <c r="H561" t="s">
        <v>355</v>
      </c>
      <c r="I561" s="2">
        <v>3.4</v>
      </c>
      <c r="J561" t="s">
        <v>67</v>
      </c>
    </row>
    <row r="562" spans="1:10">
      <c r="A562" t="s">
        <v>710</v>
      </c>
      <c r="B562" t="s">
        <v>66</v>
      </c>
      <c r="C562" s="1">
        <v>44966</v>
      </c>
      <c r="D562" t="s">
        <v>22</v>
      </c>
      <c r="E562" t="s">
        <v>22</v>
      </c>
      <c r="F562" s="3">
        <v>2024</v>
      </c>
      <c r="G562" s="3">
        <v>2</v>
      </c>
      <c r="H562" t="s">
        <v>460</v>
      </c>
      <c r="I562" s="2">
        <v>3.7</v>
      </c>
      <c r="J562" t="s">
        <v>67</v>
      </c>
    </row>
    <row r="563" spans="1:10">
      <c r="A563" t="s">
        <v>711</v>
      </c>
      <c r="B563" t="s">
        <v>66</v>
      </c>
      <c r="C563" s="1">
        <v>44966</v>
      </c>
      <c r="D563" t="s">
        <v>134</v>
      </c>
      <c r="E563" t="s">
        <v>24</v>
      </c>
      <c r="F563" s="3">
        <v>2024</v>
      </c>
      <c r="G563" s="3">
        <v>2</v>
      </c>
      <c r="H563" t="s">
        <v>460</v>
      </c>
      <c r="I563" s="2">
        <v>3.5</v>
      </c>
      <c r="J563" t="s">
        <v>67</v>
      </c>
    </row>
    <row r="564" spans="1:10">
      <c r="A564" t="s">
        <v>712</v>
      </c>
      <c r="B564" t="s">
        <v>66</v>
      </c>
      <c r="C564" s="1">
        <v>44966</v>
      </c>
      <c r="D564" t="s">
        <v>210</v>
      </c>
      <c r="E564" t="s">
        <v>25</v>
      </c>
      <c r="F564" s="3">
        <v>2024</v>
      </c>
      <c r="G564" s="3">
        <v>2</v>
      </c>
      <c r="H564" t="s">
        <v>460</v>
      </c>
      <c r="I564" s="2">
        <v>2.7</v>
      </c>
      <c r="J564" t="s">
        <v>67</v>
      </c>
    </row>
    <row r="565" spans="1:10">
      <c r="A565" t="s">
        <v>713</v>
      </c>
      <c r="B565" t="s">
        <v>66</v>
      </c>
      <c r="C565" s="1">
        <v>44966</v>
      </c>
      <c r="D565" t="s">
        <v>212</v>
      </c>
      <c r="E565" t="s">
        <v>26</v>
      </c>
      <c r="F565" s="3">
        <v>2024</v>
      </c>
      <c r="G565" s="3">
        <v>2</v>
      </c>
      <c r="H565" t="s">
        <v>460</v>
      </c>
      <c r="I565" s="2">
        <v>3</v>
      </c>
      <c r="J565" t="s">
        <v>67</v>
      </c>
    </row>
    <row r="566" spans="1:10">
      <c r="A566" t="s">
        <v>714</v>
      </c>
      <c r="B566" t="s">
        <v>66</v>
      </c>
      <c r="C566" s="1">
        <v>44966</v>
      </c>
      <c r="D566" t="s">
        <v>22</v>
      </c>
      <c r="E566" t="s">
        <v>22</v>
      </c>
      <c r="F566" s="3">
        <v>2024</v>
      </c>
      <c r="G566" s="3">
        <v>3</v>
      </c>
      <c r="H566" t="s">
        <v>565</v>
      </c>
      <c r="I566" s="2">
        <v>3.4</v>
      </c>
      <c r="J566" t="s">
        <v>67</v>
      </c>
    </row>
    <row r="567" spans="1:10">
      <c r="A567" t="s">
        <v>715</v>
      </c>
      <c r="B567" t="s">
        <v>66</v>
      </c>
      <c r="C567" s="1">
        <v>44966</v>
      </c>
      <c r="D567" t="s">
        <v>134</v>
      </c>
      <c r="E567" t="s">
        <v>24</v>
      </c>
      <c r="F567" s="3">
        <v>2024</v>
      </c>
      <c r="G567" s="3">
        <v>3</v>
      </c>
      <c r="H567" t="s">
        <v>565</v>
      </c>
      <c r="I567" s="2">
        <v>3.2</v>
      </c>
      <c r="J567" t="s">
        <v>67</v>
      </c>
    </row>
    <row r="568" spans="1:10">
      <c r="A568" t="s">
        <v>716</v>
      </c>
      <c r="B568" t="s">
        <v>66</v>
      </c>
      <c r="C568" s="1">
        <v>44966</v>
      </c>
      <c r="D568" t="s">
        <v>210</v>
      </c>
      <c r="E568" t="s">
        <v>25</v>
      </c>
      <c r="F568" s="3">
        <v>2024</v>
      </c>
      <c r="G568" s="3">
        <v>3</v>
      </c>
      <c r="H568" t="s">
        <v>565</v>
      </c>
      <c r="I568" s="2">
        <v>3</v>
      </c>
      <c r="J568" t="s">
        <v>67</v>
      </c>
    </row>
    <row r="569" spans="1:10">
      <c r="A569" t="s">
        <v>717</v>
      </c>
      <c r="B569" t="s">
        <v>66</v>
      </c>
      <c r="C569" s="1">
        <v>44966</v>
      </c>
      <c r="D569" t="s">
        <v>212</v>
      </c>
      <c r="E569" t="s">
        <v>26</v>
      </c>
      <c r="F569" s="3">
        <v>2024</v>
      </c>
      <c r="G569" s="3">
        <v>3</v>
      </c>
      <c r="H569" t="s">
        <v>565</v>
      </c>
      <c r="I569" s="2">
        <v>2.8</v>
      </c>
      <c r="J569" t="s">
        <v>67</v>
      </c>
    </row>
    <row r="570" spans="1:10">
      <c r="A570" t="s">
        <v>718</v>
      </c>
      <c r="B570" t="s">
        <v>66</v>
      </c>
      <c r="C570" s="1">
        <v>44966</v>
      </c>
      <c r="D570" t="s">
        <v>22</v>
      </c>
      <c r="E570" t="s">
        <v>22</v>
      </c>
      <c r="F570" s="3">
        <v>2024</v>
      </c>
      <c r="G570" s="3">
        <v>4</v>
      </c>
      <c r="H570" t="s">
        <v>670</v>
      </c>
      <c r="I570" s="2">
        <v>3.1</v>
      </c>
      <c r="J570" t="s">
        <v>67</v>
      </c>
    </row>
    <row r="571" spans="1:10">
      <c r="A571" t="s">
        <v>719</v>
      </c>
      <c r="B571" t="s">
        <v>66</v>
      </c>
      <c r="C571" s="1">
        <v>44966</v>
      </c>
      <c r="D571" t="s">
        <v>134</v>
      </c>
      <c r="E571" t="s">
        <v>24</v>
      </c>
      <c r="F571" s="3">
        <v>2024</v>
      </c>
      <c r="G571" s="3">
        <v>4</v>
      </c>
      <c r="H571" t="s">
        <v>670</v>
      </c>
      <c r="I571" s="2">
        <v>3.1</v>
      </c>
      <c r="J571" t="s">
        <v>67</v>
      </c>
    </row>
    <row r="572" spans="1:10">
      <c r="A572" t="s">
        <v>720</v>
      </c>
      <c r="B572" t="s">
        <v>66</v>
      </c>
      <c r="C572" s="1">
        <v>44966</v>
      </c>
      <c r="D572" t="s">
        <v>210</v>
      </c>
      <c r="E572" t="s">
        <v>25</v>
      </c>
      <c r="F572" s="3">
        <v>2024</v>
      </c>
      <c r="G572" s="3">
        <v>4</v>
      </c>
      <c r="H572" t="s">
        <v>670</v>
      </c>
      <c r="I572" s="2">
        <v>3.5</v>
      </c>
      <c r="J572" t="s">
        <v>67</v>
      </c>
    </row>
    <row r="573" spans="1:10">
      <c r="A573" t="s">
        <v>721</v>
      </c>
      <c r="B573" t="s">
        <v>66</v>
      </c>
      <c r="C573" s="1">
        <v>44966</v>
      </c>
      <c r="D573" t="s">
        <v>212</v>
      </c>
      <c r="E573" t="s">
        <v>26</v>
      </c>
      <c r="F573" s="3">
        <v>2024</v>
      </c>
      <c r="G573" s="3">
        <v>4</v>
      </c>
      <c r="H573" t="s">
        <v>670</v>
      </c>
      <c r="I573" s="2">
        <v>3.1</v>
      </c>
      <c r="J573" t="s">
        <v>67</v>
      </c>
    </row>
    <row r="574" spans="1:10">
      <c r="A574" t="s">
        <v>722</v>
      </c>
      <c r="B574" t="s">
        <v>68</v>
      </c>
      <c r="C574" s="1">
        <v>45015</v>
      </c>
      <c r="D574" t="s">
        <v>22</v>
      </c>
      <c r="E574" t="s">
        <v>22</v>
      </c>
      <c r="F574" s="3">
        <v>2022</v>
      </c>
      <c r="G574" s="3">
        <v>1</v>
      </c>
      <c r="H574" t="s">
        <v>145</v>
      </c>
      <c r="I574" s="2">
        <v>7.3</v>
      </c>
      <c r="J574" t="s">
        <v>69</v>
      </c>
    </row>
    <row r="575" spans="1:10">
      <c r="A575" t="s">
        <v>723</v>
      </c>
      <c r="B575" t="s">
        <v>68</v>
      </c>
      <c r="C575" s="1">
        <v>45015</v>
      </c>
      <c r="D575" t="s">
        <v>134</v>
      </c>
      <c r="E575" t="s">
        <v>24</v>
      </c>
      <c r="F575" s="3">
        <v>2022</v>
      </c>
      <c r="G575" s="3">
        <v>1</v>
      </c>
      <c r="H575" t="s">
        <v>145</v>
      </c>
      <c r="I575" s="2">
        <v>6.5</v>
      </c>
      <c r="J575" t="s">
        <v>69</v>
      </c>
    </row>
    <row r="576" spans="1:10">
      <c r="A576" t="s">
        <v>724</v>
      </c>
      <c r="B576" t="s">
        <v>68</v>
      </c>
      <c r="C576" s="1">
        <v>45015</v>
      </c>
      <c r="D576" t="s">
        <v>210</v>
      </c>
      <c r="E576" t="s">
        <v>25</v>
      </c>
      <c r="F576" s="3">
        <v>2022</v>
      </c>
      <c r="G576" s="3">
        <v>1</v>
      </c>
      <c r="H576" t="s">
        <v>145</v>
      </c>
      <c r="I576" s="2">
        <v>7.5</v>
      </c>
      <c r="J576" t="s">
        <v>69</v>
      </c>
    </row>
    <row r="577" spans="1:10">
      <c r="A577" t="s">
        <v>725</v>
      </c>
      <c r="B577" t="s">
        <v>68</v>
      </c>
      <c r="C577" s="1">
        <v>45015</v>
      </c>
      <c r="D577" t="s">
        <v>212</v>
      </c>
      <c r="E577" t="s">
        <v>26</v>
      </c>
      <c r="F577" s="3">
        <v>2022</v>
      </c>
      <c r="G577" s="3">
        <v>1</v>
      </c>
      <c r="H577" t="s">
        <v>145</v>
      </c>
      <c r="I577" s="2">
        <v>7.8</v>
      </c>
      <c r="J577" t="s">
        <v>69</v>
      </c>
    </row>
    <row r="578" spans="1:10">
      <c r="A578" t="s">
        <v>726</v>
      </c>
      <c r="B578" t="s">
        <v>68</v>
      </c>
      <c r="C578" s="1">
        <v>45015</v>
      </c>
      <c r="D578" t="s">
        <v>22</v>
      </c>
      <c r="E578" t="s">
        <v>22</v>
      </c>
      <c r="F578" s="3">
        <v>2022</v>
      </c>
      <c r="G578" s="3">
        <v>2</v>
      </c>
      <c r="H578" t="s">
        <v>148</v>
      </c>
      <c r="I578" s="2">
        <v>7.8</v>
      </c>
      <c r="J578" t="s">
        <v>69</v>
      </c>
    </row>
    <row r="579" spans="1:10">
      <c r="A579" t="s">
        <v>727</v>
      </c>
      <c r="B579" t="s">
        <v>68</v>
      </c>
      <c r="C579" s="1">
        <v>45015</v>
      </c>
      <c r="D579" t="s">
        <v>134</v>
      </c>
      <c r="E579" t="s">
        <v>24</v>
      </c>
      <c r="F579" s="3">
        <v>2022</v>
      </c>
      <c r="G579" s="3">
        <v>2</v>
      </c>
      <c r="H579" t="s">
        <v>148</v>
      </c>
      <c r="I579" s="2">
        <v>7.3</v>
      </c>
      <c r="J579" t="s">
        <v>69</v>
      </c>
    </row>
    <row r="580" spans="1:10">
      <c r="A580" t="s">
        <v>728</v>
      </c>
      <c r="B580" t="s">
        <v>68</v>
      </c>
      <c r="C580" s="1">
        <v>45015</v>
      </c>
      <c r="D580" t="s">
        <v>210</v>
      </c>
      <c r="E580" t="s">
        <v>25</v>
      </c>
      <c r="F580" s="3">
        <v>2022</v>
      </c>
      <c r="G580" s="3">
        <v>2</v>
      </c>
      <c r="H580" t="s">
        <v>148</v>
      </c>
      <c r="I580" s="2">
        <v>9.9</v>
      </c>
      <c r="J580" t="s">
        <v>69</v>
      </c>
    </row>
    <row r="581" spans="1:10">
      <c r="A581" t="s">
        <v>729</v>
      </c>
      <c r="B581" t="s">
        <v>68</v>
      </c>
      <c r="C581" s="1">
        <v>45015</v>
      </c>
      <c r="D581" t="s">
        <v>212</v>
      </c>
      <c r="E581" t="s">
        <v>26</v>
      </c>
      <c r="F581" s="3">
        <v>2022</v>
      </c>
      <c r="G581" s="3">
        <v>2</v>
      </c>
      <c r="H581" t="s">
        <v>148</v>
      </c>
      <c r="I581" s="2">
        <v>8.5</v>
      </c>
      <c r="J581" t="s">
        <v>69</v>
      </c>
    </row>
    <row r="582" spans="1:10">
      <c r="A582" t="s">
        <v>730</v>
      </c>
      <c r="B582" t="s">
        <v>68</v>
      </c>
      <c r="C582" s="1">
        <v>45015</v>
      </c>
      <c r="D582" t="s">
        <v>22</v>
      </c>
      <c r="E582" t="s">
        <v>22</v>
      </c>
      <c r="F582" s="3">
        <v>2022</v>
      </c>
      <c r="G582" s="3">
        <v>3</v>
      </c>
      <c r="H582" t="s">
        <v>151</v>
      </c>
      <c r="I582" s="2">
        <v>8.5</v>
      </c>
      <c r="J582" t="s">
        <v>69</v>
      </c>
    </row>
    <row r="583" spans="1:10">
      <c r="A583" t="s">
        <v>731</v>
      </c>
      <c r="B583" t="s">
        <v>68</v>
      </c>
      <c r="C583" s="1">
        <v>45015</v>
      </c>
      <c r="D583" t="s">
        <v>134</v>
      </c>
      <c r="E583" t="s">
        <v>24</v>
      </c>
      <c r="F583" s="3">
        <v>2022</v>
      </c>
      <c r="G583" s="3">
        <v>3</v>
      </c>
      <c r="H583" t="s">
        <v>151</v>
      </c>
      <c r="I583" s="2">
        <v>8</v>
      </c>
      <c r="J583" t="s">
        <v>69</v>
      </c>
    </row>
    <row r="584" spans="1:10">
      <c r="A584" t="s">
        <v>732</v>
      </c>
      <c r="B584" t="s">
        <v>68</v>
      </c>
      <c r="C584" s="1">
        <v>45015</v>
      </c>
      <c r="D584" t="s">
        <v>210</v>
      </c>
      <c r="E584" t="s">
        <v>25</v>
      </c>
      <c r="F584" s="3">
        <v>2022</v>
      </c>
      <c r="G584" s="3">
        <v>3</v>
      </c>
      <c r="H584" t="s">
        <v>151</v>
      </c>
      <c r="I584" s="2">
        <v>8.4</v>
      </c>
      <c r="J584" t="s">
        <v>69</v>
      </c>
    </row>
    <row r="585" spans="1:10">
      <c r="A585" t="s">
        <v>733</v>
      </c>
      <c r="B585" t="s">
        <v>68</v>
      </c>
      <c r="C585" s="1">
        <v>45015</v>
      </c>
      <c r="D585" t="s">
        <v>212</v>
      </c>
      <c r="E585" t="s">
        <v>26</v>
      </c>
      <c r="F585" s="3">
        <v>2022</v>
      </c>
      <c r="G585" s="3">
        <v>3</v>
      </c>
      <c r="H585" t="s">
        <v>151</v>
      </c>
      <c r="I585" s="2">
        <v>8.9</v>
      </c>
      <c r="J585" t="s">
        <v>69</v>
      </c>
    </row>
    <row r="586" spans="1:10">
      <c r="A586" t="s">
        <v>734</v>
      </c>
      <c r="B586" t="s">
        <v>68</v>
      </c>
      <c r="C586" s="1">
        <v>45015</v>
      </c>
      <c r="D586" t="s">
        <v>22</v>
      </c>
      <c r="E586" t="s">
        <v>22</v>
      </c>
      <c r="F586" s="3">
        <v>2022</v>
      </c>
      <c r="G586" s="3">
        <v>4</v>
      </c>
      <c r="H586" t="s">
        <v>154</v>
      </c>
      <c r="I586" s="2">
        <v>8</v>
      </c>
      <c r="J586" t="s">
        <v>69</v>
      </c>
    </row>
    <row r="587" spans="1:10">
      <c r="A587" t="s">
        <v>735</v>
      </c>
      <c r="B587" t="s">
        <v>68</v>
      </c>
      <c r="C587" s="1">
        <v>45015</v>
      </c>
      <c r="D587" t="s">
        <v>134</v>
      </c>
      <c r="E587" t="s">
        <v>24</v>
      </c>
      <c r="F587" s="3">
        <v>2022</v>
      </c>
      <c r="G587" s="3">
        <v>4</v>
      </c>
      <c r="H587" t="s">
        <v>154</v>
      </c>
      <c r="I587" s="2">
        <v>8.4</v>
      </c>
      <c r="J587" t="s">
        <v>69</v>
      </c>
    </row>
    <row r="588" spans="1:10">
      <c r="A588" t="s">
        <v>736</v>
      </c>
      <c r="B588" t="s">
        <v>68</v>
      </c>
      <c r="C588" s="1">
        <v>45015</v>
      </c>
      <c r="D588" t="s">
        <v>210</v>
      </c>
      <c r="E588" t="s">
        <v>25</v>
      </c>
      <c r="F588" s="3">
        <v>2022</v>
      </c>
      <c r="G588" s="3">
        <v>4</v>
      </c>
      <c r="H588" t="s">
        <v>154</v>
      </c>
      <c r="I588" s="2">
        <v>6.2</v>
      </c>
      <c r="J588" t="s">
        <v>69</v>
      </c>
    </row>
    <row r="589" spans="1:10">
      <c r="A589" t="s">
        <v>737</v>
      </c>
      <c r="B589" t="s">
        <v>68</v>
      </c>
      <c r="C589" s="1">
        <v>45015</v>
      </c>
      <c r="D589" t="s">
        <v>212</v>
      </c>
      <c r="E589" t="s">
        <v>26</v>
      </c>
      <c r="F589" s="3">
        <v>2022</v>
      </c>
      <c r="G589" s="3">
        <v>4</v>
      </c>
      <c r="H589" t="s">
        <v>154</v>
      </c>
      <c r="I589" s="2">
        <v>8.5</v>
      </c>
      <c r="J589" t="s">
        <v>69</v>
      </c>
    </row>
    <row r="590" spans="1:10">
      <c r="A590" t="s">
        <v>738</v>
      </c>
      <c r="B590" t="s">
        <v>68</v>
      </c>
      <c r="C590" s="1">
        <v>45015</v>
      </c>
      <c r="D590" t="s">
        <v>22</v>
      </c>
      <c r="E590" t="s">
        <v>22</v>
      </c>
      <c r="F590" s="3">
        <v>2023</v>
      </c>
      <c r="G590" s="3">
        <v>1</v>
      </c>
      <c r="H590" t="s">
        <v>157</v>
      </c>
      <c r="I590" s="2">
        <v>7.5</v>
      </c>
      <c r="J590" t="s">
        <v>69</v>
      </c>
    </row>
    <row r="591" spans="1:10">
      <c r="A591" t="s">
        <v>739</v>
      </c>
      <c r="B591" t="s">
        <v>68</v>
      </c>
      <c r="C591" s="1">
        <v>45015</v>
      </c>
      <c r="D591" t="s">
        <v>134</v>
      </c>
      <c r="E591" t="s">
        <v>24</v>
      </c>
      <c r="F591" s="3">
        <v>2023</v>
      </c>
      <c r="G591" s="3">
        <v>1</v>
      </c>
      <c r="H591" t="s">
        <v>157</v>
      </c>
      <c r="I591" s="2">
        <v>8.3000000000000007</v>
      </c>
      <c r="J591" t="s">
        <v>69</v>
      </c>
    </row>
    <row r="592" spans="1:10">
      <c r="A592" t="s">
        <v>740</v>
      </c>
      <c r="B592" t="s">
        <v>68</v>
      </c>
      <c r="C592" s="1">
        <v>45015</v>
      </c>
      <c r="D592" t="s">
        <v>210</v>
      </c>
      <c r="E592" t="s">
        <v>25</v>
      </c>
      <c r="F592" s="3">
        <v>2023</v>
      </c>
      <c r="G592" s="3">
        <v>1</v>
      </c>
      <c r="H592" t="s">
        <v>157</v>
      </c>
      <c r="I592" s="2">
        <v>5.6</v>
      </c>
      <c r="J592" t="s">
        <v>69</v>
      </c>
    </row>
    <row r="593" spans="1:10">
      <c r="A593" t="s">
        <v>741</v>
      </c>
      <c r="B593" t="s">
        <v>68</v>
      </c>
      <c r="C593" s="1">
        <v>45015</v>
      </c>
      <c r="D593" t="s">
        <v>212</v>
      </c>
      <c r="E593" t="s">
        <v>26</v>
      </c>
      <c r="F593" s="3">
        <v>2023</v>
      </c>
      <c r="G593" s="3">
        <v>1</v>
      </c>
      <c r="H593" t="s">
        <v>157</v>
      </c>
      <c r="I593" s="2">
        <v>7.1</v>
      </c>
      <c r="J593" t="s">
        <v>69</v>
      </c>
    </row>
    <row r="594" spans="1:10">
      <c r="A594" t="s">
        <v>742</v>
      </c>
      <c r="B594" t="s">
        <v>68</v>
      </c>
      <c r="C594" s="1">
        <v>45015</v>
      </c>
      <c r="D594" t="s">
        <v>22</v>
      </c>
      <c r="E594" t="s">
        <v>22</v>
      </c>
      <c r="F594" s="3">
        <v>2023</v>
      </c>
      <c r="G594" s="3">
        <v>2</v>
      </c>
      <c r="H594" t="s">
        <v>160</v>
      </c>
      <c r="I594" s="2">
        <v>6.3</v>
      </c>
      <c r="J594" t="s">
        <v>69</v>
      </c>
    </row>
    <row r="595" spans="1:10">
      <c r="A595" t="s">
        <v>743</v>
      </c>
      <c r="B595" t="s">
        <v>68</v>
      </c>
      <c r="C595" s="1">
        <v>45015</v>
      </c>
      <c r="D595" t="s">
        <v>134</v>
      </c>
      <c r="E595" t="s">
        <v>24</v>
      </c>
      <c r="F595" s="3">
        <v>2023</v>
      </c>
      <c r="G595" s="3">
        <v>2</v>
      </c>
      <c r="H595" t="s">
        <v>160</v>
      </c>
      <c r="I595" s="2">
        <v>7.5</v>
      </c>
      <c r="J595" t="s">
        <v>69</v>
      </c>
    </row>
    <row r="596" spans="1:10">
      <c r="A596" t="s">
        <v>744</v>
      </c>
      <c r="B596" t="s">
        <v>68</v>
      </c>
      <c r="C596" s="1">
        <v>45015</v>
      </c>
      <c r="D596" t="s">
        <v>210</v>
      </c>
      <c r="E596" t="s">
        <v>25</v>
      </c>
      <c r="F596" s="3">
        <v>2023</v>
      </c>
      <c r="G596" s="3">
        <v>2</v>
      </c>
      <c r="H596" t="s">
        <v>160</v>
      </c>
      <c r="I596" s="2">
        <v>4.8</v>
      </c>
      <c r="J596" t="s">
        <v>69</v>
      </c>
    </row>
    <row r="597" spans="1:10">
      <c r="A597" t="s">
        <v>745</v>
      </c>
      <c r="B597" t="s">
        <v>68</v>
      </c>
      <c r="C597" s="1">
        <v>45015</v>
      </c>
      <c r="D597" t="s">
        <v>212</v>
      </c>
      <c r="E597" t="s">
        <v>26</v>
      </c>
      <c r="F597" s="3">
        <v>2023</v>
      </c>
      <c r="G597" s="3">
        <v>2</v>
      </c>
      <c r="H597" t="s">
        <v>160</v>
      </c>
      <c r="I597" s="2">
        <v>5.3</v>
      </c>
      <c r="J597" t="s">
        <v>69</v>
      </c>
    </row>
    <row r="598" spans="1:10">
      <c r="A598" t="s">
        <v>746</v>
      </c>
      <c r="B598" t="s">
        <v>68</v>
      </c>
      <c r="C598" s="1">
        <v>45015</v>
      </c>
      <c r="D598" t="s">
        <v>22</v>
      </c>
      <c r="E598" t="s">
        <v>22</v>
      </c>
      <c r="F598" s="3">
        <v>2023</v>
      </c>
      <c r="G598" s="3">
        <v>3</v>
      </c>
      <c r="H598" t="s">
        <v>183</v>
      </c>
      <c r="I598" s="2">
        <v>5.3</v>
      </c>
      <c r="J598" t="s">
        <v>69</v>
      </c>
    </row>
    <row r="599" spans="1:10">
      <c r="A599" t="s">
        <v>747</v>
      </c>
      <c r="B599" t="s">
        <v>68</v>
      </c>
      <c r="C599" s="1">
        <v>45015</v>
      </c>
      <c r="D599" t="s">
        <v>134</v>
      </c>
      <c r="E599" t="s">
        <v>24</v>
      </c>
      <c r="F599" s="3">
        <v>2023</v>
      </c>
      <c r="G599" s="3">
        <v>3</v>
      </c>
      <c r="H599" t="s">
        <v>183</v>
      </c>
      <c r="I599" s="2">
        <v>6.2</v>
      </c>
      <c r="J599" t="s">
        <v>69</v>
      </c>
    </row>
    <row r="600" spans="1:10">
      <c r="A600" t="s">
        <v>748</v>
      </c>
      <c r="B600" t="s">
        <v>68</v>
      </c>
      <c r="C600" s="1">
        <v>45015</v>
      </c>
      <c r="D600" t="s">
        <v>210</v>
      </c>
      <c r="E600" t="s">
        <v>25</v>
      </c>
      <c r="F600" s="3">
        <v>2023</v>
      </c>
      <c r="G600" s="3">
        <v>3</v>
      </c>
      <c r="H600" t="s">
        <v>183</v>
      </c>
      <c r="I600" s="2">
        <v>4.5</v>
      </c>
      <c r="J600" t="s">
        <v>69</v>
      </c>
    </row>
    <row r="601" spans="1:10">
      <c r="A601" t="s">
        <v>749</v>
      </c>
      <c r="B601" t="s">
        <v>68</v>
      </c>
      <c r="C601" s="1">
        <v>45015</v>
      </c>
      <c r="D601" t="s">
        <v>212</v>
      </c>
      <c r="E601" t="s">
        <v>26</v>
      </c>
      <c r="F601" s="3">
        <v>2023</v>
      </c>
      <c r="G601" s="3">
        <v>3</v>
      </c>
      <c r="H601" t="s">
        <v>183</v>
      </c>
      <c r="I601" s="2">
        <v>4.2</v>
      </c>
      <c r="J601" t="s">
        <v>69</v>
      </c>
    </row>
    <row r="602" spans="1:10">
      <c r="A602" t="s">
        <v>750</v>
      </c>
      <c r="B602" t="s">
        <v>68</v>
      </c>
      <c r="C602" s="1">
        <v>45015</v>
      </c>
      <c r="D602" t="s">
        <v>22</v>
      </c>
      <c r="E602" t="s">
        <v>22</v>
      </c>
      <c r="F602" s="3">
        <v>2023</v>
      </c>
      <c r="G602" s="3">
        <v>4</v>
      </c>
      <c r="H602" t="s">
        <v>254</v>
      </c>
      <c r="I602" s="2">
        <v>4.8</v>
      </c>
      <c r="J602" t="s">
        <v>69</v>
      </c>
    </row>
    <row r="603" spans="1:10">
      <c r="A603" t="s">
        <v>751</v>
      </c>
      <c r="B603" t="s">
        <v>68</v>
      </c>
      <c r="C603" s="1">
        <v>45015</v>
      </c>
      <c r="D603" t="s">
        <v>134</v>
      </c>
      <c r="E603" t="s">
        <v>24</v>
      </c>
      <c r="F603" s="3">
        <v>2023</v>
      </c>
      <c r="G603" s="3">
        <v>4</v>
      </c>
      <c r="H603" t="s">
        <v>254</v>
      </c>
      <c r="I603" s="2">
        <v>5</v>
      </c>
      <c r="J603" t="s">
        <v>69</v>
      </c>
    </row>
    <row r="604" spans="1:10">
      <c r="A604" t="s">
        <v>752</v>
      </c>
      <c r="B604" t="s">
        <v>68</v>
      </c>
      <c r="C604" s="1">
        <v>45015</v>
      </c>
      <c r="D604" t="s">
        <v>210</v>
      </c>
      <c r="E604" t="s">
        <v>25</v>
      </c>
      <c r="F604" s="3">
        <v>2023</v>
      </c>
      <c r="G604" s="3">
        <v>4</v>
      </c>
      <c r="H604" t="s">
        <v>254</v>
      </c>
      <c r="I604" s="2">
        <v>4.0999999999999996</v>
      </c>
      <c r="J604" t="s">
        <v>69</v>
      </c>
    </row>
    <row r="605" spans="1:10">
      <c r="A605" t="s">
        <v>753</v>
      </c>
      <c r="B605" t="s">
        <v>68</v>
      </c>
      <c r="C605" s="1">
        <v>45015</v>
      </c>
      <c r="D605" t="s">
        <v>212</v>
      </c>
      <c r="E605" t="s">
        <v>26</v>
      </c>
      <c r="F605" s="3">
        <v>2023</v>
      </c>
      <c r="G605" s="3">
        <v>4</v>
      </c>
      <c r="H605" t="s">
        <v>254</v>
      </c>
      <c r="I605" s="2">
        <v>3.5</v>
      </c>
      <c r="J605" t="s">
        <v>69</v>
      </c>
    </row>
    <row r="606" spans="1:10">
      <c r="A606" t="s">
        <v>754</v>
      </c>
      <c r="B606" t="s">
        <v>68</v>
      </c>
      <c r="C606" s="1">
        <v>45015</v>
      </c>
      <c r="D606" t="s">
        <v>22</v>
      </c>
      <c r="E606" t="s">
        <v>22</v>
      </c>
      <c r="F606" s="3">
        <v>2024</v>
      </c>
      <c r="G606" s="3">
        <v>1</v>
      </c>
      <c r="H606" t="s">
        <v>355</v>
      </c>
      <c r="I606" s="2">
        <v>4.2</v>
      </c>
      <c r="J606" t="s">
        <v>69</v>
      </c>
    </row>
    <row r="607" spans="1:10">
      <c r="A607" t="s">
        <v>755</v>
      </c>
      <c r="B607" t="s">
        <v>68</v>
      </c>
      <c r="C607" s="1">
        <v>45015</v>
      </c>
      <c r="D607" t="s">
        <v>134</v>
      </c>
      <c r="E607" t="s">
        <v>24</v>
      </c>
      <c r="F607" s="3">
        <v>2024</v>
      </c>
      <c r="G607" s="3">
        <v>1</v>
      </c>
      <c r="H607" t="s">
        <v>355</v>
      </c>
      <c r="I607" s="2">
        <v>4.0999999999999996</v>
      </c>
      <c r="J607" t="s">
        <v>69</v>
      </c>
    </row>
    <row r="608" spans="1:10">
      <c r="A608" t="s">
        <v>756</v>
      </c>
      <c r="B608" t="s">
        <v>68</v>
      </c>
      <c r="C608" s="1">
        <v>45015</v>
      </c>
      <c r="D608" t="s">
        <v>210</v>
      </c>
      <c r="E608" t="s">
        <v>25</v>
      </c>
      <c r="F608" s="3">
        <v>2024</v>
      </c>
      <c r="G608" s="3">
        <v>1</v>
      </c>
      <c r="H608" t="s">
        <v>355</v>
      </c>
      <c r="I608" s="2">
        <v>3.3</v>
      </c>
      <c r="J608" t="s">
        <v>69</v>
      </c>
    </row>
    <row r="609" spans="1:10">
      <c r="A609" t="s">
        <v>757</v>
      </c>
      <c r="B609" t="s">
        <v>68</v>
      </c>
      <c r="C609" s="1">
        <v>45015</v>
      </c>
      <c r="D609" t="s">
        <v>212</v>
      </c>
      <c r="E609" t="s">
        <v>26</v>
      </c>
      <c r="F609" s="3">
        <v>2024</v>
      </c>
      <c r="G609" s="3">
        <v>1</v>
      </c>
      <c r="H609" t="s">
        <v>355</v>
      </c>
      <c r="I609" s="2">
        <v>3.4</v>
      </c>
      <c r="J609" t="s">
        <v>69</v>
      </c>
    </row>
    <row r="610" spans="1:10">
      <c r="A610" t="s">
        <v>758</v>
      </c>
      <c r="B610" t="s">
        <v>68</v>
      </c>
      <c r="C610" s="1">
        <v>45015</v>
      </c>
      <c r="D610" t="s">
        <v>22</v>
      </c>
      <c r="E610" t="s">
        <v>22</v>
      </c>
      <c r="F610" s="3">
        <v>2024</v>
      </c>
      <c r="G610" s="3">
        <v>2</v>
      </c>
      <c r="H610" t="s">
        <v>460</v>
      </c>
      <c r="I610" s="2">
        <v>3.7</v>
      </c>
      <c r="J610" t="s">
        <v>69</v>
      </c>
    </row>
    <row r="611" spans="1:10">
      <c r="A611" t="s">
        <v>759</v>
      </c>
      <c r="B611" t="s">
        <v>68</v>
      </c>
      <c r="C611" s="1">
        <v>45015</v>
      </c>
      <c r="D611" t="s">
        <v>134</v>
      </c>
      <c r="E611" t="s">
        <v>24</v>
      </c>
      <c r="F611" s="3">
        <v>2024</v>
      </c>
      <c r="G611" s="3">
        <v>2</v>
      </c>
      <c r="H611" t="s">
        <v>460</v>
      </c>
      <c r="I611" s="2">
        <v>3.5</v>
      </c>
      <c r="J611" t="s">
        <v>69</v>
      </c>
    </row>
    <row r="612" spans="1:10">
      <c r="A612" t="s">
        <v>760</v>
      </c>
      <c r="B612" t="s">
        <v>68</v>
      </c>
      <c r="C612" s="1">
        <v>45015</v>
      </c>
      <c r="D612" t="s">
        <v>210</v>
      </c>
      <c r="E612" t="s">
        <v>25</v>
      </c>
      <c r="F612" s="3">
        <v>2024</v>
      </c>
      <c r="G612" s="3">
        <v>2</v>
      </c>
      <c r="H612" t="s">
        <v>460</v>
      </c>
      <c r="I612" s="2">
        <v>2.8</v>
      </c>
      <c r="J612" t="s">
        <v>69</v>
      </c>
    </row>
    <row r="613" spans="1:10">
      <c r="A613" t="s">
        <v>761</v>
      </c>
      <c r="B613" t="s">
        <v>68</v>
      </c>
      <c r="C613" s="1">
        <v>45015</v>
      </c>
      <c r="D613" t="s">
        <v>212</v>
      </c>
      <c r="E613" t="s">
        <v>26</v>
      </c>
      <c r="F613" s="3">
        <v>2024</v>
      </c>
      <c r="G613" s="3">
        <v>2</v>
      </c>
      <c r="H613" t="s">
        <v>460</v>
      </c>
      <c r="I613" s="2">
        <v>3</v>
      </c>
      <c r="J613" t="s">
        <v>69</v>
      </c>
    </row>
    <row r="614" spans="1:10">
      <c r="A614" t="s">
        <v>762</v>
      </c>
      <c r="B614" t="s">
        <v>68</v>
      </c>
      <c r="C614" s="1">
        <v>45015</v>
      </c>
      <c r="D614" t="s">
        <v>22</v>
      </c>
      <c r="E614" t="s">
        <v>22</v>
      </c>
      <c r="F614" s="3">
        <v>2024</v>
      </c>
      <c r="G614" s="3">
        <v>3</v>
      </c>
      <c r="H614" t="s">
        <v>565</v>
      </c>
      <c r="I614" s="2">
        <v>3.4</v>
      </c>
      <c r="J614" t="s">
        <v>69</v>
      </c>
    </row>
    <row r="615" spans="1:10">
      <c r="A615" t="s">
        <v>763</v>
      </c>
      <c r="B615" t="s">
        <v>68</v>
      </c>
      <c r="C615" s="1">
        <v>45015</v>
      </c>
      <c r="D615" t="s">
        <v>134</v>
      </c>
      <c r="E615" t="s">
        <v>24</v>
      </c>
      <c r="F615" s="3">
        <v>2024</v>
      </c>
      <c r="G615" s="3">
        <v>3</v>
      </c>
      <c r="H615" t="s">
        <v>565</v>
      </c>
      <c r="I615" s="2">
        <v>3.2</v>
      </c>
      <c r="J615" t="s">
        <v>69</v>
      </c>
    </row>
    <row r="616" spans="1:10">
      <c r="A616" t="s">
        <v>764</v>
      </c>
      <c r="B616" t="s">
        <v>68</v>
      </c>
      <c r="C616" s="1">
        <v>45015</v>
      </c>
      <c r="D616" t="s">
        <v>210</v>
      </c>
      <c r="E616" t="s">
        <v>25</v>
      </c>
      <c r="F616" s="3">
        <v>2024</v>
      </c>
      <c r="G616" s="3">
        <v>3</v>
      </c>
      <c r="H616" t="s">
        <v>565</v>
      </c>
      <c r="I616" s="2">
        <v>3.1</v>
      </c>
      <c r="J616" t="s">
        <v>69</v>
      </c>
    </row>
    <row r="617" spans="1:10">
      <c r="A617" t="s">
        <v>765</v>
      </c>
      <c r="B617" t="s">
        <v>68</v>
      </c>
      <c r="C617" s="1">
        <v>45015</v>
      </c>
      <c r="D617" t="s">
        <v>212</v>
      </c>
      <c r="E617" t="s">
        <v>26</v>
      </c>
      <c r="F617" s="3">
        <v>2024</v>
      </c>
      <c r="G617" s="3">
        <v>3</v>
      </c>
      <c r="H617" t="s">
        <v>565</v>
      </c>
      <c r="I617" s="2">
        <v>2.8</v>
      </c>
      <c r="J617" t="s">
        <v>69</v>
      </c>
    </row>
    <row r="618" spans="1:10">
      <c r="A618" t="s">
        <v>766</v>
      </c>
      <c r="B618" t="s">
        <v>68</v>
      </c>
      <c r="C618" s="1">
        <v>45015</v>
      </c>
      <c r="D618" t="s">
        <v>22</v>
      </c>
      <c r="E618" t="s">
        <v>22</v>
      </c>
      <c r="F618" s="3">
        <v>2024</v>
      </c>
      <c r="G618" s="3">
        <v>4</v>
      </c>
      <c r="H618" t="s">
        <v>670</v>
      </c>
      <c r="I618" s="2">
        <v>3.1</v>
      </c>
      <c r="J618" t="s">
        <v>69</v>
      </c>
    </row>
    <row r="619" spans="1:10">
      <c r="A619" t="s">
        <v>767</v>
      </c>
      <c r="B619" t="s">
        <v>68</v>
      </c>
      <c r="C619" s="1">
        <v>45015</v>
      </c>
      <c r="D619" t="s">
        <v>134</v>
      </c>
      <c r="E619" t="s">
        <v>24</v>
      </c>
      <c r="F619" s="3">
        <v>2024</v>
      </c>
      <c r="G619" s="3">
        <v>4</v>
      </c>
      <c r="H619" t="s">
        <v>670</v>
      </c>
      <c r="I619" s="2">
        <v>3.1</v>
      </c>
      <c r="J619" t="s">
        <v>69</v>
      </c>
    </row>
    <row r="620" spans="1:10">
      <c r="A620" t="s">
        <v>768</v>
      </c>
      <c r="B620" t="s">
        <v>68</v>
      </c>
      <c r="C620" s="1">
        <v>45015</v>
      </c>
      <c r="D620" t="s">
        <v>210</v>
      </c>
      <c r="E620" t="s">
        <v>25</v>
      </c>
      <c r="F620" s="3">
        <v>2024</v>
      </c>
      <c r="G620" s="3">
        <v>4</v>
      </c>
      <c r="H620" t="s">
        <v>670</v>
      </c>
      <c r="I620" s="2">
        <v>3.3</v>
      </c>
      <c r="J620" t="s">
        <v>69</v>
      </c>
    </row>
    <row r="621" spans="1:10">
      <c r="A621" t="s">
        <v>769</v>
      </c>
      <c r="B621" t="s">
        <v>68</v>
      </c>
      <c r="C621" s="1">
        <v>45015</v>
      </c>
      <c r="D621" t="s">
        <v>212</v>
      </c>
      <c r="E621" t="s">
        <v>26</v>
      </c>
      <c r="F621" s="3">
        <v>2024</v>
      </c>
      <c r="G621" s="3">
        <v>4</v>
      </c>
      <c r="H621" t="s">
        <v>670</v>
      </c>
      <c r="I621" s="2">
        <v>3.1</v>
      </c>
      <c r="J621" t="s">
        <v>69</v>
      </c>
    </row>
    <row r="622" spans="1:10">
      <c r="A622" t="s">
        <v>770</v>
      </c>
      <c r="B622" t="s">
        <v>68</v>
      </c>
      <c r="C622" s="1">
        <v>45015</v>
      </c>
      <c r="D622" t="s">
        <v>22</v>
      </c>
      <c r="E622" t="s">
        <v>22</v>
      </c>
      <c r="F622" s="3">
        <v>2025</v>
      </c>
      <c r="G622" s="3">
        <v>1</v>
      </c>
      <c r="H622" t="s">
        <v>771</v>
      </c>
      <c r="I622" s="2">
        <v>3.1</v>
      </c>
      <c r="J622" t="s">
        <v>69</v>
      </c>
    </row>
    <row r="623" spans="1:10">
      <c r="A623" t="s">
        <v>772</v>
      </c>
      <c r="B623" t="s">
        <v>68</v>
      </c>
      <c r="C623" s="1">
        <v>45015</v>
      </c>
      <c r="D623" t="s">
        <v>134</v>
      </c>
      <c r="E623" t="s">
        <v>24</v>
      </c>
      <c r="F623" s="3">
        <v>2025</v>
      </c>
      <c r="G623" s="3">
        <v>1</v>
      </c>
      <c r="H623" t="s">
        <v>771</v>
      </c>
      <c r="I623" s="2">
        <v>3.1</v>
      </c>
      <c r="J623" t="s">
        <v>69</v>
      </c>
    </row>
    <row r="624" spans="1:10">
      <c r="A624" t="s">
        <v>773</v>
      </c>
      <c r="B624" t="s">
        <v>68</v>
      </c>
      <c r="C624" s="1">
        <v>45015</v>
      </c>
      <c r="D624" t="s">
        <v>210</v>
      </c>
      <c r="E624" t="s">
        <v>25</v>
      </c>
      <c r="F624" s="3">
        <v>2025</v>
      </c>
      <c r="G624" s="3">
        <v>1</v>
      </c>
      <c r="H624" t="s">
        <v>771</v>
      </c>
      <c r="I624" s="2">
        <v>3.4</v>
      </c>
      <c r="J624" t="s">
        <v>69</v>
      </c>
    </row>
    <row r="625" spans="1:10">
      <c r="A625" t="s">
        <v>774</v>
      </c>
      <c r="B625" t="s">
        <v>68</v>
      </c>
      <c r="C625" s="1">
        <v>45015</v>
      </c>
      <c r="D625" t="s">
        <v>212</v>
      </c>
      <c r="E625" t="s">
        <v>26</v>
      </c>
      <c r="F625" s="3">
        <v>2025</v>
      </c>
      <c r="G625" s="3">
        <v>1</v>
      </c>
      <c r="H625" t="s">
        <v>771</v>
      </c>
      <c r="I625" s="2">
        <v>3.3</v>
      </c>
      <c r="J625" t="s">
        <v>69</v>
      </c>
    </row>
    <row r="626" spans="1:10">
      <c r="A626" t="s">
        <v>775</v>
      </c>
      <c r="B626" t="s">
        <v>70</v>
      </c>
      <c r="C626" s="1">
        <v>45064</v>
      </c>
      <c r="D626" t="s">
        <v>22</v>
      </c>
      <c r="E626" t="s">
        <v>22</v>
      </c>
      <c r="F626" s="3">
        <v>2022</v>
      </c>
      <c r="G626" s="3">
        <v>1</v>
      </c>
      <c r="H626" t="s">
        <v>145</v>
      </c>
      <c r="I626" s="2">
        <v>7.3</v>
      </c>
      <c r="J626" t="s">
        <v>71</v>
      </c>
    </row>
    <row r="627" spans="1:10">
      <c r="A627" t="s">
        <v>776</v>
      </c>
      <c r="B627" t="s">
        <v>70</v>
      </c>
      <c r="C627" s="1">
        <v>45064</v>
      </c>
      <c r="D627" t="s">
        <v>134</v>
      </c>
      <c r="E627" t="s">
        <v>24</v>
      </c>
      <c r="F627" s="3">
        <v>2022</v>
      </c>
      <c r="G627" s="3">
        <v>1</v>
      </c>
      <c r="H627" t="s">
        <v>145</v>
      </c>
      <c r="I627" s="2">
        <v>6.5</v>
      </c>
      <c r="J627" t="s">
        <v>71</v>
      </c>
    </row>
    <row r="628" spans="1:10">
      <c r="A628" t="s">
        <v>777</v>
      </c>
      <c r="B628" t="s">
        <v>70</v>
      </c>
      <c r="C628" s="1">
        <v>45064</v>
      </c>
      <c r="D628" t="s">
        <v>210</v>
      </c>
      <c r="E628" t="s">
        <v>25</v>
      </c>
      <c r="F628" s="3">
        <v>2022</v>
      </c>
      <c r="G628" s="3">
        <v>1</v>
      </c>
      <c r="H628" t="s">
        <v>145</v>
      </c>
      <c r="I628" s="2">
        <v>7.4</v>
      </c>
      <c r="J628" t="s">
        <v>71</v>
      </c>
    </row>
    <row r="629" spans="1:10">
      <c r="A629" t="s">
        <v>778</v>
      </c>
      <c r="B629" t="s">
        <v>70</v>
      </c>
      <c r="C629" s="1">
        <v>45064</v>
      </c>
      <c r="D629" t="s">
        <v>212</v>
      </c>
      <c r="E629" t="s">
        <v>26</v>
      </c>
      <c r="F629" s="3">
        <v>2022</v>
      </c>
      <c r="G629" s="3">
        <v>1</v>
      </c>
      <c r="H629" t="s">
        <v>145</v>
      </c>
      <c r="I629" s="2">
        <v>7.7</v>
      </c>
      <c r="J629" t="s">
        <v>71</v>
      </c>
    </row>
    <row r="630" spans="1:10">
      <c r="A630" t="s">
        <v>779</v>
      </c>
      <c r="B630" t="s">
        <v>70</v>
      </c>
      <c r="C630" s="1">
        <v>45064</v>
      </c>
      <c r="D630" t="s">
        <v>22</v>
      </c>
      <c r="E630" t="s">
        <v>22</v>
      </c>
      <c r="F630" s="3">
        <v>2022</v>
      </c>
      <c r="G630" s="3">
        <v>2</v>
      </c>
      <c r="H630" t="s">
        <v>148</v>
      </c>
      <c r="I630" s="2">
        <v>7.8</v>
      </c>
      <c r="J630" t="s">
        <v>71</v>
      </c>
    </row>
    <row r="631" spans="1:10">
      <c r="A631" t="s">
        <v>780</v>
      </c>
      <c r="B631" t="s">
        <v>70</v>
      </c>
      <c r="C631" s="1">
        <v>45064</v>
      </c>
      <c r="D631" t="s">
        <v>134</v>
      </c>
      <c r="E631" t="s">
        <v>24</v>
      </c>
      <c r="F631" s="3">
        <v>2022</v>
      </c>
      <c r="G631" s="3">
        <v>2</v>
      </c>
      <c r="H631" t="s">
        <v>148</v>
      </c>
      <c r="I631" s="2">
        <v>7.3</v>
      </c>
      <c r="J631" t="s">
        <v>71</v>
      </c>
    </row>
    <row r="632" spans="1:10">
      <c r="A632" t="s">
        <v>781</v>
      </c>
      <c r="B632" t="s">
        <v>70</v>
      </c>
      <c r="C632" s="1">
        <v>45064</v>
      </c>
      <c r="D632" t="s">
        <v>210</v>
      </c>
      <c r="E632" t="s">
        <v>25</v>
      </c>
      <c r="F632" s="3">
        <v>2022</v>
      </c>
      <c r="G632" s="3">
        <v>2</v>
      </c>
      <c r="H632" t="s">
        <v>148</v>
      </c>
      <c r="I632" s="2">
        <v>10.3</v>
      </c>
      <c r="J632" t="s">
        <v>71</v>
      </c>
    </row>
    <row r="633" spans="1:10">
      <c r="A633" t="s">
        <v>782</v>
      </c>
      <c r="B633" t="s">
        <v>70</v>
      </c>
      <c r="C633" s="1">
        <v>45064</v>
      </c>
      <c r="D633" t="s">
        <v>212</v>
      </c>
      <c r="E633" t="s">
        <v>26</v>
      </c>
      <c r="F633" s="3">
        <v>2022</v>
      </c>
      <c r="G633" s="3">
        <v>2</v>
      </c>
      <c r="H633" t="s">
        <v>148</v>
      </c>
      <c r="I633" s="2">
        <v>8.6999999999999993</v>
      </c>
      <c r="J633" t="s">
        <v>71</v>
      </c>
    </row>
    <row r="634" spans="1:10">
      <c r="A634" t="s">
        <v>783</v>
      </c>
      <c r="B634" t="s">
        <v>70</v>
      </c>
      <c r="C634" s="1">
        <v>45064</v>
      </c>
      <c r="D634" t="s">
        <v>22</v>
      </c>
      <c r="E634" t="s">
        <v>22</v>
      </c>
      <c r="F634" s="3">
        <v>2022</v>
      </c>
      <c r="G634" s="3">
        <v>3</v>
      </c>
      <c r="H634" t="s">
        <v>151</v>
      </c>
      <c r="I634" s="2">
        <v>8.5</v>
      </c>
      <c r="J634" t="s">
        <v>71</v>
      </c>
    </row>
    <row r="635" spans="1:10">
      <c r="A635" t="s">
        <v>784</v>
      </c>
      <c r="B635" t="s">
        <v>70</v>
      </c>
      <c r="C635" s="1">
        <v>45064</v>
      </c>
      <c r="D635" t="s">
        <v>134</v>
      </c>
      <c r="E635" t="s">
        <v>24</v>
      </c>
      <c r="F635" s="3">
        <v>2022</v>
      </c>
      <c r="G635" s="3">
        <v>3</v>
      </c>
      <c r="H635" t="s">
        <v>151</v>
      </c>
      <c r="I635" s="2">
        <v>8</v>
      </c>
      <c r="J635" t="s">
        <v>71</v>
      </c>
    </row>
    <row r="636" spans="1:10">
      <c r="A636" t="s">
        <v>785</v>
      </c>
      <c r="B636" t="s">
        <v>70</v>
      </c>
      <c r="C636" s="1">
        <v>45064</v>
      </c>
      <c r="D636" t="s">
        <v>210</v>
      </c>
      <c r="E636" t="s">
        <v>25</v>
      </c>
      <c r="F636" s="3">
        <v>2022</v>
      </c>
      <c r="G636" s="3">
        <v>3</v>
      </c>
      <c r="H636" t="s">
        <v>151</v>
      </c>
      <c r="I636" s="2">
        <v>8.1999999999999993</v>
      </c>
      <c r="J636" t="s">
        <v>71</v>
      </c>
    </row>
    <row r="637" spans="1:10">
      <c r="A637" t="s">
        <v>786</v>
      </c>
      <c r="B637" t="s">
        <v>70</v>
      </c>
      <c r="C637" s="1">
        <v>45064</v>
      </c>
      <c r="D637" t="s">
        <v>212</v>
      </c>
      <c r="E637" t="s">
        <v>26</v>
      </c>
      <c r="F637" s="3">
        <v>2022</v>
      </c>
      <c r="G637" s="3">
        <v>3</v>
      </c>
      <c r="H637" t="s">
        <v>151</v>
      </c>
      <c r="I637" s="2">
        <v>8.9</v>
      </c>
      <c r="J637" t="s">
        <v>71</v>
      </c>
    </row>
    <row r="638" spans="1:10">
      <c r="A638" t="s">
        <v>787</v>
      </c>
      <c r="B638" t="s">
        <v>70</v>
      </c>
      <c r="C638" s="1">
        <v>45064</v>
      </c>
      <c r="D638" t="s">
        <v>22</v>
      </c>
      <c r="E638" t="s">
        <v>22</v>
      </c>
      <c r="F638" s="3">
        <v>2022</v>
      </c>
      <c r="G638" s="3">
        <v>4</v>
      </c>
      <c r="H638" t="s">
        <v>154</v>
      </c>
      <c r="I638" s="2">
        <v>8</v>
      </c>
      <c r="J638" t="s">
        <v>71</v>
      </c>
    </row>
    <row r="639" spans="1:10">
      <c r="A639" t="s">
        <v>788</v>
      </c>
      <c r="B639" t="s">
        <v>70</v>
      </c>
      <c r="C639" s="1">
        <v>45064</v>
      </c>
      <c r="D639" t="s">
        <v>134</v>
      </c>
      <c r="E639" t="s">
        <v>24</v>
      </c>
      <c r="F639" s="3">
        <v>2022</v>
      </c>
      <c r="G639" s="3">
        <v>4</v>
      </c>
      <c r="H639" t="s">
        <v>154</v>
      </c>
      <c r="I639" s="2">
        <v>8.4</v>
      </c>
      <c r="J639" t="s">
        <v>71</v>
      </c>
    </row>
    <row r="640" spans="1:10">
      <c r="A640" t="s">
        <v>789</v>
      </c>
      <c r="B640" t="s">
        <v>70</v>
      </c>
      <c r="C640" s="1">
        <v>45064</v>
      </c>
      <c r="D640" t="s">
        <v>210</v>
      </c>
      <c r="E640" t="s">
        <v>25</v>
      </c>
      <c r="F640" s="3">
        <v>2022</v>
      </c>
      <c r="G640" s="3">
        <v>4</v>
      </c>
      <c r="H640" t="s">
        <v>154</v>
      </c>
      <c r="I640" s="2">
        <v>6.1</v>
      </c>
      <c r="J640" t="s">
        <v>71</v>
      </c>
    </row>
    <row r="641" spans="1:10">
      <c r="A641" t="s">
        <v>790</v>
      </c>
      <c r="B641" t="s">
        <v>70</v>
      </c>
      <c r="C641" s="1">
        <v>45064</v>
      </c>
      <c r="D641" t="s">
        <v>212</v>
      </c>
      <c r="E641" t="s">
        <v>26</v>
      </c>
      <c r="F641" s="3">
        <v>2022</v>
      </c>
      <c r="G641" s="3">
        <v>4</v>
      </c>
      <c r="H641" t="s">
        <v>154</v>
      </c>
      <c r="I641" s="2">
        <v>8.5</v>
      </c>
      <c r="J641" t="s">
        <v>71</v>
      </c>
    </row>
    <row r="642" spans="1:10">
      <c r="A642" t="s">
        <v>791</v>
      </c>
      <c r="B642" t="s">
        <v>70</v>
      </c>
      <c r="C642" s="1">
        <v>45064</v>
      </c>
      <c r="D642" t="s">
        <v>22</v>
      </c>
      <c r="E642" t="s">
        <v>22</v>
      </c>
      <c r="F642" s="3">
        <v>2023</v>
      </c>
      <c r="G642" s="3">
        <v>1</v>
      </c>
      <c r="H642" t="s">
        <v>157</v>
      </c>
      <c r="I642" s="2">
        <v>7.5</v>
      </c>
      <c r="J642" t="s">
        <v>71</v>
      </c>
    </row>
    <row r="643" spans="1:10">
      <c r="A643" t="s">
        <v>792</v>
      </c>
      <c r="B643" t="s">
        <v>70</v>
      </c>
      <c r="C643" s="1">
        <v>45064</v>
      </c>
      <c r="D643" t="s">
        <v>134</v>
      </c>
      <c r="E643" t="s">
        <v>24</v>
      </c>
      <c r="F643" s="3">
        <v>2023</v>
      </c>
      <c r="G643" s="3">
        <v>1</v>
      </c>
      <c r="H643" t="s">
        <v>157</v>
      </c>
      <c r="I643" s="2">
        <v>8.3000000000000007</v>
      </c>
      <c r="J643" t="s">
        <v>71</v>
      </c>
    </row>
    <row r="644" spans="1:10">
      <c r="A644" t="s">
        <v>793</v>
      </c>
      <c r="B644" t="s">
        <v>70</v>
      </c>
      <c r="C644" s="1">
        <v>45064</v>
      </c>
      <c r="D644" t="s">
        <v>210</v>
      </c>
      <c r="E644" t="s">
        <v>25</v>
      </c>
      <c r="F644" s="3">
        <v>2023</v>
      </c>
      <c r="G644" s="3">
        <v>1</v>
      </c>
      <c r="H644" t="s">
        <v>157</v>
      </c>
      <c r="I644" s="2">
        <v>5.4</v>
      </c>
      <c r="J644" t="s">
        <v>71</v>
      </c>
    </row>
    <row r="645" spans="1:10">
      <c r="A645" t="s">
        <v>794</v>
      </c>
      <c r="B645" t="s">
        <v>70</v>
      </c>
      <c r="C645" s="1">
        <v>45064</v>
      </c>
      <c r="D645" t="s">
        <v>212</v>
      </c>
      <c r="E645" t="s">
        <v>26</v>
      </c>
      <c r="F645" s="3">
        <v>2023</v>
      </c>
      <c r="G645" s="3">
        <v>1</v>
      </c>
      <c r="H645" t="s">
        <v>157</v>
      </c>
      <c r="I645" s="2">
        <v>7</v>
      </c>
      <c r="J645" t="s">
        <v>71</v>
      </c>
    </row>
    <row r="646" spans="1:10">
      <c r="A646" t="s">
        <v>795</v>
      </c>
      <c r="B646" t="s">
        <v>70</v>
      </c>
      <c r="C646" s="1">
        <v>45064</v>
      </c>
      <c r="D646" t="s">
        <v>22</v>
      </c>
      <c r="E646" t="s">
        <v>22</v>
      </c>
      <c r="F646" s="3">
        <v>2023</v>
      </c>
      <c r="G646" s="3">
        <v>2</v>
      </c>
      <c r="H646" t="s">
        <v>160</v>
      </c>
      <c r="I646" s="2">
        <v>6</v>
      </c>
      <c r="J646" t="s">
        <v>71</v>
      </c>
    </row>
    <row r="647" spans="1:10">
      <c r="A647" t="s">
        <v>796</v>
      </c>
      <c r="B647" t="s">
        <v>70</v>
      </c>
      <c r="C647" s="1">
        <v>45064</v>
      </c>
      <c r="D647" t="s">
        <v>134</v>
      </c>
      <c r="E647" t="s">
        <v>24</v>
      </c>
      <c r="F647" s="3">
        <v>2023</v>
      </c>
      <c r="G647" s="3">
        <v>2</v>
      </c>
      <c r="H647" t="s">
        <v>160</v>
      </c>
      <c r="I647" s="2">
        <v>7.4</v>
      </c>
      <c r="J647" t="s">
        <v>71</v>
      </c>
    </row>
    <row r="648" spans="1:10">
      <c r="A648" t="s">
        <v>797</v>
      </c>
      <c r="B648" t="s">
        <v>70</v>
      </c>
      <c r="C648" s="1">
        <v>45064</v>
      </c>
      <c r="D648" t="s">
        <v>210</v>
      </c>
      <c r="E648" t="s">
        <v>25</v>
      </c>
      <c r="F648" s="3">
        <v>2023</v>
      </c>
      <c r="G648" s="3">
        <v>2</v>
      </c>
      <c r="H648" t="s">
        <v>160</v>
      </c>
      <c r="I648" s="2">
        <v>4.3</v>
      </c>
      <c r="J648" t="s">
        <v>71</v>
      </c>
    </row>
    <row r="649" spans="1:10">
      <c r="A649" t="s">
        <v>798</v>
      </c>
      <c r="B649" t="s">
        <v>70</v>
      </c>
      <c r="C649" s="1">
        <v>45064</v>
      </c>
      <c r="D649" t="s">
        <v>212</v>
      </c>
      <c r="E649" t="s">
        <v>26</v>
      </c>
      <c r="F649" s="3">
        <v>2023</v>
      </c>
      <c r="G649" s="3">
        <v>2</v>
      </c>
      <c r="H649" t="s">
        <v>160</v>
      </c>
      <c r="I649" s="2">
        <v>5.3</v>
      </c>
      <c r="J649" t="s">
        <v>71</v>
      </c>
    </row>
    <row r="650" spans="1:10">
      <c r="A650" t="s">
        <v>799</v>
      </c>
      <c r="B650" t="s">
        <v>70</v>
      </c>
      <c r="C650" s="1">
        <v>45064</v>
      </c>
      <c r="D650" t="s">
        <v>22</v>
      </c>
      <c r="E650" t="s">
        <v>22</v>
      </c>
      <c r="F650" s="3">
        <v>2023</v>
      </c>
      <c r="G650" s="3">
        <v>3</v>
      </c>
      <c r="H650" t="s">
        <v>183</v>
      </c>
      <c r="I650" s="2">
        <v>5.2</v>
      </c>
      <c r="J650" t="s">
        <v>71</v>
      </c>
    </row>
    <row r="651" spans="1:10">
      <c r="A651" t="s">
        <v>800</v>
      </c>
      <c r="B651" t="s">
        <v>70</v>
      </c>
      <c r="C651" s="1">
        <v>45064</v>
      </c>
      <c r="D651" t="s">
        <v>134</v>
      </c>
      <c r="E651" t="s">
        <v>24</v>
      </c>
      <c r="F651" s="3">
        <v>2023</v>
      </c>
      <c r="G651" s="3">
        <v>3</v>
      </c>
      <c r="H651" t="s">
        <v>183</v>
      </c>
      <c r="I651" s="2">
        <v>6.2</v>
      </c>
      <c r="J651" t="s">
        <v>71</v>
      </c>
    </row>
    <row r="652" spans="1:10">
      <c r="A652" t="s">
        <v>801</v>
      </c>
      <c r="B652" t="s">
        <v>70</v>
      </c>
      <c r="C652" s="1">
        <v>45064</v>
      </c>
      <c r="D652" t="s">
        <v>210</v>
      </c>
      <c r="E652" t="s">
        <v>25</v>
      </c>
      <c r="F652" s="3">
        <v>2023</v>
      </c>
      <c r="G652" s="3">
        <v>3</v>
      </c>
      <c r="H652" t="s">
        <v>183</v>
      </c>
      <c r="I652" s="2">
        <v>4.9000000000000004</v>
      </c>
      <c r="J652" t="s">
        <v>71</v>
      </c>
    </row>
    <row r="653" spans="1:10">
      <c r="A653" t="s">
        <v>802</v>
      </c>
      <c r="B653" t="s">
        <v>70</v>
      </c>
      <c r="C653" s="1">
        <v>45064</v>
      </c>
      <c r="D653" t="s">
        <v>212</v>
      </c>
      <c r="E653" t="s">
        <v>26</v>
      </c>
      <c r="F653" s="3">
        <v>2023</v>
      </c>
      <c r="G653" s="3">
        <v>3</v>
      </c>
      <c r="H653" t="s">
        <v>183</v>
      </c>
      <c r="I653" s="2">
        <v>4.2</v>
      </c>
      <c r="J653" t="s">
        <v>71</v>
      </c>
    </row>
    <row r="654" spans="1:10">
      <c r="A654" t="s">
        <v>803</v>
      </c>
      <c r="B654" t="s">
        <v>70</v>
      </c>
      <c r="C654" s="1">
        <v>45064</v>
      </c>
      <c r="D654" t="s">
        <v>22</v>
      </c>
      <c r="E654" t="s">
        <v>22</v>
      </c>
      <c r="F654" s="3">
        <v>2023</v>
      </c>
      <c r="G654" s="3">
        <v>4</v>
      </c>
      <c r="H654" t="s">
        <v>254</v>
      </c>
      <c r="I654" s="2">
        <v>4.7</v>
      </c>
      <c r="J654" t="s">
        <v>71</v>
      </c>
    </row>
    <row r="655" spans="1:10">
      <c r="A655" t="s">
        <v>804</v>
      </c>
      <c r="B655" t="s">
        <v>70</v>
      </c>
      <c r="C655" s="1">
        <v>45064</v>
      </c>
      <c r="D655" t="s">
        <v>134</v>
      </c>
      <c r="E655" t="s">
        <v>24</v>
      </c>
      <c r="F655" s="3">
        <v>2023</v>
      </c>
      <c r="G655" s="3">
        <v>4</v>
      </c>
      <c r="H655" t="s">
        <v>254</v>
      </c>
      <c r="I655" s="2">
        <v>5</v>
      </c>
      <c r="J655" t="s">
        <v>71</v>
      </c>
    </row>
    <row r="656" spans="1:10">
      <c r="A656" t="s">
        <v>805</v>
      </c>
      <c r="B656" t="s">
        <v>70</v>
      </c>
      <c r="C656" s="1">
        <v>45064</v>
      </c>
      <c r="D656" t="s">
        <v>210</v>
      </c>
      <c r="E656" t="s">
        <v>25</v>
      </c>
      <c r="F656" s="3">
        <v>2023</v>
      </c>
      <c r="G656" s="3">
        <v>4</v>
      </c>
      <c r="H656" t="s">
        <v>254</v>
      </c>
      <c r="I656" s="2">
        <v>4.2</v>
      </c>
      <c r="J656" t="s">
        <v>71</v>
      </c>
    </row>
    <row r="657" spans="1:10">
      <c r="A657" t="s">
        <v>806</v>
      </c>
      <c r="B657" t="s">
        <v>70</v>
      </c>
      <c r="C657" s="1">
        <v>45064</v>
      </c>
      <c r="D657" t="s">
        <v>212</v>
      </c>
      <c r="E657" t="s">
        <v>26</v>
      </c>
      <c r="F657" s="3">
        <v>2023</v>
      </c>
      <c r="G657" s="3">
        <v>4</v>
      </c>
      <c r="H657" t="s">
        <v>254</v>
      </c>
      <c r="I657" s="2">
        <v>3.6</v>
      </c>
      <c r="J657" t="s">
        <v>71</v>
      </c>
    </row>
    <row r="658" spans="1:10">
      <c r="A658" t="s">
        <v>807</v>
      </c>
      <c r="B658" t="s">
        <v>70</v>
      </c>
      <c r="C658" s="1">
        <v>45064</v>
      </c>
      <c r="D658" t="s">
        <v>22</v>
      </c>
      <c r="E658" t="s">
        <v>22</v>
      </c>
      <c r="F658" s="3">
        <v>2024</v>
      </c>
      <c r="G658" s="3">
        <v>1</v>
      </c>
      <c r="H658" t="s">
        <v>355</v>
      </c>
      <c r="I658" s="2">
        <v>4.2</v>
      </c>
      <c r="J658" t="s">
        <v>71</v>
      </c>
    </row>
    <row r="659" spans="1:10">
      <c r="A659" t="s">
        <v>808</v>
      </c>
      <c r="B659" t="s">
        <v>70</v>
      </c>
      <c r="C659" s="1">
        <v>45064</v>
      </c>
      <c r="D659" t="s">
        <v>134</v>
      </c>
      <c r="E659" t="s">
        <v>24</v>
      </c>
      <c r="F659" s="3">
        <v>2024</v>
      </c>
      <c r="G659" s="3">
        <v>1</v>
      </c>
      <c r="H659" t="s">
        <v>355</v>
      </c>
      <c r="I659" s="2">
        <v>4.0999999999999996</v>
      </c>
      <c r="J659" t="s">
        <v>71</v>
      </c>
    </row>
    <row r="660" spans="1:10">
      <c r="A660" t="s">
        <v>809</v>
      </c>
      <c r="B660" t="s">
        <v>70</v>
      </c>
      <c r="C660" s="1">
        <v>45064</v>
      </c>
      <c r="D660" t="s">
        <v>210</v>
      </c>
      <c r="E660" t="s">
        <v>25</v>
      </c>
      <c r="F660" s="3">
        <v>2024</v>
      </c>
      <c r="G660" s="3">
        <v>1</v>
      </c>
      <c r="H660" t="s">
        <v>355</v>
      </c>
      <c r="I660" s="2">
        <v>3.3</v>
      </c>
      <c r="J660" t="s">
        <v>71</v>
      </c>
    </row>
    <row r="661" spans="1:10">
      <c r="A661" t="s">
        <v>810</v>
      </c>
      <c r="B661" t="s">
        <v>70</v>
      </c>
      <c r="C661" s="1">
        <v>45064</v>
      </c>
      <c r="D661" t="s">
        <v>212</v>
      </c>
      <c r="E661" t="s">
        <v>26</v>
      </c>
      <c r="F661" s="3">
        <v>2024</v>
      </c>
      <c r="G661" s="3">
        <v>1</v>
      </c>
      <c r="H661" t="s">
        <v>355</v>
      </c>
      <c r="I661" s="2">
        <v>3.4</v>
      </c>
      <c r="J661" t="s">
        <v>71</v>
      </c>
    </row>
    <row r="662" spans="1:10">
      <c r="A662" t="s">
        <v>811</v>
      </c>
      <c r="B662" t="s">
        <v>70</v>
      </c>
      <c r="C662" s="1">
        <v>45064</v>
      </c>
      <c r="D662" t="s">
        <v>22</v>
      </c>
      <c r="E662" t="s">
        <v>22</v>
      </c>
      <c r="F662" s="3">
        <v>2024</v>
      </c>
      <c r="G662" s="3">
        <v>2</v>
      </c>
      <c r="H662" t="s">
        <v>460</v>
      </c>
      <c r="I662" s="2">
        <v>3.7</v>
      </c>
      <c r="J662" t="s">
        <v>71</v>
      </c>
    </row>
    <row r="663" spans="1:10">
      <c r="A663" t="s">
        <v>812</v>
      </c>
      <c r="B663" t="s">
        <v>70</v>
      </c>
      <c r="C663" s="1">
        <v>45064</v>
      </c>
      <c r="D663" t="s">
        <v>134</v>
      </c>
      <c r="E663" t="s">
        <v>24</v>
      </c>
      <c r="F663" s="3">
        <v>2024</v>
      </c>
      <c r="G663" s="3">
        <v>2</v>
      </c>
      <c r="H663" t="s">
        <v>460</v>
      </c>
      <c r="I663" s="2">
        <v>3.5</v>
      </c>
      <c r="J663" t="s">
        <v>71</v>
      </c>
    </row>
    <row r="664" spans="1:10">
      <c r="A664" t="s">
        <v>813</v>
      </c>
      <c r="B664" t="s">
        <v>70</v>
      </c>
      <c r="C664" s="1">
        <v>45064</v>
      </c>
      <c r="D664" t="s">
        <v>210</v>
      </c>
      <c r="E664" t="s">
        <v>25</v>
      </c>
      <c r="F664" s="3">
        <v>2024</v>
      </c>
      <c r="G664" s="3">
        <v>2</v>
      </c>
      <c r="H664" t="s">
        <v>460</v>
      </c>
      <c r="I664" s="2">
        <v>2.6</v>
      </c>
      <c r="J664" t="s">
        <v>71</v>
      </c>
    </row>
    <row r="665" spans="1:10">
      <c r="A665" t="s">
        <v>814</v>
      </c>
      <c r="B665" t="s">
        <v>70</v>
      </c>
      <c r="C665" s="1">
        <v>45064</v>
      </c>
      <c r="D665" t="s">
        <v>212</v>
      </c>
      <c r="E665" t="s">
        <v>26</v>
      </c>
      <c r="F665" s="3">
        <v>2024</v>
      </c>
      <c r="G665" s="3">
        <v>2</v>
      </c>
      <c r="H665" t="s">
        <v>460</v>
      </c>
      <c r="I665" s="2">
        <v>3</v>
      </c>
      <c r="J665" t="s">
        <v>71</v>
      </c>
    </row>
    <row r="666" spans="1:10">
      <c r="A666" t="s">
        <v>815</v>
      </c>
      <c r="B666" t="s">
        <v>70</v>
      </c>
      <c r="C666" s="1">
        <v>45064</v>
      </c>
      <c r="D666" t="s">
        <v>22</v>
      </c>
      <c r="E666" t="s">
        <v>22</v>
      </c>
      <c r="F666" s="3">
        <v>2024</v>
      </c>
      <c r="G666" s="3">
        <v>3</v>
      </c>
      <c r="H666" t="s">
        <v>565</v>
      </c>
      <c r="I666" s="2">
        <v>3.4</v>
      </c>
      <c r="J666" t="s">
        <v>71</v>
      </c>
    </row>
    <row r="667" spans="1:10">
      <c r="A667" t="s">
        <v>816</v>
      </c>
      <c r="B667" t="s">
        <v>70</v>
      </c>
      <c r="C667" s="1">
        <v>45064</v>
      </c>
      <c r="D667" t="s">
        <v>134</v>
      </c>
      <c r="E667" t="s">
        <v>24</v>
      </c>
      <c r="F667" s="3">
        <v>2024</v>
      </c>
      <c r="G667" s="3">
        <v>3</v>
      </c>
      <c r="H667" t="s">
        <v>565</v>
      </c>
      <c r="I667" s="2">
        <v>3.2</v>
      </c>
      <c r="J667" t="s">
        <v>71</v>
      </c>
    </row>
    <row r="668" spans="1:10">
      <c r="A668" t="s">
        <v>817</v>
      </c>
      <c r="B668" t="s">
        <v>70</v>
      </c>
      <c r="C668" s="1">
        <v>45064</v>
      </c>
      <c r="D668" t="s">
        <v>210</v>
      </c>
      <c r="E668" t="s">
        <v>25</v>
      </c>
      <c r="F668" s="3">
        <v>2024</v>
      </c>
      <c r="G668" s="3">
        <v>3</v>
      </c>
      <c r="H668" t="s">
        <v>565</v>
      </c>
      <c r="I668" s="2">
        <v>3.2</v>
      </c>
      <c r="J668" t="s">
        <v>71</v>
      </c>
    </row>
    <row r="669" spans="1:10">
      <c r="A669" t="s">
        <v>818</v>
      </c>
      <c r="B669" t="s">
        <v>70</v>
      </c>
      <c r="C669" s="1">
        <v>45064</v>
      </c>
      <c r="D669" t="s">
        <v>212</v>
      </c>
      <c r="E669" t="s">
        <v>26</v>
      </c>
      <c r="F669" s="3">
        <v>2024</v>
      </c>
      <c r="G669" s="3">
        <v>3</v>
      </c>
      <c r="H669" t="s">
        <v>565</v>
      </c>
      <c r="I669" s="2">
        <v>2.8</v>
      </c>
      <c r="J669" t="s">
        <v>71</v>
      </c>
    </row>
    <row r="670" spans="1:10">
      <c r="A670" t="s">
        <v>819</v>
      </c>
      <c r="B670" t="s">
        <v>70</v>
      </c>
      <c r="C670" s="1">
        <v>45064</v>
      </c>
      <c r="D670" t="s">
        <v>22</v>
      </c>
      <c r="E670" t="s">
        <v>22</v>
      </c>
      <c r="F670" s="3">
        <v>2024</v>
      </c>
      <c r="G670" s="3">
        <v>4</v>
      </c>
      <c r="H670" t="s">
        <v>670</v>
      </c>
      <c r="I670" s="2">
        <v>3.1</v>
      </c>
      <c r="J670" t="s">
        <v>71</v>
      </c>
    </row>
    <row r="671" spans="1:10">
      <c r="A671" t="s">
        <v>820</v>
      </c>
      <c r="B671" t="s">
        <v>70</v>
      </c>
      <c r="C671" s="1">
        <v>45064</v>
      </c>
      <c r="D671" t="s">
        <v>134</v>
      </c>
      <c r="E671" t="s">
        <v>24</v>
      </c>
      <c r="F671" s="3">
        <v>2024</v>
      </c>
      <c r="G671" s="3">
        <v>4</v>
      </c>
      <c r="H671" t="s">
        <v>670</v>
      </c>
      <c r="I671" s="2">
        <v>3.1</v>
      </c>
      <c r="J671" t="s">
        <v>71</v>
      </c>
    </row>
    <row r="672" spans="1:10">
      <c r="A672" t="s">
        <v>821</v>
      </c>
      <c r="B672" t="s">
        <v>70</v>
      </c>
      <c r="C672" s="1">
        <v>45064</v>
      </c>
      <c r="D672" t="s">
        <v>210</v>
      </c>
      <c r="E672" t="s">
        <v>25</v>
      </c>
      <c r="F672" s="3">
        <v>2024</v>
      </c>
      <c r="G672" s="3">
        <v>4</v>
      </c>
      <c r="H672" t="s">
        <v>670</v>
      </c>
      <c r="I672" s="2">
        <v>3.2</v>
      </c>
      <c r="J672" t="s">
        <v>71</v>
      </c>
    </row>
    <row r="673" spans="1:10">
      <c r="A673" t="s">
        <v>822</v>
      </c>
      <c r="B673" t="s">
        <v>70</v>
      </c>
      <c r="C673" s="1">
        <v>45064</v>
      </c>
      <c r="D673" t="s">
        <v>212</v>
      </c>
      <c r="E673" t="s">
        <v>26</v>
      </c>
      <c r="F673" s="3">
        <v>2024</v>
      </c>
      <c r="G673" s="3">
        <v>4</v>
      </c>
      <c r="H673" t="s">
        <v>670</v>
      </c>
      <c r="I673" s="2">
        <v>3.1</v>
      </c>
      <c r="J673" t="s">
        <v>71</v>
      </c>
    </row>
    <row r="674" spans="1:10">
      <c r="A674" t="s">
        <v>823</v>
      </c>
      <c r="B674" t="s">
        <v>70</v>
      </c>
      <c r="C674" s="1">
        <v>45064</v>
      </c>
      <c r="D674" t="s">
        <v>22</v>
      </c>
      <c r="E674" t="s">
        <v>22</v>
      </c>
      <c r="F674" s="3">
        <v>2025</v>
      </c>
      <c r="G674" s="3">
        <v>1</v>
      </c>
      <c r="H674" t="s">
        <v>771</v>
      </c>
      <c r="I674" s="2">
        <v>3.1</v>
      </c>
      <c r="J674" t="s">
        <v>71</v>
      </c>
    </row>
    <row r="675" spans="1:10">
      <c r="A675" t="s">
        <v>824</v>
      </c>
      <c r="B675" t="s">
        <v>70</v>
      </c>
      <c r="C675" s="1">
        <v>45064</v>
      </c>
      <c r="D675" t="s">
        <v>134</v>
      </c>
      <c r="E675" t="s">
        <v>24</v>
      </c>
      <c r="F675" s="3">
        <v>2025</v>
      </c>
      <c r="G675" s="3">
        <v>1</v>
      </c>
      <c r="H675" t="s">
        <v>771</v>
      </c>
      <c r="I675" s="2">
        <v>3.1</v>
      </c>
      <c r="J675" t="s">
        <v>71</v>
      </c>
    </row>
    <row r="676" spans="1:10">
      <c r="A676" t="s">
        <v>825</v>
      </c>
      <c r="B676" t="s">
        <v>70</v>
      </c>
      <c r="C676" s="1">
        <v>45064</v>
      </c>
      <c r="D676" t="s">
        <v>210</v>
      </c>
      <c r="E676" t="s">
        <v>25</v>
      </c>
      <c r="F676" s="3">
        <v>2025</v>
      </c>
      <c r="G676" s="3">
        <v>1</v>
      </c>
      <c r="H676" t="s">
        <v>771</v>
      </c>
      <c r="I676" s="2">
        <v>3.4</v>
      </c>
      <c r="J676" t="s">
        <v>71</v>
      </c>
    </row>
    <row r="677" spans="1:10">
      <c r="A677" t="s">
        <v>826</v>
      </c>
      <c r="B677" t="s">
        <v>70</v>
      </c>
      <c r="C677" s="1">
        <v>45064</v>
      </c>
      <c r="D677" t="s">
        <v>212</v>
      </c>
      <c r="E677" t="s">
        <v>26</v>
      </c>
      <c r="F677" s="3">
        <v>2025</v>
      </c>
      <c r="G677" s="3">
        <v>1</v>
      </c>
      <c r="H677" t="s">
        <v>771</v>
      </c>
      <c r="I677" s="2">
        <v>3.3</v>
      </c>
      <c r="J677" t="s">
        <v>71</v>
      </c>
    </row>
    <row r="678" spans="1:10">
      <c r="A678" t="s">
        <v>827</v>
      </c>
      <c r="B678" t="s">
        <v>72</v>
      </c>
      <c r="C678" s="1">
        <v>45099</v>
      </c>
      <c r="D678" t="s">
        <v>22</v>
      </c>
      <c r="E678" t="s">
        <v>22</v>
      </c>
      <c r="F678" s="3">
        <v>2022</v>
      </c>
      <c r="G678" s="3">
        <v>2</v>
      </c>
      <c r="H678" t="s">
        <v>148</v>
      </c>
      <c r="I678" s="2">
        <v>7.8</v>
      </c>
      <c r="J678" t="s">
        <v>73</v>
      </c>
    </row>
    <row r="679" spans="1:10">
      <c r="A679" t="s">
        <v>828</v>
      </c>
      <c r="B679" t="s">
        <v>72</v>
      </c>
      <c r="C679" s="1">
        <v>45099</v>
      </c>
      <c r="D679" t="s">
        <v>134</v>
      </c>
      <c r="E679" t="s">
        <v>24</v>
      </c>
      <c r="F679" s="3">
        <v>2022</v>
      </c>
      <c r="G679" s="3">
        <v>2</v>
      </c>
      <c r="H679" t="s">
        <v>148</v>
      </c>
      <c r="I679" s="2">
        <v>7.3</v>
      </c>
      <c r="J679" t="s">
        <v>73</v>
      </c>
    </row>
    <row r="680" spans="1:10">
      <c r="A680" t="s">
        <v>829</v>
      </c>
      <c r="B680" t="s">
        <v>72</v>
      </c>
      <c r="C680" s="1">
        <v>45099</v>
      </c>
      <c r="D680" t="s">
        <v>210</v>
      </c>
      <c r="E680" t="s">
        <v>25</v>
      </c>
      <c r="F680" s="3">
        <v>2022</v>
      </c>
      <c r="G680" s="3">
        <v>2</v>
      </c>
      <c r="H680" t="s">
        <v>148</v>
      </c>
      <c r="I680" s="2">
        <v>10.8</v>
      </c>
      <c r="J680" t="s">
        <v>73</v>
      </c>
    </row>
    <row r="681" spans="1:10">
      <c r="A681" t="s">
        <v>830</v>
      </c>
      <c r="B681" t="s">
        <v>72</v>
      </c>
      <c r="C681" s="1">
        <v>45099</v>
      </c>
      <c r="D681" t="s">
        <v>212</v>
      </c>
      <c r="E681" t="s">
        <v>26</v>
      </c>
      <c r="F681" s="3">
        <v>2022</v>
      </c>
      <c r="G681" s="3">
        <v>2</v>
      </c>
      <c r="H681" t="s">
        <v>148</v>
      </c>
      <c r="I681" s="2">
        <v>8.8000000000000007</v>
      </c>
      <c r="J681" t="s">
        <v>73</v>
      </c>
    </row>
    <row r="682" spans="1:10">
      <c r="A682" t="s">
        <v>831</v>
      </c>
      <c r="B682" t="s">
        <v>72</v>
      </c>
      <c r="C682" s="1">
        <v>45099</v>
      </c>
      <c r="D682" t="s">
        <v>22</v>
      </c>
      <c r="E682" t="s">
        <v>22</v>
      </c>
      <c r="F682" s="3">
        <v>2022</v>
      </c>
      <c r="G682" s="3">
        <v>3</v>
      </c>
      <c r="H682" t="s">
        <v>151</v>
      </c>
      <c r="I682" s="2">
        <v>8.5</v>
      </c>
      <c r="J682" t="s">
        <v>73</v>
      </c>
    </row>
    <row r="683" spans="1:10">
      <c r="A683" t="s">
        <v>832</v>
      </c>
      <c r="B683" t="s">
        <v>72</v>
      </c>
      <c r="C683" s="1">
        <v>45099</v>
      </c>
      <c r="D683" t="s">
        <v>134</v>
      </c>
      <c r="E683" t="s">
        <v>24</v>
      </c>
      <c r="F683" s="3">
        <v>2022</v>
      </c>
      <c r="G683" s="3">
        <v>3</v>
      </c>
      <c r="H683" t="s">
        <v>151</v>
      </c>
      <c r="I683" s="2">
        <v>8</v>
      </c>
      <c r="J683" t="s">
        <v>73</v>
      </c>
    </row>
    <row r="684" spans="1:10">
      <c r="A684" t="s">
        <v>833</v>
      </c>
      <c r="B684" t="s">
        <v>72</v>
      </c>
      <c r="C684" s="1">
        <v>45099</v>
      </c>
      <c r="D684" t="s">
        <v>210</v>
      </c>
      <c r="E684" t="s">
        <v>25</v>
      </c>
      <c r="F684" s="3">
        <v>2022</v>
      </c>
      <c r="G684" s="3">
        <v>3</v>
      </c>
      <c r="H684" t="s">
        <v>151</v>
      </c>
      <c r="I684" s="2">
        <v>8.1999999999999993</v>
      </c>
      <c r="J684" t="s">
        <v>73</v>
      </c>
    </row>
    <row r="685" spans="1:10">
      <c r="A685" t="s">
        <v>834</v>
      </c>
      <c r="B685" t="s">
        <v>72</v>
      </c>
      <c r="C685" s="1">
        <v>45099</v>
      </c>
      <c r="D685" t="s">
        <v>212</v>
      </c>
      <c r="E685" t="s">
        <v>26</v>
      </c>
      <c r="F685" s="3">
        <v>2022</v>
      </c>
      <c r="G685" s="3">
        <v>3</v>
      </c>
      <c r="H685" t="s">
        <v>151</v>
      </c>
      <c r="I685" s="2">
        <v>8.8000000000000007</v>
      </c>
      <c r="J685" t="s">
        <v>73</v>
      </c>
    </row>
    <row r="686" spans="1:10">
      <c r="A686" t="s">
        <v>835</v>
      </c>
      <c r="B686" t="s">
        <v>72</v>
      </c>
      <c r="C686" s="1">
        <v>45099</v>
      </c>
      <c r="D686" t="s">
        <v>22</v>
      </c>
      <c r="E686" t="s">
        <v>22</v>
      </c>
      <c r="F686" s="3">
        <v>2022</v>
      </c>
      <c r="G686" s="3">
        <v>4</v>
      </c>
      <c r="H686" t="s">
        <v>154</v>
      </c>
      <c r="I686" s="2">
        <v>8</v>
      </c>
      <c r="J686" t="s">
        <v>73</v>
      </c>
    </row>
    <row r="687" spans="1:10">
      <c r="A687" t="s">
        <v>836</v>
      </c>
      <c r="B687" t="s">
        <v>72</v>
      </c>
      <c r="C687" s="1">
        <v>45099</v>
      </c>
      <c r="D687" t="s">
        <v>134</v>
      </c>
      <c r="E687" t="s">
        <v>24</v>
      </c>
      <c r="F687" s="3">
        <v>2022</v>
      </c>
      <c r="G687" s="3">
        <v>4</v>
      </c>
      <c r="H687" t="s">
        <v>154</v>
      </c>
      <c r="I687" s="2">
        <v>8.4</v>
      </c>
      <c r="J687" t="s">
        <v>73</v>
      </c>
    </row>
    <row r="688" spans="1:10">
      <c r="A688" t="s">
        <v>837</v>
      </c>
      <c r="B688" t="s">
        <v>72</v>
      </c>
      <c r="C688" s="1">
        <v>45099</v>
      </c>
      <c r="D688" t="s">
        <v>210</v>
      </c>
      <c r="E688" t="s">
        <v>25</v>
      </c>
      <c r="F688" s="3">
        <v>2022</v>
      </c>
      <c r="G688" s="3">
        <v>4</v>
      </c>
      <c r="H688" t="s">
        <v>154</v>
      </c>
      <c r="I688" s="2">
        <v>5.9</v>
      </c>
      <c r="J688" t="s">
        <v>73</v>
      </c>
    </row>
    <row r="689" spans="1:10">
      <c r="A689" t="s">
        <v>838</v>
      </c>
      <c r="B689" t="s">
        <v>72</v>
      </c>
      <c r="C689" s="1">
        <v>45099</v>
      </c>
      <c r="D689" t="s">
        <v>212</v>
      </c>
      <c r="E689" t="s">
        <v>26</v>
      </c>
      <c r="F689" s="3">
        <v>2022</v>
      </c>
      <c r="G689" s="3">
        <v>4</v>
      </c>
      <c r="H689" t="s">
        <v>154</v>
      </c>
      <c r="I689" s="2">
        <v>8.5</v>
      </c>
      <c r="J689" t="s">
        <v>73</v>
      </c>
    </row>
    <row r="690" spans="1:10">
      <c r="A690" t="s">
        <v>839</v>
      </c>
      <c r="B690" t="s">
        <v>72</v>
      </c>
      <c r="C690" s="1">
        <v>45099</v>
      </c>
      <c r="D690" t="s">
        <v>22</v>
      </c>
      <c r="E690" t="s">
        <v>22</v>
      </c>
      <c r="F690" s="3">
        <v>2023</v>
      </c>
      <c r="G690" s="3">
        <v>1</v>
      </c>
      <c r="H690" t="s">
        <v>157</v>
      </c>
      <c r="I690" s="2">
        <v>7.5</v>
      </c>
      <c r="J690" t="s">
        <v>73</v>
      </c>
    </row>
    <row r="691" spans="1:10">
      <c r="A691" t="s">
        <v>840</v>
      </c>
      <c r="B691" t="s">
        <v>72</v>
      </c>
      <c r="C691" s="1">
        <v>45099</v>
      </c>
      <c r="D691" t="s">
        <v>134</v>
      </c>
      <c r="E691" t="s">
        <v>24</v>
      </c>
      <c r="F691" s="3">
        <v>2023</v>
      </c>
      <c r="G691" s="3">
        <v>1</v>
      </c>
      <c r="H691" t="s">
        <v>157</v>
      </c>
      <c r="I691" s="2">
        <v>8.3000000000000007</v>
      </c>
      <c r="J691" t="s">
        <v>73</v>
      </c>
    </row>
    <row r="692" spans="1:10">
      <c r="A692" t="s">
        <v>841</v>
      </c>
      <c r="B692" t="s">
        <v>72</v>
      </c>
      <c r="C692" s="1">
        <v>45099</v>
      </c>
      <c r="D692" t="s">
        <v>210</v>
      </c>
      <c r="E692" t="s">
        <v>25</v>
      </c>
      <c r="F692" s="3">
        <v>2023</v>
      </c>
      <c r="G692" s="3">
        <v>1</v>
      </c>
      <c r="H692" t="s">
        <v>157</v>
      </c>
      <c r="I692" s="2">
        <v>5.0999999999999996</v>
      </c>
      <c r="J692" t="s">
        <v>73</v>
      </c>
    </row>
    <row r="693" spans="1:10">
      <c r="A693" t="s">
        <v>842</v>
      </c>
      <c r="B693" t="s">
        <v>72</v>
      </c>
      <c r="C693" s="1">
        <v>45099</v>
      </c>
      <c r="D693" t="s">
        <v>212</v>
      </c>
      <c r="E693" t="s">
        <v>26</v>
      </c>
      <c r="F693" s="3">
        <v>2023</v>
      </c>
      <c r="G693" s="3">
        <v>1</v>
      </c>
      <c r="H693" t="s">
        <v>157</v>
      </c>
      <c r="I693" s="2">
        <v>6.9</v>
      </c>
      <c r="J693" t="s">
        <v>73</v>
      </c>
    </row>
    <row r="694" spans="1:10">
      <c r="A694" t="s">
        <v>843</v>
      </c>
      <c r="B694" t="s">
        <v>72</v>
      </c>
      <c r="C694" s="1">
        <v>45099</v>
      </c>
      <c r="D694" t="s">
        <v>22</v>
      </c>
      <c r="E694" t="s">
        <v>22</v>
      </c>
      <c r="F694" s="3">
        <v>2023</v>
      </c>
      <c r="G694" s="3">
        <v>2</v>
      </c>
      <c r="H694" t="s">
        <v>160</v>
      </c>
      <c r="I694" s="2">
        <v>5.7</v>
      </c>
      <c r="J694" t="s">
        <v>73</v>
      </c>
    </row>
    <row r="695" spans="1:10">
      <c r="A695" t="s">
        <v>844</v>
      </c>
      <c r="B695" t="s">
        <v>72</v>
      </c>
      <c r="C695" s="1">
        <v>45099</v>
      </c>
      <c r="D695" t="s">
        <v>134</v>
      </c>
      <c r="E695" t="s">
        <v>24</v>
      </c>
      <c r="F695" s="3">
        <v>2023</v>
      </c>
      <c r="G695" s="3">
        <v>2</v>
      </c>
      <c r="H695" t="s">
        <v>160</v>
      </c>
      <c r="I695" s="2">
        <v>7.3</v>
      </c>
      <c r="J695" t="s">
        <v>73</v>
      </c>
    </row>
    <row r="696" spans="1:10">
      <c r="A696" t="s">
        <v>845</v>
      </c>
      <c r="B696" t="s">
        <v>72</v>
      </c>
      <c r="C696" s="1">
        <v>45099</v>
      </c>
      <c r="D696" t="s">
        <v>210</v>
      </c>
      <c r="E696" t="s">
        <v>25</v>
      </c>
      <c r="F696" s="3">
        <v>2023</v>
      </c>
      <c r="G696" s="3">
        <v>2</v>
      </c>
      <c r="H696" t="s">
        <v>160</v>
      </c>
      <c r="I696" s="2">
        <v>4</v>
      </c>
      <c r="J696" t="s">
        <v>73</v>
      </c>
    </row>
    <row r="697" spans="1:10">
      <c r="A697" t="s">
        <v>846</v>
      </c>
      <c r="B697" t="s">
        <v>72</v>
      </c>
      <c r="C697" s="1">
        <v>45099</v>
      </c>
      <c r="D697" t="s">
        <v>212</v>
      </c>
      <c r="E697" t="s">
        <v>26</v>
      </c>
      <c r="F697" s="3">
        <v>2023</v>
      </c>
      <c r="G697" s="3">
        <v>2</v>
      </c>
      <c r="H697" t="s">
        <v>160</v>
      </c>
      <c r="I697" s="2">
        <v>5.0999999999999996</v>
      </c>
      <c r="J697" t="s">
        <v>73</v>
      </c>
    </row>
    <row r="698" spans="1:10">
      <c r="A698" t="s">
        <v>847</v>
      </c>
      <c r="B698" t="s">
        <v>72</v>
      </c>
      <c r="C698" s="1">
        <v>45099</v>
      </c>
      <c r="D698" t="s">
        <v>22</v>
      </c>
      <c r="E698" t="s">
        <v>22</v>
      </c>
      <c r="F698" s="3">
        <v>2023</v>
      </c>
      <c r="G698" s="3">
        <v>3</v>
      </c>
      <c r="H698" t="s">
        <v>183</v>
      </c>
      <c r="I698" s="2">
        <v>5</v>
      </c>
      <c r="J698" t="s">
        <v>73</v>
      </c>
    </row>
    <row r="699" spans="1:10">
      <c r="A699" t="s">
        <v>848</v>
      </c>
      <c r="B699" t="s">
        <v>72</v>
      </c>
      <c r="C699" s="1">
        <v>45099</v>
      </c>
      <c r="D699" t="s">
        <v>134</v>
      </c>
      <c r="E699" t="s">
        <v>24</v>
      </c>
      <c r="F699" s="3">
        <v>2023</v>
      </c>
      <c r="G699" s="3">
        <v>3</v>
      </c>
      <c r="H699" t="s">
        <v>183</v>
      </c>
      <c r="I699" s="2">
        <v>6.2</v>
      </c>
      <c r="J699" t="s">
        <v>73</v>
      </c>
    </row>
    <row r="700" spans="1:10">
      <c r="A700" t="s">
        <v>849</v>
      </c>
      <c r="B700" t="s">
        <v>72</v>
      </c>
      <c r="C700" s="1">
        <v>45099</v>
      </c>
      <c r="D700" t="s">
        <v>210</v>
      </c>
      <c r="E700" t="s">
        <v>25</v>
      </c>
      <c r="F700" s="3">
        <v>2023</v>
      </c>
      <c r="G700" s="3">
        <v>3</v>
      </c>
      <c r="H700" t="s">
        <v>183</v>
      </c>
      <c r="I700" s="2">
        <v>4.9000000000000004</v>
      </c>
      <c r="J700" t="s">
        <v>73</v>
      </c>
    </row>
    <row r="701" spans="1:10">
      <c r="A701" t="s">
        <v>850</v>
      </c>
      <c r="B701" t="s">
        <v>72</v>
      </c>
      <c r="C701" s="1">
        <v>45099</v>
      </c>
      <c r="D701" t="s">
        <v>212</v>
      </c>
      <c r="E701" t="s">
        <v>26</v>
      </c>
      <c r="F701" s="3">
        <v>2023</v>
      </c>
      <c r="G701" s="3">
        <v>3</v>
      </c>
      <c r="H701" t="s">
        <v>183</v>
      </c>
      <c r="I701" s="2">
        <v>4.4000000000000004</v>
      </c>
      <c r="J701" t="s">
        <v>73</v>
      </c>
    </row>
    <row r="702" spans="1:10">
      <c r="A702" t="s">
        <v>851</v>
      </c>
      <c r="B702" t="s">
        <v>72</v>
      </c>
      <c r="C702" s="1">
        <v>45099</v>
      </c>
      <c r="D702" t="s">
        <v>22</v>
      </c>
      <c r="E702" t="s">
        <v>22</v>
      </c>
      <c r="F702" s="3">
        <v>2023</v>
      </c>
      <c r="G702" s="3">
        <v>4</v>
      </c>
      <c r="H702" t="s">
        <v>254</v>
      </c>
      <c r="I702" s="2">
        <v>4.5999999999999996</v>
      </c>
      <c r="J702" t="s">
        <v>73</v>
      </c>
    </row>
    <row r="703" spans="1:10">
      <c r="A703" t="s">
        <v>852</v>
      </c>
      <c r="B703" t="s">
        <v>72</v>
      </c>
      <c r="C703" s="1">
        <v>45099</v>
      </c>
      <c r="D703" t="s">
        <v>134</v>
      </c>
      <c r="E703" t="s">
        <v>24</v>
      </c>
      <c r="F703" s="3">
        <v>2023</v>
      </c>
      <c r="G703" s="3">
        <v>4</v>
      </c>
      <c r="H703" t="s">
        <v>254</v>
      </c>
      <c r="I703" s="2">
        <v>5</v>
      </c>
      <c r="J703" t="s">
        <v>73</v>
      </c>
    </row>
    <row r="704" spans="1:10">
      <c r="A704" t="s">
        <v>853</v>
      </c>
      <c r="B704" t="s">
        <v>72</v>
      </c>
      <c r="C704" s="1">
        <v>45099</v>
      </c>
      <c r="D704" t="s">
        <v>210</v>
      </c>
      <c r="E704" t="s">
        <v>25</v>
      </c>
      <c r="F704" s="3">
        <v>2023</v>
      </c>
      <c r="G704" s="3">
        <v>4</v>
      </c>
      <c r="H704" t="s">
        <v>254</v>
      </c>
      <c r="I704" s="2">
        <v>4.3</v>
      </c>
      <c r="J704" t="s">
        <v>73</v>
      </c>
    </row>
    <row r="705" spans="1:10">
      <c r="A705" t="s">
        <v>854</v>
      </c>
      <c r="B705" t="s">
        <v>72</v>
      </c>
      <c r="C705" s="1">
        <v>45099</v>
      </c>
      <c r="D705" t="s">
        <v>212</v>
      </c>
      <c r="E705" t="s">
        <v>26</v>
      </c>
      <c r="F705" s="3">
        <v>2023</v>
      </c>
      <c r="G705" s="3">
        <v>4</v>
      </c>
      <c r="H705" t="s">
        <v>254</v>
      </c>
      <c r="I705" s="2">
        <v>3.6</v>
      </c>
      <c r="J705" t="s">
        <v>73</v>
      </c>
    </row>
    <row r="706" spans="1:10">
      <c r="A706" t="s">
        <v>855</v>
      </c>
      <c r="B706" t="s">
        <v>72</v>
      </c>
      <c r="C706" s="1">
        <v>45099</v>
      </c>
      <c r="D706" t="s">
        <v>22</v>
      </c>
      <c r="E706" t="s">
        <v>22</v>
      </c>
      <c r="F706" s="3">
        <v>2024</v>
      </c>
      <c r="G706" s="3">
        <v>1</v>
      </c>
      <c r="H706" t="s">
        <v>355</v>
      </c>
      <c r="I706" s="2">
        <v>4.0999999999999996</v>
      </c>
      <c r="J706" t="s">
        <v>73</v>
      </c>
    </row>
    <row r="707" spans="1:10">
      <c r="A707" t="s">
        <v>856</v>
      </c>
      <c r="B707" t="s">
        <v>72</v>
      </c>
      <c r="C707" s="1">
        <v>45099</v>
      </c>
      <c r="D707" t="s">
        <v>134</v>
      </c>
      <c r="E707" t="s">
        <v>24</v>
      </c>
      <c r="F707" s="3">
        <v>2024</v>
      </c>
      <c r="G707" s="3">
        <v>1</v>
      </c>
      <c r="H707" t="s">
        <v>355</v>
      </c>
      <c r="I707" s="2">
        <v>4.0999999999999996</v>
      </c>
      <c r="J707" t="s">
        <v>73</v>
      </c>
    </row>
    <row r="708" spans="1:10">
      <c r="A708" t="s">
        <v>857</v>
      </c>
      <c r="B708" t="s">
        <v>72</v>
      </c>
      <c r="C708" s="1">
        <v>45099</v>
      </c>
      <c r="D708" t="s">
        <v>210</v>
      </c>
      <c r="E708" t="s">
        <v>25</v>
      </c>
      <c r="F708" s="3">
        <v>2024</v>
      </c>
      <c r="G708" s="3">
        <v>1</v>
      </c>
      <c r="H708" t="s">
        <v>355</v>
      </c>
      <c r="I708" s="2">
        <v>3</v>
      </c>
      <c r="J708" t="s">
        <v>73</v>
      </c>
    </row>
    <row r="709" spans="1:10">
      <c r="A709" t="s">
        <v>858</v>
      </c>
      <c r="B709" t="s">
        <v>72</v>
      </c>
      <c r="C709" s="1">
        <v>45099</v>
      </c>
      <c r="D709" t="s">
        <v>212</v>
      </c>
      <c r="E709" t="s">
        <v>26</v>
      </c>
      <c r="F709" s="3">
        <v>2024</v>
      </c>
      <c r="G709" s="3">
        <v>1</v>
      </c>
      <c r="H709" t="s">
        <v>355</v>
      </c>
      <c r="I709" s="2">
        <v>3.3</v>
      </c>
      <c r="J709" t="s">
        <v>73</v>
      </c>
    </row>
    <row r="710" spans="1:10">
      <c r="A710" t="s">
        <v>859</v>
      </c>
      <c r="B710" t="s">
        <v>72</v>
      </c>
      <c r="C710" s="1">
        <v>45099</v>
      </c>
      <c r="D710" t="s">
        <v>22</v>
      </c>
      <c r="E710" t="s">
        <v>22</v>
      </c>
      <c r="F710" s="3">
        <v>2024</v>
      </c>
      <c r="G710" s="3">
        <v>2</v>
      </c>
      <c r="H710" t="s">
        <v>460</v>
      </c>
      <c r="I710" s="2">
        <v>3.7</v>
      </c>
      <c r="J710" t="s">
        <v>73</v>
      </c>
    </row>
    <row r="711" spans="1:10">
      <c r="A711" t="s">
        <v>860</v>
      </c>
      <c r="B711" t="s">
        <v>72</v>
      </c>
      <c r="C711" s="1">
        <v>45099</v>
      </c>
      <c r="D711" t="s">
        <v>134</v>
      </c>
      <c r="E711" t="s">
        <v>24</v>
      </c>
      <c r="F711" s="3">
        <v>2024</v>
      </c>
      <c r="G711" s="3">
        <v>2</v>
      </c>
      <c r="H711" t="s">
        <v>460</v>
      </c>
      <c r="I711" s="2">
        <v>3.5</v>
      </c>
      <c r="J711" t="s">
        <v>73</v>
      </c>
    </row>
    <row r="712" spans="1:10">
      <c r="A712" t="s">
        <v>861</v>
      </c>
      <c r="B712" t="s">
        <v>72</v>
      </c>
      <c r="C712" s="1">
        <v>45099</v>
      </c>
      <c r="D712" t="s">
        <v>210</v>
      </c>
      <c r="E712" t="s">
        <v>25</v>
      </c>
      <c r="F712" s="3">
        <v>2024</v>
      </c>
      <c r="G712" s="3">
        <v>2</v>
      </c>
      <c r="H712" t="s">
        <v>460</v>
      </c>
      <c r="I712" s="2">
        <v>2.8</v>
      </c>
      <c r="J712" t="s">
        <v>73</v>
      </c>
    </row>
    <row r="713" spans="1:10">
      <c r="A713" t="s">
        <v>862</v>
      </c>
      <c r="B713" t="s">
        <v>72</v>
      </c>
      <c r="C713" s="1">
        <v>45099</v>
      </c>
      <c r="D713" t="s">
        <v>212</v>
      </c>
      <c r="E713" t="s">
        <v>26</v>
      </c>
      <c r="F713" s="3">
        <v>2024</v>
      </c>
      <c r="G713" s="3">
        <v>2</v>
      </c>
      <c r="H713" t="s">
        <v>460</v>
      </c>
      <c r="I713" s="2">
        <v>2.8</v>
      </c>
      <c r="J713" t="s">
        <v>73</v>
      </c>
    </row>
    <row r="714" spans="1:10">
      <c r="A714" t="s">
        <v>863</v>
      </c>
      <c r="B714" t="s">
        <v>72</v>
      </c>
      <c r="C714" s="1">
        <v>45099</v>
      </c>
      <c r="D714" t="s">
        <v>22</v>
      </c>
      <c r="E714" t="s">
        <v>22</v>
      </c>
      <c r="F714" s="3">
        <v>2024</v>
      </c>
      <c r="G714" s="3">
        <v>3</v>
      </c>
      <c r="H714" t="s">
        <v>565</v>
      </c>
      <c r="I714" s="2">
        <v>3.4</v>
      </c>
      <c r="J714" t="s">
        <v>73</v>
      </c>
    </row>
    <row r="715" spans="1:10">
      <c r="A715" t="s">
        <v>864</v>
      </c>
      <c r="B715" t="s">
        <v>72</v>
      </c>
      <c r="C715" s="1">
        <v>45099</v>
      </c>
      <c r="D715" t="s">
        <v>134</v>
      </c>
      <c r="E715" t="s">
        <v>24</v>
      </c>
      <c r="F715" s="3">
        <v>2024</v>
      </c>
      <c r="G715" s="3">
        <v>3</v>
      </c>
      <c r="H715" t="s">
        <v>565</v>
      </c>
      <c r="I715" s="2">
        <v>3.2</v>
      </c>
      <c r="J715" t="s">
        <v>73</v>
      </c>
    </row>
    <row r="716" spans="1:10">
      <c r="A716" t="s">
        <v>865</v>
      </c>
      <c r="B716" t="s">
        <v>72</v>
      </c>
      <c r="C716" s="1">
        <v>45099</v>
      </c>
      <c r="D716" t="s">
        <v>210</v>
      </c>
      <c r="E716" t="s">
        <v>25</v>
      </c>
      <c r="F716" s="3">
        <v>2024</v>
      </c>
      <c r="G716" s="3">
        <v>3</v>
      </c>
      <c r="H716" t="s">
        <v>565</v>
      </c>
      <c r="I716" s="2">
        <v>3.4</v>
      </c>
      <c r="J716" t="s">
        <v>73</v>
      </c>
    </row>
    <row r="717" spans="1:10">
      <c r="A717" t="s">
        <v>866</v>
      </c>
      <c r="B717" t="s">
        <v>72</v>
      </c>
      <c r="C717" s="1">
        <v>45099</v>
      </c>
      <c r="D717" t="s">
        <v>212</v>
      </c>
      <c r="E717" t="s">
        <v>26</v>
      </c>
      <c r="F717" s="3">
        <v>2024</v>
      </c>
      <c r="G717" s="3">
        <v>3</v>
      </c>
      <c r="H717" t="s">
        <v>565</v>
      </c>
      <c r="I717" s="2">
        <v>3</v>
      </c>
      <c r="J717" t="s">
        <v>73</v>
      </c>
    </row>
    <row r="718" spans="1:10">
      <c r="A718" t="s">
        <v>867</v>
      </c>
      <c r="B718" t="s">
        <v>72</v>
      </c>
      <c r="C718" s="1">
        <v>45099</v>
      </c>
      <c r="D718" t="s">
        <v>22</v>
      </c>
      <c r="E718" t="s">
        <v>22</v>
      </c>
      <c r="F718" s="3">
        <v>2024</v>
      </c>
      <c r="G718" s="3">
        <v>4</v>
      </c>
      <c r="H718" t="s">
        <v>670</v>
      </c>
      <c r="I718" s="2">
        <v>3.1</v>
      </c>
      <c r="J718" t="s">
        <v>73</v>
      </c>
    </row>
    <row r="719" spans="1:10">
      <c r="A719" t="s">
        <v>868</v>
      </c>
      <c r="B719" t="s">
        <v>72</v>
      </c>
      <c r="C719" s="1">
        <v>45099</v>
      </c>
      <c r="D719" t="s">
        <v>134</v>
      </c>
      <c r="E719" t="s">
        <v>24</v>
      </c>
      <c r="F719" s="3">
        <v>2024</v>
      </c>
      <c r="G719" s="3">
        <v>4</v>
      </c>
      <c r="H719" t="s">
        <v>670</v>
      </c>
      <c r="I719" s="2">
        <v>3.1</v>
      </c>
      <c r="J719" t="s">
        <v>73</v>
      </c>
    </row>
    <row r="720" spans="1:10">
      <c r="A720" t="s">
        <v>869</v>
      </c>
      <c r="B720" t="s">
        <v>72</v>
      </c>
      <c r="C720" s="1">
        <v>45099</v>
      </c>
      <c r="D720" t="s">
        <v>210</v>
      </c>
      <c r="E720" t="s">
        <v>25</v>
      </c>
      <c r="F720" s="3">
        <v>2024</v>
      </c>
      <c r="G720" s="3">
        <v>4</v>
      </c>
      <c r="H720" t="s">
        <v>670</v>
      </c>
      <c r="I720" s="2">
        <v>3.1</v>
      </c>
      <c r="J720" t="s">
        <v>73</v>
      </c>
    </row>
    <row r="721" spans="1:10">
      <c r="A721" t="s">
        <v>870</v>
      </c>
      <c r="B721" t="s">
        <v>72</v>
      </c>
      <c r="C721" s="1">
        <v>45099</v>
      </c>
      <c r="D721" t="s">
        <v>212</v>
      </c>
      <c r="E721" t="s">
        <v>26</v>
      </c>
      <c r="F721" s="3">
        <v>2024</v>
      </c>
      <c r="G721" s="3">
        <v>4</v>
      </c>
      <c r="H721" t="s">
        <v>670</v>
      </c>
      <c r="I721" s="2">
        <v>3.2</v>
      </c>
      <c r="J721" t="s">
        <v>73</v>
      </c>
    </row>
    <row r="722" spans="1:10">
      <c r="A722" t="s">
        <v>871</v>
      </c>
      <c r="B722" t="s">
        <v>72</v>
      </c>
      <c r="C722" s="1">
        <v>45099</v>
      </c>
      <c r="D722" t="s">
        <v>22</v>
      </c>
      <c r="E722" t="s">
        <v>22</v>
      </c>
      <c r="F722" s="3">
        <v>2025</v>
      </c>
      <c r="G722" s="3">
        <v>1</v>
      </c>
      <c r="H722" t="s">
        <v>771</v>
      </c>
      <c r="I722" s="2">
        <v>3.1</v>
      </c>
      <c r="J722" t="s">
        <v>73</v>
      </c>
    </row>
    <row r="723" spans="1:10">
      <c r="A723" t="s">
        <v>872</v>
      </c>
      <c r="B723" t="s">
        <v>72</v>
      </c>
      <c r="C723" s="1">
        <v>45099</v>
      </c>
      <c r="D723" t="s">
        <v>134</v>
      </c>
      <c r="E723" t="s">
        <v>24</v>
      </c>
      <c r="F723" s="3">
        <v>2025</v>
      </c>
      <c r="G723" s="3">
        <v>1</v>
      </c>
      <c r="H723" t="s">
        <v>771</v>
      </c>
      <c r="I723" s="2">
        <v>3.1</v>
      </c>
      <c r="J723" t="s">
        <v>73</v>
      </c>
    </row>
    <row r="724" spans="1:10">
      <c r="A724" t="s">
        <v>873</v>
      </c>
      <c r="B724" t="s">
        <v>72</v>
      </c>
      <c r="C724" s="1">
        <v>45099</v>
      </c>
      <c r="D724" t="s">
        <v>210</v>
      </c>
      <c r="E724" t="s">
        <v>25</v>
      </c>
      <c r="F724" s="3">
        <v>2025</v>
      </c>
      <c r="G724" s="3">
        <v>1</v>
      </c>
      <c r="H724" t="s">
        <v>771</v>
      </c>
      <c r="I724" s="2">
        <v>3.1</v>
      </c>
      <c r="J724" t="s">
        <v>73</v>
      </c>
    </row>
    <row r="725" spans="1:10">
      <c r="A725" t="s">
        <v>874</v>
      </c>
      <c r="B725" t="s">
        <v>72</v>
      </c>
      <c r="C725" s="1">
        <v>45099</v>
      </c>
      <c r="D725" t="s">
        <v>212</v>
      </c>
      <c r="E725" t="s">
        <v>26</v>
      </c>
      <c r="F725" s="3">
        <v>2025</v>
      </c>
      <c r="G725" s="3">
        <v>1</v>
      </c>
      <c r="H725" t="s">
        <v>771</v>
      </c>
      <c r="I725" s="2">
        <v>3.2</v>
      </c>
      <c r="J725" t="s">
        <v>73</v>
      </c>
    </row>
    <row r="726" spans="1:10">
      <c r="A726" t="s">
        <v>875</v>
      </c>
      <c r="B726" t="s">
        <v>72</v>
      </c>
      <c r="C726" s="1">
        <v>45099</v>
      </c>
      <c r="D726" t="s">
        <v>22</v>
      </c>
      <c r="E726" t="s">
        <v>22</v>
      </c>
      <c r="F726" s="3">
        <v>2025</v>
      </c>
      <c r="G726" s="3">
        <v>2</v>
      </c>
      <c r="H726" t="s">
        <v>876</v>
      </c>
      <c r="I726" s="2">
        <v>3.1</v>
      </c>
      <c r="J726" t="s">
        <v>73</v>
      </c>
    </row>
    <row r="727" spans="1:10">
      <c r="A727" t="s">
        <v>877</v>
      </c>
      <c r="B727" t="s">
        <v>72</v>
      </c>
      <c r="C727" s="1">
        <v>45099</v>
      </c>
      <c r="D727" t="s">
        <v>134</v>
      </c>
      <c r="E727" t="s">
        <v>24</v>
      </c>
      <c r="F727" s="3">
        <v>2025</v>
      </c>
      <c r="G727" s="3">
        <v>2</v>
      </c>
      <c r="H727" t="s">
        <v>876</v>
      </c>
      <c r="I727" s="2">
        <v>3.1</v>
      </c>
      <c r="J727" t="s">
        <v>73</v>
      </c>
    </row>
    <row r="728" spans="1:10">
      <c r="A728" t="s">
        <v>878</v>
      </c>
      <c r="B728" t="s">
        <v>72</v>
      </c>
      <c r="C728" s="1">
        <v>45099</v>
      </c>
      <c r="D728" t="s">
        <v>210</v>
      </c>
      <c r="E728" t="s">
        <v>25</v>
      </c>
      <c r="F728" s="3">
        <v>2025</v>
      </c>
      <c r="G728" s="3">
        <v>2</v>
      </c>
      <c r="H728" t="s">
        <v>876</v>
      </c>
      <c r="I728" s="2">
        <v>2.9</v>
      </c>
      <c r="J728" t="s">
        <v>73</v>
      </c>
    </row>
    <row r="729" spans="1:10">
      <c r="A729" t="s">
        <v>879</v>
      </c>
      <c r="B729" t="s">
        <v>72</v>
      </c>
      <c r="C729" s="1">
        <v>45099</v>
      </c>
      <c r="D729" t="s">
        <v>212</v>
      </c>
      <c r="E729" t="s">
        <v>26</v>
      </c>
      <c r="F729" s="3">
        <v>2025</v>
      </c>
      <c r="G729" s="3">
        <v>2</v>
      </c>
      <c r="H729" t="s">
        <v>876</v>
      </c>
      <c r="I729" s="2">
        <v>2.8</v>
      </c>
      <c r="J729" t="s">
        <v>73</v>
      </c>
    </row>
    <row r="730" spans="1:10">
      <c r="A730" t="s">
        <v>880</v>
      </c>
      <c r="B730" t="s">
        <v>74</v>
      </c>
      <c r="C730" s="1">
        <v>45148</v>
      </c>
      <c r="D730" t="s">
        <v>22</v>
      </c>
      <c r="E730" t="s">
        <v>22</v>
      </c>
      <c r="F730" s="3">
        <v>2022</v>
      </c>
      <c r="G730" s="3">
        <v>2</v>
      </c>
      <c r="H730" t="s">
        <v>148</v>
      </c>
      <c r="I730" s="2">
        <v>7.8</v>
      </c>
      <c r="J730" t="s">
        <v>75</v>
      </c>
    </row>
    <row r="731" spans="1:10">
      <c r="A731" t="s">
        <v>881</v>
      </c>
      <c r="B731" t="s">
        <v>74</v>
      </c>
      <c r="C731" s="1">
        <v>45148</v>
      </c>
      <c r="D731" t="s">
        <v>134</v>
      </c>
      <c r="E731" t="s">
        <v>24</v>
      </c>
      <c r="F731" s="3">
        <v>2022</v>
      </c>
      <c r="G731" s="3">
        <v>2</v>
      </c>
      <c r="H731" t="s">
        <v>148</v>
      </c>
      <c r="I731" s="2">
        <v>7.3</v>
      </c>
      <c r="J731" t="s">
        <v>75</v>
      </c>
    </row>
    <row r="732" spans="1:10">
      <c r="A732" t="s">
        <v>882</v>
      </c>
      <c r="B732" t="s">
        <v>74</v>
      </c>
      <c r="C732" s="1">
        <v>45148</v>
      </c>
      <c r="D732" t="s">
        <v>210</v>
      </c>
      <c r="E732" t="s">
        <v>25</v>
      </c>
      <c r="F732" s="3">
        <v>2022</v>
      </c>
      <c r="G732" s="3">
        <v>2</v>
      </c>
      <c r="H732" t="s">
        <v>148</v>
      </c>
      <c r="I732" s="2">
        <v>10.8</v>
      </c>
      <c r="J732" t="s">
        <v>75</v>
      </c>
    </row>
    <row r="733" spans="1:10">
      <c r="A733" t="s">
        <v>883</v>
      </c>
      <c r="B733" t="s">
        <v>74</v>
      </c>
      <c r="C733" s="1">
        <v>45148</v>
      </c>
      <c r="D733" t="s">
        <v>212</v>
      </c>
      <c r="E733" t="s">
        <v>26</v>
      </c>
      <c r="F733" s="3">
        <v>2022</v>
      </c>
      <c r="G733" s="3">
        <v>2</v>
      </c>
      <c r="H733" t="s">
        <v>148</v>
      </c>
      <c r="I733" s="2">
        <v>8.8000000000000007</v>
      </c>
      <c r="J733" t="s">
        <v>75</v>
      </c>
    </row>
    <row r="734" spans="1:10">
      <c r="A734" t="s">
        <v>884</v>
      </c>
      <c r="B734" t="s">
        <v>74</v>
      </c>
      <c r="C734" s="1">
        <v>45148</v>
      </c>
      <c r="D734" t="s">
        <v>22</v>
      </c>
      <c r="E734" t="s">
        <v>22</v>
      </c>
      <c r="F734" s="3">
        <v>2022</v>
      </c>
      <c r="G734" s="3">
        <v>3</v>
      </c>
      <c r="H734" t="s">
        <v>151</v>
      </c>
      <c r="I734" s="2">
        <v>8.5</v>
      </c>
      <c r="J734" t="s">
        <v>75</v>
      </c>
    </row>
    <row r="735" spans="1:10">
      <c r="A735" t="s">
        <v>885</v>
      </c>
      <c r="B735" t="s">
        <v>74</v>
      </c>
      <c r="C735" s="1">
        <v>45148</v>
      </c>
      <c r="D735" t="s">
        <v>134</v>
      </c>
      <c r="E735" t="s">
        <v>24</v>
      </c>
      <c r="F735" s="3">
        <v>2022</v>
      </c>
      <c r="G735" s="3">
        <v>3</v>
      </c>
      <c r="H735" t="s">
        <v>151</v>
      </c>
      <c r="I735" s="2">
        <v>8</v>
      </c>
      <c r="J735" t="s">
        <v>75</v>
      </c>
    </row>
    <row r="736" spans="1:10">
      <c r="A736" t="s">
        <v>886</v>
      </c>
      <c r="B736" t="s">
        <v>74</v>
      </c>
      <c r="C736" s="1">
        <v>45148</v>
      </c>
      <c r="D736" t="s">
        <v>210</v>
      </c>
      <c r="E736" t="s">
        <v>25</v>
      </c>
      <c r="F736" s="3">
        <v>2022</v>
      </c>
      <c r="G736" s="3">
        <v>3</v>
      </c>
      <c r="H736" t="s">
        <v>151</v>
      </c>
      <c r="I736" s="2">
        <v>8.6999999999999993</v>
      </c>
      <c r="J736" t="s">
        <v>75</v>
      </c>
    </row>
    <row r="737" spans="1:10">
      <c r="A737" t="s">
        <v>887</v>
      </c>
      <c r="B737" t="s">
        <v>74</v>
      </c>
      <c r="C737" s="1">
        <v>45148</v>
      </c>
      <c r="D737" t="s">
        <v>212</v>
      </c>
      <c r="E737" t="s">
        <v>26</v>
      </c>
      <c r="F737" s="3">
        <v>2022</v>
      </c>
      <c r="G737" s="3">
        <v>3</v>
      </c>
      <c r="H737" t="s">
        <v>151</v>
      </c>
      <c r="I737" s="2">
        <v>9</v>
      </c>
      <c r="J737" t="s">
        <v>75</v>
      </c>
    </row>
    <row r="738" spans="1:10">
      <c r="A738" t="s">
        <v>888</v>
      </c>
      <c r="B738" t="s">
        <v>74</v>
      </c>
      <c r="C738" s="1">
        <v>45148</v>
      </c>
      <c r="D738" t="s">
        <v>22</v>
      </c>
      <c r="E738" t="s">
        <v>22</v>
      </c>
      <c r="F738" s="3">
        <v>2022</v>
      </c>
      <c r="G738" s="3">
        <v>4</v>
      </c>
      <c r="H738" t="s">
        <v>154</v>
      </c>
      <c r="I738" s="2">
        <v>8</v>
      </c>
      <c r="J738" t="s">
        <v>75</v>
      </c>
    </row>
    <row r="739" spans="1:10">
      <c r="A739" t="s">
        <v>889</v>
      </c>
      <c r="B739" t="s">
        <v>74</v>
      </c>
      <c r="C739" s="1">
        <v>45148</v>
      </c>
      <c r="D739" t="s">
        <v>134</v>
      </c>
      <c r="E739" t="s">
        <v>24</v>
      </c>
      <c r="F739" s="3">
        <v>2022</v>
      </c>
      <c r="G739" s="3">
        <v>4</v>
      </c>
      <c r="H739" t="s">
        <v>154</v>
      </c>
      <c r="I739" s="2">
        <v>8.4</v>
      </c>
      <c r="J739" t="s">
        <v>75</v>
      </c>
    </row>
    <row r="740" spans="1:10">
      <c r="A740" t="s">
        <v>890</v>
      </c>
      <c r="B740" t="s">
        <v>74</v>
      </c>
      <c r="C740" s="1">
        <v>45148</v>
      </c>
      <c r="D740" t="s">
        <v>210</v>
      </c>
      <c r="E740" t="s">
        <v>25</v>
      </c>
      <c r="F740" s="3">
        <v>2022</v>
      </c>
      <c r="G740" s="3">
        <v>4</v>
      </c>
      <c r="H740" t="s">
        <v>154</v>
      </c>
      <c r="I740" s="2">
        <v>5.5</v>
      </c>
      <c r="J740" t="s">
        <v>75</v>
      </c>
    </row>
    <row r="741" spans="1:10">
      <c r="A741" t="s">
        <v>891</v>
      </c>
      <c r="B741" t="s">
        <v>74</v>
      </c>
      <c r="C741" s="1">
        <v>45148</v>
      </c>
      <c r="D741" t="s">
        <v>212</v>
      </c>
      <c r="E741" t="s">
        <v>26</v>
      </c>
      <c r="F741" s="3">
        <v>2022</v>
      </c>
      <c r="G741" s="3">
        <v>4</v>
      </c>
      <c r="H741" t="s">
        <v>154</v>
      </c>
      <c r="I741" s="2">
        <v>8.3000000000000007</v>
      </c>
      <c r="J741" t="s">
        <v>75</v>
      </c>
    </row>
    <row r="742" spans="1:10">
      <c r="A742" t="s">
        <v>892</v>
      </c>
      <c r="B742" t="s">
        <v>74</v>
      </c>
      <c r="C742" s="1">
        <v>45148</v>
      </c>
      <c r="D742" t="s">
        <v>22</v>
      </c>
      <c r="E742" t="s">
        <v>22</v>
      </c>
      <c r="F742" s="3">
        <v>2023</v>
      </c>
      <c r="G742" s="3">
        <v>1</v>
      </c>
      <c r="H742" t="s">
        <v>157</v>
      </c>
      <c r="I742" s="2">
        <v>7.5</v>
      </c>
      <c r="J742" t="s">
        <v>75</v>
      </c>
    </row>
    <row r="743" spans="1:10">
      <c r="A743" t="s">
        <v>893</v>
      </c>
      <c r="B743" t="s">
        <v>74</v>
      </c>
      <c r="C743" s="1">
        <v>45148</v>
      </c>
      <c r="D743" t="s">
        <v>134</v>
      </c>
      <c r="E743" t="s">
        <v>24</v>
      </c>
      <c r="F743" s="3">
        <v>2023</v>
      </c>
      <c r="G743" s="3">
        <v>1</v>
      </c>
      <c r="H743" t="s">
        <v>157</v>
      </c>
      <c r="I743" s="2">
        <v>8.3000000000000007</v>
      </c>
      <c r="J743" t="s">
        <v>75</v>
      </c>
    </row>
    <row r="744" spans="1:10">
      <c r="A744" t="s">
        <v>894</v>
      </c>
      <c r="B744" t="s">
        <v>74</v>
      </c>
      <c r="C744" s="1">
        <v>45148</v>
      </c>
      <c r="D744" t="s">
        <v>210</v>
      </c>
      <c r="E744" t="s">
        <v>25</v>
      </c>
      <c r="F744" s="3">
        <v>2023</v>
      </c>
      <c r="G744" s="3">
        <v>1</v>
      </c>
      <c r="H744" t="s">
        <v>157</v>
      </c>
      <c r="I744" s="2">
        <v>4.9000000000000004</v>
      </c>
      <c r="J744" t="s">
        <v>75</v>
      </c>
    </row>
    <row r="745" spans="1:10">
      <c r="A745" t="s">
        <v>895</v>
      </c>
      <c r="B745" t="s">
        <v>74</v>
      </c>
      <c r="C745" s="1">
        <v>45148</v>
      </c>
      <c r="D745" t="s">
        <v>212</v>
      </c>
      <c r="E745" t="s">
        <v>26</v>
      </c>
      <c r="F745" s="3">
        <v>2023</v>
      </c>
      <c r="G745" s="3">
        <v>1</v>
      </c>
      <c r="H745" t="s">
        <v>157</v>
      </c>
      <c r="I745" s="2">
        <v>6.9</v>
      </c>
      <c r="J745" t="s">
        <v>75</v>
      </c>
    </row>
    <row r="746" spans="1:10">
      <c r="A746" t="s">
        <v>896</v>
      </c>
      <c r="B746" t="s">
        <v>74</v>
      </c>
      <c r="C746" s="1">
        <v>45148</v>
      </c>
      <c r="D746" t="s">
        <v>22</v>
      </c>
      <c r="E746" t="s">
        <v>22</v>
      </c>
      <c r="F746" s="3">
        <v>2023</v>
      </c>
      <c r="G746" s="3">
        <v>2</v>
      </c>
      <c r="H746" t="s">
        <v>160</v>
      </c>
      <c r="I746" s="2">
        <v>5.7</v>
      </c>
      <c r="J746" t="s">
        <v>75</v>
      </c>
    </row>
    <row r="747" spans="1:10">
      <c r="A747" t="s">
        <v>897</v>
      </c>
      <c r="B747" t="s">
        <v>74</v>
      </c>
      <c r="C747" s="1">
        <v>45148</v>
      </c>
      <c r="D747" t="s">
        <v>134</v>
      </c>
      <c r="E747" t="s">
        <v>24</v>
      </c>
      <c r="F747" s="3">
        <v>2023</v>
      </c>
      <c r="G747" s="3">
        <v>2</v>
      </c>
      <c r="H747" t="s">
        <v>160</v>
      </c>
      <c r="I747" s="2">
        <v>7.3</v>
      </c>
      <c r="J747" t="s">
        <v>75</v>
      </c>
    </row>
    <row r="748" spans="1:10">
      <c r="A748" t="s">
        <v>898</v>
      </c>
      <c r="B748" t="s">
        <v>74</v>
      </c>
      <c r="C748" s="1">
        <v>45148</v>
      </c>
      <c r="D748" t="s">
        <v>210</v>
      </c>
      <c r="E748" t="s">
        <v>25</v>
      </c>
      <c r="F748" s="3">
        <v>2023</v>
      </c>
      <c r="G748" s="3">
        <v>2</v>
      </c>
      <c r="H748" t="s">
        <v>160</v>
      </c>
      <c r="I748" s="2">
        <v>3.9</v>
      </c>
      <c r="J748" t="s">
        <v>75</v>
      </c>
    </row>
    <row r="749" spans="1:10">
      <c r="A749" t="s">
        <v>899</v>
      </c>
      <c r="B749" t="s">
        <v>74</v>
      </c>
      <c r="C749" s="1">
        <v>45148</v>
      </c>
      <c r="D749" t="s">
        <v>212</v>
      </c>
      <c r="E749" t="s">
        <v>26</v>
      </c>
      <c r="F749" s="3">
        <v>2023</v>
      </c>
      <c r="G749" s="3">
        <v>2</v>
      </c>
      <c r="H749" t="s">
        <v>160</v>
      </c>
      <c r="I749" s="2">
        <v>5.0999999999999996</v>
      </c>
      <c r="J749" t="s">
        <v>75</v>
      </c>
    </row>
    <row r="750" spans="1:10">
      <c r="A750" t="s">
        <v>900</v>
      </c>
      <c r="B750" t="s">
        <v>74</v>
      </c>
      <c r="C750" s="1">
        <v>45148</v>
      </c>
      <c r="D750" t="s">
        <v>22</v>
      </c>
      <c r="E750" t="s">
        <v>22</v>
      </c>
      <c r="F750" s="3">
        <v>2023</v>
      </c>
      <c r="G750" s="3">
        <v>3</v>
      </c>
      <c r="H750" t="s">
        <v>183</v>
      </c>
      <c r="I750" s="2">
        <v>4.7</v>
      </c>
      <c r="J750" t="s">
        <v>75</v>
      </c>
    </row>
    <row r="751" spans="1:10">
      <c r="A751" t="s">
        <v>901</v>
      </c>
      <c r="B751" t="s">
        <v>74</v>
      </c>
      <c r="C751" s="1">
        <v>45148</v>
      </c>
      <c r="D751" t="s">
        <v>134</v>
      </c>
      <c r="E751" t="s">
        <v>24</v>
      </c>
      <c r="F751" s="3">
        <v>2023</v>
      </c>
      <c r="G751" s="3">
        <v>3</v>
      </c>
      <c r="H751" t="s">
        <v>183</v>
      </c>
      <c r="I751" s="2">
        <v>6.2</v>
      </c>
      <c r="J751" t="s">
        <v>75</v>
      </c>
    </row>
    <row r="752" spans="1:10">
      <c r="A752" t="s">
        <v>902</v>
      </c>
      <c r="B752" t="s">
        <v>74</v>
      </c>
      <c r="C752" s="1">
        <v>45148</v>
      </c>
      <c r="D752" t="s">
        <v>210</v>
      </c>
      <c r="E752" t="s">
        <v>25</v>
      </c>
      <c r="F752" s="3">
        <v>2023</v>
      </c>
      <c r="G752" s="3">
        <v>3</v>
      </c>
      <c r="H752" t="s">
        <v>183</v>
      </c>
      <c r="I752" s="2">
        <v>4.4000000000000004</v>
      </c>
      <c r="J752" t="s">
        <v>75</v>
      </c>
    </row>
    <row r="753" spans="1:10">
      <c r="A753" t="s">
        <v>903</v>
      </c>
      <c r="B753" t="s">
        <v>74</v>
      </c>
      <c r="C753" s="1">
        <v>45148</v>
      </c>
      <c r="D753" t="s">
        <v>212</v>
      </c>
      <c r="E753" t="s">
        <v>26</v>
      </c>
      <c r="F753" s="3">
        <v>2023</v>
      </c>
      <c r="G753" s="3">
        <v>3</v>
      </c>
      <c r="H753" t="s">
        <v>183</v>
      </c>
      <c r="I753" s="2">
        <v>4.5</v>
      </c>
      <c r="J753" t="s">
        <v>75</v>
      </c>
    </row>
    <row r="754" spans="1:10">
      <c r="A754" t="s">
        <v>904</v>
      </c>
      <c r="B754" t="s">
        <v>74</v>
      </c>
      <c r="C754" s="1">
        <v>45148</v>
      </c>
      <c r="D754" t="s">
        <v>22</v>
      </c>
      <c r="E754" t="s">
        <v>22</v>
      </c>
      <c r="F754" s="3">
        <v>2023</v>
      </c>
      <c r="G754" s="3">
        <v>4</v>
      </c>
      <c r="H754" t="s">
        <v>254</v>
      </c>
      <c r="I754" s="2">
        <v>4.5999999999999996</v>
      </c>
      <c r="J754" t="s">
        <v>75</v>
      </c>
    </row>
    <row r="755" spans="1:10">
      <c r="A755" t="s">
        <v>905</v>
      </c>
      <c r="B755" t="s">
        <v>74</v>
      </c>
      <c r="C755" s="1">
        <v>45148</v>
      </c>
      <c r="D755" t="s">
        <v>134</v>
      </c>
      <c r="E755" t="s">
        <v>24</v>
      </c>
      <c r="F755" s="3">
        <v>2023</v>
      </c>
      <c r="G755" s="3">
        <v>4</v>
      </c>
      <c r="H755" t="s">
        <v>254</v>
      </c>
      <c r="I755" s="2">
        <v>5.0999999999999996</v>
      </c>
      <c r="J755" t="s">
        <v>75</v>
      </c>
    </row>
    <row r="756" spans="1:10">
      <c r="A756" t="s">
        <v>906</v>
      </c>
      <c r="B756" t="s">
        <v>74</v>
      </c>
      <c r="C756" s="1">
        <v>45148</v>
      </c>
      <c r="D756" t="s">
        <v>210</v>
      </c>
      <c r="E756" t="s">
        <v>25</v>
      </c>
      <c r="F756" s="3">
        <v>2023</v>
      </c>
      <c r="G756" s="3">
        <v>4</v>
      </c>
      <c r="H756" t="s">
        <v>254</v>
      </c>
      <c r="I756" s="2">
        <v>4.9000000000000004</v>
      </c>
      <c r="J756" t="s">
        <v>75</v>
      </c>
    </row>
    <row r="757" spans="1:10">
      <c r="A757" t="s">
        <v>907</v>
      </c>
      <c r="B757" t="s">
        <v>74</v>
      </c>
      <c r="C757" s="1">
        <v>45148</v>
      </c>
      <c r="D757" t="s">
        <v>212</v>
      </c>
      <c r="E757" t="s">
        <v>26</v>
      </c>
      <c r="F757" s="3">
        <v>2023</v>
      </c>
      <c r="G757" s="3">
        <v>4</v>
      </c>
      <c r="H757" t="s">
        <v>254</v>
      </c>
      <c r="I757" s="2">
        <v>4</v>
      </c>
      <c r="J757" t="s">
        <v>75</v>
      </c>
    </row>
    <row r="758" spans="1:10">
      <c r="A758" t="s">
        <v>908</v>
      </c>
      <c r="B758" t="s">
        <v>74</v>
      </c>
      <c r="C758" s="1">
        <v>45148</v>
      </c>
      <c r="D758" t="s">
        <v>22</v>
      </c>
      <c r="E758" t="s">
        <v>22</v>
      </c>
      <c r="F758" s="3">
        <v>2024</v>
      </c>
      <c r="G758" s="3">
        <v>1</v>
      </c>
      <c r="H758" t="s">
        <v>355</v>
      </c>
      <c r="I758" s="2">
        <v>4.0999999999999996</v>
      </c>
      <c r="J758" t="s">
        <v>75</v>
      </c>
    </row>
    <row r="759" spans="1:10">
      <c r="A759" t="s">
        <v>909</v>
      </c>
      <c r="B759" t="s">
        <v>74</v>
      </c>
      <c r="C759" s="1">
        <v>45148</v>
      </c>
      <c r="D759" t="s">
        <v>134</v>
      </c>
      <c r="E759" t="s">
        <v>24</v>
      </c>
      <c r="F759" s="3">
        <v>2024</v>
      </c>
      <c r="G759" s="3">
        <v>1</v>
      </c>
      <c r="H759" t="s">
        <v>355</v>
      </c>
      <c r="I759" s="2">
        <v>4.2</v>
      </c>
      <c r="J759" t="s">
        <v>75</v>
      </c>
    </row>
    <row r="760" spans="1:10">
      <c r="A760" t="s">
        <v>910</v>
      </c>
      <c r="B760" t="s">
        <v>74</v>
      </c>
      <c r="C760" s="1">
        <v>45148</v>
      </c>
      <c r="D760" t="s">
        <v>210</v>
      </c>
      <c r="E760" t="s">
        <v>25</v>
      </c>
      <c r="F760" s="3">
        <v>2024</v>
      </c>
      <c r="G760" s="3">
        <v>1</v>
      </c>
      <c r="H760" t="s">
        <v>355</v>
      </c>
      <c r="I760" s="2">
        <v>3.1</v>
      </c>
      <c r="J760" t="s">
        <v>75</v>
      </c>
    </row>
    <row r="761" spans="1:10">
      <c r="A761" t="s">
        <v>911</v>
      </c>
      <c r="B761" t="s">
        <v>74</v>
      </c>
      <c r="C761" s="1">
        <v>45148</v>
      </c>
      <c r="D761" t="s">
        <v>212</v>
      </c>
      <c r="E761" t="s">
        <v>26</v>
      </c>
      <c r="F761" s="3">
        <v>2024</v>
      </c>
      <c r="G761" s="3">
        <v>1</v>
      </c>
      <c r="H761" t="s">
        <v>355</v>
      </c>
      <c r="I761" s="2">
        <v>3.2</v>
      </c>
      <c r="J761" t="s">
        <v>75</v>
      </c>
    </row>
    <row r="762" spans="1:10">
      <c r="A762" t="s">
        <v>912</v>
      </c>
      <c r="B762" t="s">
        <v>74</v>
      </c>
      <c r="C762" s="1">
        <v>45148</v>
      </c>
      <c r="D762" t="s">
        <v>22</v>
      </c>
      <c r="E762" t="s">
        <v>22</v>
      </c>
      <c r="F762" s="3">
        <v>2024</v>
      </c>
      <c r="G762" s="3">
        <v>2</v>
      </c>
      <c r="H762" t="s">
        <v>460</v>
      </c>
      <c r="I762" s="2">
        <v>3.7</v>
      </c>
      <c r="J762" t="s">
        <v>75</v>
      </c>
    </row>
    <row r="763" spans="1:10">
      <c r="A763" t="s">
        <v>913</v>
      </c>
      <c r="B763" t="s">
        <v>74</v>
      </c>
      <c r="C763" s="1">
        <v>45148</v>
      </c>
      <c r="D763" t="s">
        <v>134</v>
      </c>
      <c r="E763" t="s">
        <v>24</v>
      </c>
      <c r="F763" s="3">
        <v>2024</v>
      </c>
      <c r="G763" s="3">
        <v>2</v>
      </c>
      <c r="H763" t="s">
        <v>460</v>
      </c>
      <c r="I763" s="2">
        <v>3.6</v>
      </c>
      <c r="J763" t="s">
        <v>75</v>
      </c>
    </row>
    <row r="764" spans="1:10">
      <c r="A764" t="s">
        <v>914</v>
      </c>
      <c r="B764" t="s">
        <v>74</v>
      </c>
      <c r="C764" s="1">
        <v>45148</v>
      </c>
      <c r="D764" t="s">
        <v>210</v>
      </c>
      <c r="E764" t="s">
        <v>25</v>
      </c>
      <c r="F764" s="3">
        <v>2024</v>
      </c>
      <c r="G764" s="3">
        <v>2</v>
      </c>
      <c r="H764" t="s">
        <v>460</v>
      </c>
      <c r="I764" s="2">
        <v>2.7</v>
      </c>
      <c r="J764" t="s">
        <v>75</v>
      </c>
    </row>
    <row r="765" spans="1:10">
      <c r="A765" t="s">
        <v>915</v>
      </c>
      <c r="B765" t="s">
        <v>74</v>
      </c>
      <c r="C765" s="1">
        <v>45148</v>
      </c>
      <c r="D765" t="s">
        <v>212</v>
      </c>
      <c r="E765" t="s">
        <v>26</v>
      </c>
      <c r="F765" s="3">
        <v>2024</v>
      </c>
      <c r="G765" s="3">
        <v>2</v>
      </c>
      <c r="H765" t="s">
        <v>460</v>
      </c>
      <c r="I765" s="2">
        <v>2.8</v>
      </c>
      <c r="J765" t="s">
        <v>75</v>
      </c>
    </row>
    <row r="766" spans="1:10">
      <c r="A766" t="s">
        <v>916</v>
      </c>
      <c r="B766" t="s">
        <v>74</v>
      </c>
      <c r="C766" s="1">
        <v>45148</v>
      </c>
      <c r="D766" t="s">
        <v>22</v>
      </c>
      <c r="E766" t="s">
        <v>22</v>
      </c>
      <c r="F766" s="3">
        <v>2024</v>
      </c>
      <c r="G766" s="3">
        <v>3</v>
      </c>
      <c r="H766" t="s">
        <v>565</v>
      </c>
      <c r="I766" s="2">
        <v>3.4</v>
      </c>
      <c r="J766" t="s">
        <v>75</v>
      </c>
    </row>
    <row r="767" spans="1:10">
      <c r="A767" t="s">
        <v>917</v>
      </c>
      <c r="B767" t="s">
        <v>74</v>
      </c>
      <c r="C767" s="1">
        <v>45148</v>
      </c>
      <c r="D767" t="s">
        <v>134</v>
      </c>
      <c r="E767" t="s">
        <v>24</v>
      </c>
      <c r="F767" s="3">
        <v>2024</v>
      </c>
      <c r="G767" s="3">
        <v>3</v>
      </c>
      <c r="H767" t="s">
        <v>565</v>
      </c>
      <c r="I767" s="2">
        <v>3.2</v>
      </c>
      <c r="J767" t="s">
        <v>75</v>
      </c>
    </row>
    <row r="768" spans="1:10">
      <c r="A768" t="s">
        <v>918</v>
      </c>
      <c r="B768" t="s">
        <v>74</v>
      </c>
      <c r="C768" s="1">
        <v>45148</v>
      </c>
      <c r="D768" t="s">
        <v>210</v>
      </c>
      <c r="E768" t="s">
        <v>25</v>
      </c>
      <c r="F768" s="3">
        <v>2024</v>
      </c>
      <c r="G768" s="3">
        <v>3</v>
      </c>
      <c r="H768" t="s">
        <v>565</v>
      </c>
      <c r="I768" s="2">
        <v>3.2</v>
      </c>
      <c r="J768" t="s">
        <v>75</v>
      </c>
    </row>
    <row r="769" spans="1:10">
      <c r="A769" t="s">
        <v>919</v>
      </c>
      <c r="B769" t="s">
        <v>74</v>
      </c>
      <c r="C769" s="1">
        <v>45148</v>
      </c>
      <c r="D769" t="s">
        <v>212</v>
      </c>
      <c r="E769" t="s">
        <v>26</v>
      </c>
      <c r="F769" s="3">
        <v>2024</v>
      </c>
      <c r="G769" s="3">
        <v>3</v>
      </c>
      <c r="H769" t="s">
        <v>565</v>
      </c>
      <c r="I769" s="2">
        <v>2.9</v>
      </c>
      <c r="J769" t="s">
        <v>75</v>
      </c>
    </row>
    <row r="770" spans="1:10">
      <c r="A770" t="s">
        <v>920</v>
      </c>
      <c r="B770" t="s">
        <v>74</v>
      </c>
      <c r="C770" s="1">
        <v>45148</v>
      </c>
      <c r="D770" t="s">
        <v>22</v>
      </c>
      <c r="E770" t="s">
        <v>22</v>
      </c>
      <c r="F770" s="3">
        <v>2024</v>
      </c>
      <c r="G770" s="3">
        <v>4</v>
      </c>
      <c r="H770" t="s">
        <v>670</v>
      </c>
      <c r="I770" s="2">
        <v>3.1</v>
      </c>
      <c r="J770" t="s">
        <v>75</v>
      </c>
    </row>
    <row r="771" spans="1:10">
      <c r="A771" t="s">
        <v>921</v>
      </c>
      <c r="B771" t="s">
        <v>74</v>
      </c>
      <c r="C771" s="1">
        <v>45148</v>
      </c>
      <c r="D771" t="s">
        <v>134</v>
      </c>
      <c r="E771" t="s">
        <v>24</v>
      </c>
      <c r="F771" s="3">
        <v>2024</v>
      </c>
      <c r="G771" s="3">
        <v>4</v>
      </c>
      <c r="H771" t="s">
        <v>670</v>
      </c>
      <c r="I771" s="2">
        <v>3.1</v>
      </c>
      <c r="J771" t="s">
        <v>75</v>
      </c>
    </row>
    <row r="772" spans="1:10">
      <c r="A772" t="s">
        <v>922</v>
      </c>
      <c r="B772" t="s">
        <v>74</v>
      </c>
      <c r="C772" s="1">
        <v>45148</v>
      </c>
      <c r="D772" t="s">
        <v>210</v>
      </c>
      <c r="E772" t="s">
        <v>25</v>
      </c>
      <c r="F772" s="3">
        <v>2024</v>
      </c>
      <c r="G772" s="3">
        <v>4</v>
      </c>
      <c r="H772" t="s">
        <v>670</v>
      </c>
      <c r="I772" s="2">
        <v>3.5</v>
      </c>
      <c r="J772" t="s">
        <v>75</v>
      </c>
    </row>
    <row r="773" spans="1:10">
      <c r="A773" t="s">
        <v>923</v>
      </c>
      <c r="B773" t="s">
        <v>74</v>
      </c>
      <c r="C773" s="1">
        <v>45148</v>
      </c>
      <c r="D773" t="s">
        <v>212</v>
      </c>
      <c r="E773" t="s">
        <v>26</v>
      </c>
      <c r="F773" s="3">
        <v>2024</v>
      </c>
      <c r="G773" s="3">
        <v>4</v>
      </c>
      <c r="H773" t="s">
        <v>670</v>
      </c>
      <c r="I773" s="2">
        <v>3.3</v>
      </c>
      <c r="J773" t="s">
        <v>75</v>
      </c>
    </row>
    <row r="774" spans="1:10">
      <c r="A774" t="s">
        <v>924</v>
      </c>
      <c r="B774" t="s">
        <v>74</v>
      </c>
      <c r="C774" s="1">
        <v>45148</v>
      </c>
      <c r="D774" t="s">
        <v>22</v>
      </c>
      <c r="E774" t="s">
        <v>22</v>
      </c>
      <c r="F774" s="3">
        <v>2025</v>
      </c>
      <c r="G774" s="3">
        <v>1</v>
      </c>
      <c r="H774" t="s">
        <v>771</v>
      </c>
      <c r="I774" s="2">
        <v>3.1</v>
      </c>
      <c r="J774" t="s">
        <v>75</v>
      </c>
    </row>
    <row r="775" spans="1:10">
      <c r="A775" t="s">
        <v>925</v>
      </c>
      <c r="B775" t="s">
        <v>74</v>
      </c>
      <c r="C775" s="1">
        <v>45148</v>
      </c>
      <c r="D775" t="s">
        <v>134</v>
      </c>
      <c r="E775" t="s">
        <v>24</v>
      </c>
      <c r="F775" s="3">
        <v>2025</v>
      </c>
      <c r="G775" s="3">
        <v>1</v>
      </c>
      <c r="H775" t="s">
        <v>771</v>
      </c>
      <c r="I775" s="2">
        <v>3.1</v>
      </c>
      <c r="J775" t="s">
        <v>75</v>
      </c>
    </row>
    <row r="776" spans="1:10">
      <c r="A776" t="s">
        <v>926</v>
      </c>
      <c r="B776" t="s">
        <v>74</v>
      </c>
      <c r="C776" s="1">
        <v>45148</v>
      </c>
      <c r="D776" t="s">
        <v>210</v>
      </c>
      <c r="E776" t="s">
        <v>25</v>
      </c>
      <c r="F776" s="3">
        <v>2025</v>
      </c>
      <c r="G776" s="3">
        <v>1</v>
      </c>
      <c r="H776" t="s">
        <v>771</v>
      </c>
      <c r="I776" s="2">
        <v>3.1</v>
      </c>
      <c r="J776" t="s">
        <v>75</v>
      </c>
    </row>
    <row r="777" spans="1:10">
      <c r="A777" t="s">
        <v>927</v>
      </c>
      <c r="B777" t="s">
        <v>74</v>
      </c>
      <c r="C777" s="1">
        <v>45148</v>
      </c>
      <c r="D777" t="s">
        <v>212</v>
      </c>
      <c r="E777" t="s">
        <v>26</v>
      </c>
      <c r="F777" s="3">
        <v>2025</v>
      </c>
      <c r="G777" s="3">
        <v>1</v>
      </c>
      <c r="H777" t="s">
        <v>771</v>
      </c>
      <c r="I777" s="2">
        <v>3.2</v>
      </c>
      <c r="J777" t="s">
        <v>75</v>
      </c>
    </row>
    <row r="778" spans="1:10">
      <c r="A778" t="s">
        <v>928</v>
      </c>
      <c r="B778" t="s">
        <v>74</v>
      </c>
      <c r="C778" s="1">
        <v>45148</v>
      </c>
      <c r="D778" t="s">
        <v>22</v>
      </c>
      <c r="E778" t="s">
        <v>22</v>
      </c>
      <c r="F778" s="3">
        <v>2025</v>
      </c>
      <c r="G778" s="3">
        <v>2</v>
      </c>
      <c r="H778" t="s">
        <v>876</v>
      </c>
      <c r="I778" s="2">
        <v>3.1</v>
      </c>
      <c r="J778" t="s">
        <v>75</v>
      </c>
    </row>
    <row r="779" spans="1:10">
      <c r="A779" t="s">
        <v>929</v>
      </c>
      <c r="B779" t="s">
        <v>74</v>
      </c>
      <c r="C779" s="1">
        <v>45148</v>
      </c>
      <c r="D779" t="s">
        <v>134</v>
      </c>
      <c r="E779" t="s">
        <v>24</v>
      </c>
      <c r="F779" s="3">
        <v>2025</v>
      </c>
      <c r="G779" s="3">
        <v>2</v>
      </c>
      <c r="H779" t="s">
        <v>876</v>
      </c>
      <c r="I779" s="2">
        <v>3.1</v>
      </c>
      <c r="J779" t="s">
        <v>75</v>
      </c>
    </row>
    <row r="780" spans="1:10">
      <c r="A780" t="s">
        <v>930</v>
      </c>
      <c r="B780" t="s">
        <v>74</v>
      </c>
      <c r="C780" s="1">
        <v>45148</v>
      </c>
      <c r="D780" t="s">
        <v>210</v>
      </c>
      <c r="E780" t="s">
        <v>25</v>
      </c>
      <c r="F780" s="3">
        <v>2025</v>
      </c>
      <c r="G780" s="3">
        <v>2</v>
      </c>
      <c r="H780" t="s">
        <v>876</v>
      </c>
      <c r="I780" s="2">
        <v>2.8</v>
      </c>
      <c r="J780" t="s">
        <v>75</v>
      </c>
    </row>
    <row r="781" spans="1:10">
      <c r="A781" t="s">
        <v>931</v>
      </c>
      <c r="B781" t="s">
        <v>74</v>
      </c>
      <c r="C781" s="1">
        <v>45148</v>
      </c>
      <c r="D781" t="s">
        <v>212</v>
      </c>
      <c r="E781" t="s">
        <v>26</v>
      </c>
      <c r="F781" s="3">
        <v>2025</v>
      </c>
      <c r="G781" s="3">
        <v>2</v>
      </c>
      <c r="H781" t="s">
        <v>876</v>
      </c>
      <c r="I781" s="2">
        <v>2.8</v>
      </c>
      <c r="J781" t="s">
        <v>75</v>
      </c>
    </row>
    <row r="782" spans="1:10">
      <c r="A782" t="s">
        <v>932</v>
      </c>
      <c r="B782" t="s">
        <v>76</v>
      </c>
      <c r="C782" s="1">
        <v>45197</v>
      </c>
      <c r="D782" t="s">
        <v>22</v>
      </c>
      <c r="E782" t="s">
        <v>22</v>
      </c>
      <c r="F782" s="3">
        <v>2022</v>
      </c>
      <c r="G782" s="3">
        <v>3</v>
      </c>
      <c r="H782" t="s">
        <v>151</v>
      </c>
      <c r="I782" s="2">
        <v>8.5</v>
      </c>
      <c r="J782" t="s">
        <v>77</v>
      </c>
    </row>
    <row r="783" spans="1:10">
      <c r="A783" t="s">
        <v>933</v>
      </c>
      <c r="B783" t="s">
        <v>76</v>
      </c>
      <c r="C783" s="1">
        <v>45197</v>
      </c>
      <c r="D783" t="s">
        <v>134</v>
      </c>
      <c r="E783" t="s">
        <v>24</v>
      </c>
      <c r="F783" s="3">
        <v>2022</v>
      </c>
      <c r="G783" s="3">
        <v>3</v>
      </c>
      <c r="H783" t="s">
        <v>151</v>
      </c>
      <c r="I783" s="2">
        <v>8</v>
      </c>
      <c r="J783" t="s">
        <v>77</v>
      </c>
    </row>
    <row r="784" spans="1:10">
      <c r="A784" t="s">
        <v>934</v>
      </c>
      <c r="B784" t="s">
        <v>76</v>
      </c>
      <c r="C784" s="1">
        <v>45197</v>
      </c>
      <c r="D784" t="s">
        <v>210</v>
      </c>
      <c r="E784" t="s">
        <v>25</v>
      </c>
      <c r="F784" s="3">
        <v>2022</v>
      </c>
      <c r="G784" s="3">
        <v>3</v>
      </c>
      <c r="H784" t="s">
        <v>151</v>
      </c>
      <c r="I784" s="2">
        <v>8.6999999999999993</v>
      </c>
      <c r="J784" t="s">
        <v>77</v>
      </c>
    </row>
    <row r="785" spans="1:10">
      <c r="A785" t="s">
        <v>935</v>
      </c>
      <c r="B785" t="s">
        <v>76</v>
      </c>
      <c r="C785" s="1">
        <v>45197</v>
      </c>
      <c r="D785" t="s">
        <v>212</v>
      </c>
      <c r="E785" t="s">
        <v>26</v>
      </c>
      <c r="F785" s="3">
        <v>2022</v>
      </c>
      <c r="G785" s="3">
        <v>3</v>
      </c>
      <c r="H785" t="s">
        <v>151</v>
      </c>
      <c r="I785" s="2">
        <v>8.8000000000000007</v>
      </c>
      <c r="J785" t="s">
        <v>77</v>
      </c>
    </row>
    <row r="786" spans="1:10">
      <c r="A786" t="s">
        <v>936</v>
      </c>
      <c r="B786" t="s">
        <v>76</v>
      </c>
      <c r="C786" s="1">
        <v>45197</v>
      </c>
      <c r="D786" t="s">
        <v>22</v>
      </c>
      <c r="E786" t="s">
        <v>22</v>
      </c>
      <c r="F786" s="3">
        <v>2022</v>
      </c>
      <c r="G786" s="3">
        <v>4</v>
      </c>
      <c r="H786" t="s">
        <v>154</v>
      </c>
      <c r="I786" s="2">
        <v>8</v>
      </c>
      <c r="J786" t="s">
        <v>77</v>
      </c>
    </row>
    <row r="787" spans="1:10">
      <c r="A787" t="s">
        <v>937</v>
      </c>
      <c r="B787" t="s">
        <v>76</v>
      </c>
      <c r="C787" s="1">
        <v>45197</v>
      </c>
      <c r="D787" t="s">
        <v>134</v>
      </c>
      <c r="E787" t="s">
        <v>24</v>
      </c>
      <c r="F787" s="3">
        <v>2022</v>
      </c>
      <c r="G787" s="3">
        <v>4</v>
      </c>
      <c r="H787" t="s">
        <v>154</v>
      </c>
      <c r="I787" s="2">
        <v>8.4</v>
      </c>
      <c r="J787" t="s">
        <v>77</v>
      </c>
    </row>
    <row r="788" spans="1:10">
      <c r="A788" t="s">
        <v>938</v>
      </c>
      <c r="B788" t="s">
        <v>76</v>
      </c>
      <c r="C788" s="1">
        <v>45197</v>
      </c>
      <c r="D788" t="s">
        <v>210</v>
      </c>
      <c r="E788" t="s">
        <v>25</v>
      </c>
      <c r="F788" s="3">
        <v>2022</v>
      </c>
      <c r="G788" s="3">
        <v>4</v>
      </c>
      <c r="H788" t="s">
        <v>154</v>
      </c>
      <c r="I788" s="2">
        <v>6</v>
      </c>
      <c r="J788" t="s">
        <v>77</v>
      </c>
    </row>
    <row r="789" spans="1:10">
      <c r="A789" t="s">
        <v>939</v>
      </c>
      <c r="B789" t="s">
        <v>76</v>
      </c>
      <c r="C789" s="1">
        <v>45197</v>
      </c>
      <c r="D789" t="s">
        <v>212</v>
      </c>
      <c r="E789" t="s">
        <v>26</v>
      </c>
      <c r="F789" s="3">
        <v>2022</v>
      </c>
      <c r="G789" s="3">
        <v>4</v>
      </c>
      <c r="H789" t="s">
        <v>154</v>
      </c>
      <c r="I789" s="2">
        <v>8.4</v>
      </c>
      <c r="J789" t="s">
        <v>77</v>
      </c>
    </row>
    <row r="790" spans="1:10">
      <c r="A790" t="s">
        <v>940</v>
      </c>
      <c r="B790" t="s">
        <v>76</v>
      </c>
      <c r="C790" s="1">
        <v>45197</v>
      </c>
      <c r="D790" t="s">
        <v>22</v>
      </c>
      <c r="E790" t="s">
        <v>22</v>
      </c>
      <c r="F790" s="3">
        <v>2023</v>
      </c>
      <c r="G790" s="3">
        <v>1</v>
      </c>
      <c r="H790" t="s">
        <v>157</v>
      </c>
      <c r="I790" s="2">
        <v>7.5</v>
      </c>
      <c r="J790" t="s">
        <v>77</v>
      </c>
    </row>
    <row r="791" spans="1:10">
      <c r="A791" t="s">
        <v>941</v>
      </c>
      <c r="B791" t="s">
        <v>76</v>
      </c>
      <c r="C791" s="1">
        <v>45197</v>
      </c>
      <c r="D791" t="s">
        <v>134</v>
      </c>
      <c r="E791" t="s">
        <v>24</v>
      </c>
      <c r="F791" s="3">
        <v>2023</v>
      </c>
      <c r="G791" s="3">
        <v>1</v>
      </c>
      <c r="H791" t="s">
        <v>157</v>
      </c>
      <c r="I791" s="2">
        <v>8.3000000000000007</v>
      </c>
      <c r="J791" t="s">
        <v>77</v>
      </c>
    </row>
    <row r="792" spans="1:10">
      <c r="A792" t="s">
        <v>942</v>
      </c>
      <c r="B792" t="s">
        <v>76</v>
      </c>
      <c r="C792" s="1">
        <v>45197</v>
      </c>
      <c r="D792" t="s">
        <v>210</v>
      </c>
      <c r="E792" t="s">
        <v>25</v>
      </c>
      <c r="F792" s="3">
        <v>2023</v>
      </c>
      <c r="G792" s="3">
        <v>1</v>
      </c>
      <c r="H792" t="s">
        <v>157</v>
      </c>
      <c r="I792" s="2">
        <v>5.0999999999999996</v>
      </c>
      <c r="J792" t="s">
        <v>77</v>
      </c>
    </row>
    <row r="793" spans="1:10">
      <c r="A793" t="s">
        <v>943</v>
      </c>
      <c r="B793" t="s">
        <v>76</v>
      </c>
      <c r="C793" s="1">
        <v>45197</v>
      </c>
      <c r="D793" t="s">
        <v>212</v>
      </c>
      <c r="E793" t="s">
        <v>26</v>
      </c>
      <c r="F793" s="3">
        <v>2023</v>
      </c>
      <c r="G793" s="3">
        <v>1</v>
      </c>
      <c r="H793" t="s">
        <v>157</v>
      </c>
      <c r="I793" s="2">
        <v>7.1</v>
      </c>
      <c r="J793" t="s">
        <v>77</v>
      </c>
    </row>
    <row r="794" spans="1:10">
      <c r="A794" t="s">
        <v>944</v>
      </c>
      <c r="B794" t="s">
        <v>76</v>
      </c>
      <c r="C794" s="1">
        <v>45197</v>
      </c>
      <c r="D794" t="s">
        <v>22</v>
      </c>
      <c r="E794" t="s">
        <v>22</v>
      </c>
      <c r="F794" s="3">
        <v>2023</v>
      </c>
      <c r="G794" s="3">
        <v>2</v>
      </c>
      <c r="H794" t="s">
        <v>160</v>
      </c>
      <c r="I794" s="2">
        <v>5.7</v>
      </c>
      <c r="J794" t="s">
        <v>77</v>
      </c>
    </row>
    <row r="795" spans="1:10">
      <c r="A795" t="s">
        <v>945</v>
      </c>
      <c r="B795" t="s">
        <v>76</v>
      </c>
      <c r="C795" s="1">
        <v>45197</v>
      </c>
      <c r="D795" t="s">
        <v>134</v>
      </c>
      <c r="E795" t="s">
        <v>24</v>
      </c>
      <c r="F795" s="3">
        <v>2023</v>
      </c>
      <c r="G795" s="3">
        <v>2</v>
      </c>
      <c r="H795" t="s">
        <v>160</v>
      </c>
      <c r="I795" s="2">
        <v>7.3</v>
      </c>
      <c r="J795" t="s">
        <v>77</v>
      </c>
    </row>
    <row r="796" spans="1:10">
      <c r="A796" t="s">
        <v>946</v>
      </c>
      <c r="B796" t="s">
        <v>76</v>
      </c>
      <c r="C796" s="1">
        <v>45197</v>
      </c>
      <c r="D796" t="s">
        <v>210</v>
      </c>
      <c r="E796" t="s">
        <v>25</v>
      </c>
      <c r="F796" s="3">
        <v>2023</v>
      </c>
      <c r="G796" s="3">
        <v>2</v>
      </c>
      <c r="H796" t="s">
        <v>160</v>
      </c>
      <c r="I796" s="2">
        <v>4</v>
      </c>
      <c r="J796" t="s">
        <v>77</v>
      </c>
    </row>
    <row r="797" spans="1:10">
      <c r="A797" t="s">
        <v>947</v>
      </c>
      <c r="B797" t="s">
        <v>76</v>
      </c>
      <c r="C797" s="1">
        <v>45197</v>
      </c>
      <c r="D797" t="s">
        <v>212</v>
      </c>
      <c r="E797" t="s">
        <v>26</v>
      </c>
      <c r="F797" s="3">
        <v>2023</v>
      </c>
      <c r="G797" s="3">
        <v>2</v>
      </c>
      <c r="H797" t="s">
        <v>160</v>
      </c>
      <c r="I797" s="2">
        <v>5.2</v>
      </c>
      <c r="J797" t="s">
        <v>77</v>
      </c>
    </row>
    <row r="798" spans="1:10">
      <c r="A798" t="s">
        <v>948</v>
      </c>
      <c r="B798" t="s">
        <v>76</v>
      </c>
      <c r="C798" s="1">
        <v>45197</v>
      </c>
      <c r="D798" t="s">
        <v>22</v>
      </c>
      <c r="E798" t="s">
        <v>22</v>
      </c>
      <c r="F798" s="3">
        <v>2023</v>
      </c>
      <c r="G798" s="3">
        <v>3</v>
      </c>
      <c r="H798" t="s">
        <v>183</v>
      </c>
      <c r="I798" s="2">
        <v>4.5999999999999996</v>
      </c>
      <c r="J798" t="s">
        <v>77</v>
      </c>
    </row>
    <row r="799" spans="1:10">
      <c r="A799" t="s">
        <v>949</v>
      </c>
      <c r="B799" t="s">
        <v>76</v>
      </c>
      <c r="C799" s="1">
        <v>45197</v>
      </c>
      <c r="D799" t="s">
        <v>134</v>
      </c>
      <c r="E799" t="s">
        <v>24</v>
      </c>
      <c r="F799" s="3">
        <v>2023</v>
      </c>
      <c r="G799" s="3">
        <v>3</v>
      </c>
      <c r="H799" t="s">
        <v>183</v>
      </c>
      <c r="I799" s="2">
        <v>6.2</v>
      </c>
      <c r="J799" t="s">
        <v>77</v>
      </c>
    </row>
    <row r="800" spans="1:10">
      <c r="A800" t="s">
        <v>950</v>
      </c>
      <c r="B800" t="s">
        <v>76</v>
      </c>
      <c r="C800" s="1">
        <v>45197</v>
      </c>
      <c r="D800" t="s">
        <v>210</v>
      </c>
      <c r="E800" t="s">
        <v>25</v>
      </c>
      <c r="F800" s="3">
        <v>2023</v>
      </c>
      <c r="G800" s="3">
        <v>3</v>
      </c>
      <c r="H800" t="s">
        <v>183</v>
      </c>
      <c r="I800" s="2">
        <v>4.5</v>
      </c>
      <c r="J800" t="s">
        <v>77</v>
      </c>
    </row>
    <row r="801" spans="1:10">
      <c r="A801" t="s">
        <v>951</v>
      </c>
      <c r="B801" t="s">
        <v>76</v>
      </c>
      <c r="C801" s="1">
        <v>45197</v>
      </c>
      <c r="D801" t="s">
        <v>212</v>
      </c>
      <c r="E801" t="s">
        <v>26</v>
      </c>
      <c r="F801" s="3">
        <v>2023</v>
      </c>
      <c r="G801" s="3">
        <v>3</v>
      </c>
      <c r="H801" t="s">
        <v>183</v>
      </c>
      <c r="I801" s="2">
        <v>4.5999999999999996</v>
      </c>
      <c r="J801" t="s">
        <v>77</v>
      </c>
    </row>
    <row r="802" spans="1:10">
      <c r="A802" t="s">
        <v>952</v>
      </c>
      <c r="B802" t="s">
        <v>76</v>
      </c>
      <c r="C802" s="1">
        <v>45197</v>
      </c>
      <c r="D802" t="s">
        <v>22</v>
      </c>
      <c r="E802" t="s">
        <v>22</v>
      </c>
      <c r="F802" s="3">
        <v>2023</v>
      </c>
      <c r="G802" s="3">
        <v>4</v>
      </c>
      <c r="H802" t="s">
        <v>254</v>
      </c>
      <c r="I802" s="2">
        <v>4.7</v>
      </c>
      <c r="J802" t="s">
        <v>77</v>
      </c>
    </row>
    <row r="803" spans="1:10">
      <c r="A803" t="s">
        <v>953</v>
      </c>
      <c r="B803" t="s">
        <v>76</v>
      </c>
      <c r="C803" s="1">
        <v>45197</v>
      </c>
      <c r="D803" t="s">
        <v>134</v>
      </c>
      <c r="E803" t="s">
        <v>24</v>
      </c>
      <c r="F803" s="3">
        <v>2023</v>
      </c>
      <c r="G803" s="3">
        <v>4</v>
      </c>
      <c r="H803" t="s">
        <v>254</v>
      </c>
      <c r="I803" s="2">
        <v>5.3</v>
      </c>
      <c r="J803" t="s">
        <v>77</v>
      </c>
    </row>
    <row r="804" spans="1:10">
      <c r="A804" t="s">
        <v>954</v>
      </c>
      <c r="B804" t="s">
        <v>76</v>
      </c>
      <c r="C804" s="1">
        <v>45197</v>
      </c>
      <c r="D804" t="s">
        <v>210</v>
      </c>
      <c r="E804" t="s">
        <v>25</v>
      </c>
      <c r="F804" s="3">
        <v>2023</v>
      </c>
      <c r="G804" s="3">
        <v>4</v>
      </c>
      <c r="H804" t="s">
        <v>254</v>
      </c>
      <c r="I804" s="2">
        <v>5.3</v>
      </c>
      <c r="J804" t="s">
        <v>77</v>
      </c>
    </row>
    <row r="805" spans="1:10">
      <c r="A805" t="s">
        <v>955</v>
      </c>
      <c r="B805" t="s">
        <v>76</v>
      </c>
      <c r="C805" s="1">
        <v>45197</v>
      </c>
      <c r="D805" t="s">
        <v>212</v>
      </c>
      <c r="E805" t="s">
        <v>26</v>
      </c>
      <c r="F805" s="3">
        <v>2023</v>
      </c>
      <c r="G805" s="3">
        <v>4</v>
      </c>
      <c r="H805" t="s">
        <v>254</v>
      </c>
      <c r="I805" s="2">
        <v>4.4000000000000004</v>
      </c>
      <c r="J805" t="s">
        <v>77</v>
      </c>
    </row>
    <row r="806" spans="1:10">
      <c r="A806" t="s">
        <v>956</v>
      </c>
      <c r="B806" t="s">
        <v>76</v>
      </c>
      <c r="C806" s="1">
        <v>45197</v>
      </c>
      <c r="D806" t="s">
        <v>22</v>
      </c>
      <c r="E806" t="s">
        <v>22</v>
      </c>
      <c r="F806" s="3">
        <v>2024</v>
      </c>
      <c r="G806" s="3">
        <v>1</v>
      </c>
      <c r="H806" t="s">
        <v>355</v>
      </c>
      <c r="I806" s="2">
        <v>4.4000000000000004</v>
      </c>
      <c r="J806" t="s">
        <v>77</v>
      </c>
    </row>
    <row r="807" spans="1:10">
      <c r="A807" t="s">
        <v>957</v>
      </c>
      <c r="B807" t="s">
        <v>76</v>
      </c>
      <c r="C807" s="1">
        <v>45197</v>
      </c>
      <c r="D807" t="s">
        <v>134</v>
      </c>
      <c r="E807" t="s">
        <v>24</v>
      </c>
      <c r="F807" s="3">
        <v>2024</v>
      </c>
      <c r="G807" s="3">
        <v>1</v>
      </c>
      <c r="H807" t="s">
        <v>355</v>
      </c>
      <c r="I807" s="2">
        <v>4.5</v>
      </c>
      <c r="J807" t="s">
        <v>77</v>
      </c>
    </row>
    <row r="808" spans="1:10">
      <c r="A808" t="s">
        <v>958</v>
      </c>
      <c r="B808" t="s">
        <v>76</v>
      </c>
      <c r="C808" s="1">
        <v>45197</v>
      </c>
      <c r="D808" t="s">
        <v>210</v>
      </c>
      <c r="E808" t="s">
        <v>25</v>
      </c>
      <c r="F808" s="3">
        <v>2024</v>
      </c>
      <c r="G808" s="3">
        <v>1</v>
      </c>
      <c r="H808" t="s">
        <v>355</v>
      </c>
      <c r="I808" s="2">
        <v>3.6</v>
      </c>
      <c r="J808" t="s">
        <v>77</v>
      </c>
    </row>
    <row r="809" spans="1:10">
      <c r="A809" t="s">
        <v>959</v>
      </c>
      <c r="B809" t="s">
        <v>76</v>
      </c>
      <c r="C809" s="1">
        <v>45197</v>
      </c>
      <c r="D809" t="s">
        <v>212</v>
      </c>
      <c r="E809" t="s">
        <v>26</v>
      </c>
      <c r="F809" s="3">
        <v>2024</v>
      </c>
      <c r="G809" s="3">
        <v>1</v>
      </c>
      <c r="H809" t="s">
        <v>355</v>
      </c>
      <c r="I809" s="2">
        <v>3.5</v>
      </c>
      <c r="J809" t="s">
        <v>77</v>
      </c>
    </row>
    <row r="810" spans="1:10">
      <c r="A810" t="s">
        <v>960</v>
      </c>
      <c r="B810" t="s">
        <v>76</v>
      </c>
      <c r="C810" s="1">
        <v>45197</v>
      </c>
      <c r="D810" t="s">
        <v>22</v>
      </c>
      <c r="E810" t="s">
        <v>22</v>
      </c>
      <c r="F810" s="3">
        <v>2024</v>
      </c>
      <c r="G810" s="3">
        <v>2</v>
      </c>
      <c r="H810" t="s">
        <v>460</v>
      </c>
      <c r="I810" s="2">
        <v>4</v>
      </c>
      <c r="J810" t="s">
        <v>77</v>
      </c>
    </row>
    <row r="811" spans="1:10">
      <c r="A811" t="s">
        <v>961</v>
      </c>
      <c r="B811" t="s">
        <v>76</v>
      </c>
      <c r="C811" s="1">
        <v>45197</v>
      </c>
      <c r="D811" t="s">
        <v>134</v>
      </c>
      <c r="E811" t="s">
        <v>24</v>
      </c>
      <c r="F811" s="3">
        <v>2024</v>
      </c>
      <c r="G811" s="3">
        <v>2</v>
      </c>
      <c r="H811" t="s">
        <v>460</v>
      </c>
      <c r="I811" s="2">
        <v>3.9</v>
      </c>
      <c r="J811" t="s">
        <v>77</v>
      </c>
    </row>
    <row r="812" spans="1:10">
      <c r="A812" t="s">
        <v>962</v>
      </c>
      <c r="B812" t="s">
        <v>76</v>
      </c>
      <c r="C812" s="1">
        <v>45197</v>
      </c>
      <c r="D812" t="s">
        <v>210</v>
      </c>
      <c r="E812" t="s">
        <v>25</v>
      </c>
      <c r="F812" s="3">
        <v>2024</v>
      </c>
      <c r="G812" s="3">
        <v>2</v>
      </c>
      <c r="H812" t="s">
        <v>460</v>
      </c>
      <c r="I812" s="2">
        <v>2.9</v>
      </c>
      <c r="J812" t="s">
        <v>77</v>
      </c>
    </row>
    <row r="813" spans="1:10">
      <c r="A813" t="s">
        <v>963</v>
      </c>
      <c r="B813" t="s">
        <v>76</v>
      </c>
      <c r="C813" s="1">
        <v>45197</v>
      </c>
      <c r="D813" t="s">
        <v>212</v>
      </c>
      <c r="E813" t="s">
        <v>26</v>
      </c>
      <c r="F813" s="3">
        <v>2024</v>
      </c>
      <c r="G813" s="3">
        <v>2</v>
      </c>
      <c r="H813" t="s">
        <v>460</v>
      </c>
      <c r="I813" s="2">
        <v>3.1</v>
      </c>
      <c r="J813" t="s">
        <v>77</v>
      </c>
    </row>
    <row r="814" spans="1:10">
      <c r="A814" t="s">
        <v>964</v>
      </c>
      <c r="B814" t="s">
        <v>76</v>
      </c>
      <c r="C814" s="1">
        <v>45197</v>
      </c>
      <c r="D814" t="s">
        <v>22</v>
      </c>
      <c r="E814" t="s">
        <v>22</v>
      </c>
      <c r="F814" s="3">
        <v>2024</v>
      </c>
      <c r="G814" s="3">
        <v>3</v>
      </c>
      <c r="H814" t="s">
        <v>565</v>
      </c>
      <c r="I814" s="2">
        <v>3.7</v>
      </c>
      <c r="J814" t="s">
        <v>77</v>
      </c>
    </row>
    <row r="815" spans="1:10">
      <c r="A815" t="s">
        <v>965</v>
      </c>
      <c r="B815" t="s">
        <v>76</v>
      </c>
      <c r="C815" s="1">
        <v>45197</v>
      </c>
      <c r="D815" t="s">
        <v>134</v>
      </c>
      <c r="E815" t="s">
        <v>24</v>
      </c>
      <c r="F815" s="3">
        <v>2024</v>
      </c>
      <c r="G815" s="3">
        <v>3</v>
      </c>
      <c r="H815" t="s">
        <v>565</v>
      </c>
      <c r="I815" s="2">
        <v>3.5</v>
      </c>
      <c r="J815" t="s">
        <v>77</v>
      </c>
    </row>
    <row r="816" spans="1:10">
      <c r="A816" t="s">
        <v>966</v>
      </c>
      <c r="B816" t="s">
        <v>76</v>
      </c>
      <c r="C816" s="1">
        <v>45197</v>
      </c>
      <c r="D816" t="s">
        <v>210</v>
      </c>
      <c r="E816" t="s">
        <v>25</v>
      </c>
      <c r="F816" s="3">
        <v>2024</v>
      </c>
      <c r="G816" s="3">
        <v>3</v>
      </c>
      <c r="H816" t="s">
        <v>565</v>
      </c>
      <c r="I816" s="2">
        <v>3.3</v>
      </c>
      <c r="J816" t="s">
        <v>77</v>
      </c>
    </row>
    <row r="817" spans="1:10">
      <c r="A817" t="s">
        <v>967</v>
      </c>
      <c r="B817" t="s">
        <v>76</v>
      </c>
      <c r="C817" s="1">
        <v>45197</v>
      </c>
      <c r="D817" t="s">
        <v>212</v>
      </c>
      <c r="E817" t="s">
        <v>26</v>
      </c>
      <c r="F817" s="3">
        <v>2024</v>
      </c>
      <c r="G817" s="3">
        <v>3</v>
      </c>
      <c r="H817" t="s">
        <v>565</v>
      </c>
      <c r="I817" s="2">
        <v>3.1</v>
      </c>
      <c r="J817" t="s">
        <v>77</v>
      </c>
    </row>
    <row r="818" spans="1:10">
      <c r="A818" t="s">
        <v>968</v>
      </c>
      <c r="B818" t="s">
        <v>76</v>
      </c>
      <c r="C818" s="1">
        <v>45197</v>
      </c>
      <c r="D818" t="s">
        <v>22</v>
      </c>
      <c r="E818" t="s">
        <v>22</v>
      </c>
      <c r="F818" s="3">
        <v>2024</v>
      </c>
      <c r="G818" s="3">
        <v>4</v>
      </c>
      <c r="H818" t="s">
        <v>670</v>
      </c>
      <c r="I818" s="2">
        <v>3.4</v>
      </c>
      <c r="J818" t="s">
        <v>77</v>
      </c>
    </row>
    <row r="819" spans="1:10">
      <c r="A819" t="s">
        <v>969</v>
      </c>
      <c r="B819" t="s">
        <v>76</v>
      </c>
      <c r="C819" s="1">
        <v>45197</v>
      </c>
      <c r="D819" t="s">
        <v>134</v>
      </c>
      <c r="E819" t="s">
        <v>24</v>
      </c>
      <c r="F819" s="3">
        <v>2024</v>
      </c>
      <c r="G819" s="3">
        <v>4</v>
      </c>
      <c r="H819" t="s">
        <v>670</v>
      </c>
      <c r="I819" s="2">
        <v>3.3</v>
      </c>
      <c r="J819" t="s">
        <v>77</v>
      </c>
    </row>
    <row r="820" spans="1:10">
      <c r="A820" t="s">
        <v>970</v>
      </c>
      <c r="B820" t="s">
        <v>76</v>
      </c>
      <c r="C820" s="1">
        <v>45197</v>
      </c>
      <c r="D820" t="s">
        <v>210</v>
      </c>
      <c r="E820" t="s">
        <v>25</v>
      </c>
      <c r="F820" s="3">
        <v>2024</v>
      </c>
      <c r="G820" s="3">
        <v>4</v>
      </c>
      <c r="H820" t="s">
        <v>670</v>
      </c>
      <c r="I820" s="2">
        <v>3.5</v>
      </c>
      <c r="J820" t="s">
        <v>77</v>
      </c>
    </row>
    <row r="821" spans="1:10">
      <c r="A821" t="s">
        <v>971</v>
      </c>
      <c r="B821" t="s">
        <v>76</v>
      </c>
      <c r="C821" s="1">
        <v>45197</v>
      </c>
      <c r="D821" t="s">
        <v>212</v>
      </c>
      <c r="E821" t="s">
        <v>26</v>
      </c>
      <c r="F821" s="3">
        <v>2024</v>
      </c>
      <c r="G821" s="3">
        <v>4</v>
      </c>
      <c r="H821" t="s">
        <v>670</v>
      </c>
      <c r="I821" s="2">
        <v>3.4</v>
      </c>
      <c r="J821" t="s">
        <v>77</v>
      </c>
    </row>
    <row r="822" spans="1:10">
      <c r="A822" t="s">
        <v>972</v>
      </c>
      <c r="B822" t="s">
        <v>76</v>
      </c>
      <c r="C822" s="1">
        <v>45197</v>
      </c>
      <c r="D822" t="s">
        <v>22</v>
      </c>
      <c r="E822" t="s">
        <v>22</v>
      </c>
      <c r="F822" s="3">
        <v>2025</v>
      </c>
      <c r="G822" s="3">
        <v>1</v>
      </c>
      <c r="H822" t="s">
        <v>771</v>
      </c>
      <c r="I822" s="2">
        <v>3.2</v>
      </c>
      <c r="J822" t="s">
        <v>77</v>
      </c>
    </row>
    <row r="823" spans="1:10">
      <c r="A823" t="s">
        <v>973</v>
      </c>
      <c r="B823" t="s">
        <v>76</v>
      </c>
      <c r="C823" s="1">
        <v>45197</v>
      </c>
      <c r="D823" t="s">
        <v>134</v>
      </c>
      <c r="E823" t="s">
        <v>24</v>
      </c>
      <c r="F823" s="3">
        <v>2025</v>
      </c>
      <c r="G823" s="3">
        <v>1</v>
      </c>
      <c r="H823" t="s">
        <v>771</v>
      </c>
      <c r="I823" s="2">
        <v>3.2</v>
      </c>
      <c r="J823" t="s">
        <v>77</v>
      </c>
    </row>
    <row r="824" spans="1:10">
      <c r="A824" t="s">
        <v>974</v>
      </c>
      <c r="B824" t="s">
        <v>76</v>
      </c>
      <c r="C824" s="1">
        <v>45197</v>
      </c>
      <c r="D824" t="s">
        <v>210</v>
      </c>
      <c r="E824" t="s">
        <v>25</v>
      </c>
      <c r="F824" s="3">
        <v>2025</v>
      </c>
      <c r="G824" s="3">
        <v>1</v>
      </c>
      <c r="H824" t="s">
        <v>771</v>
      </c>
      <c r="I824" s="2">
        <v>3</v>
      </c>
      <c r="J824" t="s">
        <v>77</v>
      </c>
    </row>
    <row r="825" spans="1:10">
      <c r="A825" t="s">
        <v>975</v>
      </c>
      <c r="B825" t="s">
        <v>76</v>
      </c>
      <c r="C825" s="1">
        <v>45197</v>
      </c>
      <c r="D825" t="s">
        <v>212</v>
      </c>
      <c r="E825" t="s">
        <v>26</v>
      </c>
      <c r="F825" s="3">
        <v>2025</v>
      </c>
      <c r="G825" s="3">
        <v>1</v>
      </c>
      <c r="H825" t="s">
        <v>771</v>
      </c>
      <c r="I825" s="2">
        <v>3</v>
      </c>
      <c r="J825" t="s">
        <v>77</v>
      </c>
    </row>
    <row r="826" spans="1:10">
      <c r="A826" t="s">
        <v>976</v>
      </c>
      <c r="B826" t="s">
        <v>76</v>
      </c>
      <c r="C826" s="1">
        <v>45197</v>
      </c>
      <c r="D826" t="s">
        <v>22</v>
      </c>
      <c r="E826" t="s">
        <v>22</v>
      </c>
      <c r="F826" s="3">
        <v>2025</v>
      </c>
      <c r="G826" s="3">
        <v>2</v>
      </c>
      <c r="H826" t="s">
        <v>876</v>
      </c>
      <c r="I826" s="2">
        <v>3.1</v>
      </c>
      <c r="J826" t="s">
        <v>77</v>
      </c>
    </row>
    <row r="827" spans="1:10">
      <c r="A827" t="s">
        <v>977</v>
      </c>
      <c r="B827" t="s">
        <v>76</v>
      </c>
      <c r="C827" s="1">
        <v>45197</v>
      </c>
      <c r="D827" t="s">
        <v>134</v>
      </c>
      <c r="E827" t="s">
        <v>24</v>
      </c>
      <c r="F827" s="3">
        <v>2025</v>
      </c>
      <c r="G827" s="3">
        <v>2</v>
      </c>
      <c r="H827" t="s">
        <v>876</v>
      </c>
      <c r="I827" s="2">
        <v>3.1</v>
      </c>
      <c r="J827" t="s">
        <v>77</v>
      </c>
    </row>
    <row r="828" spans="1:10">
      <c r="A828" t="s">
        <v>978</v>
      </c>
      <c r="B828" t="s">
        <v>76</v>
      </c>
      <c r="C828" s="1">
        <v>45197</v>
      </c>
      <c r="D828" t="s">
        <v>210</v>
      </c>
      <c r="E828" t="s">
        <v>25</v>
      </c>
      <c r="F828" s="3">
        <v>2025</v>
      </c>
      <c r="G828" s="3">
        <v>2</v>
      </c>
      <c r="H828" t="s">
        <v>876</v>
      </c>
      <c r="I828" s="2">
        <v>2.8</v>
      </c>
      <c r="J828" t="s">
        <v>77</v>
      </c>
    </row>
    <row r="829" spans="1:10">
      <c r="A829" t="s">
        <v>979</v>
      </c>
      <c r="B829" t="s">
        <v>76</v>
      </c>
      <c r="C829" s="1">
        <v>45197</v>
      </c>
      <c r="D829" t="s">
        <v>212</v>
      </c>
      <c r="E829" t="s">
        <v>26</v>
      </c>
      <c r="F829" s="3">
        <v>2025</v>
      </c>
      <c r="G829" s="3">
        <v>2</v>
      </c>
      <c r="H829" t="s">
        <v>876</v>
      </c>
      <c r="I829" s="2">
        <v>2.7</v>
      </c>
      <c r="J829" t="s">
        <v>77</v>
      </c>
    </row>
    <row r="830" spans="1:10">
      <c r="A830" t="s">
        <v>980</v>
      </c>
      <c r="B830" t="s">
        <v>76</v>
      </c>
      <c r="C830" s="1">
        <v>45197</v>
      </c>
      <c r="D830" t="s">
        <v>22</v>
      </c>
      <c r="E830" t="s">
        <v>22</v>
      </c>
      <c r="F830" s="3">
        <v>2025</v>
      </c>
      <c r="G830" s="3">
        <v>3</v>
      </c>
      <c r="H830" t="s">
        <v>981</v>
      </c>
      <c r="I830" s="2">
        <v>3.1</v>
      </c>
      <c r="J830" t="s">
        <v>77</v>
      </c>
    </row>
    <row r="831" spans="1:10">
      <c r="A831" t="s">
        <v>982</v>
      </c>
      <c r="B831" t="s">
        <v>76</v>
      </c>
      <c r="C831" s="1">
        <v>45197</v>
      </c>
      <c r="D831" t="s">
        <v>134</v>
      </c>
      <c r="E831" t="s">
        <v>24</v>
      </c>
      <c r="F831" s="3">
        <v>2025</v>
      </c>
      <c r="G831" s="3">
        <v>3</v>
      </c>
      <c r="H831" t="s">
        <v>981</v>
      </c>
      <c r="I831" s="2">
        <v>3.1</v>
      </c>
      <c r="J831" t="s">
        <v>77</v>
      </c>
    </row>
    <row r="832" spans="1:10">
      <c r="A832" t="s">
        <v>983</v>
      </c>
      <c r="B832" t="s">
        <v>76</v>
      </c>
      <c r="C832" s="1">
        <v>45197</v>
      </c>
      <c r="D832" t="s">
        <v>210</v>
      </c>
      <c r="E832" t="s">
        <v>25</v>
      </c>
      <c r="F832" s="3">
        <v>2025</v>
      </c>
      <c r="G832" s="3">
        <v>3</v>
      </c>
      <c r="H832" t="s">
        <v>981</v>
      </c>
      <c r="I832" s="2">
        <v>3.3</v>
      </c>
      <c r="J832" t="s">
        <v>77</v>
      </c>
    </row>
    <row r="833" spans="1:10">
      <c r="A833" t="s">
        <v>984</v>
      </c>
      <c r="B833" t="s">
        <v>76</v>
      </c>
      <c r="C833" s="1">
        <v>45197</v>
      </c>
      <c r="D833" t="s">
        <v>212</v>
      </c>
      <c r="E833" t="s">
        <v>26</v>
      </c>
      <c r="F833" s="3">
        <v>2025</v>
      </c>
      <c r="G833" s="3">
        <v>3</v>
      </c>
      <c r="H833" t="s">
        <v>981</v>
      </c>
      <c r="I833" s="2">
        <v>3.2</v>
      </c>
      <c r="J833" t="s">
        <v>77</v>
      </c>
    </row>
    <row r="834" spans="1:10">
      <c r="A834" t="s">
        <v>985</v>
      </c>
      <c r="B834" t="s">
        <v>78</v>
      </c>
      <c r="C834" s="1">
        <v>45239</v>
      </c>
      <c r="D834" t="s">
        <v>22</v>
      </c>
      <c r="E834" t="s">
        <v>22</v>
      </c>
      <c r="F834" s="3">
        <v>2022</v>
      </c>
      <c r="G834" s="3">
        <v>3</v>
      </c>
      <c r="H834" t="s">
        <v>151</v>
      </c>
      <c r="I834" s="2">
        <v>8.5</v>
      </c>
      <c r="J834" t="s">
        <v>79</v>
      </c>
    </row>
    <row r="835" spans="1:10">
      <c r="A835" t="s">
        <v>986</v>
      </c>
      <c r="B835" t="s">
        <v>78</v>
      </c>
      <c r="C835" s="1">
        <v>45239</v>
      </c>
      <c r="D835" t="s">
        <v>134</v>
      </c>
      <c r="E835" t="s">
        <v>24</v>
      </c>
      <c r="F835" s="3">
        <v>2022</v>
      </c>
      <c r="G835" s="3">
        <v>3</v>
      </c>
      <c r="H835" t="s">
        <v>151</v>
      </c>
      <c r="I835" s="2">
        <v>8</v>
      </c>
      <c r="J835" t="s">
        <v>79</v>
      </c>
    </row>
    <row r="836" spans="1:10">
      <c r="A836" t="s">
        <v>987</v>
      </c>
      <c r="B836" t="s">
        <v>78</v>
      </c>
      <c r="C836" s="1">
        <v>45239</v>
      </c>
      <c r="D836" t="s">
        <v>210</v>
      </c>
      <c r="E836" t="s">
        <v>25</v>
      </c>
      <c r="F836" s="3">
        <v>2022</v>
      </c>
      <c r="G836" s="3">
        <v>3</v>
      </c>
      <c r="H836" t="s">
        <v>151</v>
      </c>
      <c r="I836" s="2">
        <v>8.6999999999999993</v>
      </c>
      <c r="J836" t="s">
        <v>79</v>
      </c>
    </row>
    <row r="837" spans="1:10">
      <c r="A837" t="s">
        <v>988</v>
      </c>
      <c r="B837" t="s">
        <v>78</v>
      </c>
      <c r="C837" s="1">
        <v>45239</v>
      </c>
      <c r="D837" t="s">
        <v>212</v>
      </c>
      <c r="E837" t="s">
        <v>26</v>
      </c>
      <c r="F837" s="3">
        <v>2022</v>
      </c>
      <c r="G837" s="3">
        <v>3</v>
      </c>
      <c r="H837" t="s">
        <v>151</v>
      </c>
      <c r="I837" s="2">
        <v>8.9</v>
      </c>
      <c r="J837" t="s">
        <v>79</v>
      </c>
    </row>
    <row r="838" spans="1:10">
      <c r="A838" t="s">
        <v>989</v>
      </c>
      <c r="B838" t="s">
        <v>78</v>
      </c>
      <c r="C838" s="1">
        <v>45239</v>
      </c>
      <c r="D838" t="s">
        <v>22</v>
      </c>
      <c r="E838" t="s">
        <v>22</v>
      </c>
      <c r="F838" s="3">
        <v>2022</v>
      </c>
      <c r="G838" s="3">
        <v>4</v>
      </c>
      <c r="H838" t="s">
        <v>154</v>
      </c>
      <c r="I838" s="2">
        <v>8</v>
      </c>
      <c r="J838" t="s">
        <v>79</v>
      </c>
    </row>
    <row r="839" spans="1:10">
      <c r="A839" t="s">
        <v>990</v>
      </c>
      <c r="B839" t="s">
        <v>78</v>
      </c>
      <c r="C839" s="1">
        <v>45239</v>
      </c>
      <c r="D839" t="s">
        <v>134</v>
      </c>
      <c r="E839" t="s">
        <v>24</v>
      </c>
      <c r="F839" s="3">
        <v>2022</v>
      </c>
      <c r="G839" s="3">
        <v>4</v>
      </c>
      <c r="H839" t="s">
        <v>154</v>
      </c>
      <c r="I839" s="2">
        <v>8.4</v>
      </c>
      <c r="J839" t="s">
        <v>79</v>
      </c>
    </row>
    <row r="840" spans="1:10">
      <c r="A840" t="s">
        <v>991</v>
      </c>
      <c r="B840" t="s">
        <v>78</v>
      </c>
      <c r="C840" s="1">
        <v>45239</v>
      </c>
      <c r="D840" t="s">
        <v>210</v>
      </c>
      <c r="E840" t="s">
        <v>25</v>
      </c>
      <c r="F840" s="3">
        <v>2022</v>
      </c>
      <c r="G840" s="3">
        <v>4</v>
      </c>
      <c r="H840" t="s">
        <v>154</v>
      </c>
      <c r="I840" s="2">
        <v>6.1</v>
      </c>
      <c r="J840" t="s">
        <v>79</v>
      </c>
    </row>
    <row r="841" spans="1:10">
      <c r="A841" t="s">
        <v>992</v>
      </c>
      <c r="B841" t="s">
        <v>78</v>
      </c>
      <c r="C841" s="1">
        <v>45239</v>
      </c>
      <c r="D841" t="s">
        <v>212</v>
      </c>
      <c r="E841" t="s">
        <v>26</v>
      </c>
      <c r="F841" s="3">
        <v>2022</v>
      </c>
      <c r="G841" s="3">
        <v>4</v>
      </c>
      <c r="H841" t="s">
        <v>154</v>
      </c>
      <c r="I841" s="2">
        <v>8.3000000000000007</v>
      </c>
      <c r="J841" t="s">
        <v>79</v>
      </c>
    </row>
    <row r="842" spans="1:10">
      <c r="A842" t="s">
        <v>993</v>
      </c>
      <c r="B842" t="s">
        <v>78</v>
      </c>
      <c r="C842" s="1">
        <v>45239</v>
      </c>
      <c r="D842" t="s">
        <v>22</v>
      </c>
      <c r="E842" t="s">
        <v>22</v>
      </c>
      <c r="F842" s="3">
        <v>2023</v>
      </c>
      <c r="G842" s="3">
        <v>1</v>
      </c>
      <c r="H842" t="s">
        <v>157</v>
      </c>
      <c r="I842" s="2">
        <v>7.5</v>
      </c>
      <c r="J842" t="s">
        <v>79</v>
      </c>
    </row>
    <row r="843" spans="1:10">
      <c r="A843" t="s">
        <v>994</v>
      </c>
      <c r="B843" t="s">
        <v>78</v>
      </c>
      <c r="C843" s="1">
        <v>45239</v>
      </c>
      <c r="D843" t="s">
        <v>134</v>
      </c>
      <c r="E843" t="s">
        <v>24</v>
      </c>
      <c r="F843" s="3">
        <v>2023</v>
      </c>
      <c r="G843" s="3">
        <v>1</v>
      </c>
      <c r="H843" t="s">
        <v>157</v>
      </c>
      <c r="I843" s="2">
        <v>8.3000000000000007</v>
      </c>
      <c r="J843" t="s">
        <v>79</v>
      </c>
    </row>
    <row r="844" spans="1:10">
      <c r="A844" t="s">
        <v>995</v>
      </c>
      <c r="B844" t="s">
        <v>78</v>
      </c>
      <c r="C844" s="1">
        <v>45239</v>
      </c>
      <c r="D844" t="s">
        <v>210</v>
      </c>
      <c r="E844" t="s">
        <v>25</v>
      </c>
      <c r="F844" s="3">
        <v>2023</v>
      </c>
      <c r="G844" s="3">
        <v>1</v>
      </c>
      <c r="H844" t="s">
        <v>157</v>
      </c>
      <c r="I844" s="2">
        <v>5</v>
      </c>
      <c r="J844" t="s">
        <v>79</v>
      </c>
    </row>
    <row r="845" spans="1:10">
      <c r="A845" t="s">
        <v>996</v>
      </c>
      <c r="B845" t="s">
        <v>78</v>
      </c>
      <c r="C845" s="1">
        <v>45239</v>
      </c>
      <c r="D845" t="s">
        <v>212</v>
      </c>
      <c r="E845" t="s">
        <v>26</v>
      </c>
      <c r="F845" s="3">
        <v>2023</v>
      </c>
      <c r="G845" s="3">
        <v>1</v>
      </c>
      <c r="H845" t="s">
        <v>157</v>
      </c>
      <c r="I845" s="2">
        <v>7.1</v>
      </c>
      <c r="J845" t="s">
        <v>79</v>
      </c>
    </row>
    <row r="846" spans="1:10">
      <c r="A846" t="s">
        <v>997</v>
      </c>
      <c r="B846" t="s">
        <v>78</v>
      </c>
      <c r="C846" s="1">
        <v>45239</v>
      </c>
      <c r="D846" t="s">
        <v>22</v>
      </c>
      <c r="E846" t="s">
        <v>22</v>
      </c>
      <c r="F846" s="3">
        <v>2023</v>
      </c>
      <c r="G846" s="3">
        <v>2</v>
      </c>
      <c r="H846" t="s">
        <v>160</v>
      </c>
      <c r="I846" s="2">
        <v>5.7</v>
      </c>
      <c r="J846" t="s">
        <v>79</v>
      </c>
    </row>
    <row r="847" spans="1:10">
      <c r="A847" t="s">
        <v>998</v>
      </c>
      <c r="B847" t="s">
        <v>78</v>
      </c>
      <c r="C847" s="1">
        <v>45239</v>
      </c>
      <c r="D847" t="s">
        <v>134</v>
      </c>
      <c r="E847" t="s">
        <v>24</v>
      </c>
      <c r="F847" s="3">
        <v>2023</v>
      </c>
      <c r="G847" s="3">
        <v>2</v>
      </c>
      <c r="H847" t="s">
        <v>160</v>
      </c>
      <c r="I847" s="2">
        <v>7.3</v>
      </c>
      <c r="J847" t="s">
        <v>79</v>
      </c>
    </row>
    <row r="848" spans="1:10">
      <c r="A848" t="s">
        <v>999</v>
      </c>
      <c r="B848" t="s">
        <v>78</v>
      </c>
      <c r="C848" s="1">
        <v>45239</v>
      </c>
      <c r="D848" t="s">
        <v>210</v>
      </c>
      <c r="E848" t="s">
        <v>25</v>
      </c>
      <c r="F848" s="3">
        <v>2023</v>
      </c>
      <c r="G848" s="3">
        <v>2</v>
      </c>
      <c r="H848" t="s">
        <v>160</v>
      </c>
      <c r="I848" s="2">
        <v>3.9</v>
      </c>
      <c r="J848" t="s">
        <v>79</v>
      </c>
    </row>
    <row r="849" spans="1:10">
      <c r="A849" t="s">
        <v>1000</v>
      </c>
      <c r="B849" t="s">
        <v>78</v>
      </c>
      <c r="C849" s="1">
        <v>45239</v>
      </c>
      <c r="D849" t="s">
        <v>212</v>
      </c>
      <c r="E849" t="s">
        <v>26</v>
      </c>
      <c r="F849" s="3">
        <v>2023</v>
      </c>
      <c r="G849" s="3">
        <v>2</v>
      </c>
      <c r="H849" t="s">
        <v>160</v>
      </c>
      <c r="I849" s="2">
        <v>5.3</v>
      </c>
      <c r="J849" t="s">
        <v>79</v>
      </c>
    </row>
    <row r="850" spans="1:10">
      <c r="A850" t="s">
        <v>1001</v>
      </c>
      <c r="B850" t="s">
        <v>78</v>
      </c>
      <c r="C850" s="1">
        <v>45239</v>
      </c>
      <c r="D850" t="s">
        <v>22</v>
      </c>
      <c r="E850" t="s">
        <v>22</v>
      </c>
      <c r="F850" s="3">
        <v>2023</v>
      </c>
      <c r="G850" s="3">
        <v>3</v>
      </c>
      <c r="H850" t="s">
        <v>183</v>
      </c>
      <c r="I850" s="2">
        <v>4.5999999999999996</v>
      </c>
      <c r="J850" t="s">
        <v>79</v>
      </c>
    </row>
    <row r="851" spans="1:10">
      <c r="A851" t="s">
        <v>1002</v>
      </c>
      <c r="B851" t="s">
        <v>78</v>
      </c>
      <c r="C851" s="1">
        <v>45239</v>
      </c>
      <c r="D851" t="s">
        <v>134</v>
      </c>
      <c r="E851" t="s">
        <v>24</v>
      </c>
      <c r="F851" s="3">
        <v>2023</v>
      </c>
      <c r="G851" s="3">
        <v>3</v>
      </c>
      <c r="H851" t="s">
        <v>183</v>
      </c>
      <c r="I851" s="2">
        <v>6.2</v>
      </c>
      <c r="J851" t="s">
        <v>79</v>
      </c>
    </row>
    <row r="852" spans="1:10">
      <c r="A852" t="s">
        <v>1003</v>
      </c>
      <c r="B852" t="s">
        <v>78</v>
      </c>
      <c r="C852" s="1">
        <v>45239</v>
      </c>
      <c r="D852" t="s">
        <v>210</v>
      </c>
      <c r="E852" t="s">
        <v>25</v>
      </c>
      <c r="F852" s="3">
        <v>2023</v>
      </c>
      <c r="G852" s="3">
        <v>3</v>
      </c>
      <c r="H852" t="s">
        <v>183</v>
      </c>
      <c r="I852" s="2">
        <v>4.4000000000000004</v>
      </c>
      <c r="J852" t="s">
        <v>79</v>
      </c>
    </row>
    <row r="853" spans="1:10">
      <c r="A853" t="s">
        <v>1004</v>
      </c>
      <c r="B853" t="s">
        <v>78</v>
      </c>
      <c r="C853" s="1">
        <v>45239</v>
      </c>
      <c r="D853" t="s">
        <v>212</v>
      </c>
      <c r="E853" t="s">
        <v>26</v>
      </c>
      <c r="F853" s="3">
        <v>2023</v>
      </c>
      <c r="G853" s="3">
        <v>3</v>
      </c>
      <c r="H853" t="s">
        <v>183</v>
      </c>
      <c r="I853" s="2">
        <v>4.5999999999999996</v>
      </c>
      <c r="J853" t="s">
        <v>79</v>
      </c>
    </row>
    <row r="854" spans="1:10">
      <c r="A854" t="s">
        <v>1005</v>
      </c>
      <c r="B854" t="s">
        <v>78</v>
      </c>
      <c r="C854" s="1">
        <v>45239</v>
      </c>
      <c r="D854" t="s">
        <v>22</v>
      </c>
      <c r="E854" t="s">
        <v>22</v>
      </c>
      <c r="F854" s="3">
        <v>2023</v>
      </c>
      <c r="G854" s="3">
        <v>4</v>
      </c>
      <c r="H854" t="s">
        <v>254</v>
      </c>
      <c r="I854" s="2">
        <v>4.4000000000000004</v>
      </c>
      <c r="J854" t="s">
        <v>79</v>
      </c>
    </row>
    <row r="855" spans="1:10">
      <c r="A855" t="s">
        <v>1006</v>
      </c>
      <c r="B855" t="s">
        <v>78</v>
      </c>
      <c r="C855" s="1">
        <v>45239</v>
      </c>
      <c r="D855" t="s">
        <v>134</v>
      </c>
      <c r="E855" t="s">
        <v>24</v>
      </c>
      <c r="F855" s="3">
        <v>2023</v>
      </c>
      <c r="G855" s="3">
        <v>4</v>
      </c>
      <c r="H855" t="s">
        <v>254</v>
      </c>
      <c r="I855" s="2">
        <v>5.3</v>
      </c>
      <c r="J855" t="s">
        <v>79</v>
      </c>
    </row>
    <row r="856" spans="1:10">
      <c r="A856" t="s">
        <v>1007</v>
      </c>
      <c r="B856" t="s">
        <v>78</v>
      </c>
      <c r="C856" s="1">
        <v>45239</v>
      </c>
      <c r="D856" t="s">
        <v>210</v>
      </c>
      <c r="E856" t="s">
        <v>25</v>
      </c>
      <c r="F856" s="3">
        <v>2023</v>
      </c>
      <c r="G856" s="3">
        <v>4</v>
      </c>
      <c r="H856" t="s">
        <v>254</v>
      </c>
      <c r="I856" s="2">
        <v>4.9000000000000004</v>
      </c>
      <c r="J856" t="s">
        <v>79</v>
      </c>
    </row>
    <row r="857" spans="1:10">
      <c r="A857" t="s">
        <v>1008</v>
      </c>
      <c r="B857" t="s">
        <v>78</v>
      </c>
      <c r="C857" s="1">
        <v>45239</v>
      </c>
      <c r="D857" t="s">
        <v>212</v>
      </c>
      <c r="E857" t="s">
        <v>26</v>
      </c>
      <c r="F857" s="3">
        <v>2023</v>
      </c>
      <c r="G857" s="3">
        <v>4</v>
      </c>
      <c r="H857" t="s">
        <v>254</v>
      </c>
      <c r="I857" s="2">
        <v>4.4000000000000004</v>
      </c>
      <c r="J857" t="s">
        <v>79</v>
      </c>
    </row>
    <row r="858" spans="1:10">
      <c r="A858" t="s">
        <v>1009</v>
      </c>
      <c r="B858" t="s">
        <v>78</v>
      </c>
      <c r="C858" s="1">
        <v>45239</v>
      </c>
      <c r="D858" t="s">
        <v>22</v>
      </c>
      <c r="E858" t="s">
        <v>22</v>
      </c>
      <c r="F858" s="3">
        <v>2024</v>
      </c>
      <c r="G858" s="3">
        <v>1</v>
      </c>
      <c r="H858" t="s">
        <v>355</v>
      </c>
      <c r="I858" s="2">
        <v>4.3</v>
      </c>
      <c r="J858" t="s">
        <v>79</v>
      </c>
    </row>
    <row r="859" spans="1:10">
      <c r="A859" t="s">
        <v>1010</v>
      </c>
      <c r="B859" t="s">
        <v>78</v>
      </c>
      <c r="C859" s="1">
        <v>45239</v>
      </c>
      <c r="D859" t="s">
        <v>134</v>
      </c>
      <c r="E859" t="s">
        <v>24</v>
      </c>
      <c r="F859" s="3">
        <v>2024</v>
      </c>
      <c r="G859" s="3">
        <v>1</v>
      </c>
      <c r="H859" t="s">
        <v>355</v>
      </c>
      <c r="I859" s="2">
        <v>4.5</v>
      </c>
      <c r="J859" t="s">
        <v>79</v>
      </c>
    </row>
    <row r="860" spans="1:10">
      <c r="A860" t="s">
        <v>1011</v>
      </c>
      <c r="B860" t="s">
        <v>78</v>
      </c>
      <c r="C860" s="1">
        <v>45239</v>
      </c>
      <c r="D860" t="s">
        <v>210</v>
      </c>
      <c r="E860" t="s">
        <v>25</v>
      </c>
      <c r="F860" s="3">
        <v>2024</v>
      </c>
      <c r="G860" s="3">
        <v>1</v>
      </c>
      <c r="H860" t="s">
        <v>355</v>
      </c>
      <c r="I860" s="2">
        <v>4</v>
      </c>
      <c r="J860" t="s">
        <v>79</v>
      </c>
    </row>
    <row r="861" spans="1:10">
      <c r="A861" t="s">
        <v>1012</v>
      </c>
      <c r="B861" t="s">
        <v>78</v>
      </c>
      <c r="C861" s="1">
        <v>45239</v>
      </c>
      <c r="D861" t="s">
        <v>212</v>
      </c>
      <c r="E861" t="s">
        <v>26</v>
      </c>
      <c r="F861" s="3">
        <v>2024</v>
      </c>
      <c r="G861" s="3">
        <v>1</v>
      </c>
      <c r="H861" t="s">
        <v>355</v>
      </c>
      <c r="I861" s="2">
        <v>3.5</v>
      </c>
      <c r="J861" t="s">
        <v>79</v>
      </c>
    </row>
    <row r="862" spans="1:10">
      <c r="A862" t="s">
        <v>1013</v>
      </c>
      <c r="B862" t="s">
        <v>78</v>
      </c>
      <c r="C862" s="1">
        <v>45239</v>
      </c>
      <c r="D862" t="s">
        <v>22</v>
      </c>
      <c r="E862" t="s">
        <v>22</v>
      </c>
      <c r="F862" s="3">
        <v>2024</v>
      </c>
      <c r="G862" s="3">
        <v>2</v>
      </c>
      <c r="H862" t="s">
        <v>460</v>
      </c>
      <c r="I862" s="2">
        <v>4</v>
      </c>
      <c r="J862" t="s">
        <v>79</v>
      </c>
    </row>
    <row r="863" spans="1:10">
      <c r="A863" t="s">
        <v>1014</v>
      </c>
      <c r="B863" t="s">
        <v>78</v>
      </c>
      <c r="C863" s="1">
        <v>45239</v>
      </c>
      <c r="D863" t="s">
        <v>134</v>
      </c>
      <c r="E863" t="s">
        <v>24</v>
      </c>
      <c r="F863" s="3">
        <v>2024</v>
      </c>
      <c r="G863" s="3">
        <v>2</v>
      </c>
      <c r="H863" t="s">
        <v>460</v>
      </c>
      <c r="I863" s="2">
        <v>3.9</v>
      </c>
      <c r="J863" t="s">
        <v>79</v>
      </c>
    </row>
    <row r="864" spans="1:10">
      <c r="A864" t="s">
        <v>1015</v>
      </c>
      <c r="B864" t="s">
        <v>78</v>
      </c>
      <c r="C864" s="1">
        <v>45239</v>
      </c>
      <c r="D864" t="s">
        <v>210</v>
      </c>
      <c r="E864" t="s">
        <v>25</v>
      </c>
      <c r="F864" s="3">
        <v>2024</v>
      </c>
      <c r="G864" s="3">
        <v>2</v>
      </c>
      <c r="H864" t="s">
        <v>460</v>
      </c>
      <c r="I864" s="2">
        <v>3</v>
      </c>
      <c r="J864" t="s">
        <v>79</v>
      </c>
    </row>
    <row r="865" spans="1:10">
      <c r="A865" t="s">
        <v>1016</v>
      </c>
      <c r="B865" t="s">
        <v>78</v>
      </c>
      <c r="C865" s="1">
        <v>45239</v>
      </c>
      <c r="D865" t="s">
        <v>212</v>
      </c>
      <c r="E865" t="s">
        <v>26</v>
      </c>
      <c r="F865" s="3">
        <v>2024</v>
      </c>
      <c r="G865" s="3">
        <v>2</v>
      </c>
      <c r="H865" t="s">
        <v>460</v>
      </c>
      <c r="I865" s="2">
        <v>3</v>
      </c>
      <c r="J865" t="s">
        <v>79</v>
      </c>
    </row>
    <row r="866" spans="1:10">
      <c r="A866" t="s">
        <v>1017</v>
      </c>
      <c r="B866" t="s">
        <v>78</v>
      </c>
      <c r="C866" s="1">
        <v>45239</v>
      </c>
      <c r="D866" t="s">
        <v>22</v>
      </c>
      <c r="E866" t="s">
        <v>22</v>
      </c>
      <c r="F866" s="3">
        <v>2024</v>
      </c>
      <c r="G866" s="3">
        <v>3</v>
      </c>
      <c r="H866" t="s">
        <v>565</v>
      </c>
      <c r="I866" s="2">
        <v>3.7</v>
      </c>
      <c r="J866" t="s">
        <v>79</v>
      </c>
    </row>
    <row r="867" spans="1:10">
      <c r="A867" t="s">
        <v>1018</v>
      </c>
      <c r="B867" t="s">
        <v>78</v>
      </c>
      <c r="C867" s="1">
        <v>45239</v>
      </c>
      <c r="D867" t="s">
        <v>134</v>
      </c>
      <c r="E867" t="s">
        <v>24</v>
      </c>
      <c r="F867" s="3">
        <v>2024</v>
      </c>
      <c r="G867" s="3">
        <v>3</v>
      </c>
      <c r="H867" t="s">
        <v>565</v>
      </c>
      <c r="I867" s="2">
        <v>3.5</v>
      </c>
      <c r="J867" t="s">
        <v>79</v>
      </c>
    </row>
    <row r="868" spans="1:10">
      <c r="A868" t="s">
        <v>1019</v>
      </c>
      <c r="B868" t="s">
        <v>78</v>
      </c>
      <c r="C868" s="1">
        <v>45239</v>
      </c>
      <c r="D868" t="s">
        <v>210</v>
      </c>
      <c r="E868" t="s">
        <v>25</v>
      </c>
      <c r="F868" s="3">
        <v>2024</v>
      </c>
      <c r="G868" s="3">
        <v>3</v>
      </c>
      <c r="H868" t="s">
        <v>565</v>
      </c>
      <c r="I868" s="2">
        <v>3.3</v>
      </c>
      <c r="J868" t="s">
        <v>79</v>
      </c>
    </row>
    <row r="869" spans="1:10">
      <c r="A869" t="s">
        <v>1020</v>
      </c>
      <c r="B869" t="s">
        <v>78</v>
      </c>
      <c r="C869" s="1">
        <v>45239</v>
      </c>
      <c r="D869" t="s">
        <v>212</v>
      </c>
      <c r="E869" t="s">
        <v>26</v>
      </c>
      <c r="F869" s="3">
        <v>2024</v>
      </c>
      <c r="G869" s="3">
        <v>3</v>
      </c>
      <c r="H869" t="s">
        <v>565</v>
      </c>
      <c r="I869" s="2">
        <v>3.2</v>
      </c>
      <c r="J869" t="s">
        <v>79</v>
      </c>
    </row>
    <row r="870" spans="1:10">
      <c r="A870" t="s">
        <v>1021</v>
      </c>
      <c r="B870" t="s">
        <v>78</v>
      </c>
      <c r="C870" s="1">
        <v>45239</v>
      </c>
      <c r="D870" t="s">
        <v>22</v>
      </c>
      <c r="E870" t="s">
        <v>22</v>
      </c>
      <c r="F870" s="3">
        <v>2024</v>
      </c>
      <c r="G870" s="3">
        <v>4</v>
      </c>
      <c r="H870" t="s">
        <v>670</v>
      </c>
      <c r="I870" s="2">
        <v>3.4</v>
      </c>
      <c r="J870" t="s">
        <v>79</v>
      </c>
    </row>
    <row r="871" spans="1:10">
      <c r="A871" t="s">
        <v>1022</v>
      </c>
      <c r="B871" t="s">
        <v>78</v>
      </c>
      <c r="C871" s="1">
        <v>45239</v>
      </c>
      <c r="D871" t="s">
        <v>134</v>
      </c>
      <c r="E871" t="s">
        <v>24</v>
      </c>
      <c r="F871" s="3">
        <v>2024</v>
      </c>
      <c r="G871" s="3">
        <v>4</v>
      </c>
      <c r="H871" t="s">
        <v>670</v>
      </c>
      <c r="I871" s="2">
        <v>3.3</v>
      </c>
      <c r="J871" t="s">
        <v>79</v>
      </c>
    </row>
    <row r="872" spans="1:10">
      <c r="A872" t="s">
        <v>1023</v>
      </c>
      <c r="B872" t="s">
        <v>78</v>
      </c>
      <c r="C872" s="1">
        <v>45239</v>
      </c>
      <c r="D872" t="s">
        <v>210</v>
      </c>
      <c r="E872" t="s">
        <v>25</v>
      </c>
      <c r="F872" s="3">
        <v>2024</v>
      </c>
      <c r="G872" s="3">
        <v>4</v>
      </c>
      <c r="H872" t="s">
        <v>670</v>
      </c>
      <c r="I872" s="2">
        <v>3.2</v>
      </c>
      <c r="J872" t="s">
        <v>79</v>
      </c>
    </row>
    <row r="873" spans="1:10">
      <c r="A873" t="s">
        <v>1024</v>
      </c>
      <c r="B873" t="s">
        <v>78</v>
      </c>
      <c r="C873" s="1">
        <v>45239</v>
      </c>
      <c r="D873" t="s">
        <v>212</v>
      </c>
      <c r="E873" t="s">
        <v>26</v>
      </c>
      <c r="F873" s="3">
        <v>2024</v>
      </c>
      <c r="G873" s="3">
        <v>4</v>
      </c>
      <c r="H873" t="s">
        <v>670</v>
      </c>
      <c r="I873" s="2">
        <v>3.4</v>
      </c>
      <c r="J873" t="s">
        <v>79</v>
      </c>
    </row>
    <row r="874" spans="1:10">
      <c r="A874" t="s">
        <v>1025</v>
      </c>
      <c r="B874" t="s">
        <v>78</v>
      </c>
      <c r="C874" s="1">
        <v>45239</v>
      </c>
      <c r="D874" t="s">
        <v>22</v>
      </c>
      <c r="E874" t="s">
        <v>22</v>
      </c>
      <c r="F874" s="3">
        <v>2025</v>
      </c>
      <c r="G874" s="3">
        <v>1</v>
      </c>
      <c r="H874" t="s">
        <v>771</v>
      </c>
      <c r="I874" s="2">
        <v>3.2</v>
      </c>
      <c r="J874" t="s">
        <v>79</v>
      </c>
    </row>
    <row r="875" spans="1:10">
      <c r="A875" t="s">
        <v>1026</v>
      </c>
      <c r="B875" t="s">
        <v>78</v>
      </c>
      <c r="C875" s="1">
        <v>45239</v>
      </c>
      <c r="D875" t="s">
        <v>134</v>
      </c>
      <c r="E875" t="s">
        <v>24</v>
      </c>
      <c r="F875" s="3">
        <v>2025</v>
      </c>
      <c r="G875" s="3">
        <v>1</v>
      </c>
      <c r="H875" t="s">
        <v>771</v>
      </c>
      <c r="I875" s="2">
        <v>3.2</v>
      </c>
      <c r="J875" t="s">
        <v>79</v>
      </c>
    </row>
    <row r="876" spans="1:10">
      <c r="A876" t="s">
        <v>1027</v>
      </c>
      <c r="B876" t="s">
        <v>78</v>
      </c>
      <c r="C876" s="1">
        <v>45239</v>
      </c>
      <c r="D876" t="s">
        <v>210</v>
      </c>
      <c r="E876" t="s">
        <v>25</v>
      </c>
      <c r="F876" s="3">
        <v>2025</v>
      </c>
      <c r="G876" s="3">
        <v>1</v>
      </c>
      <c r="H876" t="s">
        <v>771</v>
      </c>
      <c r="I876" s="2">
        <v>3.2</v>
      </c>
      <c r="J876" t="s">
        <v>79</v>
      </c>
    </row>
    <row r="877" spans="1:10">
      <c r="A877" t="s">
        <v>1028</v>
      </c>
      <c r="B877" t="s">
        <v>78</v>
      </c>
      <c r="C877" s="1">
        <v>45239</v>
      </c>
      <c r="D877" t="s">
        <v>212</v>
      </c>
      <c r="E877" t="s">
        <v>26</v>
      </c>
      <c r="F877" s="3">
        <v>2025</v>
      </c>
      <c r="G877" s="3">
        <v>1</v>
      </c>
      <c r="H877" t="s">
        <v>771</v>
      </c>
      <c r="I877" s="2">
        <v>3</v>
      </c>
      <c r="J877" t="s">
        <v>79</v>
      </c>
    </row>
    <row r="878" spans="1:10">
      <c r="A878" t="s">
        <v>1029</v>
      </c>
      <c r="B878" t="s">
        <v>78</v>
      </c>
      <c r="C878" s="1">
        <v>45239</v>
      </c>
      <c r="D878" t="s">
        <v>22</v>
      </c>
      <c r="E878" t="s">
        <v>22</v>
      </c>
      <c r="F878" s="3">
        <v>2025</v>
      </c>
      <c r="G878" s="3">
        <v>2</v>
      </c>
      <c r="H878" t="s">
        <v>876</v>
      </c>
      <c r="I878" s="2">
        <v>3.1</v>
      </c>
      <c r="J878" t="s">
        <v>79</v>
      </c>
    </row>
    <row r="879" spans="1:10">
      <c r="A879" t="s">
        <v>1030</v>
      </c>
      <c r="B879" t="s">
        <v>78</v>
      </c>
      <c r="C879" s="1">
        <v>45239</v>
      </c>
      <c r="D879" t="s">
        <v>134</v>
      </c>
      <c r="E879" t="s">
        <v>24</v>
      </c>
      <c r="F879" s="3">
        <v>2025</v>
      </c>
      <c r="G879" s="3">
        <v>2</v>
      </c>
      <c r="H879" t="s">
        <v>876</v>
      </c>
      <c r="I879" s="2">
        <v>3.1</v>
      </c>
      <c r="J879" t="s">
        <v>79</v>
      </c>
    </row>
    <row r="880" spans="1:10">
      <c r="A880" t="s">
        <v>1031</v>
      </c>
      <c r="B880" t="s">
        <v>78</v>
      </c>
      <c r="C880" s="1">
        <v>45239</v>
      </c>
      <c r="D880" t="s">
        <v>210</v>
      </c>
      <c r="E880" t="s">
        <v>25</v>
      </c>
      <c r="F880" s="3">
        <v>2025</v>
      </c>
      <c r="G880" s="3">
        <v>2</v>
      </c>
      <c r="H880" t="s">
        <v>876</v>
      </c>
      <c r="I880" s="2">
        <v>2.9</v>
      </c>
      <c r="J880" t="s">
        <v>79</v>
      </c>
    </row>
    <row r="881" spans="1:10">
      <c r="A881" t="s">
        <v>1032</v>
      </c>
      <c r="B881" t="s">
        <v>78</v>
      </c>
      <c r="C881" s="1">
        <v>45239</v>
      </c>
      <c r="D881" t="s">
        <v>212</v>
      </c>
      <c r="E881" t="s">
        <v>26</v>
      </c>
      <c r="F881" s="3">
        <v>2025</v>
      </c>
      <c r="G881" s="3">
        <v>2</v>
      </c>
      <c r="H881" t="s">
        <v>876</v>
      </c>
      <c r="I881" s="2">
        <v>2.7</v>
      </c>
      <c r="J881" t="s">
        <v>79</v>
      </c>
    </row>
    <row r="882" spans="1:10">
      <c r="A882" t="s">
        <v>1033</v>
      </c>
      <c r="B882" t="s">
        <v>78</v>
      </c>
      <c r="C882" s="1">
        <v>45239</v>
      </c>
      <c r="D882" t="s">
        <v>22</v>
      </c>
      <c r="E882" t="s">
        <v>22</v>
      </c>
      <c r="F882" s="3">
        <v>2025</v>
      </c>
      <c r="G882" s="3">
        <v>3</v>
      </c>
      <c r="H882" t="s">
        <v>981</v>
      </c>
      <c r="I882" s="2">
        <v>3.1</v>
      </c>
      <c r="J882" t="s">
        <v>79</v>
      </c>
    </row>
    <row r="883" spans="1:10">
      <c r="A883" t="s">
        <v>1034</v>
      </c>
      <c r="B883" t="s">
        <v>78</v>
      </c>
      <c r="C883" s="1">
        <v>45239</v>
      </c>
      <c r="D883" t="s">
        <v>134</v>
      </c>
      <c r="E883" t="s">
        <v>24</v>
      </c>
      <c r="F883" s="3">
        <v>2025</v>
      </c>
      <c r="G883" s="3">
        <v>3</v>
      </c>
      <c r="H883" t="s">
        <v>981</v>
      </c>
      <c r="I883" s="2">
        <v>3.1</v>
      </c>
      <c r="J883" t="s">
        <v>79</v>
      </c>
    </row>
    <row r="884" spans="1:10">
      <c r="A884" t="s">
        <v>1035</v>
      </c>
      <c r="B884" t="s">
        <v>78</v>
      </c>
      <c r="C884" s="1">
        <v>45239</v>
      </c>
      <c r="D884" t="s">
        <v>210</v>
      </c>
      <c r="E884" t="s">
        <v>25</v>
      </c>
      <c r="F884" s="3">
        <v>2025</v>
      </c>
      <c r="G884" s="3">
        <v>3</v>
      </c>
      <c r="H884" t="s">
        <v>981</v>
      </c>
      <c r="I884" s="2">
        <v>3.3</v>
      </c>
      <c r="J884" t="s">
        <v>79</v>
      </c>
    </row>
    <row r="885" spans="1:10">
      <c r="A885" t="s">
        <v>1036</v>
      </c>
      <c r="B885" t="s">
        <v>78</v>
      </c>
      <c r="C885" s="1">
        <v>45239</v>
      </c>
      <c r="D885" t="s">
        <v>212</v>
      </c>
      <c r="E885" t="s">
        <v>26</v>
      </c>
      <c r="F885" s="3">
        <v>2025</v>
      </c>
      <c r="G885" s="3">
        <v>3</v>
      </c>
      <c r="H885" t="s">
        <v>981</v>
      </c>
      <c r="I885" s="2">
        <v>3.3</v>
      </c>
      <c r="J885" t="s">
        <v>79</v>
      </c>
    </row>
    <row r="886" spans="1:10">
      <c r="A886" t="s">
        <v>1037</v>
      </c>
      <c r="B886" t="s">
        <v>80</v>
      </c>
      <c r="C886" s="1">
        <v>45274</v>
      </c>
      <c r="D886" t="s">
        <v>22</v>
      </c>
      <c r="E886" t="s">
        <v>22</v>
      </c>
      <c r="F886" s="3">
        <v>2022</v>
      </c>
      <c r="G886" s="3">
        <v>4</v>
      </c>
      <c r="H886" t="s">
        <v>154</v>
      </c>
      <c r="I886" s="2">
        <v>8</v>
      </c>
      <c r="J886" t="s">
        <v>81</v>
      </c>
    </row>
    <row r="887" spans="1:10">
      <c r="A887" t="s">
        <v>1038</v>
      </c>
      <c r="B887" t="s">
        <v>80</v>
      </c>
      <c r="C887" s="1">
        <v>45274</v>
      </c>
      <c r="D887" t="s">
        <v>134</v>
      </c>
      <c r="E887" t="s">
        <v>24</v>
      </c>
      <c r="F887" s="3">
        <v>2022</v>
      </c>
      <c r="G887" s="3">
        <v>4</v>
      </c>
      <c r="H887" t="s">
        <v>154</v>
      </c>
      <c r="I887" s="2">
        <v>8.4</v>
      </c>
      <c r="J887" t="s">
        <v>81</v>
      </c>
    </row>
    <row r="888" spans="1:10">
      <c r="A888" t="s">
        <v>1039</v>
      </c>
      <c r="B888" t="s">
        <v>80</v>
      </c>
      <c r="C888" s="1">
        <v>45274</v>
      </c>
      <c r="D888" t="s">
        <v>210</v>
      </c>
      <c r="E888" t="s">
        <v>25</v>
      </c>
      <c r="F888" s="3">
        <v>2022</v>
      </c>
      <c r="G888" s="3">
        <v>4</v>
      </c>
      <c r="H888" t="s">
        <v>154</v>
      </c>
      <c r="I888" s="2">
        <v>6.2</v>
      </c>
      <c r="J888" t="s">
        <v>81</v>
      </c>
    </row>
    <row r="889" spans="1:10">
      <c r="A889" t="s">
        <v>1040</v>
      </c>
      <c r="B889" t="s">
        <v>80</v>
      </c>
      <c r="C889" s="1">
        <v>45274</v>
      </c>
      <c r="D889" t="s">
        <v>212</v>
      </c>
      <c r="E889" t="s">
        <v>26</v>
      </c>
      <c r="F889" s="3">
        <v>2022</v>
      </c>
      <c r="G889" s="3">
        <v>4</v>
      </c>
      <c r="H889" t="s">
        <v>154</v>
      </c>
      <c r="I889" s="2">
        <v>8.3000000000000007</v>
      </c>
      <c r="J889" t="s">
        <v>81</v>
      </c>
    </row>
    <row r="890" spans="1:10">
      <c r="A890" t="s">
        <v>1041</v>
      </c>
      <c r="B890" t="s">
        <v>80</v>
      </c>
      <c r="C890" s="1">
        <v>45274</v>
      </c>
      <c r="D890" t="s">
        <v>22</v>
      </c>
      <c r="E890" t="s">
        <v>22</v>
      </c>
      <c r="F890" s="3">
        <v>2023</v>
      </c>
      <c r="G890" s="3">
        <v>1</v>
      </c>
      <c r="H890" t="s">
        <v>157</v>
      </c>
      <c r="I890" s="2">
        <v>7.5</v>
      </c>
      <c r="J890" t="s">
        <v>81</v>
      </c>
    </row>
    <row r="891" spans="1:10">
      <c r="A891" t="s">
        <v>1042</v>
      </c>
      <c r="B891" t="s">
        <v>80</v>
      </c>
      <c r="C891" s="1">
        <v>45274</v>
      </c>
      <c r="D891" t="s">
        <v>134</v>
      </c>
      <c r="E891" t="s">
        <v>24</v>
      </c>
      <c r="F891" s="3">
        <v>2023</v>
      </c>
      <c r="G891" s="3">
        <v>1</v>
      </c>
      <c r="H891" t="s">
        <v>157</v>
      </c>
      <c r="I891" s="2">
        <v>8.3000000000000007</v>
      </c>
      <c r="J891" t="s">
        <v>81</v>
      </c>
    </row>
    <row r="892" spans="1:10">
      <c r="A892" t="s">
        <v>1043</v>
      </c>
      <c r="B892" t="s">
        <v>80</v>
      </c>
      <c r="C892" s="1">
        <v>45274</v>
      </c>
      <c r="D892" t="s">
        <v>210</v>
      </c>
      <c r="E892" t="s">
        <v>25</v>
      </c>
      <c r="F892" s="3">
        <v>2023</v>
      </c>
      <c r="G892" s="3">
        <v>1</v>
      </c>
      <c r="H892" t="s">
        <v>157</v>
      </c>
      <c r="I892" s="2">
        <v>4.9000000000000004</v>
      </c>
      <c r="J892" t="s">
        <v>81</v>
      </c>
    </row>
    <row r="893" spans="1:10">
      <c r="A893" t="s">
        <v>1044</v>
      </c>
      <c r="B893" t="s">
        <v>80</v>
      </c>
      <c r="C893" s="1">
        <v>45274</v>
      </c>
      <c r="D893" t="s">
        <v>212</v>
      </c>
      <c r="E893" t="s">
        <v>26</v>
      </c>
      <c r="F893" s="3">
        <v>2023</v>
      </c>
      <c r="G893" s="3">
        <v>1</v>
      </c>
      <c r="H893" t="s">
        <v>157</v>
      </c>
      <c r="I893" s="2">
        <v>7.1</v>
      </c>
      <c r="J893" t="s">
        <v>81</v>
      </c>
    </row>
    <row r="894" spans="1:10">
      <c r="A894" t="s">
        <v>1045</v>
      </c>
      <c r="B894" t="s">
        <v>80</v>
      </c>
      <c r="C894" s="1">
        <v>45274</v>
      </c>
      <c r="D894" t="s">
        <v>22</v>
      </c>
      <c r="E894" t="s">
        <v>22</v>
      </c>
      <c r="F894" s="3">
        <v>2023</v>
      </c>
      <c r="G894" s="3">
        <v>2</v>
      </c>
      <c r="H894" t="s">
        <v>160</v>
      </c>
      <c r="I894" s="2">
        <v>5.7</v>
      </c>
      <c r="J894" t="s">
        <v>81</v>
      </c>
    </row>
    <row r="895" spans="1:10">
      <c r="A895" t="s">
        <v>1046</v>
      </c>
      <c r="B895" t="s">
        <v>80</v>
      </c>
      <c r="C895" s="1">
        <v>45274</v>
      </c>
      <c r="D895" t="s">
        <v>134</v>
      </c>
      <c r="E895" t="s">
        <v>24</v>
      </c>
      <c r="F895" s="3">
        <v>2023</v>
      </c>
      <c r="G895" s="3">
        <v>2</v>
      </c>
      <c r="H895" t="s">
        <v>160</v>
      </c>
      <c r="I895" s="2">
        <v>7.3</v>
      </c>
      <c r="J895" t="s">
        <v>81</v>
      </c>
    </row>
    <row r="896" spans="1:10">
      <c r="A896" t="s">
        <v>1047</v>
      </c>
      <c r="B896" t="s">
        <v>80</v>
      </c>
      <c r="C896" s="1">
        <v>45274</v>
      </c>
      <c r="D896" t="s">
        <v>210</v>
      </c>
      <c r="E896" t="s">
        <v>25</v>
      </c>
      <c r="F896" s="3">
        <v>2023</v>
      </c>
      <c r="G896" s="3">
        <v>2</v>
      </c>
      <c r="H896" t="s">
        <v>160</v>
      </c>
      <c r="I896" s="2">
        <v>3.7</v>
      </c>
      <c r="J896" t="s">
        <v>81</v>
      </c>
    </row>
    <row r="897" spans="1:10">
      <c r="A897" t="s">
        <v>1048</v>
      </c>
      <c r="B897" t="s">
        <v>80</v>
      </c>
      <c r="C897" s="1">
        <v>45274</v>
      </c>
      <c r="D897" t="s">
        <v>212</v>
      </c>
      <c r="E897" t="s">
        <v>26</v>
      </c>
      <c r="F897" s="3">
        <v>2023</v>
      </c>
      <c r="G897" s="3">
        <v>2</v>
      </c>
      <c r="H897" t="s">
        <v>160</v>
      </c>
      <c r="I897" s="2">
        <v>5.4</v>
      </c>
      <c r="J897" t="s">
        <v>81</v>
      </c>
    </row>
    <row r="898" spans="1:10">
      <c r="A898" t="s">
        <v>1049</v>
      </c>
      <c r="B898" t="s">
        <v>80</v>
      </c>
      <c r="C898" s="1">
        <v>45274</v>
      </c>
      <c r="D898" t="s">
        <v>22</v>
      </c>
      <c r="E898" t="s">
        <v>22</v>
      </c>
      <c r="F898" s="3">
        <v>2023</v>
      </c>
      <c r="G898" s="3">
        <v>3</v>
      </c>
      <c r="H898" t="s">
        <v>183</v>
      </c>
      <c r="I898" s="2">
        <v>4.5999999999999996</v>
      </c>
      <c r="J898" t="s">
        <v>81</v>
      </c>
    </row>
    <row r="899" spans="1:10">
      <c r="A899" t="s">
        <v>1050</v>
      </c>
      <c r="B899" t="s">
        <v>80</v>
      </c>
      <c r="C899" s="1">
        <v>45274</v>
      </c>
      <c r="D899" t="s">
        <v>134</v>
      </c>
      <c r="E899" t="s">
        <v>24</v>
      </c>
      <c r="F899" s="3">
        <v>2023</v>
      </c>
      <c r="G899" s="3">
        <v>3</v>
      </c>
      <c r="H899" t="s">
        <v>183</v>
      </c>
      <c r="I899" s="2">
        <v>6.2</v>
      </c>
      <c r="J899" t="s">
        <v>81</v>
      </c>
    </row>
    <row r="900" spans="1:10">
      <c r="A900" t="s">
        <v>1051</v>
      </c>
      <c r="B900" t="s">
        <v>80</v>
      </c>
      <c r="C900" s="1">
        <v>45274</v>
      </c>
      <c r="D900" t="s">
        <v>210</v>
      </c>
      <c r="E900" t="s">
        <v>25</v>
      </c>
      <c r="F900" s="3">
        <v>2023</v>
      </c>
      <c r="G900" s="3">
        <v>3</v>
      </c>
      <c r="H900" t="s">
        <v>183</v>
      </c>
      <c r="I900" s="2">
        <v>4.4000000000000004</v>
      </c>
      <c r="J900" t="s">
        <v>81</v>
      </c>
    </row>
    <row r="901" spans="1:10">
      <c r="A901" t="s">
        <v>1052</v>
      </c>
      <c r="B901" t="s">
        <v>80</v>
      </c>
      <c r="C901" s="1">
        <v>45274</v>
      </c>
      <c r="D901" t="s">
        <v>212</v>
      </c>
      <c r="E901" t="s">
        <v>26</v>
      </c>
      <c r="F901" s="3">
        <v>2023</v>
      </c>
      <c r="G901" s="3">
        <v>3</v>
      </c>
      <c r="H901" t="s">
        <v>183</v>
      </c>
      <c r="I901" s="2">
        <v>4.5999999999999996</v>
      </c>
      <c r="J901" t="s">
        <v>81</v>
      </c>
    </row>
    <row r="902" spans="1:10">
      <c r="A902" t="s">
        <v>1053</v>
      </c>
      <c r="B902" t="s">
        <v>80</v>
      </c>
      <c r="C902" s="1">
        <v>45274</v>
      </c>
      <c r="D902" t="s">
        <v>22</v>
      </c>
      <c r="E902" t="s">
        <v>22</v>
      </c>
      <c r="F902" s="3">
        <v>2023</v>
      </c>
      <c r="G902" s="3">
        <v>4</v>
      </c>
      <c r="H902" t="s">
        <v>254</v>
      </c>
      <c r="I902" s="2">
        <v>4.4000000000000004</v>
      </c>
      <c r="J902" t="s">
        <v>81</v>
      </c>
    </row>
    <row r="903" spans="1:10">
      <c r="A903" t="s">
        <v>1054</v>
      </c>
      <c r="B903" t="s">
        <v>80</v>
      </c>
      <c r="C903" s="1">
        <v>45274</v>
      </c>
      <c r="D903" t="s">
        <v>134</v>
      </c>
      <c r="E903" t="s">
        <v>24</v>
      </c>
      <c r="F903" s="3">
        <v>2023</v>
      </c>
      <c r="G903" s="3">
        <v>4</v>
      </c>
      <c r="H903" t="s">
        <v>254</v>
      </c>
      <c r="I903" s="2">
        <v>5.4</v>
      </c>
      <c r="J903" t="s">
        <v>81</v>
      </c>
    </row>
    <row r="904" spans="1:10">
      <c r="A904" t="s">
        <v>1055</v>
      </c>
      <c r="B904" t="s">
        <v>80</v>
      </c>
      <c r="C904" s="1">
        <v>45274</v>
      </c>
      <c r="D904" t="s">
        <v>210</v>
      </c>
      <c r="E904" t="s">
        <v>25</v>
      </c>
      <c r="F904" s="3">
        <v>2023</v>
      </c>
      <c r="G904" s="3">
        <v>4</v>
      </c>
      <c r="H904" t="s">
        <v>254</v>
      </c>
      <c r="I904" s="2">
        <v>4.9000000000000004</v>
      </c>
      <c r="J904" t="s">
        <v>81</v>
      </c>
    </row>
    <row r="905" spans="1:10">
      <c r="A905" t="s">
        <v>1056</v>
      </c>
      <c r="B905" t="s">
        <v>80</v>
      </c>
      <c r="C905" s="1">
        <v>45274</v>
      </c>
      <c r="D905" t="s">
        <v>212</v>
      </c>
      <c r="E905" t="s">
        <v>26</v>
      </c>
      <c r="F905" s="3">
        <v>2023</v>
      </c>
      <c r="G905" s="3">
        <v>4</v>
      </c>
      <c r="H905" t="s">
        <v>254</v>
      </c>
      <c r="I905" s="2">
        <v>4.5</v>
      </c>
      <c r="J905" t="s">
        <v>81</v>
      </c>
    </row>
    <row r="906" spans="1:10">
      <c r="A906" t="s">
        <v>1057</v>
      </c>
      <c r="B906" t="s">
        <v>80</v>
      </c>
      <c r="C906" s="1">
        <v>45274</v>
      </c>
      <c r="D906" t="s">
        <v>22</v>
      </c>
      <c r="E906" t="s">
        <v>22</v>
      </c>
      <c r="F906" s="3">
        <v>2024</v>
      </c>
      <c r="G906" s="3">
        <v>1</v>
      </c>
      <c r="H906" t="s">
        <v>355</v>
      </c>
      <c r="I906" s="2">
        <v>4.3</v>
      </c>
      <c r="J906" t="s">
        <v>81</v>
      </c>
    </row>
    <row r="907" spans="1:10">
      <c r="A907" t="s">
        <v>1058</v>
      </c>
      <c r="B907" t="s">
        <v>80</v>
      </c>
      <c r="C907" s="1">
        <v>45274</v>
      </c>
      <c r="D907" t="s">
        <v>134</v>
      </c>
      <c r="E907" t="s">
        <v>24</v>
      </c>
      <c r="F907" s="3">
        <v>2024</v>
      </c>
      <c r="G907" s="3">
        <v>1</v>
      </c>
      <c r="H907" t="s">
        <v>355</v>
      </c>
      <c r="I907" s="2">
        <v>4.7</v>
      </c>
      <c r="J907" t="s">
        <v>81</v>
      </c>
    </row>
    <row r="908" spans="1:10">
      <c r="A908" t="s">
        <v>1059</v>
      </c>
      <c r="B908" t="s">
        <v>80</v>
      </c>
      <c r="C908" s="1">
        <v>45274</v>
      </c>
      <c r="D908" t="s">
        <v>210</v>
      </c>
      <c r="E908" t="s">
        <v>25</v>
      </c>
      <c r="F908" s="3">
        <v>2024</v>
      </c>
      <c r="G908" s="3">
        <v>1</v>
      </c>
      <c r="H908" t="s">
        <v>355</v>
      </c>
      <c r="I908" s="2">
        <v>4.3</v>
      </c>
      <c r="J908" t="s">
        <v>81</v>
      </c>
    </row>
    <row r="909" spans="1:10">
      <c r="A909" t="s">
        <v>1060</v>
      </c>
      <c r="B909" t="s">
        <v>80</v>
      </c>
      <c r="C909" s="1">
        <v>45274</v>
      </c>
      <c r="D909" t="s">
        <v>212</v>
      </c>
      <c r="E909" t="s">
        <v>26</v>
      </c>
      <c r="F909" s="3">
        <v>2024</v>
      </c>
      <c r="G909" s="3">
        <v>1</v>
      </c>
      <c r="H909" t="s">
        <v>355</v>
      </c>
      <c r="I909" s="2">
        <v>4.2</v>
      </c>
      <c r="J909" t="s">
        <v>81</v>
      </c>
    </row>
    <row r="910" spans="1:10">
      <c r="A910" t="s">
        <v>1061</v>
      </c>
      <c r="B910" t="s">
        <v>80</v>
      </c>
      <c r="C910" s="1">
        <v>45274</v>
      </c>
      <c r="D910" t="s">
        <v>22</v>
      </c>
      <c r="E910" t="s">
        <v>22</v>
      </c>
      <c r="F910" s="3">
        <v>2024</v>
      </c>
      <c r="G910" s="3">
        <v>2</v>
      </c>
      <c r="H910" t="s">
        <v>460</v>
      </c>
      <c r="I910" s="2">
        <v>4.0999999999999996</v>
      </c>
      <c r="J910" t="s">
        <v>81</v>
      </c>
    </row>
    <row r="911" spans="1:10">
      <c r="A911" t="s">
        <v>1062</v>
      </c>
      <c r="B911" t="s">
        <v>80</v>
      </c>
      <c r="C911" s="1">
        <v>45274</v>
      </c>
      <c r="D911" t="s">
        <v>134</v>
      </c>
      <c r="E911" t="s">
        <v>24</v>
      </c>
      <c r="F911" s="3">
        <v>2024</v>
      </c>
      <c r="G911" s="3">
        <v>2</v>
      </c>
      <c r="H911" t="s">
        <v>460</v>
      </c>
      <c r="I911" s="2">
        <v>4.0999999999999996</v>
      </c>
      <c r="J911" t="s">
        <v>81</v>
      </c>
    </row>
    <row r="912" spans="1:10">
      <c r="A912" t="s">
        <v>1063</v>
      </c>
      <c r="B912" t="s">
        <v>80</v>
      </c>
      <c r="C912" s="1">
        <v>45274</v>
      </c>
      <c r="D912" t="s">
        <v>210</v>
      </c>
      <c r="E912" t="s">
        <v>25</v>
      </c>
      <c r="F912" s="3">
        <v>2024</v>
      </c>
      <c r="G912" s="3">
        <v>2</v>
      </c>
      <c r="H912" t="s">
        <v>460</v>
      </c>
      <c r="I912" s="2">
        <v>3.1</v>
      </c>
      <c r="J912" t="s">
        <v>81</v>
      </c>
    </row>
    <row r="913" spans="1:10">
      <c r="A913" t="s">
        <v>1064</v>
      </c>
      <c r="B913" t="s">
        <v>80</v>
      </c>
      <c r="C913" s="1">
        <v>45274</v>
      </c>
      <c r="D913" t="s">
        <v>212</v>
      </c>
      <c r="E913" t="s">
        <v>26</v>
      </c>
      <c r="F913" s="3">
        <v>2024</v>
      </c>
      <c r="G913" s="3">
        <v>2</v>
      </c>
      <c r="H913" t="s">
        <v>460</v>
      </c>
      <c r="I913" s="2">
        <v>3.1</v>
      </c>
      <c r="J913" t="s">
        <v>81</v>
      </c>
    </row>
    <row r="914" spans="1:10">
      <c r="A914" t="s">
        <v>1065</v>
      </c>
      <c r="B914" t="s">
        <v>80</v>
      </c>
      <c r="C914" s="1">
        <v>45274</v>
      </c>
      <c r="D914" t="s">
        <v>22</v>
      </c>
      <c r="E914" t="s">
        <v>22</v>
      </c>
      <c r="F914" s="3">
        <v>2024</v>
      </c>
      <c r="G914" s="3">
        <v>3</v>
      </c>
      <c r="H914" t="s">
        <v>565</v>
      </c>
      <c r="I914" s="2">
        <v>3.8</v>
      </c>
      <c r="J914" t="s">
        <v>81</v>
      </c>
    </row>
    <row r="915" spans="1:10">
      <c r="A915" t="s">
        <v>1066</v>
      </c>
      <c r="B915" t="s">
        <v>80</v>
      </c>
      <c r="C915" s="1">
        <v>45274</v>
      </c>
      <c r="D915" t="s">
        <v>134</v>
      </c>
      <c r="E915" t="s">
        <v>24</v>
      </c>
      <c r="F915" s="3">
        <v>2024</v>
      </c>
      <c r="G915" s="3">
        <v>3</v>
      </c>
      <c r="H915" t="s">
        <v>565</v>
      </c>
      <c r="I915" s="2">
        <v>3.7</v>
      </c>
      <c r="J915" t="s">
        <v>81</v>
      </c>
    </row>
    <row r="916" spans="1:10">
      <c r="A916" t="s">
        <v>1067</v>
      </c>
      <c r="B916" t="s">
        <v>80</v>
      </c>
      <c r="C916" s="1">
        <v>45274</v>
      </c>
      <c r="D916" t="s">
        <v>210</v>
      </c>
      <c r="E916" t="s">
        <v>25</v>
      </c>
      <c r="F916" s="3">
        <v>2024</v>
      </c>
      <c r="G916" s="3">
        <v>3</v>
      </c>
      <c r="H916" t="s">
        <v>565</v>
      </c>
      <c r="I916" s="2">
        <v>3.2</v>
      </c>
      <c r="J916" t="s">
        <v>81</v>
      </c>
    </row>
    <row r="917" spans="1:10">
      <c r="A917" t="s">
        <v>1068</v>
      </c>
      <c r="B917" t="s">
        <v>80</v>
      </c>
      <c r="C917" s="1">
        <v>45274</v>
      </c>
      <c r="D917" t="s">
        <v>212</v>
      </c>
      <c r="E917" t="s">
        <v>26</v>
      </c>
      <c r="F917" s="3">
        <v>2024</v>
      </c>
      <c r="G917" s="3">
        <v>3</v>
      </c>
      <c r="H917" t="s">
        <v>565</v>
      </c>
      <c r="I917" s="2">
        <v>3.3</v>
      </c>
      <c r="J917" t="s">
        <v>81</v>
      </c>
    </row>
    <row r="918" spans="1:10">
      <c r="A918" t="s">
        <v>1069</v>
      </c>
      <c r="B918" t="s">
        <v>80</v>
      </c>
      <c r="C918" s="1">
        <v>45274</v>
      </c>
      <c r="D918" t="s">
        <v>22</v>
      </c>
      <c r="E918" t="s">
        <v>22</v>
      </c>
      <c r="F918" s="3">
        <v>2024</v>
      </c>
      <c r="G918" s="3">
        <v>4</v>
      </c>
      <c r="H918" t="s">
        <v>670</v>
      </c>
      <c r="I918" s="2">
        <v>3.5</v>
      </c>
      <c r="J918" t="s">
        <v>81</v>
      </c>
    </row>
    <row r="919" spans="1:10">
      <c r="A919" t="s">
        <v>1070</v>
      </c>
      <c r="B919" t="s">
        <v>80</v>
      </c>
      <c r="C919" s="1">
        <v>45274</v>
      </c>
      <c r="D919" t="s">
        <v>134</v>
      </c>
      <c r="E919" t="s">
        <v>24</v>
      </c>
      <c r="F919" s="3">
        <v>2024</v>
      </c>
      <c r="G919" s="3">
        <v>4</v>
      </c>
      <c r="H919" t="s">
        <v>670</v>
      </c>
      <c r="I919" s="2">
        <v>3.5</v>
      </c>
      <c r="J919" t="s">
        <v>81</v>
      </c>
    </row>
    <row r="920" spans="1:10">
      <c r="A920" t="s">
        <v>1071</v>
      </c>
      <c r="B920" t="s">
        <v>80</v>
      </c>
      <c r="C920" s="1">
        <v>45274</v>
      </c>
      <c r="D920" t="s">
        <v>210</v>
      </c>
      <c r="E920" t="s">
        <v>25</v>
      </c>
      <c r="F920" s="3">
        <v>2024</v>
      </c>
      <c r="G920" s="3">
        <v>4</v>
      </c>
      <c r="H920" t="s">
        <v>670</v>
      </c>
      <c r="I920" s="2">
        <v>3.3</v>
      </c>
      <c r="J920" t="s">
        <v>81</v>
      </c>
    </row>
    <row r="921" spans="1:10">
      <c r="A921" t="s">
        <v>1072</v>
      </c>
      <c r="B921" t="s">
        <v>80</v>
      </c>
      <c r="C921" s="1">
        <v>45274</v>
      </c>
      <c r="D921" t="s">
        <v>212</v>
      </c>
      <c r="E921" t="s">
        <v>26</v>
      </c>
      <c r="F921" s="3">
        <v>2024</v>
      </c>
      <c r="G921" s="3">
        <v>4</v>
      </c>
      <c r="H921" t="s">
        <v>670</v>
      </c>
      <c r="I921" s="2">
        <v>3.5</v>
      </c>
      <c r="J921" t="s">
        <v>81</v>
      </c>
    </row>
    <row r="922" spans="1:10">
      <c r="A922" t="s">
        <v>1073</v>
      </c>
      <c r="B922" t="s">
        <v>80</v>
      </c>
      <c r="C922" s="1">
        <v>45274</v>
      </c>
      <c r="D922" t="s">
        <v>22</v>
      </c>
      <c r="E922" t="s">
        <v>22</v>
      </c>
      <c r="F922" s="3">
        <v>2025</v>
      </c>
      <c r="G922" s="3">
        <v>1</v>
      </c>
      <c r="H922" t="s">
        <v>771</v>
      </c>
      <c r="I922" s="2">
        <v>3.2</v>
      </c>
      <c r="J922" t="s">
        <v>81</v>
      </c>
    </row>
    <row r="923" spans="1:10">
      <c r="A923" t="s">
        <v>1074</v>
      </c>
      <c r="B923" t="s">
        <v>80</v>
      </c>
      <c r="C923" s="1">
        <v>45274</v>
      </c>
      <c r="D923" t="s">
        <v>134</v>
      </c>
      <c r="E923" t="s">
        <v>24</v>
      </c>
      <c r="F923" s="3">
        <v>2025</v>
      </c>
      <c r="G923" s="3">
        <v>1</v>
      </c>
      <c r="H923" t="s">
        <v>771</v>
      </c>
      <c r="I923" s="2">
        <v>3.2</v>
      </c>
      <c r="J923" t="s">
        <v>81</v>
      </c>
    </row>
    <row r="924" spans="1:10">
      <c r="A924" t="s">
        <v>1075</v>
      </c>
      <c r="B924" t="s">
        <v>80</v>
      </c>
      <c r="C924" s="1">
        <v>45274</v>
      </c>
      <c r="D924" t="s">
        <v>210</v>
      </c>
      <c r="E924" t="s">
        <v>25</v>
      </c>
      <c r="F924" s="3">
        <v>2025</v>
      </c>
      <c r="G924" s="3">
        <v>1</v>
      </c>
      <c r="H924" t="s">
        <v>771</v>
      </c>
      <c r="I924" s="2">
        <v>3.3</v>
      </c>
      <c r="J924" t="s">
        <v>81</v>
      </c>
    </row>
    <row r="925" spans="1:10">
      <c r="A925" t="s">
        <v>1076</v>
      </c>
      <c r="B925" t="s">
        <v>80</v>
      </c>
      <c r="C925" s="1">
        <v>45274</v>
      </c>
      <c r="D925" t="s">
        <v>212</v>
      </c>
      <c r="E925" t="s">
        <v>26</v>
      </c>
      <c r="F925" s="3">
        <v>2025</v>
      </c>
      <c r="G925" s="3">
        <v>1</v>
      </c>
      <c r="H925" t="s">
        <v>771</v>
      </c>
      <c r="I925" s="2">
        <v>3.1</v>
      </c>
      <c r="J925" t="s">
        <v>81</v>
      </c>
    </row>
    <row r="926" spans="1:10">
      <c r="A926" t="s">
        <v>1077</v>
      </c>
      <c r="B926" t="s">
        <v>80</v>
      </c>
      <c r="C926" s="1">
        <v>45274</v>
      </c>
      <c r="D926" t="s">
        <v>22</v>
      </c>
      <c r="E926" t="s">
        <v>22</v>
      </c>
      <c r="F926" s="3">
        <v>2025</v>
      </c>
      <c r="G926" s="3">
        <v>2</v>
      </c>
      <c r="H926" t="s">
        <v>876</v>
      </c>
      <c r="I926" s="2">
        <v>3.1</v>
      </c>
      <c r="J926" t="s">
        <v>81</v>
      </c>
    </row>
    <row r="927" spans="1:10">
      <c r="A927" t="s">
        <v>1078</v>
      </c>
      <c r="B927" t="s">
        <v>80</v>
      </c>
      <c r="C927" s="1">
        <v>45274</v>
      </c>
      <c r="D927" t="s">
        <v>134</v>
      </c>
      <c r="E927" t="s">
        <v>24</v>
      </c>
      <c r="F927" s="3">
        <v>2025</v>
      </c>
      <c r="G927" s="3">
        <v>2</v>
      </c>
      <c r="H927" t="s">
        <v>876</v>
      </c>
      <c r="I927" s="2">
        <v>3.1</v>
      </c>
      <c r="J927" t="s">
        <v>81</v>
      </c>
    </row>
    <row r="928" spans="1:10">
      <c r="A928" t="s">
        <v>1079</v>
      </c>
      <c r="B928" t="s">
        <v>80</v>
      </c>
      <c r="C928" s="1">
        <v>45274</v>
      </c>
      <c r="D928" t="s">
        <v>210</v>
      </c>
      <c r="E928" t="s">
        <v>25</v>
      </c>
      <c r="F928" s="3">
        <v>2025</v>
      </c>
      <c r="G928" s="3">
        <v>2</v>
      </c>
      <c r="H928" t="s">
        <v>876</v>
      </c>
      <c r="I928" s="2">
        <v>2.9</v>
      </c>
      <c r="J928" t="s">
        <v>81</v>
      </c>
    </row>
    <row r="929" spans="1:10">
      <c r="A929" t="s">
        <v>1080</v>
      </c>
      <c r="B929" t="s">
        <v>80</v>
      </c>
      <c r="C929" s="1">
        <v>45274</v>
      </c>
      <c r="D929" t="s">
        <v>212</v>
      </c>
      <c r="E929" t="s">
        <v>26</v>
      </c>
      <c r="F929" s="3">
        <v>2025</v>
      </c>
      <c r="G929" s="3">
        <v>2</v>
      </c>
      <c r="H929" t="s">
        <v>876</v>
      </c>
      <c r="I929" s="2">
        <v>2.8</v>
      </c>
      <c r="J929" t="s">
        <v>81</v>
      </c>
    </row>
    <row r="930" spans="1:10">
      <c r="A930" t="s">
        <v>1081</v>
      </c>
      <c r="B930" t="s">
        <v>80</v>
      </c>
      <c r="C930" s="1">
        <v>45274</v>
      </c>
      <c r="D930" t="s">
        <v>22</v>
      </c>
      <c r="E930" t="s">
        <v>22</v>
      </c>
      <c r="F930" s="3">
        <v>2025</v>
      </c>
      <c r="G930" s="3">
        <v>3</v>
      </c>
      <c r="H930" t="s">
        <v>981</v>
      </c>
      <c r="I930" s="2">
        <v>3.1</v>
      </c>
      <c r="J930" t="s">
        <v>81</v>
      </c>
    </row>
    <row r="931" spans="1:10">
      <c r="A931" t="s">
        <v>1082</v>
      </c>
      <c r="B931" t="s">
        <v>80</v>
      </c>
      <c r="C931" s="1">
        <v>45274</v>
      </c>
      <c r="D931" t="s">
        <v>134</v>
      </c>
      <c r="E931" t="s">
        <v>24</v>
      </c>
      <c r="F931" s="3">
        <v>2025</v>
      </c>
      <c r="G931" s="3">
        <v>3</v>
      </c>
      <c r="H931" t="s">
        <v>981</v>
      </c>
      <c r="I931" s="2">
        <v>3.1</v>
      </c>
      <c r="J931" t="s">
        <v>81</v>
      </c>
    </row>
    <row r="932" spans="1:10">
      <c r="A932" t="s">
        <v>1083</v>
      </c>
      <c r="B932" t="s">
        <v>80</v>
      </c>
      <c r="C932" s="1">
        <v>45274</v>
      </c>
      <c r="D932" t="s">
        <v>210</v>
      </c>
      <c r="E932" t="s">
        <v>25</v>
      </c>
      <c r="F932" s="3">
        <v>2025</v>
      </c>
      <c r="G932" s="3">
        <v>3</v>
      </c>
      <c r="H932" t="s">
        <v>981</v>
      </c>
      <c r="I932" s="2">
        <v>3.1</v>
      </c>
      <c r="J932" t="s">
        <v>81</v>
      </c>
    </row>
    <row r="933" spans="1:10">
      <c r="A933" t="s">
        <v>1084</v>
      </c>
      <c r="B933" t="s">
        <v>80</v>
      </c>
      <c r="C933" s="1">
        <v>45274</v>
      </c>
      <c r="D933" t="s">
        <v>212</v>
      </c>
      <c r="E933" t="s">
        <v>26</v>
      </c>
      <c r="F933" s="3">
        <v>2025</v>
      </c>
      <c r="G933" s="3">
        <v>3</v>
      </c>
      <c r="H933" t="s">
        <v>981</v>
      </c>
      <c r="I933" s="2">
        <v>3.3</v>
      </c>
      <c r="J933" t="s">
        <v>81</v>
      </c>
    </row>
    <row r="934" spans="1:10">
      <c r="A934" t="s">
        <v>1085</v>
      </c>
      <c r="B934" t="s">
        <v>80</v>
      </c>
      <c r="C934" s="1">
        <v>45274</v>
      </c>
      <c r="D934" t="s">
        <v>22</v>
      </c>
      <c r="E934" t="s">
        <v>22</v>
      </c>
      <c r="F934" s="3">
        <v>2025</v>
      </c>
      <c r="G934" s="3">
        <v>4</v>
      </c>
      <c r="H934" t="s">
        <v>1086</v>
      </c>
      <c r="I934" s="2">
        <v>3.1</v>
      </c>
      <c r="J934" t="s">
        <v>81</v>
      </c>
    </row>
    <row r="935" spans="1:10">
      <c r="A935" t="s">
        <v>1087</v>
      </c>
      <c r="B935" t="s">
        <v>80</v>
      </c>
      <c r="C935" s="1">
        <v>45274</v>
      </c>
      <c r="D935" t="s">
        <v>134</v>
      </c>
      <c r="E935" t="s">
        <v>24</v>
      </c>
      <c r="F935" s="3">
        <v>2025</v>
      </c>
      <c r="G935" s="3">
        <v>4</v>
      </c>
      <c r="H935" t="s">
        <v>1086</v>
      </c>
      <c r="I935" s="2">
        <v>3.1</v>
      </c>
      <c r="J935" t="s">
        <v>81</v>
      </c>
    </row>
    <row r="936" spans="1:10">
      <c r="A936" t="s">
        <v>1088</v>
      </c>
      <c r="B936" t="s">
        <v>80</v>
      </c>
      <c r="C936" s="1">
        <v>45274</v>
      </c>
      <c r="D936" t="s">
        <v>210</v>
      </c>
      <c r="E936" t="s">
        <v>25</v>
      </c>
      <c r="F936" s="3">
        <v>2025</v>
      </c>
      <c r="G936" s="3">
        <v>4</v>
      </c>
      <c r="H936" t="s">
        <v>1086</v>
      </c>
      <c r="I936" s="2">
        <v>3.2</v>
      </c>
      <c r="J936" t="s">
        <v>81</v>
      </c>
    </row>
    <row r="937" spans="1:10">
      <c r="A937" t="s">
        <v>1089</v>
      </c>
      <c r="B937" t="s">
        <v>80</v>
      </c>
      <c r="C937" s="1">
        <v>45274</v>
      </c>
      <c r="D937" t="s">
        <v>212</v>
      </c>
      <c r="E937" t="s">
        <v>26</v>
      </c>
      <c r="F937" s="3">
        <v>2025</v>
      </c>
      <c r="G937" s="3">
        <v>4</v>
      </c>
      <c r="H937" t="s">
        <v>1086</v>
      </c>
      <c r="I937" s="2">
        <v>3.3</v>
      </c>
      <c r="J937" t="s">
        <v>81</v>
      </c>
    </row>
    <row r="938" spans="1:10">
      <c r="A938" t="s">
        <v>1090</v>
      </c>
      <c r="B938" t="s">
        <v>82</v>
      </c>
      <c r="C938" s="1">
        <v>45330</v>
      </c>
      <c r="D938" t="s">
        <v>22</v>
      </c>
      <c r="E938" t="s">
        <v>22</v>
      </c>
      <c r="F938" s="3">
        <v>2023</v>
      </c>
      <c r="G938" s="3">
        <v>1</v>
      </c>
      <c r="H938" t="s">
        <v>157</v>
      </c>
      <c r="I938" s="2">
        <v>7.5</v>
      </c>
      <c r="J938" t="s">
        <v>83</v>
      </c>
    </row>
    <row r="939" spans="1:10">
      <c r="A939" t="s">
        <v>1091</v>
      </c>
      <c r="B939" t="s">
        <v>82</v>
      </c>
      <c r="C939" s="1">
        <v>45330</v>
      </c>
      <c r="D939" t="s">
        <v>134</v>
      </c>
      <c r="E939" t="s">
        <v>24</v>
      </c>
      <c r="F939" s="3">
        <v>2023</v>
      </c>
      <c r="G939" s="3">
        <v>1</v>
      </c>
      <c r="H939" t="s">
        <v>157</v>
      </c>
      <c r="I939" s="2">
        <v>8.3000000000000007</v>
      </c>
      <c r="J939" t="s">
        <v>83</v>
      </c>
    </row>
    <row r="940" spans="1:10">
      <c r="A940" t="s">
        <v>1092</v>
      </c>
      <c r="B940" t="s">
        <v>82</v>
      </c>
      <c r="C940" s="1">
        <v>45330</v>
      </c>
      <c r="D940" t="s">
        <v>210</v>
      </c>
      <c r="E940" t="s">
        <v>25</v>
      </c>
      <c r="F940" s="3">
        <v>2023</v>
      </c>
      <c r="G940" s="3">
        <v>1</v>
      </c>
      <c r="H940" t="s">
        <v>157</v>
      </c>
      <c r="I940" s="2">
        <v>4.9000000000000004</v>
      </c>
      <c r="J940" t="s">
        <v>83</v>
      </c>
    </row>
    <row r="941" spans="1:10">
      <c r="A941" t="s">
        <v>1093</v>
      </c>
      <c r="B941" t="s">
        <v>82</v>
      </c>
      <c r="C941" s="1">
        <v>45330</v>
      </c>
      <c r="D941" t="s">
        <v>212</v>
      </c>
      <c r="E941" t="s">
        <v>26</v>
      </c>
      <c r="F941" s="3">
        <v>2023</v>
      </c>
      <c r="G941" s="3">
        <v>1</v>
      </c>
      <c r="H941" t="s">
        <v>157</v>
      </c>
      <c r="I941" s="2">
        <v>7.2</v>
      </c>
      <c r="J941" t="s">
        <v>83</v>
      </c>
    </row>
    <row r="942" spans="1:10">
      <c r="A942" t="s">
        <v>1094</v>
      </c>
      <c r="B942" t="s">
        <v>82</v>
      </c>
      <c r="C942" s="1">
        <v>45330</v>
      </c>
      <c r="D942" t="s">
        <v>22</v>
      </c>
      <c r="E942" t="s">
        <v>22</v>
      </c>
      <c r="F942" s="3">
        <v>2023</v>
      </c>
      <c r="G942" s="3">
        <v>2</v>
      </c>
      <c r="H942" t="s">
        <v>160</v>
      </c>
      <c r="I942" s="2">
        <v>5.7</v>
      </c>
      <c r="J942" t="s">
        <v>83</v>
      </c>
    </row>
    <row r="943" spans="1:10">
      <c r="A943" t="s">
        <v>1095</v>
      </c>
      <c r="B943" t="s">
        <v>82</v>
      </c>
      <c r="C943" s="1">
        <v>45330</v>
      </c>
      <c r="D943" t="s">
        <v>134</v>
      </c>
      <c r="E943" t="s">
        <v>24</v>
      </c>
      <c r="F943" s="3">
        <v>2023</v>
      </c>
      <c r="G943" s="3">
        <v>2</v>
      </c>
      <c r="H943" t="s">
        <v>160</v>
      </c>
      <c r="I943" s="2">
        <v>7.3</v>
      </c>
      <c r="J943" t="s">
        <v>83</v>
      </c>
    </row>
    <row r="944" spans="1:10">
      <c r="A944" t="s">
        <v>1096</v>
      </c>
      <c r="B944" t="s">
        <v>82</v>
      </c>
      <c r="C944" s="1">
        <v>45330</v>
      </c>
      <c r="D944" t="s">
        <v>210</v>
      </c>
      <c r="E944" t="s">
        <v>25</v>
      </c>
      <c r="F944" s="3">
        <v>2023</v>
      </c>
      <c r="G944" s="3">
        <v>2</v>
      </c>
      <c r="H944" t="s">
        <v>160</v>
      </c>
      <c r="I944" s="2">
        <v>3.6</v>
      </c>
      <c r="J944" t="s">
        <v>83</v>
      </c>
    </row>
    <row r="945" spans="1:10">
      <c r="A945" t="s">
        <v>1097</v>
      </c>
      <c r="B945" t="s">
        <v>82</v>
      </c>
      <c r="C945" s="1">
        <v>45330</v>
      </c>
      <c r="D945" t="s">
        <v>212</v>
      </c>
      <c r="E945" t="s">
        <v>26</v>
      </c>
      <c r="F945" s="3">
        <v>2023</v>
      </c>
      <c r="G945" s="3">
        <v>2</v>
      </c>
      <c r="H945" t="s">
        <v>160</v>
      </c>
      <c r="I945" s="2">
        <v>5.3</v>
      </c>
      <c r="J945" t="s">
        <v>83</v>
      </c>
    </row>
    <row r="946" spans="1:10">
      <c r="A946" t="s">
        <v>1098</v>
      </c>
      <c r="B946" t="s">
        <v>82</v>
      </c>
      <c r="C946" s="1">
        <v>45330</v>
      </c>
      <c r="D946" t="s">
        <v>22</v>
      </c>
      <c r="E946" t="s">
        <v>22</v>
      </c>
      <c r="F946" s="3">
        <v>2023</v>
      </c>
      <c r="G946" s="3">
        <v>3</v>
      </c>
      <c r="H946" t="s">
        <v>183</v>
      </c>
      <c r="I946" s="2">
        <v>4.5999999999999996</v>
      </c>
      <c r="J946" t="s">
        <v>83</v>
      </c>
    </row>
    <row r="947" spans="1:10">
      <c r="A947" t="s">
        <v>1099</v>
      </c>
      <c r="B947" t="s">
        <v>82</v>
      </c>
      <c r="C947" s="1">
        <v>45330</v>
      </c>
      <c r="D947" t="s">
        <v>134</v>
      </c>
      <c r="E947" t="s">
        <v>24</v>
      </c>
      <c r="F947" s="3">
        <v>2023</v>
      </c>
      <c r="G947" s="3">
        <v>3</v>
      </c>
      <c r="H947" t="s">
        <v>183</v>
      </c>
      <c r="I947" s="2">
        <v>6.2</v>
      </c>
      <c r="J947" t="s">
        <v>83</v>
      </c>
    </row>
    <row r="948" spans="1:10">
      <c r="A948" t="s">
        <v>1100</v>
      </c>
      <c r="B948" t="s">
        <v>82</v>
      </c>
      <c r="C948" s="1">
        <v>45330</v>
      </c>
      <c r="D948" t="s">
        <v>210</v>
      </c>
      <c r="E948" t="s">
        <v>25</v>
      </c>
      <c r="F948" s="3">
        <v>2023</v>
      </c>
      <c r="G948" s="3">
        <v>3</v>
      </c>
      <c r="H948" t="s">
        <v>183</v>
      </c>
      <c r="I948" s="2">
        <v>4.4000000000000004</v>
      </c>
      <c r="J948" t="s">
        <v>83</v>
      </c>
    </row>
    <row r="949" spans="1:10">
      <c r="A949" t="s">
        <v>1101</v>
      </c>
      <c r="B949" t="s">
        <v>82</v>
      </c>
      <c r="C949" s="1">
        <v>45330</v>
      </c>
      <c r="D949" t="s">
        <v>212</v>
      </c>
      <c r="E949" t="s">
        <v>26</v>
      </c>
      <c r="F949" s="3">
        <v>2023</v>
      </c>
      <c r="G949" s="3">
        <v>3</v>
      </c>
      <c r="H949" t="s">
        <v>183</v>
      </c>
      <c r="I949" s="2">
        <v>4.5999999999999996</v>
      </c>
      <c r="J949" t="s">
        <v>83</v>
      </c>
    </row>
    <row r="950" spans="1:10">
      <c r="A950" t="s">
        <v>1102</v>
      </c>
      <c r="B950" t="s">
        <v>82</v>
      </c>
      <c r="C950" s="1">
        <v>45330</v>
      </c>
      <c r="D950" t="s">
        <v>22</v>
      </c>
      <c r="E950" t="s">
        <v>22</v>
      </c>
      <c r="F950" s="3">
        <v>2023</v>
      </c>
      <c r="G950" s="3">
        <v>4</v>
      </c>
      <c r="H950" t="s">
        <v>254</v>
      </c>
      <c r="I950" s="2">
        <v>4.4000000000000004</v>
      </c>
      <c r="J950" t="s">
        <v>83</v>
      </c>
    </row>
    <row r="951" spans="1:10">
      <c r="A951" t="s">
        <v>1103</v>
      </c>
      <c r="B951" t="s">
        <v>82</v>
      </c>
      <c r="C951" s="1">
        <v>45330</v>
      </c>
      <c r="D951" t="s">
        <v>134</v>
      </c>
      <c r="E951" t="s">
        <v>24</v>
      </c>
      <c r="F951" s="3">
        <v>2023</v>
      </c>
      <c r="G951" s="3">
        <v>4</v>
      </c>
      <c r="H951" t="s">
        <v>254</v>
      </c>
      <c r="I951" s="2">
        <v>5.3</v>
      </c>
      <c r="J951" t="s">
        <v>83</v>
      </c>
    </row>
    <row r="952" spans="1:10">
      <c r="A952" t="s">
        <v>1104</v>
      </c>
      <c r="B952" t="s">
        <v>82</v>
      </c>
      <c r="C952" s="1">
        <v>45330</v>
      </c>
      <c r="D952" t="s">
        <v>210</v>
      </c>
      <c r="E952" t="s">
        <v>25</v>
      </c>
      <c r="F952" s="3">
        <v>2023</v>
      </c>
      <c r="G952" s="3">
        <v>4</v>
      </c>
      <c r="H952" t="s">
        <v>254</v>
      </c>
      <c r="I952" s="2">
        <v>5.2</v>
      </c>
      <c r="J952" t="s">
        <v>83</v>
      </c>
    </row>
    <row r="953" spans="1:10">
      <c r="A953" t="s">
        <v>1105</v>
      </c>
      <c r="B953" t="s">
        <v>82</v>
      </c>
      <c r="C953" s="1">
        <v>45330</v>
      </c>
      <c r="D953" t="s">
        <v>212</v>
      </c>
      <c r="E953" t="s">
        <v>26</v>
      </c>
      <c r="F953" s="3">
        <v>2023</v>
      </c>
      <c r="G953" s="3">
        <v>4</v>
      </c>
      <c r="H953" t="s">
        <v>254</v>
      </c>
      <c r="I953" s="2">
        <v>4.4000000000000004</v>
      </c>
      <c r="J953" t="s">
        <v>83</v>
      </c>
    </row>
    <row r="954" spans="1:10">
      <c r="A954" t="s">
        <v>1106</v>
      </c>
      <c r="B954" t="s">
        <v>82</v>
      </c>
      <c r="C954" s="1">
        <v>45330</v>
      </c>
      <c r="D954" t="s">
        <v>22</v>
      </c>
      <c r="E954" t="s">
        <v>22</v>
      </c>
      <c r="F954" s="3">
        <v>2024</v>
      </c>
      <c r="G954" s="3">
        <v>1</v>
      </c>
      <c r="H954" t="s">
        <v>355</v>
      </c>
      <c r="I954" s="2">
        <v>4.7</v>
      </c>
      <c r="J954" t="s">
        <v>83</v>
      </c>
    </row>
    <row r="955" spans="1:10">
      <c r="A955" t="s">
        <v>1107</v>
      </c>
      <c r="B955" t="s">
        <v>82</v>
      </c>
      <c r="C955" s="1">
        <v>45330</v>
      </c>
      <c r="D955" t="s">
        <v>134</v>
      </c>
      <c r="E955" t="s">
        <v>24</v>
      </c>
      <c r="F955" s="3">
        <v>2024</v>
      </c>
      <c r="G955" s="3">
        <v>1</v>
      </c>
      <c r="H955" t="s">
        <v>355</v>
      </c>
      <c r="I955" s="2">
        <v>4.5999999999999996</v>
      </c>
      <c r="J955" t="s">
        <v>83</v>
      </c>
    </row>
    <row r="956" spans="1:10">
      <c r="A956" t="s">
        <v>1108</v>
      </c>
      <c r="B956" t="s">
        <v>82</v>
      </c>
      <c r="C956" s="1">
        <v>45330</v>
      </c>
      <c r="D956" t="s">
        <v>210</v>
      </c>
      <c r="E956" t="s">
        <v>25</v>
      </c>
      <c r="F956" s="3">
        <v>2024</v>
      </c>
      <c r="G956" s="3">
        <v>1</v>
      </c>
      <c r="H956" t="s">
        <v>355</v>
      </c>
      <c r="I956" s="2">
        <v>5</v>
      </c>
      <c r="J956" t="s">
        <v>83</v>
      </c>
    </row>
    <row r="957" spans="1:10">
      <c r="A957" t="s">
        <v>1109</v>
      </c>
      <c r="B957" t="s">
        <v>82</v>
      </c>
      <c r="C957" s="1">
        <v>45330</v>
      </c>
      <c r="D957" t="s">
        <v>212</v>
      </c>
      <c r="E957" t="s">
        <v>26</v>
      </c>
      <c r="F957" s="3">
        <v>2024</v>
      </c>
      <c r="G957" s="3">
        <v>1</v>
      </c>
      <c r="H957" t="s">
        <v>355</v>
      </c>
      <c r="I957" s="2">
        <v>4.0999999999999996</v>
      </c>
      <c r="J957" t="s">
        <v>83</v>
      </c>
    </row>
    <row r="958" spans="1:10">
      <c r="A958" t="s">
        <v>1110</v>
      </c>
      <c r="B958" t="s">
        <v>82</v>
      </c>
      <c r="C958" s="1">
        <v>45330</v>
      </c>
      <c r="D958" t="s">
        <v>22</v>
      </c>
      <c r="E958" t="s">
        <v>22</v>
      </c>
      <c r="F958" s="3">
        <v>2024</v>
      </c>
      <c r="G958" s="3">
        <v>2</v>
      </c>
      <c r="H958" t="s">
        <v>460</v>
      </c>
      <c r="I958" s="2">
        <v>4.3</v>
      </c>
      <c r="J958" t="s">
        <v>83</v>
      </c>
    </row>
    <row r="959" spans="1:10">
      <c r="A959" t="s">
        <v>1111</v>
      </c>
      <c r="B959" t="s">
        <v>82</v>
      </c>
      <c r="C959" s="1">
        <v>45330</v>
      </c>
      <c r="D959" t="s">
        <v>134</v>
      </c>
      <c r="E959" t="s">
        <v>24</v>
      </c>
      <c r="F959" s="3">
        <v>2024</v>
      </c>
      <c r="G959" s="3">
        <v>2</v>
      </c>
      <c r="H959" t="s">
        <v>460</v>
      </c>
      <c r="I959" s="2">
        <v>4.0999999999999996</v>
      </c>
      <c r="J959" t="s">
        <v>83</v>
      </c>
    </row>
    <row r="960" spans="1:10">
      <c r="A960" t="s">
        <v>1112</v>
      </c>
      <c r="B960" t="s">
        <v>82</v>
      </c>
      <c r="C960" s="1">
        <v>45330</v>
      </c>
      <c r="D960" t="s">
        <v>210</v>
      </c>
      <c r="E960" t="s">
        <v>25</v>
      </c>
      <c r="F960" s="3">
        <v>2024</v>
      </c>
      <c r="G960" s="3">
        <v>2</v>
      </c>
      <c r="H960" t="s">
        <v>460</v>
      </c>
      <c r="I960" s="2">
        <v>2.8</v>
      </c>
      <c r="J960" t="s">
        <v>83</v>
      </c>
    </row>
    <row r="961" spans="1:10">
      <c r="A961" t="s">
        <v>1113</v>
      </c>
      <c r="B961" t="s">
        <v>82</v>
      </c>
      <c r="C961" s="1">
        <v>45330</v>
      </c>
      <c r="D961" t="s">
        <v>212</v>
      </c>
      <c r="E961" t="s">
        <v>26</v>
      </c>
      <c r="F961" s="3">
        <v>2024</v>
      </c>
      <c r="G961" s="3">
        <v>2</v>
      </c>
      <c r="H961" t="s">
        <v>460</v>
      </c>
      <c r="I961" s="2">
        <v>3.4</v>
      </c>
      <c r="J961" t="s">
        <v>83</v>
      </c>
    </row>
    <row r="962" spans="1:10">
      <c r="A962" t="s">
        <v>1114</v>
      </c>
      <c r="B962" t="s">
        <v>82</v>
      </c>
      <c r="C962" s="1">
        <v>45330</v>
      </c>
      <c r="D962" t="s">
        <v>22</v>
      </c>
      <c r="E962" t="s">
        <v>22</v>
      </c>
      <c r="F962" s="3">
        <v>2024</v>
      </c>
      <c r="G962" s="3">
        <v>3</v>
      </c>
      <c r="H962" t="s">
        <v>565</v>
      </c>
      <c r="I962" s="2">
        <v>3.9</v>
      </c>
      <c r="J962" t="s">
        <v>83</v>
      </c>
    </row>
    <row r="963" spans="1:10">
      <c r="A963" t="s">
        <v>1115</v>
      </c>
      <c r="B963" t="s">
        <v>82</v>
      </c>
      <c r="C963" s="1">
        <v>45330</v>
      </c>
      <c r="D963" t="s">
        <v>134</v>
      </c>
      <c r="E963" t="s">
        <v>24</v>
      </c>
      <c r="F963" s="3">
        <v>2024</v>
      </c>
      <c r="G963" s="3">
        <v>3</v>
      </c>
      <c r="H963" t="s">
        <v>565</v>
      </c>
      <c r="I963" s="2">
        <v>3.7</v>
      </c>
      <c r="J963" t="s">
        <v>83</v>
      </c>
    </row>
    <row r="964" spans="1:10">
      <c r="A964" t="s">
        <v>1116</v>
      </c>
      <c r="B964" t="s">
        <v>82</v>
      </c>
      <c r="C964" s="1">
        <v>45330</v>
      </c>
      <c r="D964" t="s">
        <v>210</v>
      </c>
      <c r="E964" t="s">
        <v>25</v>
      </c>
      <c r="F964" s="3">
        <v>2024</v>
      </c>
      <c r="G964" s="3">
        <v>3</v>
      </c>
      <c r="H964" t="s">
        <v>565</v>
      </c>
      <c r="I964" s="2">
        <v>3.1</v>
      </c>
      <c r="J964" t="s">
        <v>83</v>
      </c>
    </row>
    <row r="965" spans="1:10">
      <c r="A965" t="s">
        <v>1117</v>
      </c>
      <c r="B965" t="s">
        <v>82</v>
      </c>
      <c r="C965" s="1">
        <v>45330</v>
      </c>
      <c r="D965" t="s">
        <v>212</v>
      </c>
      <c r="E965" t="s">
        <v>26</v>
      </c>
      <c r="F965" s="3">
        <v>2024</v>
      </c>
      <c r="G965" s="3">
        <v>3</v>
      </c>
      <c r="H965" t="s">
        <v>565</v>
      </c>
      <c r="I965" s="2">
        <v>3.2</v>
      </c>
      <c r="J965" t="s">
        <v>83</v>
      </c>
    </row>
    <row r="966" spans="1:10">
      <c r="A966" t="s">
        <v>1118</v>
      </c>
      <c r="B966" t="s">
        <v>82</v>
      </c>
      <c r="C966" s="1">
        <v>45330</v>
      </c>
      <c r="D966" t="s">
        <v>22</v>
      </c>
      <c r="E966" t="s">
        <v>22</v>
      </c>
      <c r="F966" s="3">
        <v>2024</v>
      </c>
      <c r="G966" s="3">
        <v>4</v>
      </c>
      <c r="H966" t="s">
        <v>670</v>
      </c>
      <c r="I966" s="2">
        <v>3.5</v>
      </c>
      <c r="J966" t="s">
        <v>83</v>
      </c>
    </row>
    <row r="967" spans="1:10">
      <c r="A967" t="s">
        <v>1119</v>
      </c>
      <c r="B967" t="s">
        <v>82</v>
      </c>
      <c r="C967" s="1">
        <v>45330</v>
      </c>
      <c r="D967" t="s">
        <v>134</v>
      </c>
      <c r="E967" t="s">
        <v>24</v>
      </c>
      <c r="F967" s="3">
        <v>2024</v>
      </c>
      <c r="G967" s="3">
        <v>4</v>
      </c>
      <c r="H967" t="s">
        <v>670</v>
      </c>
      <c r="I967" s="2">
        <v>3.5</v>
      </c>
      <c r="J967" t="s">
        <v>83</v>
      </c>
    </row>
    <row r="968" spans="1:10">
      <c r="A968" t="s">
        <v>1120</v>
      </c>
      <c r="B968" t="s">
        <v>82</v>
      </c>
      <c r="C968" s="1">
        <v>45330</v>
      </c>
      <c r="D968" t="s">
        <v>210</v>
      </c>
      <c r="E968" t="s">
        <v>25</v>
      </c>
      <c r="F968" s="3">
        <v>2024</v>
      </c>
      <c r="G968" s="3">
        <v>4</v>
      </c>
      <c r="H968" t="s">
        <v>670</v>
      </c>
      <c r="I968" s="2">
        <v>3.2</v>
      </c>
      <c r="J968" t="s">
        <v>83</v>
      </c>
    </row>
    <row r="969" spans="1:10">
      <c r="A969" t="s">
        <v>1121</v>
      </c>
      <c r="B969" t="s">
        <v>82</v>
      </c>
      <c r="C969" s="1">
        <v>45330</v>
      </c>
      <c r="D969" t="s">
        <v>212</v>
      </c>
      <c r="E969" t="s">
        <v>26</v>
      </c>
      <c r="F969" s="3">
        <v>2024</v>
      </c>
      <c r="G969" s="3">
        <v>4</v>
      </c>
      <c r="H969" t="s">
        <v>670</v>
      </c>
      <c r="I969" s="2">
        <v>3.4</v>
      </c>
      <c r="J969" t="s">
        <v>83</v>
      </c>
    </row>
    <row r="970" spans="1:10">
      <c r="A970" t="s">
        <v>1122</v>
      </c>
      <c r="B970" t="s">
        <v>82</v>
      </c>
      <c r="C970" s="1">
        <v>45330</v>
      </c>
      <c r="D970" t="s">
        <v>22</v>
      </c>
      <c r="E970" t="s">
        <v>22</v>
      </c>
      <c r="F970" s="3">
        <v>2025</v>
      </c>
      <c r="G970" s="3">
        <v>1</v>
      </c>
      <c r="H970" t="s">
        <v>771</v>
      </c>
      <c r="I970" s="2">
        <v>3.2</v>
      </c>
      <c r="J970" t="s">
        <v>83</v>
      </c>
    </row>
    <row r="971" spans="1:10">
      <c r="A971" t="s">
        <v>1123</v>
      </c>
      <c r="B971" t="s">
        <v>82</v>
      </c>
      <c r="C971" s="1">
        <v>45330</v>
      </c>
      <c r="D971" t="s">
        <v>134</v>
      </c>
      <c r="E971" t="s">
        <v>24</v>
      </c>
      <c r="F971" s="3">
        <v>2025</v>
      </c>
      <c r="G971" s="3">
        <v>1</v>
      </c>
      <c r="H971" t="s">
        <v>771</v>
      </c>
      <c r="I971" s="2">
        <v>3.2</v>
      </c>
      <c r="J971" t="s">
        <v>83</v>
      </c>
    </row>
    <row r="972" spans="1:10">
      <c r="A972" t="s">
        <v>1124</v>
      </c>
      <c r="B972" t="s">
        <v>82</v>
      </c>
      <c r="C972" s="1">
        <v>45330</v>
      </c>
      <c r="D972" t="s">
        <v>210</v>
      </c>
      <c r="E972" t="s">
        <v>25</v>
      </c>
      <c r="F972" s="3">
        <v>2025</v>
      </c>
      <c r="G972" s="3">
        <v>1</v>
      </c>
      <c r="H972" t="s">
        <v>771</v>
      </c>
      <c r="I972" s="2">
        <v>3.6</v>
      </c>
      <c r="J972" t="s">
        <v>83</v>
      </c>
    </row>
    <row r="973" spans="1:10">
      <c r="A973" t="s">
        <v>1125</v>
      </c>
      <c r="B973" t="s">
        <v>82</v>
      </c>
      <c r="C973" s="1">
        <v>45330</v>
      </c>
      <c r="D973" t="s">
        <v>212</v>
      </c>
      <c r="E973" t="s">
        <v>26</v>
      </c>
      <c r="F973" s="3">
        <v>2025</v>
      </c>
      <c r="G973" s="3">
        <v>1</v>
      </c>
      <c r="H973" t="s">
        <v>771</v>
      </c>
      <c r="I973" s="2">
        <v>3</v>
      </c>
      <c r="J973" t="s">
        <v>83</v>
      </c>
    </row>
    <row r="974" spans="1:10">
      <c r="A974" t="s">
        <v>1126</v>
      </c>
      <c r="B974" t="s">
        <v>82</v>
      </c>
      <c r="C974" s="1">
        <v>45330</v>
      </c>
      <c r="D974" t="s">
        <v>22</v>
      </c>
      <c r="E974" t="s">
        <v>22</v>
      </c>
      <c r="F974" s="3">
        <v>2025</v>
      </c>
      <c r="G974" s="3">
        <v>2</v>
      </c>
      <c r="H974" t="s">
        <v>876</v>
      </c>
      <c r="I974" s="2">
        <v>3.1</v>
      </c>
      <c r="J974" t="s">
        <v>83</v>
      </c>
    </row>
    <row r="975" spans="1:10">
      <c r="A975" t="s">
        <v>1127</v>
      </c>
      <c r="B975" t="s">
        <v>82</v>
      </c>
      <c r="C975" s="1">
        <v>45330</v>
      </c>
      <c r="D975" t="s">
        <v>134</v>
      </c>
      <c r="E975" t="s">
        <v>24</v>
      </c>
      <c r="F975" s="3">
        <v>2025</v>
      </c>
      <c r="G975" s="3">
        <v>2</v>
      </c>
      <c r="H975" t="s">
        <v>876</v>
      </c>
      <c r="I975" s="2">
        <v>3.1</v>
      </c>
      <c r="J975" t="s">
        <v>83</v>
      </c>
    </row>
    <row r="976" spans="1:10">
      <c r="A976" t="s">
        <v>1128</v>
      </c>
      <c r="B976" t="s">
        <v>82</v>
      </c>
      <c r="C976" s="1">
        <v>45330</v>
      </c>
      <c r="D976" t="s">
        <v>210</v>
      </c>
      <c r="E976" t="s">
        <v>25</v>
      </c>
      <c r="F976" s="3">
        <v>2025</v>
      </c>
      <c r="G976" s="3">
        <v>2</v>
      </c>
      <c r="H976" t="s">
        <v>876</v>
      </c>
      <c r="I976" s="2">
        <v>2.7</v>
      </c>
      <c r="J976" t="s">
        <v>83</v>
      </c>
    </row>
    <row r="977" spans="1:10">
      <c r="A977" t="s">
        <v>1129</v>
      </c>
      <c r="B977" t="s">
        <v>82</v>
      </c>
      <c r="C977" s="1">
        <v>45330</v>
      </c>
      <c r="D977" t="s">
        <v>212</v>
      </c>
      <c r="E977" t="s">
        <v>26</v>
      </c>
      <c r="F977" s="3">
        <v>2025</v>
      </c>
      <c r="G977" s="3">
        <v>2</v>
      </c>
      <c r="H977" t="s">
        <v>876</v>
      </c>
      <c r="I977" s="2">
        <v>3</v>
      </c>
      <c r="J977" t="s">
        <v>83</v>
      </c>
    </row>
    <row r="978" spans="1:10">
      <c r="A978" t="s">
        <v>1130</v>
      </c>
      <c r="B978" t="s">
        <v>82</v>
      </c>
      <c r="C978" s="1">
        <v>45330</v>
      </c>
      <c r="D978" t="s">
        <v>22</v>
      </c>
      <c r="E978" t="s">
        <v>22</v>
      </c>
      <c r="F978" s="3">
        <v>2025</v>
      </c>
      <c r="G978" s="3">
        <v>3</v>
      </c>
      <c r="H978" t="s">
        <v>981</v>
      </c>
      <c r="I978" s="2">
        <v>3.1</v>
      </c>
      <c r="J978" t="s">
        <v>83</v>
      </c>
    </row>
    <row r="979" spans="1:10">
      <c r="A979" t="s">
        <v>1131</v>
      </c>
      <c r="B979" t="s">
        <v>82</v>
      </c>
      <c r="C979" s="1">
        <v>45330</v>
      </c>
      <c r="D979" t="s">
        <v>134</v>
      </c>
      <c r="E979" t="s">
        <v>24</v>
      </c>
      <c r="F979" s="3">
        <v>2025</v>
      </c>
      <c r="G979" s="3">
        <v>3</v>
      </c>
      <c r="H979" t="s">
        <v>981</v>
      </c>
      <c r="I979" s="2">
        <v>3.1</v>
      </c>
      <c r="J979" t="s">
        <v>83</v>
      </c>
    </row>
    <row r="980" spans="1:10">
      <c r="A980" t="s">
        <v>1132</v>
      </c>
      <c r="B980" t="s">
        <v>82</v>
      </c>
      <c r="C980" s="1">
        <v>45330</v>
      </c>
      <c r="D980" t="s">
        <v>210</v>
      </c>
      <c r="E980" t="s">
        <v>25</v>
      </c>
      <c r="F980" s="3">
        <v>2025</v>
      </c>
      <c r="G980" s="3">
        <v>3</v>
      </c>
      <c r="H980" t="s">
        <v>981</v>
      </c>
      <c r="I980" s="2">
        <v>3.1</v>
      </c>
      <c r="J980" t="s">
        <v>83</v>
      </c>
    </row>
    <row r="981" spans="1:10">
      <c r="A981" t="s">
        <v>1133</v>
      </c>
      <c r="B981" t="s">
        <v>82</v>
      </c>
      <c r="C981" s="1">
        <v>45330</v>
      </c>
      <c r="D981" t="s">
        <v>212</v>
      </c>
      <c r="E981" t="s">
        <v>26</v>
      </c>
      <c r="F981" s="3">
        <v>2025</v>
      </c>
      <c r="G981" s="3">
        <v>3</v>
      </c>
      <c r="H981" t="s">
        <v>981</v>
      </c>
      <c r="I981" s="2">
        <v>3.2</v>
      </c>
      <c r="J981" t="s">
        <v>83</v>
      </c>
    </row>
    <row r="982" spans="1:10">
      <c r="A982" t="s">
        <v>1134</v>
      </c>
      <c r="B982" t="s">
        <v>82</v>
      </c>
      <c r="C982" s="1">
        <v>45330</v>
      </c>
      <c r="D982" t="s">
        <v>22</v>
      </c>
      <c r="E982" t="s">
        <v>22</v>
      </c>
      <c r="F982" s="3">
        <v>2025</v>
      </c>
      <c r="G982" s="3">
        <v>4</v>
      </c>
      <c r="H982" t="s">
        <v>1086</v>
      </c>
      <c r="I982" s="2">
        <v>3.1</v>
      </c>
      <c r="J982" t="s">
        <v>83</v>
      </c>
    </row>
    <row r="983" spans="1:10">
      <c r="A983" t="s">
        <v>1135</v>
      </c>
      <c r="B983" t="s">
        <v>82</v>
      </c>
      <c r="C983" s="1">
        <v>45330</v>
      </c>
      <c r="D983" t="s">
        <v>134</v>
      </c>
      <c r="E983" t="s">
        <v>24</v>
      </c>
      <c r="F983" s="3">
        <v>2025</v>
      </c>
      <c r="G983" s="3">
        <v>4</v>
      </c>
      <c r="H983" t="s">
        <v>1086</v>
      </c>
      <c r="I983" s="2">
        <v>3.1</v>
      </c>
      <c r="J983" t="s">
        <v>83</v>
      </c>
    </row>
    <row r="984" spans="1:10">
      <c r="A984" t="s">
        <v>1136</v>
      </c>
      <c r="B984" t="s">
        <v>82</v>
      </c>
      <c r="C984" s="1">
        <v>45330</v>
      </c>
      <c r="D984" t="s">
        <v>210</v>
      </c>
      <c r="E984" t="s">
        <v>25</v>
      </c>
      <c r="F984" s="3">
        <v>2025</v>
      </c>
      <c r="G984" s="3">
        <v>4</v>
      </c>
      <c r="H984" t="s">
        <v>1086</v>
      </c>
      <c r="I984" s="2">
        <v>3.1</v>
      </c>
      <c r="J984" t="s">
        <v>83</v>
      </c>
    </row>
    <row r="985" spans="1:10">
      <c r="A985" t="s">
        <v>1137</v>
      </c>
      <c r="B985" t="s">
        <v>82</v>
      </c>
      <c r="C985" s="1">
        <v>45330</v>
      </c>
      <c r="D985" t="s">
        <v>212</v>
      </c>
      <c r="E985" t="s">
        <v>26</v>
      </c>
      <c r="F985" s="3">
        <v>2025</v>
      </c>
      <c r="G985" s="3">
        <v>4</v>
      </c>
      <c r="H985" t="s">
        <v>1086</v>
      </c>
      <c r="I985" s="2">
        <v>3.2</v>
      </c>
      <c r="J985" t="s">
        <v>83</v>
      </c>
    </row>
    <row r="986" spans="1:10">
      <c r="A986" t="s">
        <v>1138</v>
      </c>
      <c r="B986" t="s">
        <v>84</v>
      </c>
      <c r="C986" s="1">
        <v>45372</v>
      </c>
      <c r="D986" t="s">
        <v>22</v>
      </c>
      <c r="E986" t="s">
        <v>22</v>
      </c>
      <c r="F986" s="3">
        <v>2023</v>
      </c>
      <c r="G986" s="3">
        <v>2</v>
      </c>
      <c r="H986" t="s">
        <v>160</v>
      </c>
      <c r="I986" s="2">
        <v>5.7</v>
      </c>
      <c r="J986" t="s">
        <v>85</v>
      </c>
    </row>
    <row r="987" spans="1:10">
      <c r="A987" t="s">
        <v>1139</v>
      </c>
      <c r="B987" t="s">
        <v>84</v>
      </c>
      <c r="C987" s="1">
        <v>45372</v>
      </c>
      <c r="D987" t="s">
        <v>134</v>
      </c>
      <c r="E987" t="s">
        <v>24</v>
      </c>
      <c r="F987" s="3">
        <v>2023</v>
      </c>
      <c r="G987" s="3">
        <v>2</v>
      </c>
      <c r="H987" t="s">
        <v>160</v>
      </c>
      <c r="I987" s="2">
        <v>7.3</v>
      </c>
      <c r="J987" t="s">
        <v>85</v>
      </c>
    </row>
    <row r="988" spans="1:10">
      <c r="A988" t="s">
        <v>1140</v>
      </c>
      <c r="B988" t="s">
        <v>84</v>
      </c>
      <c r="C988" s="1">
        <v>45372</v>
      </c>
      <c r="D988" t="s">
        <v>210</v>
      </c>
      <c r="E988" t="s">
        <v>25</v>
      </c>
      <c r="F988" s="3">
        <v>2023</v>
      </c>
      <c r="G988" s="3">
        <v>2</v>
      </c>
      <c r="H988" t="s">
        <v>160</v>
      </c>
      <c r="I988" s="2">
        <v>3.6</v>
      </c>
      <c r="J988" t="s">
        <v>85</v>
      </c>
    </row>
    <row r="989" spans="1:10">
      <c r="A989" t="s">
        <v>1141</v>
      </c>
      <c r="B989" t="s">
        <v>84</v>
      </c>
      <c r="C989" s="1">
        <v>45372</v>
      </c>
      <c r="D989" t="s">
        <v>212</v>
      </c>
      <c r="E989" t="s">
        <v>26</v>
      </c>
      <c r="F989" s="3">
        <v>2023</v>
      </c>
      <c r="G989" s="3">
        <v>2</v>
      </c>
      <c r="H989" t="s">
        <v>160</v>
      </c>
      <c r="I989" s="2">
        <v>4.9000000000000004</v>
      </c>
      <c r="J989" t="s">
        <v>85</v>
      </c>
    </row>
    <row r="990" spans="1:10">
      <c r="A990" t="s">
        <v>1142</v>
      </c>
      <c r="B990" t="s">
        <v>84</v>
      </c>
      <c r="C990" s="1">
        <v>45372</v>
      </c>
      <c r="D990" t="s">
        <v>22</v>
      </c>
      <c r="E990" t="s">
        <v>22</v>
      </c>
      <c r="F990" s="3">
        <v>2023</v>
      </c>
      <c r="G990" s="3">
        <v>3</v>
      </c>
      <c r="H990" t="s">
        <v>183</v>
      </c>
      <c r="I990" s="2">
        <v>4.5999999999999996</v>
      </c>
      <c r="J990" t="s">
        <v>85</v>
      </c>
    </row>
    <row r="991" spans="1:10">
      <c r="A991" t="s">
        <v>1143</v>
      </c>
      <c r="B991" t="s">
        <v>84</v>
      </c>
      <c r="C991" s="1">
        <v>45372</v>
      </c>
      <c r="D991" t="s">
        <v>134</v>
      </c>
      <c r="E991" t="s">
        <v>24</v>
      </c>
      <c r="F991" s="3">
        <v>2023</v>
      </c>
      <c r="G991" s="3">
        <v>3</v>
      </c>
      <c r="H991" t="s">
        <v>183</v>
      </c>
      <c r="I991" s="2">
        <v>6.2</v>
      </c>
      <c r="J991" t="s">
        <v>85</v>
      </c>
    </row>
    <row r="992" spans="1:10">
      <c r="A992" t="s">
        <v>1144</v>
      </c>
      <c r="B992" t="s">
        <v>84</v>
      </c>
      <c r="C992" s="1">
        <v>45372</v>
      </c>
      <c r="D992" t="s">
        <v>210</v>
      </c>
      <c r="E992" t="s">
        <v>25</v>
      </c>
      <c r="F992" s="3">
        <v>2023</v>
      </c>
      <c r="G992" s="3">
        <v>3</v>
      </c>
      <c r="H992" t="s">
        <v>183</v>
      </c>
      <c r="I992" s="2">
        <v>4.2</v>
      </c>
      <c r="J992" t="s">
        <v>85</v>
      </c>
    </row>
    <row r="993" spans="1:10">
      <c r="A993" t="s">
        <v>1145</v>
      </c>
      <c r="B993" t="s">
        <v>84</v>
      </c>
      <c r="C993" s="1">
        <v>45372</v>
      </c>
      <c r="D993" t="s">
        <v>212</v>
      </c>
      <c r="E993" t="s">
        <v>26</v>
      </c>
      <c r="F993" s="3">
        <v>2023</v>
      </c>
      <c r="G993" s="3">
        <v>3</v>
      </c>
      <c r="H993" t="s">
        <v>183</v>
      </c>
      <c r="I993" s="2">
        <v>4.5999999999999996</v>
      </c>
      <c r="J993" t="s">
        <v>85</v>
      </c>
    </row>
    <row r="994" spans="1:10">
      <c r="A994" t="s">
        <v>1146</v>
      </c>
      <c r="B994" t="s">
        <v>84</v>
      </c>
      <c r="C994" s="1">
        <v>45372</v>
      </c>
      <c r="D994" t="s">
        <v>22</v>
      </c>
      <c r="E994" t="s">
        <v>22</v>
      </c>
      <c r="F994" s="3">
        <v>2023</v>
      </c>
      <c r="G994" s="3">
        <v>4</v>
      </c>
      <c r="H994" t="s">
        <v>254</v>
      </c>
      <c r="I994" s="2">
        <v>4.4000000000000004</v>
      </c>
      <c r="J994" t="s">
        <v>85</v>
      </c>
    </row>
    <row r="995" spans="1:10">
      <c r="A995" t="s">
        <v>1147</v>
      </c>
      <c r="B995" t="s">
        <v>84</v>
      </c>
      <c r="C995" s="1">
        <v>45372</v>
      </c>
      <c r="D995" t="s">
        <v>134</v>
      </c>
      <c r="E995" t="s">
        <v>24</v>
      </c>
      <c r="F995" s="3">
        <v>2023</v>
      </c>
      <c r="G995" s="3">
        <v>4</v>
      </c>
      <c r="H995" t="s">
        <v>254</v>
      </c>
      <c r="I995" s="2">
        <v>5.3</v>
      </c>
      <c r="J995" t="s">
        <v>85</v>
      </c>
    </row>
    <row r="996" spans="1:10">
      <c r="A996" t="s">
        <v>1148</v>
      </c>
      <c r="B996" t="s">
        <v>84</v>
      </c>
      <c r="C996" s="1">
        <v>45372</v>
      </c>
      <c r="D996" t="s">
        <v>210</v>
      </c>
      <c r="E996" t="s">
        <v>25</v>
      </c>
      <c r="F996" s="3">
        <v>2023</v>
      </c>
      <c r="G996" s="3">
        <v>4</v>
      </c>
      <c r="H996" t="s">
        <v>254</v>
      </c>
      <c r="I996" s="2">
        <v>5.2</v>
      </c>
      <c r="J996" t="s">
        <v>85</v>
      </c>
    </row>
    <row r="997" spans="1:10">
      <c r="A997" t="s">
        <v>1149</v>
      </c>
      <c r="B997" t="s">
        <v>84</v>
      </c>
      <c r="C997" s="1">
        <v>45372</v>
      </c>
      <c r="D997" t="s">
        <v>212</v>
      </c>
      <c r="E997" t="s">
        <v>26</v>
      </c>
      <c r="F997" s="3">
        <v>2023</v>
      </c>
      <c r="G997" s="3">
        <v>4</v>
      </c>
      <c r="H997" t="s">
        <v>254</v>
      </c>
      <c r="I997" s="2">
        <v>4.5999999999999996</v>
      </c>
      <c r="J997" t="s">
        <v>85</v>
      </c>
    </row>
    <row r="998" spans="1:10">
      <c r="A998" t="s">
        <v>1150</v>
      </c>
      <c r="B998" t="s">
        <v>84</v>
      </c>
      <c r="C998" s="1">
        <v>45372</v>
      </c>
      <c r="D998" t="s">
        <v>22</v>
      </c>
      <c r="E998" t="s">
        <v>22</v>
      </c>
      <c r="F998" s="3">
        <v>2024</v>
      </c>
      <c r="G998" s="3">
        <v>1</v>
      </c>
      <c r="H998" t="s">
        <v>355</v>
      </c>
      <c r="I998" s="2">
        <v>4.5999999999999996</v>
      </c>
      <c r="J998" t="s">
        <v>85</v>
      </c>
    </row>
    <row r="999" spans="1:10">
      <c r="A999" t="s">
        <v>1151</v>
      </c>
      <c r="B999" t="s">
        <v>84</v>
      </c>
      <c r="C999" s="1">
        <v>45372</v>
      </c>
      <c r="D999" t="s">
        <v>134</v>
      </c>
      <c r="E999" t="s">
        <v>24</v>
      </c>
      <c r="F999" s="3">
        <v>2024</v>
      </c>
      <c r="G999" s="3">
        <v>1</v>
      </c>
      <c r="H999" t="s">
        <v>355</v>
      </c>
      <c r="I999" s="2">
        <v>4.7</v>
      </c>
      <c r="J999" t="s">
        <v>85</v>
      </c>
    </row>
    <row r="1000" spans="1:10">
      <c r="A1000" t="s">
        <v>1152</v>
      </c>
      <c r="B1000" t="s">
        <v>84</v>
      </c>
      <c r="C1000" s="1">
        <v>45372</v>
      </c>
      <c r="D1000" t="s">
        <v>210</v>
      </c>
      <c r="E1000" t="s">
        <v>25</v>
      </c>
      <c r="F1000" s="3">
        <v>2024</v>
      </c>
      <c r="G1000" s="3">
        <v>1</v>
      </c>
      <c r="H1000" t="s">
        <v>355</v>
      </c>
      <c r="I1000" s="2">
        <v>4.9000000000000004</v>
      </c>
      <c r="J1000" t="s">
        <v>85</v>
      </c>
    </row>
    <row r="1001" spans="1:10">
      <c r="A1001" t="s">
        <v>1153</v>
      </c>
      <c r="B1001" t="s">
        <v>84</v>
      </c>
      <c r="C1001" s="1">
        <v>45372</v>
      </c>
      <c r="D1001" t="s">
        <v>212</v>
      </c>
      <c r="E1001" t="s">
        <v>26</v>
      </c>
      <c r="F1001" s="3">
        <v>2024</v>
      </c>
      <c r="G1001" s="3">
        <v>1</v>
      </c>
      <c r="H1001" t="s">
        <v>355</v>
      </c>
      <c r="I1001" s="2">
        <v>4.3</v>
      </c>
      <c r="J1001" t="s">
        <v>85</v>
      </c>
    </row>
    <row r="1002" spans="1:10">
      <c r="A1002" t="s">
        <v>1154</v>
      </c>
      <c r="B1002" t="s">
        <v>84</v>
      </c>
      <c r="C1002" s="1">
        <v>45372</v>
      </c>
      <c r="D1002" t="s">
        <v>22</v>
      </c>
      <c r="E1002" t="s">
        <v>22</v>
      </c>
      <c r="F1002" s="3">
        <v>2024</v>
      </c>
      <c r="G1002" s="3">
        <v>2</v>
      </c>
      <c r="H1002" t="s">
        <v>460</v>
      </c>
      <c r="I1002" s="2">
        <v>4.4000000000000004</v>
      </c>
      <c r="J1002" t="s">
        <v>85</v>
      </c>
    </row>
    <row r="1003" spans="1:10">
      <c r="A1003" t="s">
        <v>1155</v>
      </c>
      <c r="B1003" t="s">
        <v>84</v>
      </c>
      <c r="C1003" s="1">
        <v>45372</v>
      </c>
      <c r="D1003" t="s">
        <v>134</v>
      </c>
      <c r="E1003" t="s">
        <v>24</v>
      </c>
      <c r="F1003" s="3">
        <v>2024</v>
      </c>
      <c r="G1003" s="3">
        <v>2</v>
      </c>
      <c r="H1003" t="s">
        <v>460</v>
      </c>
      <c r="I1003" s="2">
        <v>4.2</v>
      </c>
      <c r="J1003" t="s">
        <v>85</v>
      </c>
    </row>
    <row r="1004" spans="1:10">
      <c r="A1004" t="s">
        <v>1156</v>
      </c>
      <c r="B1004" t="s">
        <v>84</v>
      </c>
      <c r="C1004" s="1">
        <v>45372</v>
      </c>
      <c r="D1004" t="s">
        <v>210</v>
      </c>
      <c r="E1004" t="s">
        <v>25</v>
      </c>
      <c r="F1004" s="3">
        <v>2024</v>
      </c>
      <c r="G1004" s="3">
        <v>2</v>
      </c>
      <c r="H1004" t="s">
        <v>460</v>
      </c>
      <c r="I1004" s="2">
        <v>2.8</v>
      </c>
      <c r="J1004" t="s">
        <v>85</v>
      </c>
    </row>
    <row r="1005" spans="1:10">
      <c r="A1005" t="s">
        <v>1157</v>
      </c>
      <c r="B1005" t="s">
        <v>84</v>
      </c>
      <c r="C1005" s="1">
        <v>45372</v>
      </c>
      <c r="D1005" t="s">
        <v>212</v>
      </c>
      <c r="E1005" t="s">
        <v>26</v>
      </c>
      <c r="F1005" s="3">
        <v>2024</v>
      </c>
      <c r="G1005" s="3">
        <v>2</v>
      </c>
      <c r="H1005" t="s">
        <v>460</v>
      </c>
      <c r="I1005" s="2">
        <v>3.5</v>
      </c>
      <c r="J1005" t="s">
        <v>85</v>
      </c>
    </row>
    <row r="1006" spans="1:10">
      <c r="A1006" t="s">
        <v>1158</v>
      </c>
      <c r="B1006" t="s">
        <v>84</v>
      </c>
      <c r="C1006" s="1">
        <v>45372</v>
      </c>
      <c r="D1006" t="s">
        <v>22</v>
      </c>
      <c r="E1006" t="s">
        <v>22</v>
      </c>
      <c r="F1006" s="3">
        <v>2024</v>
      </c>
      <c r="G1006" s="3">
        <v>3</v>
      </c>
      <c r="H1006" t="s">
        <v>565</v>
      </c>
      <c r="I1006" s="2">
        <v>4</v>
      </c>
      <c r="J1006" t="s">
        <v>85</v>
      </c>
    </row>
    <row r="1007" spans="1:10">
      <c r="A1007" t="s">
        <v>1159</v>
      </c>
      <c r="B1007" t="s">
        <v>84</v>
      </c>
      <c r="C1007" s="1">
        <v>45372</v>
      </c>
      <c r="D1007" t="s">
        <v>134</v>
      </c>
      <c r="E1007" t="s">
        <v>24</v>
      </c>
      <c r="F1007" s="3">
        <v>2024</v>
      </c>
      <c r="G1007" s="3">
        <v>3</v>
      </c>
      <c r="H1007" t="s">
        <v>565</v>
      </c>
      <c r="I1007" s="2">
        <v>3.8</v>
      </c>
      <c r="J1007" t="s">
        <v>85</v>
      </c>
    </row>
    <row r="1008" spans="1:10">
      <c r="A1008" t="s">
        <v>1160</v>
      </c>
      <c r="B1008" t="s">
        <v>84</v>
      </c>
      <c r="C1008" s="1">
        <v>45372</v>
      </c>
      <c r="D1008" t="s">
        <v>210</v>
      </c>
      <c r="E1008" t="s">
        <v>25</v>
      </c>
      <c r="F1008" s="3">
        <v>2024</v>
      </c>
      <c r="G1008" s="3">
        <v>3</v>
      </c>
      <c r="H1008" t="s">
        <v>565</v>
      </c>
      <c r="I1008" s="2">
        <v>3.1</v>
      </c>
      <c r="J1008" t="s">
        <v>85</v>
      </c>
    </row>
    <row r="1009" spans="1:10">
      <c r="A1009" t="s">
        <v>1161</v>
      </c>
      <c r="B1009" t="s">
        <v>84</v>
      </c>
      <c r="C1009" s="1">
        <v>45372</v>
      </c>
      <c r="D1009" t="s">
        <v>212</v>
      </c>
      <c r="E1009" t="s">
        <v>26</v>
      </c>
      <c r="F1009" s="3">
        <v>2024</v>
      </c>
      <c r="G1009" s="3">
        <v>3</v>
      </c>
      <c r="H1009" t="s">
        <v>565</v>
      </c>
      <c r="I1009" s="2">
        <v>3.1</v>
      </c>
      <c r="J1009" t="s">
        <v>85</v>
      </c>
    </row>
    <row r="1010" spans="1:10">
      <c r="A1010" t="s">
        <v>1162</v>
      </c>
      <c r="B1010" t="s">
        <v>84</v>
      </c>
      <c r="C1010" s="1">
        <v>45372</v>
      </c>
      <c r="D1010" t="s">
        <v>22</v>
      </c>
      <c r="E1010" t="s">
        <v>22</v>
      </c>
      <c r="F1010" s="3">
        <v>2024</v>
      </c>
      <c r="G1010" s="3">
        <v>4</v>
      </c>
      <c r="H1010" t="s">
        <v>670</v>
      </c>
      <c r="I1010" s="2">
        <v>3.6</v>
      </c>
      <c r="J1010" t="s">
        <v>85</v>
      </c>
    </row>
    <row r="1011" spans="1:10">
      <c r="A1011" t="s">
        <v>1163</v>
      </c>
      <c r="B1011" t="s">
        <v>84</v>
      </c>
      <c r="C1011" s="1">
        <v>45372</v>
      </c>
      <c r="D1011" t="s">
        <v>134</v>
      </c>
      <c r="E1011" t="s">
        <v>24</v>
      </c>
      <c r="F1011" s="3">
        <v>2024</v>
      </c>
      <c r="G1011" s="3">
        <v>4</v>
      </c>
      <c r="H1011" t="s">
        <v>670</v>
      </c>
      <c r="I1011" s="2">
        <v>3.5</v>
      </c>
      <c r="J1011" t="s">
        <v>85</v>
      </c>
    </row>
    <row r="1012" spans="1:10">
      <c r="A1012" t="s">
        <v>1164</v>
      </c>
      <c r="B1012" t="s">
        <v>84</v>
      </c>
      <c r="C1012" s="1">
        <v>45372</v>
      </c>
      <c r="D1012" t="s">
        <v>210</v>
      </c>
      <c r="E1012" t="s">
        <v>25</v>
      </c>
      <c r="F1012" s="3">
        <v>2024</v>
      </c>
      <c r="G1012" s="3">
        <v>4</v>
      </c>
      <c r="H1012" t="s">
        <v>670</v>
      </c>
      <c r="I1012" s="2">
        <v>3.3</v>
      </c>
      <c r="J1012" t="s">
        <v>85</v>
      </c>
    </row>
    <row r="1013" spans="1:10">
      <c r="A1013" t="s">
        <v>1165</v>
      </c>
      <c r="B1013" t="s">
        <v>84</v>
      </c>
      <c r="C1013" s="1">
        <v>45372</v>
      </c>
      <c r="D1013" t="s">
        <v>212</v>
      </c>
      <c r="E1013" t="s">
        <v>26</v>
      </c>
      <c r="F1013" s="3">
        <v>2024</v>
      </c>
      <c r="G1013" s="3">
        <v>4</v>
      </c>
      <c r="H1013" t="s">
        <v>670</v>
      </c>
      <c r="I1013" s="2">
        <v>3.3</v>
      </c>
      <c r="J1013" t="s">
        <v>85</v>
      </c>
    </row>
    <row r="1014" spans="1:10">
      <c r="A1014" t="s">
        <v>1166</v>
      </c>
      <c r="B1014" t="s">
        <v>84</v>
      </c>
      <c r="C1014" s="1">
        <v>45372</v>
      </c>
      <c r="D1014" t="s">
        <v>22</v>
      </c>
      <c r="E1014" t="s">
        <v>22</v>
      </c>
      <c r="F1014" s="3">
        <v>2025</v>
      </c>
      <c r="G1014" s="3">
        <v>1</v>
      </c>
      <c r="H1014" t="s">
        <v>771</v>
      </c>
      <c r="I1014" s="2">
        <v>3.2</v>
      </c>
      <c r="J1014" t="s">
        <v>85</v>
      </c>
    </row>
    <row r="1015" spans="1:10">
      <c r="A1015" t="s">
        <v>1167</v>
      </c>
      <c r="B1015" t="s">
        <v>84</v>
      </c>
      <c r="C1015" s="1">
        <v>45372</v>
      </c>
      <c r="D1015" t="s">
        <v>134</v>
      </c>
      <c r="E1015" t="s">
        <v>24</v>
      </c>
      <c r="F1015" s="3">
        <v>2025</v>
      </c>
      <c r="G1015" s="3">
        <v>1</v>
      </c>
      <c r="H1015" t="s">
        <v>771</v>
      </c>
      <c r="I1015" s="2">
        <v>3.2</v>
      </c>
      <c r="J1015" t="s">
        <v>85</v>
      </c>
    </row>
    <row r="1016" spans="1:10">
      <c r="A1016" t="s">
        <v>1168</v>
      </c>
      <c r="B1016" t="s">
        <v>84</v>
      </c>
      <c r="C1016" s="1">
        <v>45372</v>
      </c>
      <c r="D1016" t="s">
        <v>210</v>
      </c>
      <c r="E1016" t="s">
        <v>25</v>
      </c>
      <c r="F1016" s="3">
        <v>2025</v>
      </c>
      <c r="G1016" s="3">
        <v>1</v>
      </c>
      <c r="H1016" t="s">
        <v>771</v>
      </c>
      <c r="I1016" s="2">
        <v>3.4</v>
      </c>
      <c r="J1016" t="s">
        <v>85</v>
      </c>
    </row>
    <row r="1017" spans="1:10">
      <c r="A1017" t="s">
        <v>1169</v>
      </c>
      <c r="B1017" t="s">
        <v>84</v>
      </c>
      <c r="C1017" s="1">
        <v>45372</v>
      </c>
      <c r="D1017" t="s">
        <v>212</v>
      </c>
      <c r="E1017" t="s">
        <v>26</v>
      </c>
      <c r="F1017" s="3">
        <v>2025</v>
      </c>
      <c r="G1017" s="3">
        <v>1</v>
      </c>
      <c r="H1017" t="s">
        <v>771</v>
      </c>
      <c r="I1017" s="2">
        <v>3.1</v>
      </c>
      <c r="J1017" t="s">
        <v>85</v>
      </c>
    </row>
    <row r="1018" spans="1:10">
      <c r="A1018" t="s">
        <v>1170</v>
      </c>
      <c r="B1018" t="s">
        <v>84</v>
      </c>
      <c r="C1018" s="1">
        <v>45372</v>
      </c>
      <c r="D1018" t="s">
        <v>22</v>
      </c>
      <c r="E1018" t="s">
        <v>22</v>
      </c>
      <c r="F1018" s="3">
        <v>2025</v>
      </c>
      <c r="G1018" s="3">
        <v>2</v>
      </c>
      <c r="H1018" t="s">
        <v>876</v>
      </c>
      <c r="I1018" s="2">
        <v>3.1</v>
      </c>
      <c r="J1018" t="s">
        <v>85</v>
      </c>
    </row>
    <row r="1019" spans="1:10">
      <c r="A1019" t="s">
        <v>1171</v>
      </c>
      <c r="B1019" t="s">
        <v>84</v>
      </c>
      <c r="C1019" s="1">
        <v>45372</v>
      </c>
      <c r="D1019" t="s">
        <v>134</v>
      </c>
      <c r="E1019" t="s">
        <v>24</v>
      </c>
      <c r="F1019" s="3">
        <v>2025</v>
      </c>
      <c r="G1019" s="3">
        <v>2</v>
      </c>
      <c r="H1019" t="s">
        <v>876</v>
      </c>
      <c r="I1019" s="2">
        <v>3.1</v>
      </c>
      <c r="J1019" t="s">
        <v>85</v>
      </c>
    </row>
    <row r="1020" spans="1:10">
      <c r="A1020" t="s">
        <v>1172</v>
      </c>
      <c r="B1020" t="s">
        <v>84</v>
      </c>
      <c r="C1020" s="1">
        <v>45372</v>
      </c>
      <c r="D1020" t="s">
        <v>210</v>
      </c>
      <c r="E1020" t="s">
        <v>25</v>
      </c>
      <c r="F1020" s="3">
        <v>2025</v>
      </c>
      <c r="G1020" s="3">
        <v>2</v>
      </c>
      <c r="H1020" t="s">
        <v>876</v>
      </c>
      <c r="I1020" s="2">
        <v>2.5</v>
      </c>
      <c r="J1020" t="s">
        <v>85</v>
      </c>
    </row>
    <row r="1021" spans="1:10">
      <c r="A1021" t="s">
        <v>1173</v>
      </c>
      <c r="B1021" t="s">
        <v>84</v>
      </c>
      <c r="C1021" s="1">
        <v>45372</v>
      </c>
      <c r="D1021" t="s">
        <v>212</v>
      </c>
      <c r="E1021" t="s">
        <v>26</v>
      </c>
      <c r="F1021" s="3">
        <v>2025</v>
      </c>
      <c r="G1021" s="3">
        <v>2</v>
      </c>
      <c r="H1021" t="s">
        <v>876</v>
      </c>
      <c r="I1021" s="2">
        <v>3.2</v>
      </c>
      <c r="J1021" t="s">
        <v>85</v>
      </c>
    </row>
    <row r="1022" spans="1:10">
      <c r="A1022" t="s">
        <v>1174</v>
      </c>
      <c r="B1022" t="s">
        <v>84</v>
      </c>
      <c r="C1022" s="1">
        <v>45372</v>
      </c>
      <c r="D1022" t="s">
        <v>22</v>
      </c>
      <c r="E1022" t="s">
        <v>22</v>
      </c>
      <c r="F1022" s="3">
        <v>2025</v>
      </c>
      <c r="G1022" s="3">
        <v>3</v>
      </c>
      <c r="H1022" t="s">
        <v>981</v>
      </c>
      <c r="I1022" s="2">
        <v>3.1</v>
      </c>
      <c r="J1022" t="s">
        <v>85</v>
      </c>
    </row>
    <row r="1023" spans="1:10">
      <c r="A1023" t="s">
        <v>1175</v>
      </c>
      <c r="B1023" t="s">
        <v>84</v>
      </c>
      <c r="C1023" s="1">
        <v>45372</v>
      </c>
      <c r="D1023" t="s">
        <v>134</v>
      </c>
      <c r="E1023" t="s">
        <v>24</v>
      </c>
      <c r="F1023" s="3">
        <v>2025</v>
      </c>
      <c r="G1023" s="3">
        <v>3</v>
      </c>
      <c r="H1023" t="s">
        <v>981</v>
      </c>
      <c r="I1023" s="2">
        <v>3.1</v>
      </c>
      <c r="J1023" t="s">
        <v>85</v>
      </c>
    </row>
    <row r="1024" spans="1:10">
      <c r="A1024" t="s">
        <v>1176</v>
      </c>
      <c r="B1024" t="s">
        <v>84</v>
      </c>
      <c r="C1024" s="1">
        <v>45372</v>
      </c>
      <c r="D1024" t="s">
        <v>210</v>
      </c>
      <c r="E1024" t="s">
        <v>25</v>
      </c>
      <c r="F1024" s="3">
        <v>2025</v>
      </c>
      <c r="G1024" s="3">
        <v>3</v>
      </c>
      <c r="H1024" t="s">
        <v>981</v>
      </c>
      <c r="I1024" s="2">
        <v>3.3</v>
      </c>
      <c r="J1024" t="s">
        <v>85</v>
      </c>
    </row>
    <row r="1025" spans="1:10">
      <c r="A1025" t="s">
        <v>1177</v>
      </c>
      <c r="B1025" t="s">
        <v>84</v>
      </c>
      <c r="C1025" s="1">
        <v>45372</v>
      </c>
      <c r="D1025" t="s">
        <v>212</v>
      </c>
      <c r="E1025" t="s">
        <v>26</v>
      </c>
      <c r="F1025" s="3">
        <v>2025</v>
      </c>
      <c r="G1025" s="3">
        <v>3</v>
      </c>
      <c r="H1025" t="s">
        <v>981</v>
      </c>
      <c r="I1025" s="2">
        <v>3.2</v>
      </c>
      <c r="J1025" t="s">
        <v>85</v>
      </c>
    </row>
    <row r="1026" spans="1:10">
      <c r="A1026" t="s">
        <v>1178</v>
      </c>
      <c r="B1026" t="s">
        <v>84</v>
      </c>
      <c r="C1026" s="1">
        <v>45372</v>
      </c>
      <c r="D1026" t="s">
        <v>22</v>
      </c>
      <c r="E1026" t="s">
        <v>22</v>
      </c>
      <c r="F1026" s="3">
        <v>2025</v>
      </c>
      <c r="G1026" s="3">
        <v>4</v>
      </c>
      <c r="H1026" t="s">
        <v>1086</v>
      </c>
      <c r="I1026" s="2">
        <v>3.1</v>
      </c>
      <c r="J1026" t="s">
        <v>85</v>
      </c>
    </row>
    <row r="1027" spans="1:10">
      <c r="A1027" t="s">
        <v>1179</v>
      </c>
      <c r="B1027" t="s">
        <v>84</v>
      </c>
      <c r="C1027" s="1">
        <v>45372</v>
      </c>
      <c r="D1027" t="s">
        <v>134</v>
      </c>
      <c r="E1027" t="s">
        <v>24</v>
      </c>
      <c r="F1027" s="3">
        <v>2025</v>
      </c>
      <c r="G1027" s="3">
        <v>4</v>
      </c>
      <c r="H1027" t="s">
        <v>1086</v>
      </c>
      <c r="I1027" s="2">
        <v>3.1</v>
      </c>
      <c r="J1027" t="s">
        <v>85</v>
      </c>
    </row>
    <row r="1028" spans="1:10">
      <c r="A1028" t="s">
        <v>1180</v>
      </c>
      <c r="B1028" t="s">
        <v>84</v>
      </c>
      <c r="C1028" s="1">
        <v>45372</v>
      </c>
      <c r="D1028" t="s">
        <v>210</v>
      </c>
      <c r="E1028" t="s">
        <v>25</v>
      </c>
      <c r="F1028" s="3">
        <v>2025</v>
      </c>
      <c r="G1028" s="3">
        <v>4</v>
      </c>
      <c r="H1028" t="s">
        <v>1086</v>
      </c>
      <c r="I1028" s="2">
        <v>3.2</v>
      </c>
      <c r="J1028" t="s">
        <v>85</v>
      </c>
    </row>
    <row r="1029" spans="1:10">
      <c r="A1029" t="s">
        <v>1181</v>
      </c>
      <c r="B1029" t="s">
        <v>84</v>
      </c>
      <c r="C1029" s="1">
        <v>45372</v>
      </c>
      <c r="D1029" t="s">
        <v>212</v>
      </c>
      <c r="E1029" t="s">
        <v>26</v>
      </c>
      <c r="F1029" s="3">
        <v>2025</v>
      </c>
      <c r="G1029" s="3">
        <v>4</v>
      </c>
      <c r="H1029" t="s">
        <v>1086</v>
      </c>
      <c r="I1029" s="2">
        <v>3.2</v>
      </c>
      <c r="J1029" t="s">
        <v>85</v>
      </c>
    </row>
    <row r="1030" spans="1:10">
      <c r="A1030" t="s">
        <v>1182</v>
      </c>
      <c r="B1030" t="s">
        <v>84</v>
      </c>
      <c r="C1030" s="1">
        <v>45372</v>
      </c>
      <c r="D1030" t="s">
        <v>22</v>
      </c>
      <c r="E1030" t="s">
        <v>22</v>
      </c>
      <c r="F1030" s="3">
        <v>2026</v>
      </c>
      <c r="G1030" s="3">
        <v>1</v>
      </c>
      <c r="H1030" t="s">
        <v>1183</v>
      </c>
      <c r="I1030" s="2">
        <v>3.1</v>
      </c>
      <c r="J1030" t="s">
        <v>85</v>
      </c>
    </row>
    <row r="1031" spans="1:10">
      <c r="A1031" t="s">
        <v>1184</v>
      </c>
      <c r="B1031" t="s">
        <v>84</v>
      </c>
      <c r="C1031" s="1">
        <v>45372</v>
      </c>
      <c r="D1031" t="s">
        <v>134</v>
      </c>
      <c r="E1031" t="s">
        <v>24</v>
      </c>
      <c r="F1031" s="3">
        <v>2026</v>
      </c>
      <c r="G1031" s="3">
        <v>1</v>
      </c>
      <c r="H1031" t="s">
        <v>1183</v>
      </c>
      <c r="I1031" s="2">
        <v>3.1</v>
      </c>
      <c r="J1031" t="s">
        <v>85</v>
      </c>
    </row>
    <row r="1032" spans="1:10">
      <c r="A1032" t="s">
        <v>1185</v>
      </c>
      <c r="B1032" t="s">
        <v>84</v>
      </c>
      <c r="C1032" s="1">
        <v>45372</v>
      </c>
      <c r="D1032" t="s">
        <v>210</v>
      </c>
      <c r="E1032" t="s">
        <v>25</v>
      </c>
      <c r="F1032" s="3">
        <v>2026</v>
      </c>
      <c r="G1032" s="3">
        <v>1</v>
      </c>
      <c r="H1032" t="s">
        <v>1183</v>
      </c>
      <c r="I1032" s="2">
        <v>3.3</v>
      </c>
      <c r="J1032" t="s">
        <v>85</v>
      </c>
    </row>
    <row r="1033" spans="1:10">
      <c r="A1033" t="s">
        <v>1186</v>
      </c>
      <c r="B1033" t="s">
        <v>84</v>
      </c>
      <c r="C1033" s="1">
        <v>45372</v>
      </c>
      <c r="D1033" t="s">
        <v>212</v>
      </c>
      <c r="E1033" t="s">
        <v>26</v>
      </c>
      <c r="F1033" s="3">
        <v>2026</v>
      </c>
      <c r="G1033" s="3">
        <v>1</v>
      </c>
      <c r="H1033" t="s">
        <v>1183</v>
      </c>
      <c r="I1033" s="2">
        <v>3</v>
      </c>
      <c r="J1033" t="s">
        <v>85</v>
      </c>
    </row>
    <row r="1034" spans="1:10">
      <c r="A1034" t="s">
        <v>1187</v>
      </c>
      <c r="B1034" t="s">
        <v>86</v>
      </c>
      <c r="C1034" s="1">
        <v>45421</v>
      </c>
      <c r="D1034" t="s">
        <v>22</v>
      </c>
      <c r="E1034" t="s">
        <v>22</v>
      </c>
      <c r="F1034" s="3">
        <v>2023</v>
      </c>
      <c r="G1034" s="3">
        <v>3</v>
      </c>
      <c r="H1034" t="s">
        <v>183</v>
      </c>
      <c r="I1034" s="2">
        <v>4.5999999999999996</v>
      </c>
      <c r="J1034" t="s">
        <v>87</v>
      </c>
    </row>
    <row r="1035" spans="1:10">
      <c r="A1035" t="s">
        <v>1188</v>
      </c>
      <c r="B1035" t="s">
        <v>86</v>
      </c>
      <c r="C1035" s="1">
        <v>45421</v>
      </c>
      <c r="D1035" t="s">
        <v>134</v>
      </c>
      <c r="E1035" t="s">
        <v>24</v>
      </c>
      <c r="F1035" s="3">
        <v>2023</v>
      </c>
      <c r="G1035" s="3">
        <v>3</v>
      </c>
      <c r="H1035" t="s">
        <v>183</v>
      </c>
      <c r="I1035" s="2">
        <v>6.2</v>
      </c>
      <c r="J1035" t="s">
        <v>87</v>
      </c>
    </row>
    <row r="1036" spans="1:10">
      <c r="A1036" t="s">
        <v>1189</v>
      </c>
      <c r="B1036" t="s">
        <v>86</v>
      </c>
      <c r="C1036" s="1">
        <v>45421</v>
      </c>
      <c r="D1036" t="s">
        <v>210</v>
      </c>
      <c r="E1036" t="s">
        <v>25</v>
      </c>
      <c r="F1036" s="3">
        <v>2023</v>
      </c>
      <c r="G1036" s="3">
        <v>3</v>
      </c>
      <c r="H1036" t="s">
        <v>183</v>
      </c>
      <c r="I1036" s="2">
        <v>4.2</v>
      </c>
      <c r="J1036" t="s">
        <v>87</v>
      </c>
    </row>
    <row r="1037" spans="1:10">
      <c r="A1037" t="s">
        <v>1190</v>
      </c>
      <c r="B1037" t="s">
        <v>86</v>
      </c>
      <c r="C1037" s="1">
        <v>45421</v>
      </c>
      <c r="D1037" t="s">
        <v>212</v>
      </c>
      <c r="E1037" t="s">
        <v>26</v>
      </c>
      <c r="F1037" s="3">
        <v>2023</v>
      </c>
      <c r="G1037" s="3">
        <v>3</v>
      </c>
      <c r="H1037" t="s">
        <v>183</v>
      </c>
      <c r="I1037" s="2">
        <v>4.5</v>
      </c>
      <c r="J1037" t="s">
        <v>87</v>
      </c>
    </row>
    <row r="1038" spans="1:10">
      <c r="A1038" t="s">
        <v>1191</v>
      </c>
      <c r="B1038" t="s">
        <v>86</v>
      </c>
      <c r="C1038" s="1">
        <v>45421</v>
      </c>
      <c r="D1038" t="s">
        <v>22</v>
      </c>
      <c r="E1038" t="s">
        <v>22</v>
      </c>
      <c r="F1038" s="3">
        <v>2023</v>
      </c>
      <c r="G1038" s="3">
        <v>4</v>
      </c>
      <c r="H1038" t="s">
        <v>254</v>
      </c>
      <c r="I1038" s="2">
        <v>4.4000000000000004</v>
      </c>
      <c r="J1038" t="s">
        <v>87</v>
      </c>
    </row>
    <row r="1039" spans="1:10">
      <c r="A1039" t="s">
        <v>1192</v>
      </c>
      <c r="B1039" t="s">
        <v>86</v>
      </c>
      <c r="C1039" s="1">
        <v>45421</v>
      </c>
      <c r="D1039" t="s">
        <v>134</v>
      </c>
      <c r="E1039" t="s">
        <v>24</v>
      </c>
      <c r="F1039" s="3">
        <v>2023</v>
      </c>
      <c r="G1039" s="3">
        <v>4</v>
      </c>
      <c r="H1039" t="s">
        <v>254</v>
      </c>
      <c r="I1039" s="2">
        <v>5.3</v>
      </c>
      <c r="J1039" t="s">
        <v>87</v>
      </c>
    </row>
    <row r="1040" spans="1:10">
      <c r="A1040" t="s">
        <v>1193</v>
      </c>
      <c r="B1040" t="s">
        <v>86</v>
      </c>
      <c r="C1040" s="1">
        <v>45421</v>
      </c>
      <c r="D1040" t="s">
        <v>210</v>
      </c>
      <c r="E1040" t="s">
        <v>25</v>
      </c>
      <c r="F1040" s="3">
        <v>2023</v>
      </c>
      <c r="G1040" s="3">
        <v>4</v>
      </c>
      <c r="H1040" t="s">
        <v>254</v>
      </c>
      <c r="I1040" s="2">
        <v>5.0999999999999996</v>
      </c>
      <c r="J1040" t="s">
        <v>87</v>
      </c>
    </row>
    <row r="1041" spans="1:10">
      <c r="A1041" t="s">
        <v>1194</v>
      </c>
      <c r="B1041" t="s">
        <v>86</v>
      </c>
      <c r="C1041" s="1">
        <v>45421</v>
      </c>
      <c r="D1041" t="s">
        <v>212</v>
      </c>
      <c r="E1041" t="s">
        <v>26</v>
      </c>
      <c r="F1041" s="3">
        <v>2023</v>
      </c>
      <c r="G1041" s="3">
        <v>4</v>
      </c>
      <c r="H1041" t="s">
        <v>254</v>
      </c>
      <c r="I1041" s="2">
        <v>4.7</v>
      </c>
      <c r="J1041" t="s">
        <v>87</v>
      </c>
    </row>
    <row r="1042" spans="1:10">
      <c r="A1042" t="s">
        <v>1195</v>
      </c>
      <c r="B1042" t="s">
        <v>86</v>
      </c>
      <c r="C1042" s="1">
        <v>45421</v>
      </c>
      <c r="D1042" t="s">
        <v>22</v>
      </c>
      <c r="E1042" t="s">
        <v>22</v>
      </c>
      <c r="F1042" s="3">
        <v>2024</v>
      </c>
      <c r="G1042" s="3">
        <v>1</v>
      </c>
      <c r="H1042" t="s">
        <v>355</v>
      </c>
      <c r="I1042" s="2">
        <v>4.5999999999999996</v>
      </c>
      <c r="J1042" t="s">
        <v>87</v>
      </c>
    </row>
    <row r="1043" spans="1:10">
      <c r="A1043" t="s">
        <v>1196</v>
      </c>
      <c r="B1043" t="s">
        <v>86</v>
      </c>
      <c r="C1043" s="1">
        <v>45421</v>
      </c>
      <c r="D1043" t="s">
        <v>134</v>
      </c>
      <c r="E1043" t="s">
        <v>24</v>
      </c>
      <c r="F1043" s="3">
        <v>2024</v>
      </c>
      <c r="G1043" s="3">
        <v>1</v>
      </c>
      <c r="H1043" t="s">
        <v>355</v>
      </c>
      <c r="I1043" s="2">
        <v>4.7</v>
      </c>
      <c r="J1043" t="s">
        <v>87</v>
      </c>
    </row>
    <row r="1044" spans="1:10">
      <c r="A1044" t="s">
        <v>1197</v>
      </c>
      <c r="B1044" t="s">
        <v>86</v>
      </c>
      <c r="C1044" s="1">
        <v>45421</v>
      </c>
      <c r="D1044" t="s">
        <v>210</v>
      </c>
      <c r="E1044" t="s">
        <v>25</v>
      </c>
      <c r="F1044" s="3">
        <v>2024</v>
      </c>
      <c r="G1044" s="3">
        <v>1</v>
      </c>
      <c r="H1044" t="s">
        <v>355</v>
      </c>
      <c r="I1044" s="2">
        <v>4.9000000000000004</v>
      </c>
      <c r="J1044" t="s">
        <v>87</v>
      </c>
    </row>
    <row r="1045" spans="1:10">
      <c r="A1045" t="s">
        <v>1198</v>
      </c>
      <c r="B1045" t="s">
        <v>86</v>
      </c>
      <c r="C1045" s="1">
        <v>45421</v>
      </c>
      <c r="D1045" t="s">
        <v>212</v>
      </c>
      <c r="E1045" t="s">
        <v>26</v>
      </c>
      <c r="F1045" s="3">
        <v>2024</v>
      </c>
      <c r="G1045" s="3">
        <v>1</v>
      </c>
      <c r="H1045" t="s">
        <v>355</v>
      </c>
      <c r="I1045" s="2">
        <v>4.3</v>
      </c>
      <c r="J1045" t="s">
        <v>87</v>
      </c>
    </row>
    <row r="1046" spans="1:10">
      <c r="A1046" t="s">
        <v>1199</v>
      </c>
      <c r="B1046" t="s">
        <v>86</v>
      </c>
      <c r="C1046" s="1">
        <v>45421</v>
      </c>
      <c r="D1046" t="s">
        <v>22</v>
      </c>
      <c r="E1046" t="s">
        <v>22</v>
      </c>
      <c r="F1046" s="3">
        <v>2024</v>
      </c>
      <c r="G1046" s="3">
        <v>2</v>
      </c>
      <c r="H1046" t="s">
        <v>460</v>
      </c>
      <c r="I1046" s="2">
        <v>4.5999999999999996</v>
      </c>
      <c r="J1046" t="s">
        <v>87</v>
      </c>
    </row>
    <row r="1047" spans="1:10">
      <c r="A1047" t="s">
        <v>1200</v>
      </c>
      <c r="B1047" t="s">
        <v>86</v>
      </c>
      <c r="C1047" s="1">
        <v>45421</v>
      </c>
      <c r="D1047" t="s">
        <v>134</v>
      </c>
      <c r="E1047" t="s">
        <v>24</v>
      </c>
      <c r="F1047" s="3">
        <v>2024</v>
      </c>
      <c r="G1047" s="3">
        <v>2</v>
      </c>
      <c r="H1047" t="s">
        <v>460</v>
      </c>
      <c r="I1047" s="2">
        <v>4.3</v>
      </c>
      <c r="J1047" t="s">
        <v>87</v>
      </c>
    </row>
    <row r="1048" spans="1:10">
      <c r="A1048" t="s">
        <v>1201</v>
      </c>
      <c r="B1048" t="s">
        <v>86</v>
      </c>
      <c r="C1048" s="1">
        <v>45421</v>
      </c>
      <c r="D1048" t="s">
        <v>210</v>
      </c>
      <c r="E1048" t="s">
        <v>25</v>
      </c>
      <c r="F1048" s="3">
        <v>2024</v>
      </c>
      <c r="G1048" s="3">
        <v>2</v>
      </c>
      <c r="H1048" t="s">
        <v>460</v>
      </c>
      <c r="I1048" s="2">
        <v>3.3</v>
      </c>
      <c r="J1048" t="s">
        <v>87</v>
      </c>
    </row>
    <row r="1049" spans="1:10">
      <c r="A1049" t="s">
        <v>1202</v>
      </c>
      <c r="B1049" t="s">
        <v>86</v>
      </c>
      <c r="C1049" s="1">
        <v>45421</v>
      </c>
      <c r="D1049" t="s">
        <v>212</v>
      </c>
      <c r="E1049" t="s">
        <v>26</v>
      </c>
      <c r="F1049" s="3">
        <v>2024</v>
      </c>
      <c r="G1049" s="3">
        <v>2</v>
      </c>
      <c r="H1049" t="s">
        <v>460</v>
      </c>
      <c r="I1049" s="2">
        <v>3.8</v>
      </c>
      <c r="J1049" t="s">
        <v>87</v>
      </c>
    </row>
    <row r="1050" spans="1:10">
      <c r="A1050" t="s">
        <v>1203</v>
      </c>
      <c r="B1050" t="s">
        <v>86</v>
      </c>
      <c r="C1050" s="1">
        <v>45421</v>
      </c>
      <c r="D1050" t="s">
        <v>22</v>
      </c>
      <c r="E1050" t="s">
        <v>22</v>
      </c>
      <c r="F1050" s="3">
        <v>2024</v>
      </c>
      <c r="G1050" s="3">
        <v>3</v>
      </c>
      <c r="H1050" t="s">
        <v>565</v>
      </c>
      <c r="I1050" s="2">
        <v>4.4000000000000004</v>
      </c>
      <c r="J1050" t="s">
        <v>87</v>
      </c>
    </row>
    <row r="1051" spans="1:10">
      <c r="A1051" t="s">
        <v>1204</v>
      </c>
      <c r="B1051" t="s">
        <v>86</v>
      </c>
      <c r="C1051" s="1">
        <v>45421</v>
      </c>
      <c r="D1051" t="s">
        <v>134</v>
      </c>
      <c r="E1051" t="s">
        <v>24</v>
      </c>
      <c r="F1051" s="3">
        <v>2024</v>
      </c>
      <c r="G1051" s="3">
        <v>3</v>
      </c>
      <c r="H1051" t="s">
        <v>565</v>
      </c>
      <c r="I1051" s="2">
        <v>4</v>
      </c>
      <c r="J1051" t="s">
        <v>87</v>
      </c>
    </row>
    <row r="1052" spans="1:10">
      <c r="A1052" t="s">
        <v>1205</v>
      </c>
      <c r="B1052" t="s">
        <v>86</v>
      </c>
      <c r="C1052" s="1">
        <v>45421</v>
      </c>
      <c r="D1052" t="s">
        <v>210</v>
      </c>
      <c r="E1052" t="s">
        <v>25</v>
      </c>
      <c r="F1052" s="3">
        <v>2024</v>
      </c>
      <c r="G1052" s="3">
        <v>3</v>
      </c>
      <c r="H1052" t="s">
        <v>565</v>
      </c>
      <c r="I1052" s="2">
        <v>3.5</v>
      </c>
      <c r="J1052" t="s">
        <v>87</v>
      </c>
    </row>
    <row r="1053" spans="1:10">
      <c r="A1053" t="s">
        <v>1206</v>
      </c>
      <c r="B1053" t="s">
        <v>86</v>
      </c>
      <c r="C1053" s="1">
        <v>45421</v>
      </c>
      <c r="D1053" t="s">
        <v>212</v>
      </c>
      <c r="E1053" t="s">
        <v>26</v>
      </c>
      <c r="F1053" s="3">
        <v>2024</v>
      </c>
      <c r="G1053" s="3">
        <v>3</v>
      </c>
      <c r="H1053" t="s">
        <v>565</v>
      </c>
      <c r="I1053" s="2">
        <v>3.5</v>
      </c>
      <c r="J1053" t="s">
        <v>87</v>
      </c>
    </row>
    <row r="1054" spans="1:10">
      <c r="A1054" t="s">
        <v>1207</v>
      </c>
      <c r="B1054" t="s">
        <v>86</v>
      </c>
      <c r="C1054" s="1">
        <v>45421</v>
      </c>
      <c r="D1054" t="s">
        <v>22</v>
      </c>
      <c r="E1054" t="s">
        <v>22</v>
      </c>
      <c r="F1054" s="3">
        <v>2024</v>
      </c>
      <c r="G1054" s="3">
        <v>4</v>
      </c>
      <c r="H1054" t="s">
        <v>670</v>
      </c>
      <c r="I1054" s="2">
        <v>4</v>
      </c>
      <c r="J1054" t="s">
        <v>87</v>
      </c>
    </row>
    <row r="1055" spans="1:10">
      <c r="A1055" t="s">
        <v>1208</v>
      </c>
      <c r="B1055" t="s">
        <v>86</v>
      </c>
      <c r="C1055" s="1">
        <v>45421</v>
      </c>
      <c r="D1055" t="s">
        <v>134</v>
      </c>
      <c r="E1055" t="s">
        <v>24</v>
      </c>
      <c r="F1055" s="3">
        <v>2024</v>
      </c>
      <c r="G1055" s="3">
        <v>4</v>
      </c>
      <c r="H1055" t="s">
        <v>670</v>
      </c>
      <c r="I1055" s="2">
        <v>3.8</v>
      </c>
      <c r="J1055" t="s">
        <v>87</v>
      </c>
    </row>
    <row r="1056" spans="1:10">
      <c r="A1056" t="s">
        <v>1209</v>
      </c>
      <c r="B1056" t="s">
        <v>86</v>
      </c>
      <c r="C1056" s="1">
        <v>45421</v>
      </c>
      <c r="D1056" t="s">
        <v>210</v>
      </c>
      <c r="E1056" t="s">
        <v>25</v>
      </c>
      <c r="F1056" s="3">
        <v>2024</v>
      </c>
      <c r="G1056" s="3">
        <v>4</v>
      </c>
      <c r="H1056" t="s">
        <v>670</v>
      </c>
      <c r="I1056" s="2">
        <v>3.6</v>
      </c>
      <c r="J1056" t="s">
        <v>87</v>
      </c>
    </row>
    <row r="1057" spans="1:10">
      <c r="A1057" t="s">
        <v>1210</v>
      </c>
      <c r="B1057" t="s">
        <v>86</v>
      </c>
      <c r="C1057" s="1">
        <v>45421</v>
      </c>
      <c r="D1057" t="s">
        <v>212</v>
      </c>
      <c r="E1057" t="s">
        <v>26</v>
      </c>
      <c r="F1057" s="3">
        <v>2024</v>
      </c>
      <c r="G1057" s="3">
        <v>4</v>
      </c>
      <c r="H1057" t="s">
        <v>670</v>
      </c>
      <c r="I1057" s="2">
        <v>3.5</v>
      </c>
      <c r="J1057" t="s">
        <v>87</v>
      </c>
    </row>
    <row r="1058" spans="1:10">
      <c r="A1058" t="s">
        <v>1211</v>
      </c>
      <c r="B1058" t="s">
        <v>86</v>
      </c>
      <c r="C1058" s="1">
        <v>45421</v>
      </c>
      <c r="D1058" t="s">
        <v>22</v>
      </c>
      <c r="E1058" t="s">
        <v>22</v>
      </c>
      <c r="F1058" s="3">
        <v>2025</v>
      </c>
      <c r="G1058" s="3">
        <v>1</v>
      </c>
      <c r="H1058" t="s">
        <v>771</v>
      </c>
      <c r="I1058" s="2">
        <v>3.5</v>
      </c>
      <c r="J1058" t="s">
        <v>87</v>
      </c>
    </row>
    <row r="1059" spans="1:10">
      <c r="A1059" t="s">
        <v>1212</v>
      </c>
      <c r="B1059" t="s">
        <v>86</v>
      </c>
      <c r="C1059" s="1">
        <v>45421</v>
      </c>
      <c r="D1059" t="s">
        <v>134</v>
      </c>
      <c r="E1059" t="s">
        <v>24</v>
      </c>
      <c r="F1059" s="3">
        <v>2025</v>
      </c>
      <c r="G1059" s="3">
        <v>1</v>
      </c>
      <c r="H1059" t="s">
        <v>771</v>
      </c>
      <c r="I1059" s="2">
        <v>3.5</v>
      </c>
      <c r="J1059" t="s">
        <v>87</v>
      </c>
    </row>
    <row r="1060" spans="1:10">
      <c r="A1060" t="s">
        <v>1213</v>
      </c>
      <c r="B1060" t="s">
        <v>86</v>
      </c>
      <c r="C1060" s="1">
        <v>45421</v>
      </c>
      <c r="D1060" t="s">
        <v>210</v>
      </c>
      <c r="E1060" t="s">
        <v>25</v>
      </c>
      <c r="F1060" s="3">
        <v>2025</v>
      </c>
      <c r="G1060" s="3">
        <v>1</v>
      </c>
      <c r="H1060" t="s">
        <v>771</v>
      </c>
      <c r="I1060" s="2">
        <v>3.4</v>
      </c>
      <c r="J1060" t="s">
        <v>87</v>
      </c>
    </row>
    <row r="1061" spans="1:10">
      <c r="A1061" t="s">
        <v>1214</v>
      </c>
      <c r="B1061" t="s">
        <v>86</v>
      </c>
      <c r="C1061" s="1">
        <v>45421</v>
      </c>
      <c r="D1061" t="s">
        <v>212</v>
      </c>
      <c r="E1061" t="s">
        <v>26</v>
      </c>
      <c r="F1061" s="3">
        <v>2025</v>
      </c>
      <c r="G1061" s="3">
        <v>1</v>
      </c>
      <c r="H1061" t="s">
        <v>771</v>
      </c>
      <c r="I1061" s="2">
        <v>3.2</v>
      </c>
      <c r="J1061" t="s">
        <v>87</v>
      </c>
    </row>
    <row r="1062" spans="1:10">
      <c r="A1062" t="s">
        <v>1215</v>
      </c>
      <c r="B1062" t="s">
        <v>86</v>
      </c>
      <c r="C1062" s="1">
        <v>45421</v>
      </c>
      <c r="D1062" t="s">
        <v>22</v>
      </c>
      <c r="E1062" t="s">
        <v>22</v>
      </c>
      <c r="F1062" s="3">
        <v>2025</v>
      </c>
      <c r="G1062" s="3">
        <v>2</v>
      </c>
      <c r="H1062" t="s">
        <v>876</v>
      </c>
      <c r="I1062" s="2">
        <v>3.3</v>
      </c>
      <c r="J1062" t="s">
        <v>87</v>
      </c>
    </row>
    <row r="1063" spans="1:10">
      <c r="A1063" t="s">
        <v>1216</v>
      </c>
      <c r="B1063" t="s">
        <v>86</v>
      </c>
      <c r="C1063" s="1">
        <v>45421</v>
      </c>
      <c r="D1063" t="s">
        <v>134</v>
      </c>
      <c r="E1063" t="s">
        <v>24</v>
      </c>
      <c r="F1063" s="3">
        <v>2025</v>
      </c>
      <c r="G1063" s="3">
        <v>2</v>
      </c>
      <c r="H1063" t="s">
        <v>876</v>
      </c>
      <c r="I1063" s="2">
        <v>3.3</v>
      </c>
      <c r="J1063" t="s">
        <v>87</v>
      </c>
    </row>
    <row r="1064" spans="1:10">
      <c r="A1064" t="s">
        <v>1217</v>
      </c>
      <c r="B1064" t="s">
        <v>86</v>
      </c>
      <c r="C1064" s="1">
        <v>45421</v>
      </c>
      <c r="D1064" t="s">
        <v>210</v>
      </c>
      <c r="E1064" t="s">
        <v>25</v>
      </c>
      <c r="F1064" s="3">
        <v>2025</v>
      </c>
      <c r="G1064" s="3">
        <v>2</v>
      </c>
      <c r="H1064" t="s">
        <v>876</v>
      </c>
      <c r="I1064" s="2">
        <v>2.7</v>
      </c>
      <c r="J1064" t="s">
        <v>87</v>
      </c>
    </row>
    <row r="1065" spans="1:10">
      <c r="A1065" t="s">
        <v>1218</v>
      </c>
      <c r="B1065" t="s">
        <v>86</v>
      </c>
      <c r="C1065" s="1">
        <v>45421</v>
      </c>
      <c r="D1065" t="s">
        <v>212</v>
      </c>
      <c r="E1065" t="s">
        <v>26</v>
      </c>
      <c r="F1065" s="3">
        <v>2025</v>
      </c>
      <c r="G1065" s="3">
        <v>2</v>
      </c>
      <c r="H1065" t="s">
        <v>876</v>
      </c>
      <c r="I1065" s="2">
        <v>3.2</v>
      </c>
      <c r="J1065" t="s">
        <v>87</v>
      </c>
    </row>
    <row r="1066" spans="1:10">
      <c r="A1066" t="s">
        <v>1219</v>
      </c>
      <c r="B1066" t="s">
        <v>86</v>
      </c>
      <c r="C1066" s="1">
        <v>45421</v>
      </c>
      <c r="D1066" t="s">
        <v>22</v>
      </c>
      <c r="E1066" t="s">
        <v>22</v>
      </c>
      <c r="F1066" s="3">
        <v>2025</v>
      </c>
      <c r="G1066" s="3">
        <v>3</v>
      </c>
      <c r="H1066" t="s">
        <v>981</v>
      </c>
      <c r="I1066" s="2">
        <v>3.2</v>
      </c>
      <c r="J1066" t="s">
        <v>87</v>
      </c>
    </row>
    <row r="1067" spans="1:10">
      <c r="A1067" t="s">
        <v>1220</v>
      </c>
      <c r="B1067" t="s">
        <v>86</v>
      </c>
      <c r="C1067" s="1">
        <v>45421</v>
      </c>
      <c r="D1067" t="s">
        <v>134</v>
      </c>
      <c r="E1067" t="s">
        <v>24</v>
      </c>
      <c r="F1067" s="3">
        <v>2025</v>
      </c>
      <c r="G1067" s="3">
        <v>3</v>
      </c>
      <c r="H1067" t="s">
        <v>981</v>
      </c>
      <c r="I1067" s="2">
        <v>3.2</v>
      </c>
      <c r="J1067" t="s">
        <v>87</v>
      </c>
    </row>
    <row r="1068" spans="1:10">
      <c r="A1068" t="s">
        <v>1221</v>
      </c>
      <c r="B1068" t="s">
        <v>86</v>
      </c>
      <c r="C1068" s="1">
        <v>45421</v>
      </c>
      <c r="D1068" t="s">
        <v>210</v>
      </c>
      <c r="E1068" t="s">
        <v>25</v>
      </c>
      <c r="F1068" s="3">
        <v>2025</v>
      </c>
      <c r="G1068" s="3">
        <v>3</v>
      </c>
      <c r="H1068" t="s">
        <v>981</v>
      </c>
      <c r="I1068" s="2">
        <v>3</v>
      </c>
      <c r="J1068" t="s">
        <v>87</v>
      </c>
    </row>
    <row r="1069" spans="1:10">
      <c r="A1069" t="s">
        <v>1222</v>
      </c>
      <c r="B1069" t="s">
        <v>86</v>
      </c>
      <c r="C1069" s="1">
        <v>45421</v>
      </c>
      <c r="D1069" t="s">
        <v>212</v>
      </c>
      <c r="E1069" t="s">
        <v>26</v>
      </c>
      <c r="F1069" s="3">
        <v>2025</v>
      </c>
      <c r="G1069" s="3">
        <v>3</v>
      </c>
      <c r="H1069" t="s">
        <v>981</v>
      </c>
      <c r="I1069" s="2">
        <v>3.2</v>
      </c>
      <c r="J1069" t="s">
        <v>87</v>
      </c>
    </row>
    <row r="1070" spans="1:10">
      <c r="A1070" t="s">
        <v>1223</v>
      </c>
      <c r="B1070" t="s">
        <v>86</v>
      </c>
      <c r="C1070" s="1">
        <v>45421</v>
      </c>
      <c r="D1070" t="s">
        <v>22</v>
      </c>
      <c r="E1070" t="s">
        <v>22</v>
      </c>
      <c r="F1070" s="3">
        <v>2025</v>
      </c>
      <c r="G1070" s="3">
        <v>4</v>
      </c>
      <c r="H1070" t="s">
        <v>1086</v>
      </c>
      <c r="I1070" s="2">
        <v>3</v>
      </c>
      <c r="J1070" t="s">
        <v>87</v>
      </c>
    </row>
    <row r="1071" spans="1:10">
      <c r="A1071" t="s">
        <v>1224</v>
      </c>
      <c r="B1071" t="s">
        <v>86</v>
      </c>
      <c r="C1071" s="1">
        <v>45421</v>
      </c>
      <c r="D1071" t="s">
        <v>134</v>
      </c>
      <c r="E1071" t="s">
        <v>24</v>
      </c>
      <c r="F1071" s="3">
        <v>2025</v>
      </c>
      <c r="G1071" s="3">
        <v>4</v>
      </c>
      <c r="H1071" t="s">
        <v>1086</v>
      </c>
      <c r="I1071" s="2">
        <v>3</v>
      </c>
      <c r="J1071" t="s">
        <v>87</v>
      </c>
    </row>
    <row r="1072" spans="1:10">
      <c r="A1072" t="s">
        <v>1225</v>
      </c>
      <c r="B1072" t="s">
        <v>86</v>
      </c>
      <c r="C1072" s="1">
        <v>45421</v>
      </c>
      <c r="D1072" t="s">
        <v>210</v>
      </c>
      <c r="E1072" t="s">
        <v>25</v>
      </c>
      <c r="F1072" s="3">
        <v>2025</v>
      </c>
      <c r="G1072" s="3">
        <v>4</v>
      </c>
      <c r="H1072" t="s">
        <v>1086</v>
      </c>
      <c r="I1072" s="2">
        <v>3</v>
      </c>
      <c r="J1072" t="s">
        <v>87</v>
      </c>
    </row>
    <row r="1073" spans="1:10">
      <c r="A1073" t="s">
        <v>1226</v>
      </c>
      <c r="B1073" t="s">
        <v>86</v>
      </c>
      <c r="C1073" s="1">
        <v>45421</v>
      </c>
      <c r="D1073" t="s">
        <v>212</v>
      </c>
      <c r="E1073" t="s">
        <v>26</v>
      </c>
      <c r="F1073" s="3">
        <v>2025</v>
      </c>
      <c r="G1073" s="3">
        <v>4</v>
      </c>
      <c r="H1073" t="s">
        <v>1086</v>
      </c>
      <c r="I1073" s="2">
        <v>2.9</v>
      </c>
      <c r="J1073" t="s">
        <v>87</v>
      </c>
    </row>
    <row r="1074" spans="1:10">
      <c r="A1074" t="s">
        <v>1227</v>
      </c>
      <c r="B1074" t="s">
        <v>86</v>
      </c>
      <c r="C1074" s="1">
        <v>45421</v>
      </c>
      <c r="D1074" t="s">
        <v>22</v>
      </c>
      <c r="E1074" t="s">
        <v>22</v>
      </c>
      <c r="F1074" s="3">
        <v>2026</v>
      </c>
      <c r="G1074" s="3">
        <v>1</v>
      </c>
      <c r="H1074" t="s">
        <v>1183</v>
      </c>
      <c r="I1074" s="2">
        <v>3</v>
      </c>
      <c r="J1074" t="s">
        <v>87</v>
      </c>
    </row>
    <row r="1075" spans="1:10">
      <c r="A1075" t="s">
        <v>1228</v>
      </c>
      <c r="B1075" t="s">
        <v>86</v>
      </c>
      <c r="C1075" s="1">
        <v>45421</v>
      </c>
      <c r="D1075" t="s">
        <v>134</v>
      </c>
      <c r="E1075" t="s">
        <v>24</v>
      </c>
      <c r="F1075" s="3">
        <v>2026</v>
      </c>
      <c r="G1075" s="3">
        <v>1</v>
      </c>
      <c r="H1075" t="s">
        <v>1183</v>
      </c>
      <c r="I1075" s="2">
        <v>3</v>
      </c>
      <c r="J1075" t="s">
        <v>87</v>
      </c>
    </row>
    <row r="1076" spans="1:10">
      <c r="A1076" t="s">
        <v>1229</v>
      </c>
      <c r="B1076" t="s">
        <v>86</v>
      </c>
      <c r="C1076" s="1">
        <v>45421</v>
      </c>
      <c r="D1076" t="s">
        <v>210</v>
      </c>
      <c r="E1076" t="s">
        <v>25</v>
      </c>
      <c r="F1076" s="3">
        <v>2026</v>
      </c>
      <c r="G1076" s="3">
        <v>1</v>
      </c>
      <c r="H1076" t="s">
        <v>1183</v>
      </c>
      <c r="I1076" s="2">
        <v>3.3</v>
      </c>
      <c r="J1076" t="s">
        <v>87</v>
      </c>
    </row>
    <row r="1077" spans="1:10">
      <c r="A1077" t="s">
        <v>1230</v>
      </c>
      <c r="B1077" t="s">
        <v>86</v>
      </c>
      <c r="C1077" s="1">
        <v>45421</v>
      </c>
      <c r="D1077" t="s">
        <v>212</v>
      </c>
      <c r="E1077" t="s">
        <v>26</v>
      </c>
      <c r="F1077" s="3">
        <v>2026</v>
      </c>
      <c r="G1077" s="3">
        <v>1</v>
      </c>
      <c r="H1077" t="s">
        <v>1183</v>
      </c>
      <c r="I1077" s="2">
        <v>3</v>
      </c>
      <c r="J1077" t="s">
        <v>87</v>
      </c>
    </row>
    <row r="1078" spans="1:10">
      <c r="A1078" t="s">
        <v>1231</v>
      </c>
      <c r="B1078" t="s">
        <v>88</v>
      </c>
      <c r="C1078" s="1">
        <v>45470</v>
      </c>
      <c r="D1078" t="s">
        <v>22</v>
      </c>
      <c r="E1078" t="s">
        <v>22</v>
      </c>
      <c r="F1078" s="3">
        <v>2023</v>
      </c>
      <c r="G1078" s="3">
        <v>3</v>
      </c>
      <c r="H1078" t="s">
        <v>183</v>
      </c>
      <c r="I1078" s="2">
        <v>4.5999999999999996</v>
      </c>
      <c r="J1078" t="s">
        <v>89</v>
      </c>
    </row>
    <row r="1079" spans="1:10">
      <c r="A1079" t="s">
        <v>1232</v>
      </c>
      <c r="B1079" t="s">
        <v>88</v>
      </c>
      <c r="C1079" s="1">
        <v>45470</v>
      </c>
      <c r="D1079" t="s">
        <v>134</v>
      </c>
      <c r="E1079" t="s">
        <v>24</v>
      </c>
      <c r="F1079" s="3">
        <v>2023</v>
      </c>
      <c r="G1079" s="3">
        <v>3</v>
      </c>
      <c r="H1079" t="s">
        <v>183</v>
      </c>
      <c r="I1079" s="2">
        <v>6.2</v>
      </c>
      <c r="J1079" t="s">
        <v>89</v>
      </c>
    </row>
    <row r="1080" spans="1:10">
      <c r="A1080" t="s">
        <v>1233</v>
      </c>
      <c r="B1080" t="s">
        <v>88</v>
      </c>
      <c r="C1080" s="1">
        <v>45470</v>
      </c>
      <c r="D1080" t="s">
        <v>210</v>
      </c>
      <c r="E1080" t="s">
        <v>25</v>
      </c>
      <c r="F1080" s="3">
        <v>2023</v>
      </c>
      <c r="G1080" s="3">
        <v>3</v>
      </c>
      <c r="H1080" t="s">
        <v>183</v>
      </c>
      <c r="I1080" s="2">
        <v>4.0999999999999996</v>
      </c>
      <c r="J1080" t="s">
        <v>89</v>
      </c>
    </row>
    <row r="1081" spans="1:10">
      <c r="A1081" t="s">
        <v>1234</v>
      </c>
      <c r="B1081" t="s">
        <v>88</v>
      </c>
      <c r="C1081" s="1">
        <v>45470</v>
      </c>
      <c r="D1081" t="s">
        <v>212</v>
      </c>
      <c r="E1081" t="s">
        <v>26</v>
      </c>
      <c r="F1081" s="3">
        <v>2023</v>
      </c>
      <c r="G1081" s="3">
        <v>3</v>
      </c>
      <c r="H1081" t="s">
        <v>183</v>
      </c>
      <c r="I1081" s="2">
        <v>4.5</v>
      </c>
      <c r="J1081" t="s">
        <v>89</v>
      </c>
    </row>
    <row r="1082" spans="1:10">
      <c r="A1082" t="s">
        <v>1235</v>
      </c>
      <c r="B1082" t="s">
        <v>88</v>
      </c>
      <c r="C1082" s="1">
        <v>45470</v>
      </c>
      <c r="D1082" t="s">
        <v>22</v>
      </c>
      <c r="E1082" t="s">
        <v>22</v>
      </c>
      <c r="F1082" s="3">
        <v>2023</v>
      </c>
      <c r="G1082" s="3">
        <v>4</v>
      </c>
      <c r="H1082" t="s">
        <v>254</v>
      </c>
      <c r="I1082" s="2">
        <v>4.4000000000000004</v>
      </c>
      <c r="J1082" t="s">
        <v>89</v>
      </c>
    </row>
    <row r="1083" spans="1:10">
      <c r="A1083" t="s">
        <v>1236</v>
      </c>
      <c r="B1083" t="s">
        <v>88</v>
      </c>
      <c r="C1083" s="1">
        <v>45470</v>
      </c>
      <c r="D1083" t="s">
        <v>134</v>
      </c>
      <c r="E1083" t="s">
        <v>24</v>
      </c>
      <c r="F1083" s="3">
        <v>2023</v>
      </c>
      <c r="G1083" s="3">
        <v>4</v>
      </c>
      <c r="H1083" t="s">
        <v>254</v>
      </c>
      <c r="I1083" s="2">
        <v>5.3</v>
      </c>
      <c r="J1083" t="s">
        <v>89</v>
      </c>
    </row>
    <row r="1084" spans="1:10">
      <c r="A1084" t="s">
        <v>1237</v>
      </c>
      <c r="B1084" t="s">
        <v>88</v>
      </c>
      <c r="C1084" s="1">
        <v>45470</v>
      </c>
      <c r="D1084" t="s">
        <v>210</v>
      </c>
      <c r="E1084" t="s">
        <v>25</v>
      </c>
      <c r="F1084" s="3">
        <v>2023</v>
      </c>
      <c r="G1084" s="3">
        <v>4</v>
      </c>
      <c r="H1084" t="s">
        <v>254</v>
      </c>
      <c r="I1084" s="2">
        <v>5</v>
      </c>
      <c r="J1084" t="s">
        <v>89</v>
      </c>
    </row>
    <row r="1085" spans="1:10">
      <c r="A1085" t="s">
        <v>1238</v>
      </c>
      <c r="B1085" t="s">
        <v>88</v>
      </c>
      <c r="C1085" s="1">
        <v>45470</v>
      </c>
      <c r="D1085" t="s">
        <v>212</v>
      </c>
      <c r="E1085" t="s">
        <v>26</v>
      </c>
      <c r="F1085" s="3">
        <v>2023</v>
      </c>
      <c r="G1085" s="3">
        <v>4</v>
      </c>
      <c r="H1085" t="s">
        <v>254</v>
      </c>
      <c r="I1085" s="2">
        <v>4.7</v>
      </c>
      <c r="J1085" t="s">
        <v>89</v>
      </c>
    </row>
    <row r="1086" spans="1:10">
      <c r="A1086" t="s">
        <v>1239</v>
      </c>
      <c r="B1086" t="s">
        <v>88</v>
      </c>
      <c r="C1086" s="1">
        <v>45470</v>
      </c>
      <c r="D1086" t="s">
        <v>22</v>
      </c>
      <c r="E1086" t="s">
        <v>22</v>
      </c>
      <c r="F1086" s="3">
        <v>2024</v>
      </c>
      <c r="G1086" s="3">
        <v>1</v>
      </c>
      <c r="H1086" t="s">
        <v>355</v>
      </c>
      <c r="I1086" s="2">
        <v>4.5999999999999996</v>
      </c>
      <c r="J1086" t="s">
        <v>89</v>
      </c>
    </row>
    <row r="1087" spans="1:10">
      <c r="A1087" t="s">
        <v>1240</v>
      </c>
      <c r="B1087" t="s">
        <v>88</v>
      </c>
      <c r="C1087" s="1">
        <v>45470</v>
      </c>
      <c r="D1087" t="s">
        <v>134</v>
      </c>
      <c r="E1087" t="s">
        <v>24</v>
      </c>
      <c r="F1087" s="3">
        <v>2024</v>
      </c>
      <c r="G1087" s="3">
        <v>1</v>
      </c>
      <c r="H1087" t="s">
        <v>355</v>
      </c>
      <c r="I1087" s="2">
        <v>4.7</v>
      </c>
      <c r="J1087" t="s">
        <v>89</v>
      </c>
    </row>
    <row r="1088" spans="1:10">
      <c r="A1088" t="s">
        <v>1241</v>
      </c>
      <c r="B1088" t="s">
        <v>88</v>
      </c>
      <c r="C1088" s="1">
        <v>45470</v>
      </c>
      <c r="D1088" t="s">
        <v>210</v>
      </c>
      <c r="E1088" t="s">
        <v>25</v>
      </c>
      <c r="F1088" s="3">
        <v>2024</v>
      </c>
      <c r="G1088" s="3">
        <v>1</v>
      </c>
      <c r="H1088" t="s">
        <v>355</v>
      </c>
      <c r="I1088" s="2">
        <v>4.9000000000000004</v>
      </c>
      <c r="J1088" t="s">
        <v>89</v>
      </c>
    </row>
    <row r="1089" spans="1:10">
      <c r="A1089" t="s">
        <v>1242</v>
      </c>
      <c r="B1089" t="s">
        <v>88</v>
      </c>
      <c r="C1089" s="1">
        <v>45470</v>
      </c>
      <c r="D1089" t="s">
        <v>212</v>
      </c>
      <c r="E1089" t="s">
        <v>26</v>
      </c>
      <c r="F1089" s="3">
        <v>2024</v>
      </c>
      <c r="G1089" s="3">
        <v>1</v>
      </c>
      <c r="H1089" t="s">
        <v>355</v>
      </c>
      <c r="I1089" s="2">
        <v>4.2</v>
      </c>
      <c r="J1089" t="s">
        <v>89</v>
      </c>
    </row>
    <row r="1090" spans="1:10">
      <c r="A1090" t="s">
        <v>1243</v>
      </c>
      <c r="B1090" t="s">
        <v>88</v>
      </c>
      <c r="C1090" s="1">
        <v>45470</v>
      </c>
      <c r="D1090" t="s">
        <v>22</v>
      </c>
      <c r="E1090" t="s">
        <v>22</v>
      </c>
      <c r="F1090" s="3">
        <v>2024</v>
      </c>
      <c r="G1090" s="3">
        <v>2</v>
      </c>
      <c r="H1090" t="s">
        <v>460</v>
      </c>
      <c r="I1090" s="2">
        <v>4.7</v>
      </c>
      <c r="J1090" t="s">
        <v>89</v>
      </c>
    </row>
    <row r="1091" spans="1:10">
      <c r="A1091" t="s">
        <v>1244</v>
      </c>
      <c r="B1091" t="s">
        <v>88</v>
      </c>
      <c r="C1091" s="1">
        <v>45470</v>
      </c>
      <c r="D1091" t="s">
        <v>134</v>
      </c>
      <c r="E1091" t="s">
        <v>24</v>
      </c>
      <c r="F1091" s="3">
        <v>2024</v>
      </c>
      <c r="G1091" s="3">
        <v>2</v>
      </c>
      <c r="H1091" t="s">
        <v>460</v>
      </c>
      <c r="I1091" s="2">
        <v>4.2</v>
      </c>
      <c r="J1091" t="s">
        <v>89</v>
      </c>
    </row>
    <row r="1092" spans="1:10">
      <c r="A1092" t="s">
        <v>1245</v>
      </c>
      <c r="B1092" t="s">
        <v>88</v>
      </c>
      <c r="C1092" s="1">
        <v>45470</v>
      </c>
      <c r="D1092" t="s">
        <v>210</v>
      </c>
      <c r="E1092" t="s">
        <v>25</v>
      </c>
      <c r="F1092" s="3">
        <v>2024</v>
      </c>
      <c r="G1092" s="3">
        <v>2</v>
      </c>
      <c r="H1092" t="s">
        <v>460</v>
      </c>
      <c r="I1092" s="2">
        <v>3.6</v>
      </c>
      <c r="J1092" t="s">
        <v>89</v>
      </c>
    </row>
    <row r="1093" spans="1:10">
      <c r="A1093" t="s">
        <v>1246</v>
      </c>
      <c r="B1093" t="s">
        <v>88</v>
      </c>
      <c r="C1093" s="1">
        <v>45470</v>
      </c>
      <c r="D1093" t="s">
        <v>212</v>
      </c>
      <c r="E1093" t="s">
        <v>26</v>
      </c>
      <c r="F1093" s="3">
        <v>2024</v>
      </c>
      <c r="G1093" s="3">
        <v>2</v>
      </c>
      <c r="H1093" t="s">
        <v>460</v>
      </c>
      <c r="I1093" s="2">
        <v>3.9</v>
      </c>
      <c r="J1093" t="s">
        <v>89</v>
      </c>
    </row>
    <row r="1094" spans="1:10">
      <c r="A1094" t="s">
        <v>1247</v>
      </c>
      <c r="B1094" t="s">
        <v>88</v>
      </c>
      <c r="C1094" s="1">
        <v>45470</v>
      </c>
      <c r="D1094" t="s">
        <v>22</v>
      </c>
      <c r="E1094" t="s">
        <v>22</v>
      </c>
      <c r="F1094" s="3">
        <v>2024</v>
      </c>
      <c r="G1094" s="3">
        <v>3</v>
      </c>
      <c r="H1094" t="s">
        <v>565</v>
      </c>
      <c r="I1094" s="2">
        <v>4.5</v>
      </c>
      <c r="J1094" t="s">
        <v>89</v>
      </c>
    </row>
    <row r="1095" spans="1:10">
      <c r="A1095" t="s">
        <v>1248</v>
      </c>
      <c r="B1095" t="s">
        <v>88</v>
      </c>
      <c r="C1095" s="1">
        <v>45470</v>
      </c>
      <c r="D1095" t="s">
        <v>134</v>
      </c>
      <c r="E1095" t="s">
        <v>24</v>
      </c>
      <c r="F1095" s="3">
        <v>2024</v>
      </c>
      <c r="G1095" s="3">
        <v>3</v>
      </c>
      <c r="H1095" t="s">
        <v>565</v>
      </c>
      <c r="I1095" s="2">
        <v>4.0999999999999996</v>
      </c>
      <c r="J1095" t="s">
        <v>89</v>
      </c>
    </row>
    <row r="1096" spans="1:10">
      <c r="A1096" t="s">
        <v>1249</v>
      </c>
      <c r="B1096" t="s">
        <v>88</v>
      </c>
      <c r="C1096" s="1">
        <v>45470</v>
      </c>
      <c r="D1096" t="s">
        <v>210</v>
      </c>
      <c r="E1096" t="s">
        <v>25</v>
      </c>
      <c r="F1096" s="3">
        <v>2024</v>
      </c>
      <c r="G1096" s="3">
        <v>3</v>
      </c>
      <c r="H1096" t="s">
        <v>565</v>
      </c>
      <c r="I1096" s="2">
        <v>3.6</v>
      </c>
      <c r="J1096" t="s">
        <v>89</v>
      </c>
    </row>
    <row r="1097" spans="1:10">
      <c r="A1097" t="s">
        <v>1250</v>
      </c>
      <c r="B1097" t="s">
        <v>88</v>
      </c>
      <c r="C1097" s="1">
        <v>45470</v>
      </c>
      <c r="D1097" t="s">
        <v>212</v>
      </c>
      <c r="E1097" t="s">
        <v>26</v>
      </c>
      <c r="F1097" s="3">
        <v>2024</v>
      </c>
      <c r="G1097" s="3">
        <v>3</v>
      </c>
      <c r="H1097" t="s">
        <v>565</v>
      </c>
      <c r="I1097" s="2">
        <v>3.6</v>
      </c>
      <c r="J1097" t="s">
        <v>89</v>
      </c>
    </row>
    <row r="1098" spans="1:10">
      <c r="A1098" t="s">
        <v>1251</v>
      </c>
      <c r="B1098" t="s">
        <v>88</v>
      </c>
      <c r="C1098" s="1">
        <v>45470</v>
      </c>
      <c r="D1098" t="s">
        <v>22</v>
      </c>
      <c r="E1098" t="s">
        <v>22</v>
      </c>
      <c r="F1098" s="3">
        <v>2024</v>
      </c>
      <c r="G1098" s="3">
        <v>4</v>
      </c>
      <c r="H1098" t="s">
        <v>670</v>
      </c>
      <c r="I1098" s="2">
        <v>4</v>
      </c>
      <c r="J1098" t="s">
        <v>89</v>
      </c>
    </row>
    <row r="1099" spans="1:10">
      <c r="A1099" t="s">
        <v>1252</v>
      </c>
      <c r="B1099" t="s">
        <v>88</v>
      </c>
      <c r="C1099" s="1">
        <v>45470</v>
      </c>
      <c r="D1099" t="s">
        <v>134</v>
      </c>
      <c r="E1099" t="s">
        <v>24</v>
      </c>
      <c r="F1099" s="3">
        <v>2024</v>
      </c>
      <c r="G1099" s="3">
        <v>4</v>
      </c>
      <c r="H1099" t="s">
        <v>670</v>
      </c>
      <c r="I1099" s="2">
        <v>3.9</v>
      </c>
      <c r="J1099" t="s">
        <v>89</v>
      </c>
    </row>
    <row r="1100" spans="1:10">
      <c r="A1100" t="s">
        <v>1253</v>
      </c>
      <c r="B1100" t="s">
        <v>88</v>
      </c>
      <c r="C1100" s="1">
        <v>45470</v>
      </c>
      <c r="D1100" t="s">
        <v>210</v>
      </c>
      <c r="E1100" t="s">
        <v>25</v>
      </c>
      <c r="F1100" s="3">
        <v>2024</v>
      </c>
      <c r="G1100" s="3">
        <v>4</v>
      </c>
      <c r="H1100" t="s">
        <v>670</v>
      </c>
      <c r="I1100" s="2">
        <v>3.4</v>
      </c>
      <c r="J1100" t="s">
        <v>89</v>
      </c>
    </row>
    <row r="1101" spans="1:10">
      <c r="A1101" t="s">
        <v>1254</v>
      </c>
      <c r="B1101" t="s">
        <v>88</v>
      </c>
      <c r="C1101" s="1">
        <v>45470</v>
      </c>
      <c r="D1101" t="s">
        <v>212</v>
      </c>
      <c r="E1101" t="s">
        <v>26</v>
      </c>
      <c r="F1101" s="3">
        <v>2024</v>
      </c>
      <c r="G1101" s="3">
        <v>4</v>
      </c>
      <c r="H1101" t="s">
        <v>670</v>
      </c>
      <c r="I1101" s="2">
        <v>3.6</v>
      </c>
      <c r="J1101" t="s">
        <v>89</v>
      </c>
    </row>
    <row r="1102" spans="1:10">
      <c r="A1102" t="s">
        <v>1255</v>
      </c>
      <c r="B1102" t="s">
        <v>88</v>
      </c>
      <c r="C1102" s="1">
        <v>45470</v>
      </c>
      <c r="D1102" t="s">
        <v>22</v>
      </c>
      <c r="E1102" t="s">
        <v>22</v>
      </c>
      <c r="F1102" s="3">
        <v>2025</v>
      </c>
      <c r="G1102" s="3">
        <v>1</v>
      </c>
      <c r="H1102" t="s">
        <v>771</v>
      </c>
      <c r="I1102" s="2">
        <v>3.5</v>
      </c>
      <c r="J1102" t="s">
        <v>89</v>
      </c>
    </row>
    <row r="1103" spans="1:10">
      <c r="A1103" t="s">
        <v>1256</v>
      </c>
      <c r="B1103" t="s">
        <v>88</v>
      </c>
      <c r="C1103" s="1">
        <v>45470</v>
      </c>
      <c r="D1103" t="s">
        <v>134</v>
      </c>
      <c r="E1103" t="s">
        <v>24</v>
      </c>
      <c r="F1103" s="3">
        <v>2025</v>
      </c>
      <c r="G1103" s="3">
        <v>1</v>
      </c>
      <c r="H1103" t="s">
        <v>771</v>
      </c>
      <c r="I1103" s="2">
        <v>3.6</v>
      </c>
      <c r="J1103" t="s">
        <v>89</v>
      </c>
    </row>
    <row r="1104" spans="1:10">
      <c r="A1104" t="s">
        <v>1257</v>
      </c>
      <c r="B1104" t="s">
        <v>88</v>
      </c>
      <c r="C1104" s="1">
        <v>45470</v>
      </c>
      <c r="D1104" t="s">
        <v>210</v>
      </c>
      <c r="E1104" t="s">
        <v>25</v>
      </c>
      <c r="F1104" s="3">
        <v>2025</v>
      </c>
      <c r="G1104" s="3">
        <v>1</v>
      </c>
      <c r="H1104" t="s">
        <v>771</v>
      </c>
      <c r="I1104" s="2">
        <v>3.1</v>
      </c>
      <c r="J1104" t="s">
        <v>89</v>
      </c>
    </row>
    <row r="1105" spans="1:10">
      <c r="A1105" t="s">
        <v>1258</v>
      </c>
      <c r="B1105" t="s">
        <v>88</v>
      </c>
      <c r="C1105" s="1">
        <v>45470</v>
      </c>
      <c r="D1105" t="s">
        <v>212</v>
      </c>
      <c r="E1105" t="s">
        <v>26</v>
      </c>
      <c r="F1105" s="3">
        <v>2025</v>
      </c>
      <c r="G1105" s="3">
        <v>1</v>
      </c>
      <c r="H1105" t="s">
        <v>771</v>
      </c>
      <c r="I1105" s="2">
        <v>3</v>
      </c>
      <c r="J1105" t="s">
        <v>89</v>
      </c>
    </row>
    <row r="1106" spans="1:10">
      <c r="A1106" t="s">
        <v>1259</v>
      </c>
      <c r="B1106" t="s">
        <v>88</v>
      </c>
      <c r="C1106" s="1">
        <v>45470</v>
      </c>
      <c r="D1106" t="s">
        <v>22</v>
      </c>
      <c r="E1106" t="s">
        <v>22</v>
      </c>
      <c r="F1106" s="3">
        <v>2025</v>
      </c>
      <c r="G1106" s="3">
        <v>2</v>
      </c>
      <c r="H1106" t="s">
        <v>876</v>
      </c>
      <c r="I1106" s="2">
        <v>3.3</v>
      </c>
      <c r="J1106" t="s">
        <v>89</v>
      </c>
    </row>
    <row r="1107" spans="1:10">
      <c r="A1107" t="s">
        <v>1260</v>
      </c>
      <c r="B1107" t="s">
        <v>88</v>
      </c>
      <c r="C1107" s="1">
        <v>45470</v>
      </c>
      <c r="D1107" t="s">
        <v>134</v>
      </c>
      <c r="E1107" t="s">
        <v>24</v>
      </c>
      <c r="F1107" s="3">
        <v>2025</v>
      </c>
      <c r="G1107" s="3">
        <v>2</v>
      </c>
      <c r="H1107" t="s">
        <v>876</v>
      </c>
      <c r="I1107" s="2">
        <v>3.3</v>
      </c>
      <c r="J1107" t="s">
        <v>89</v>
      </c>
    </row>
    <row r="1108" spans="1:10">
      <c r="A1108" t="s">
        <v>1261</v>
      </c>
      <c r="B1108" t="s">
        <v>88</v>
      </c>
      <c r="C1108" s="1">
        <v>45470</v>
      </c>
      <c r="D1108" t="s">
        <v>210</v>
      </c>
      <c r="E1108" t="s">
        <v>25</v>
      </c>
      <c r="F1108" s="3">
        <v>2025</v>
      </c>
      <c r="G1108" s="3">
        <v>2</v>
      </c>
      <c r="H1108" t="s">
        <v>876</v>
      </c>
      <c r="I1108" s="2">
        <v>2.9</v>
      </c>
      <c r="J1108" t="s">
        <v>89</v>
      </c>
    </row>
    <row r="1109" spans="1:10">
      <c r="A1109" t="s">
        <v>1262</v>
      </c>
      <c r="B1109" t="s">
        <v>88</v>
      </c>
      <c r="C1109" s="1">
        <v>45470</v>
      </c>
      <c r="D1109" t="s">
        <v>212</v>
      </c>
      <c r="E1109" t="s">
        <v>26</v>
      </c>
      <c r="F1109" s="3">
        <v>2025</v>
      </c>
      <c r="G1109" s="3">
        <v>2</v>
      </c>
      <c r="H1109" t="s">
        <v>876</v>
      </c>
      <c r="I1109" s="2">
        <v>2.8</v>
      </c>
      <c r="J1109" t="s">
        <v>89</v>
      </c>
    </row>
    <row r="1110" spans="1:10">
      <c r="A1110" t="s">
        <v>1263</v>
      </c>
      <c r="B1110" t="s">
        <v>88</v>
      </c>
      <c r="C1110" s="1">
        <v>45470</v>
      </c>
      <c r="D1110" t="s">
        <v>22</v>
      </c>
      <c r="E1110" t="s">
        <v>22</v>
      </c>
      <c r="F1110" s="3">
        <v>2025</v>
      </c>
      <c r="G1110" s="3">
        <v>3</v>
      </c>
      <c r="H1110" t="s">
        <v>981</v>
      </c>
      <c r="I1110" s="2">
        <v>3.1</v>
      </c>
      <c r="J1110" t="s">
        <v>89</v>
      </c>
    </row>
    <row r="1111" spans="1:10">
      <c r="A1111" t="s">
        <v>1264</v>
      </c>
      <c r="B1111" t="s">
        <v>88</v>
      </c>
      <c r="C1111" s="1">
        <v>45470</v>
      </c>
      <c r="D1111" t="s">
        <v>134</v>
      </c>
      <c r="E1111" t="s">
        <v>24</v>
      </c>
      <c r="F1111" s="3">
        <v>2025</v>
      </c>
      <c r="G1111" s="3">
        <v>3</v>
      </c>
      <c r="H1111" t="s">
        <v>981</v>
      </c>
      <c r="I1111" s="2">
        <v>3.1</v>
      </c>
      <c r="J1111" t="s">
        <v>89</v>
      </c>
    </row>
    <row r="1112" spans="1:10">
      <c r="A1112" t="s">
        <v>1265</v>
      </c>
      <c r="B1112" t="s">
        <v>88</v>
      </c>
      <c r="C1112" s="1">
        <v>45470</v>
      </c>
      <c r="D1112" t="s">
        <v>210</v>
      </c>
      <c r="E1112" t="s">
        <v>25</v>
      </c>
      <c r="F1112" s="3">
        <v>2025</v>
      </c>
      <c r="G1112" s="3">
        <v>3</v>
      </c>
      <c r="H1112" t="s">
        <v>981</v>
      </c>
      <c r="I1112" s="2">
        <v>3.1</v>
      </c>
      <c r="J1112" t="s">
        <v>89</v>
      </c>
    </row>
    <row r="1113" spans="1:10">
      <c r="A1113" t="s">
        <v>1266</v>
      </c>
      <c r="B1113" t="s">
        <v>88</v>
      </c>
      <c r="C1113" s="1">
        <v>45470</v>
      </c>
      <c r="D1113" t="s">
        <v>212</v>
      </c>
      <c r="E1113" t="s">
        <v>26</v>
      </c>
      <c r="F1113" s="3">
        <v>2025</v>
      </c>
      <c r="G1113" s="3">
        <v>3</v>
      </c>
      <c r="H1113" t="s">
        <v>981</v>
      </c>
      <c r="I1113" s="2">
        <v>3</v>
      </c>
      <c r="J1113" t="s">
        <v>89</v>
      </c>
    </row>
    <row r="1114" spans="1:10">
      <c r="A1114" t="s">
        <v>1267</v>
      </c>
      <c r="B1114" t="s">
        <v>88</v>
      </c>
      <c r="C1114" s="1">
        <v>45470</v>
      </c>
      <c r="D1114" t="s">
        <v>22</v>
      </c>
      <c r="E1114" t="s">
        <v>22</v>
      </c>
      <c r="F1114" s="3">
        <v>2025</v>
      </c>
      <c r="G1114" s="3">
        <v>4</v>
      </c>
      <c r="H1114" t="s">
        <v>1086</v>
      </c>
      <c r="I1114" s="2">
        <v>3</v>
      </c>
      <c r="J1114" t="s">
        <v>89</v>
      </c>
    </row>
    <row r="1115" spans="1:10">
      <c r="A1115" t="s">
        <v>1268</v>
      </c>
      <c r="B1115" t="s">
        <v>88</v>
      </c>
      <c r="C1115" s="1">
        <v>45470</v>
      </c>
      <c r="D1115" t="s">
        <v>134</v>
      </c>
      <c r="E1115" t="s">
        <v>24</v>
      </c>
      <c r="F1115" s="3">
        <v>2025</v>
      </c>
      <c r="G1115" s="3">
        <v>4</v>
      </c>
      <c r="H1115" t="s">
        <v>1086</v>
      </c>
      <c r="I1115" s="2">
        <v>3</v>
      </c>
      <c r="J1115" t="s">
        <v>89</v>
      </c>
    </row>
    <row r="1116" spans="1:10">
      <c r="A1116" t="s">
        <v>1269</v>
      </c>
      <c r="B1116" t="s">
        <v>88</v>
      </c>
      <c r="C1116" s="1">
        <v>45470</v>
      </c>
      <c r="D1116" t="s">
        <v>210</v>
      </c>
      <c r="E1116" t="s">
        <v>25</v>
      </c>
      <c r="F1116" s="3">
        <v>2025</v>
      </c>
      <c r="G1116" s="3">
        <v>4</v>
      </c>
      <c r="H1116" t="s">
        <v>1086</v>
      </c>
      <c r="I1116" s="2">
        <v>2.8</v>
      </c>
      <c r="J1116" t="s">
        <v>89</v>
      </c>
    </row>
    <row r="1117" spans="1:10">
      <c r="A1117" t="s">
        <v>1270</v>
      </c>
      <c r="B1117" t="s">
        <v>88</v>
      </c>
      <c r="C1117" s="1">
        <v>45470</v>
      </c>
      <c r="D1117" t="s">
        <v>212</v>
      </c>
      <c r="E1117" t="s">
        <v>26</v>
      </c>
      <c r="F1117" s="3">
        <v>2025</v>
      </c>
      <c r="G1117" s="3">
        <v>4</v>
      </c>
      <c r="H1117" t="s">
        <v>1086</v>
      </c>
      <c r="I1117" s="2">
        <v>3.1</v>
      </c>
      <c r="J1117" t="s">
        <v>89</v>
      </c>
    </row>
    <row r="1118" spans="1:10">
      <c r="A1118" t="s">
        <v>1271</v>
      </c>
      <c r="B1118" t="s">
        <v>88</v>
      </c>
      <c r="C1118" s="1">
        <v>45470</v>
      </c>
      <c r="D1118" t="s">
        <v>22</v>
      </c>
      <c r="E1118" t="s">
        <v>22</v>
      </c>
      <c r="F1118" s="3">
        <v>2026</v>
      </c>
      <c r="G1118" s="3">
        <v>1</v>
      </c>
      <c r="H1118" t="s">
        <v>1183</v>
      </c>
      <c r="I1118" s="2">
        <v>3</v>
      </c>
      <c r="J1118" t="s">
        <v>89</v>
      </c>
    </row>
    <row r="1119" spans="1:10">
      <c r="A1119" t="s">
        <v>1272</v>
      </c>
      <c r="B1119" t="s">
        <v>88</v>
      </c>
      <c r="C1119" s="1">
        <v>45470</v>
      </c>
      <c r="D1119" t="s">
        <v>134</v>
      </c>
      <c r="E1119" t="s">
        <v>24</v>
      </c>
      <c r="F1119" s="3">
        <v>2026</v>
      </c>
      <c r="G1119" s="3">
        <v>1</v>
      </c>
      <c r="H1119" t="s">
        <v>1183</v>
      </c>
      <c r="I1119" s="2">
        <v>3</v>
      </c>
      <c r="J1119" t="s">
        <v>89</v>
      </c>
    </row>
    <row r="1120" spans="1:10">
      <c r="A1120" t="s">
        <v>1273</v>
      </c>
      <c r="B1120" t="s">
        <v>88</v>
      </c>
      <c r="C1120" s="1">
        <v>45470</v>
      </c>
      <c r="D1120" t="s">
        <v>210</v>
      </c>
      <c r="E1120" t="s">
        <v>25</v>
      </c>
      <c r="F1120" s="3">
        <v>2026</v>
      </c>
      <c r="G1120" s="3">
        <v>1</v>
      </c>
      <c r="H1120" t="s">
        <v>1183</v>
      </c>
      <c r="I1120" s="2">
        <v>3</v>
      </c>
      <c r="J1120" t="s">
        <v>89</v>
      </c>
    </row>
    <row r="1121" spans="1:10">
      <c r="A1121" t="s">
        <v>1274</v>
      </c>
      <c r="B1121" t="s">
        <v>88</v>
      </c>
      <c r="C1121" s="1">
        <v>45470</v>
      </c>
      <c r="D1121" t="s">
        <v>212</v>
      </c>
      <c r="E1121" t="s">
        <v>26</v>
      </c>
      <c r="F1121" s="3">
        <v>2026</v>
      </c>
      <c r="G1121" s="3">
        <v>1</v>
      </c>
      <c r="H1121" t="s">
        <v>1183</v>
      </c>
      <c r="I1121" s="2">
        <v>3</v>
      </c>
      <c r="J1121" t="s">
        <v>89</v>
      </c>
    </row>
    <row r="1122" spans="1:10">
      <c r="A1122" t="s">
        <v>1275</v>
      </c>
      <c r="B1122" t="s">
        <v>88</v>
      </c>
      <c r="C1122" s="1">
        <v>45470</v>
      </c>
      <c r="D1122" t="s">
        <v>22</v>
      </c>
      <c r="E1122" t="s">
        <v>22</v>
      </c>
      <c r="F1122" s="3">
        <v>2026</v>
      </c>
      <c r="G1122" s="3">
        <v>2</v>
      </c>
      <c r="H1122" t="s">
        <v>1276</v>
      </c>
      <c r="I1122" s="2">
        <v>3</v>
      </c>
      <c r="J1122" t="s">
        <v>89</v>
      </c>
    </row>
    <row r="1123" spans="1:10">
      <c r="A1123" t="s">
        <v>1277</v>
      </c>
      <c r="B1123" t="s">
        <v>88</v>
      </c>
      <c r="C1123" s="1">
        <v>45470</v>
      </c>
      <c r="D1123" t="s">
        <v>134</v>
      </c>
      <c r="E1123" t="s">
        <v>24</v>
      </c>
      <c r="F1123" s="3">
        <v>2026</v>
      </c>
      <c r="G1123" s="3">
        <v>2</v>
      </c>
      <c r="H1123" t="s">
        <v>1276</v>
      </c>
      <c r="I1123" s="2">
        <v>3</v>
      </c>
      <c r="J1123" t="s">
        <v>89</v>
      </c>
    </row>
    <row r="1124" spans="1:10">
      <c r="A1124" t="s">
        <v>1278</v>
      </c>
      <c r="B1124" t="s">
        <v>88</v>
      </c>
      <c r="C1124" s="1">
        <v>45470</v>
      </c>
      <c r="D1124" t="s">
        <v>210</v>
      </c>
      <c r="E1124" t="s">
        <v>25</v>
      </c>
      <c r="F1124" s="3">
        <v>2026</v>
      </c>
      <c r="G1124" s="3">
        <v>2</v>
      </c>
      <c r="H1124" t="s">
        <v>1276</v>
      </c>
      <c r="I1124" s="2">
        <v>2.9</v>
      </c>
      <c r="J1124" t="s">
        <v>89</v>
      </c>
    </row>
    <row r="1125" spans="1:10">
      <c r="A1125" t="s">
        <v>1279</v>
      </c>
      <c r="B1125" t="s">
        <v>88</v>
      </c>
      <c r="C1125" s="1">
        <v>45470</v>
      </c>
      <c r="D1125" t="s">
        <v>212</v>
      </c>
      <c r="E1125" t="s">
        <v>26</v>
      </c>
      <c r="F1125" s="3">
        <v>2026</v>
      </c>
      <c r="G1125" s="3">
        <v>2</v>
      </c>
      <c r="H1125" t="s">
        <v>1276</v>
      </c>
      <c r="I1125" s="2">
        <v>2.8</v>
      </c>
      <c r="J1125" t="s">
        <v>89</v>
      </c>
    </row>
    <row r="1126" spans="1:10">
      <c r="A1126" t="s">
        <v>1280</v>
      </c>
      <c r="B1126" t="s">
        <v>90</v>
      </c>
      <c r="C1126" s="1">
        <v>45512</v>
      </c>
      <c r="D1126" t="s">
        <v>22</v>
      </c>
      <c r="E1126" t="s">
        <v>22</v>
      </c>
      <c r="F1126" s="3">
        <v>2023</v>
      </c>
      <c r="G1126" s="3">
        <v>3</v>
      </c>
      <c r="H1126" t="s">
        <v>183</v>
      </c>
      <c r="I1126" s="2">
        <v>4.5999999999999996</v>
      </c>
      <c r="J1126" t="s">
        <v>91</v>
      </c>
    </row>
    <row r="1127" spans="1:10">
      <c r="A1127" t="s">
        <v>1281</v>
      </c>
      <c r="B1127" t="s">
        <v>90</v>
      </c>
      <c r="C1127" s="1">
        <v>45512</v>
      </c>
      <c r="D1127" t="s">
        <v>134</v>
      </c>
      <c r="E1127" t="s">
        <v>24</v>
      </c>
      <c r="F1127" s="3">
        <v>2023</v>
      </c>
      <c r="G1127" s="3">
        <v>3</v>
      </c>
      <c r="H1127" t="s">
        <v>183</v>
      </c>
      <c r="I1127" s="2">
        <v>6.2</v>
      </c>
      <c r="J1127" t="s">
        <v>91</v>
      </c>
    </row>
    <row r="1128" spans="1:10">
      <c r="A1128" t="s">
        <v>1282</v>
      </c>
      <c r="B1128" t="s">
        <v>90</v>
      </c>
      <c r="C1128" s="1">
        <v>45512</v>
      </c>
      <c r="D1128" t="s">
        <v>210</v>
      </c>
      <c r="E1128" t="s">
        <v>25</v>
      </c>
      <c r="F1128" s="3">
        <v>2023</v>
      </c>
      <c r="G1128" s="3">
        <v>3</v>
      </c>
      <c r="H1128" t="s">
        <v>183</v>
      </c>
      <c r="I1128" s="2">
        <v>3.9</v>
      </c>
      <c r="J1128" t="s">
        <v>91</v>
      </c>
    </row>
    <row r="1129" spans="1:10">
      <c r="A1129" t="s">
        <v>1283</v>
      </c>
      <c r="B1129" t="s">
        <v>90</v>
      </c>
      <c r="C1129" s="1">
        <v>45512</v>
      </c>
      <c r="D1129" t="s">
        <v>212</v>
      </c>
      <c r="E1129" t="s">
        <v>26</v>
      </c>
      <c r="F1129" s="3">
        <v>2023</v>
      </c>
      <c r="G1129" s="3">
        <v>3</v>
      </c>
      <c r="H1129" t="s">
        <v>183</v>
      </c>
      <c r="I1129" s="2">
        <v>4.4000000000000004</v>
      </c>
      <c r="J1129" t="s">
        <v>91</v>
      </c>
    </row>
    <row r="1130" spans="1:10">
      <c r="A1130" t="s">
        <v>1284</v>
      </c>
      <c r="B1130" t="s">
        <v>90</v>
      </c>
      <c r="C1130" s="1">
        <v>45512</v>
      </c>
      <c r="D1130" t="s">
        <v>22</v>
      </c>
      <c r="E1130" t="s">
        <v>22</v>
      </c>
      <c r="F1130" s="3">
        <v>2023</v>
      </c>
      <c r="G1130" s="3">
        <v>4</v>
      </c>
      <c r="H1130" t="s">
        <v>254</v>
      </c>
      <c r="I1130" s="2">
        <v>4.4000000000000004</v>
      </c>
      <c r="J1130" t="s">
        <v>91</v>
      </c>
    </row>
    <row r="1131" spans="1:10">
      <c r="A1131" t="s">
        <v>1285</v>
      </c>
      <c r="B1131" t="s">
        <v>90</v>
      </c>
      <c r="C1131" s="1">
        <v>45512</v>
      </c>
      <c r="D1131" t="s">
        <v>134</v>
      </c>
      <c r="E1131" t="s">
        <v>24</v>
      </c>
      <c r="F1131" s="3">
        <v>2023</v>
      </c>
      <c r="G1131" s="3">
        <v>4</v>
      </c>
      <c r="H1131" t="s">
        <v>254</v>
      </c>
      <c r="I1131" s="2">
        <v>5.3</v>
      </c>
      <c r="J1131" t="s">
        <v>91</v>
      </c>
    </row>
    <row r="1132" spans="1:10">
      <c r="A1132" t="s">
        <v>1286</v>
      </c>
      <c r="B1132" t="s">
        <v>90</v>
      </c>
      <c r="C1132" s="1">
        <v>45512</v>
      </c>
      <c r="D1132" t="s">
        <v>210</v>
      </c>
      <c r="E1132" t="s">
        <v>25</v>
      </c>
      <c r="F1132" s="3">
        <v>2023</v>
      </c>
      <c r="G1132" s="3">
        <v>4</v>
      </c>
      <c r="H1132" t="s">
        <v>254</v>
      </c>
      <c r="I1132" s="2">
        <v>5.0999999999999996</v>
      </c>
      <c r="J1132" t="s">
        <v>91</v>
      </c>
    </row>
    <row r="1133" spans="1:10">
      <c r="A1133" t="s">
        <v>1287</v>
      </c>
      <c r="B1133" t="s">
        <v>90</v>
      </c>
      <c r="C1133" s="1">
        <v>45512</v>
      </c>
      <c r="D1133" t="s">
        <v>212</v>
      </c>
      <c r="E1133" t="s">
        <v>26</v>
      </c>
      <c r="F1133" s="3">
        <v>2023</v>
      </c>
      <c r="G1133" s="3">
        <v>4</v>
      </c>
      <c r="H1133" t="s">
        <v>254</v>
      </c>
      <c r="I1133" s="2">
        <v>4.7</v>
      </c>
      <c r="J1133" t="s">
        <v>91</v>
      </c>
    </row>
    <row r="1134" spans="1:10">
      <c r="A1134" t="s">
        <v>1288</v>
      </c>
      <c r="B1134" t="s">
        <v>90</v>
      </c>
      <c r="C1134" s="1">
        <v>45512</v>
      </c>
      <c r="D1134" t="s">
        <v>22</v>
      </c>
      <c r="E1134" t="s">
        <v>22</v>
      </c>
      <c r="F1134" s="3">
        <v>2024</v>
      </c>
      <c r="G1134" s="3">
        <v>1</v>
      </c>
      <c r="H1134" t="s">
        <v>355</v>
      </c>
      <c r="I1134" s="2">
        <v>4.5999999999999996</v>
      </c>
      <c r="J1134" t="s">
        <v>91</v>
      </c>
    </row>
    <row r="1135" spans="1:10">
      <c r="A1135" t="s">
        <v>1289</v>
      </c>
      <c r="B1135" t="s">
        <v>90</v>
      </c>
      <c r="C1135" s="1">
        <v>45512</v>
      </c>
      <c r="D1135" t="s">
        <v>134</v>
      </c>
      <c r="E1135" t="s">
        <v>24</v>
      </c>
      <c r="F1135" s="3">
        <v>2024</v>
      </c>
      <c r="G1135" s="3">
        <v>1</v>
      </c>
      <c r="H1135" t="s">
        <v>355</v>
      </c>
      <c r="I1135" s="2">
        <v>4.7</v>
      </c>
      <c r="J1135" t="s">
        <v>91</v>
      </c>
    </row>
    <row r="1136" spans="1:10">
      <c r="A1136" t="s">
        <v>1290</v>
      </c>
      <c r="B1136" t="s">
        <v>90</v>
      </c>
      <c r="C1136" s="1">
        <v>45512</v>
      </c>
      <c r="D1136" t="s">
        <v>210</v>
      </c>
      <c r="E1136" t="s">
        <v>25</v>
      </c>
      <c r="F1136" s="3">
        <v>2024</v>
      </c>
      <c r="G1136" s="3">
        <v>1</v>
      </c>
      <c r="H1136" t="s">
        <v>355</v>
      </c>
      <c r="I1136" s="2">
        <v>5.3</v>
      </c>
      <c r="J1136" t="s">
        <v>91</v>
      </c>
    </row>
    <row r="1137" spans="1:10">
      <c r="A1137" t="s">
        <v>1291</v>
      </c>
      <c r="B1137" t="s">
        <v>90</v>
      </c>
      <c r="C1137" s="1">
        <v>45512</v>
      </c>
      <c r="D1137" t="s">
        <v>212</v>
      </c>
      <c r="E1137" t="s">
        <v>26</v>
      </c>
      <c r="F1137" s="3">
        <v>2024</v>
      </c>
      <c r="G1137" s="3">
        <v>1</v>
      </c>
      <c r="H1137" t="s">
        <v>355</v>
      </c>
      <c r="I1137" s="2">
        <v>4.3</v>
      </c>
      <c r="J1137" t="s">
        <v>91</v>
      </c>
    </row>
    <row r="1138" spans="1:10">
      <c r="A1138" t="s">
        <v>1292</v>
      </c>
      <c r="B1138" t="s">
        <v>90</v>
      </c>
      <c r="C1138" s="1">
        <v>45512</v>
      </c>
      <c r="D1138" t="s">
        <v>22</v>
      </c>
      <c r="E1138" t="s">
        <v>22</v>
      </c>
      <c r="F1138" s="3">
        <v>2024</v>
      </c>
      <c r="G1138" s="3">
        <v>2</v>
      </c>
      <c r="H1138" t="s">
        <v>460</v>
      </c>
      <c r="I1138" s="2">
        <v>4.8</v>
      </c>
      <c r="J1138" t="s">
        <v>91</v>
      </c>
    </row>
    <row r="1139" spans="1:10">
      <c r="A1139" t="s">
        <v>1293</v>
      </c>
      <c r="B1139" t="s">
        <v>90</v>
      </c>
      <c r="C1139" s="1">
        <v>45512</v>
      </c>
      <c r="D1139" t="s">
        <v>134</v>
      </c>
      <c r="E1139" t="s">
        <v>24</v>
      </c>
      <c r="F1139" s="3">
        <v>2024</v>
      </c>
      <c r="G1139" s="3">
        <v>2</v>
      </c>
      <c r="H1139" t="s">
        <v>460</v>
      </c>
      <c r="I1139" s="2">
        <v>4.2</v>
      </c>
      <c r="J1139" t="s">
        <v>91</v>
      </c>
    </row>
    <row r="1140" spans="1:10">
      <c r="A1140" t="s">
        <v>1294</v>
      </c>
      <c r="B1140" t="s">
        <v>90</v>
      </c>
      <c r="C1140" s="1">
        <v>45512</v>
      </c>
      <c r="D1140" t="s">
        <v>210</v>
      </c>
      <c r="E1140" t="s">
        <v>25</v>
      </c>
      <c r="F1140" s="3">
        <v>2024</v>
      </c>
      <c r="G1140" s="3">
        <v>2</v>
      </c>
      <c r="H1140" t="s">
        <v>460</v>
      </c>
      <c r="I1140" s="2">
        <v>4.4000000000000004</v>
      </c>
      <c r="J1140" t="s">
        <v>91</v>
      </c>
    </row>
    <row r="1141" spans="1:10">
      <c r="A1141" t="s">
        <v>1295</v>
      </c>
      <c r="B1141" t="s">
        <v>90</v>
      </c>
      <c r="C1141" s="1">
        <v>45512</v>
      </c>
      <c r="D1141" t="s">
        <v>212</v>
      </c>
      <c r="E1141" t="s">
        <v>26</v>
      </c>
      <c r="F1141" s="3">
        <v>2024</v>
      </c>
      <c r="G1141" s="3">
        <v>2</v>
      </c>
      <c r="H1141" t="s">
        <v>460</v>
      </c>
      <c r="I1141" s="2">
        <v>3.6</v>
      </c>
      <c r="J1141" t="s">
        <v>91</v>
      </c>
    </row>
    <row r="1142" spans="1:10">
      <c r="A1142" t="s">
        <v>1296</v>
      </c>
      <c r="B1142" t="s">
        <v>90</v>
      </c>
      <c r="C1142" s="1">
        <v>45512</v>
      </c>
      <c r="D1142" t="s">
        <v>22</v>
      </c>
      <c r="E1142" t="s">
        <v>22</v>
      </c>
      <c r="F1142" s="3">
        <v>2024</v>
      </c>
      <c r="G1142" s="3">
        <v>3</v>
      </c>
      <c r="H1142" t="s">
        <v>565</v>
      </c>
      <c r="I1142" s="2">
        <v>5.2</v>
      </c>
      <c r="J1142" t="s">
        <v>91</v>
      </c>
    </row>
    <row r="1143" spans="1:10">
      <c r="A1143" t="s">
        <v>1297</v>
      </c>
      <c r="B1143" t="s">
        <v>90</v>
      </c>
      <c r="C1143" s="1">
        <v>45512</v>
      </c>
      <c r="D1143" t="s">
        <v>134</v>
      </c>
      <c r="E1143" t="s">
        <v>24</v>
      </c>
      <c r="F1143" s="3">
        <v>2024</v>
      </c>
      <c r="G1143" s="3">
        <v>3</v>
      </c>
      <c r="H1143" t="s">
        <v>565</v>
      </c>
      <c r="I1143" s="2">
        <v>4</v>
      </c>
      <c r="J1143" t="s">
        <v>91</v>
      </c>
    </row>
    <row r="1144" spans="1:10">
      <c r="A1144" t="s">
        <v>1298</v>
      </c>
      <c r="B1144" t="s">
        <v>90</v>
      </c>
      <c r="C1144" s="1">
        <v>45512</v>
      </c>
      <c r="D1144" t="s">
        <v>210</v>
      </c>
      <c r="E1144" t="s">
        <v>25</v>
      </c>
      <c r="F1144" s="3">
        <v>2024</v>
      </c>
      <c r="G1144" s="3">
        <v>3</v>
      </c>
      <c r="H1144" t="s">
        <v>565</v>
      </c>
      <c r="I1144" s="2">
        <v>5.2</v>
      </c>
      <c r="J1144" t="s">
        <v>91</v>
      </c>
    </row>
    <row r="1145" spans="1:10">
      <c r="A1145" t="s">
        <v>1299</v>
      </c>
      <c r="B1145" t="s">
        <v>90</v>
      </c>
      <c r="C1145" s="1">
        <v>45512</v>
      </c>
      <c r="D1145" t="s">
        <v>212</v>
      </c>
      <c r="E1145" t="s">
        <v>26</v>
      </c>
      <c r="F1145" s="3">
        <v>2024</v>
      </c>
      <c r="G1145" s="3">
        <v>3</v>
      </c>
      <c r="H1145" t="s">
        <v>565</v>
      </c>
      <c r="I1145" s="2">
        <v>3.7</v>
      </c>
      <c r="J1145" t="s">
        <v>91</v>
      </c>
    </row>
    <row r="1146" spans="1:10">
      <c r="A1146" t="s">
        <v>1300</v>
      </c>
      <c r="B1146" t="s">
        <v>90</v>
      </c>
      <c r="C1146" s="1">
        <v>45512</v>
      </c>
      <c r="D1146" t="s">
        <v>22</v>
      </c>
      <c r="E1146" t="s">
        <v>22</v>
      </c>
      <c r="F1146" s="3">
        <v>2024</v>
      </c>
      <c r="G1146" s="3">
        <v>4</v>
      </c>
      <c r="H1146" t="s">
        <v>670</v>
      </c>
      <c r="I1146" s="2">
        <v>4.4000000000000004</v>
      </c>
      <c r="J1146" t="s">
        <v>91</v>
      </c>
    </row>
    <row r="1147" spans="1:10">
      <c r="A1147" t="s">
        <v>1301</v>
      </c>
      <c r="B1147" t="s">
        <v>90</v>
      </c>
      <c r="C1147" s="1">
        <v>45512</v>
      </c>
      <c r="D1147" t="s">
        <v>134</v>
      </c>
      <c r="E1147" t="s">
        <v>24</v>
      </c>
      <c r="F1147" s="3">
        <v>2024</v>
      </c>
      <c r="G1147" s="3">
        <v>4</v>
      </c>
      <c r="H1147" t="s">
        <v>670</v>
      </c>
      <c r="I1147" s="2">
        <v>3.9</v>
      </c>
      <c r="J1147" t="s">
        <v>91</v>
      </c>
    </row>
    <row r="1148" spans="1:10">
      <c r="A1148" t="s">
        <v>1302</v>
      </c>
      <c r="B1148" t="s">
        <v>90</v>
      </c>
      <c r="C1148" s="1">
        <v>45512</v>
      </c>
      <c r="D1148" t="s">
        <v>210</v>
      </c>
      <c r="E1148" t="s">
        <v>25</v>
      </c>
      <c r="F1148" s="3">
        <v>2024</v>
      </c>
      <c r="G1148" s="3">
        <v>4</v>
      </c>
      <c r="H1148" t="s">
        <v>670</v>
      </c>
      <c r="I1148" s="2">
        <v>2.6</v>
      </c>
      <c r="J1148" t="s">
        <v>91</v>
      </c>
    </row>
    <row r="1149" spans="1:10">
      <c r="A1149" t="s">
        <v>1303</v>
      </c>
      <c r="B1149" t="s">
        <v>90</v>
      </c>
      <c r="C1149" s="1">
        <v>45512</v>
      </c>
      <c r="D1149" t="s">
        <v>212</v>
      </c>
      <c r="E1149" t="s">
        <v>26</v>
      </c>
      <c r="F1149" s="3">
        <v>2024</v>
      </c>
      <c r="G1149" s="3">
        <v>4</v>
      </c>
      <c r="H1149" t="s">
        <v>670</v>
      </c>
      <c r="I1149" s="2">
        <v>3.7</v>
      </c>
      <c r="J1149" t="s">
        <v>91</v>
      </c>
    </row>
    <row r="1150" spans="1:10">
      <c r="A1150" t="s">
        <v>1304</v>
      </c>
      <c r="B1150" t="s">
        <v>90</v>
      </c>
      <c r="C1150" s="1">
        <v>45512</v>
      </c>
      <c r="D1150" t="s">
        <v>22</v>
      </c>
      <c r="E1150" t="s">
        <v>22</v>
      </c>
      <c r="F1150" s="3">
        <v>2025</v>
      </c>
      <c r="G1150" s="3">
        <v>1</v>
      </c>
      <c r="H1150" t="s">
        <v>771</v>
      </c>
      <c r="I1150" s="2">
        <v>3.7</v>
      </c>
      <c r="J1150" t="s">
        <v>91</v>
      </c>
    </row>
    <row r="1151" spans="1:10">
      <c r="A1151" t="s">
        <v>1305</v>
      </c>
      <c r="B1151" t="s">
        <v>90</v>
      </c>
      <c r="C1151" s="1">
        <v>45512</v>
      </c>
      <c r="D1151" t="s">
        <v>134</v>
      </c>
      <c r="E1151" t="s">
        <v>24</v>
      </c>
      <c r="F1151" s="3">
        <v>2025</v>
      </c>
      <c r="G1151" s="3">
        <v>1</v>
      </c>
      <c r="H1151" t="s">
        <v>771</v>
      </c>
      <c r="I1151" s="2">
        <v>3.6</v>
      </c>
      <c r="J1151" t="s">
        <v>91</v>
      </c>
    </row>
    <row r="1152" spans="1:10">
      <c r="A1152" t="s">
        <v>1306</v>
      </c>
      <c r="B1152" t="s">
        <v>90</v>
      </c>
      <c r="C1152" s="1">
        <v>45512</v>
      </c>
      <c r="D1152" t="s">
        <v>210</v>
      </c>
      <c r="E1152" t="s">
        <v>25</v>
      </c>
      <c r="F1152" s="3">
        <v>2025</v>
      </c>
      <c r="G1152" s="3">
        <v>1</v>
      </c>
      <c r="H1152" t="s">
        <v>771</v>
      </c>
      <c r="I1152" s="2">
        <v>2.9</v>
      </c>
      <c r="J1152" t="s">
        <v>91</v>
      </c>
    </row>
    <row r="1153" spans="1:10">
      <c r="A1153" t="s">
        <v>1307</v>
      </c>
      <c r="B1153" t="s">
        <v>90</v>
      </c>
      <c r="C1153" s="1">
        <v>45512</v>
      </c>
      <c r="D1153" t="s">
        <v>212</v>
      </c>
      <c r="E1153" t="s">
        <v>26</v>
      </c>
      <c r="F1153" s="3">
        <v>2025</v>
      </c>
      <c r="G1153" s="3">
        <v>1</v>
      </c>
      <c r="H1153" t="s">
        <v>771</v>
      </c>
      <c r="I1153" s="2">
        <v>3.2</v>
      </c>
      <c r="J1153" t="s">
        <v>91</v>
      </c>
    </row>
    <row r="1154" spans="1:10">
      <c r="A1154" t="s">
        <v>1308</v>
      </c>
      <c r="B1154" t="s">
        <v>90</v>
      </c>
      <c r="C1154" s="1">
        <v>45512</v>
      </c>
      <c r="D1154" t="s">
        <v>22</v>
      </c>
      <c r="E1154" t="s">
        <v>22</v>
      </c>
      <c r="F1154" s="3">
        <v>2025</v>
      </c>
      <c r="G1154" s="3">
        <v>2</v>
      </c>
      <c r="H1154" t="s">
        <v>876</v>
      </c>
      <c r="I1154" s="2">
        <v>3.3</v>
      </c>
      <c r="J1154" t="s">
        <v>91</v>
      </c>
    </row>
    <row r="1155" spans="1:10">
      <c r="A1155" t="s">
        <v>1309</v>
      </c>
      <c r="B1155" t="s">
        <v>90</v>
      </c>
      <c r="C1155" s="1">
        <v>45512</v>
      </c>
      <c r="D1155" t="s">
        <v>134</v>
      </c>
      <c r="E1155" t="s">
        <v>24</v>
      </c>
      <c r="F1155" s="3">
        <v>2025</v>
      </c>
      <c r="G1155" s="3">
        <v>2</v>
      </c>
      <c r="H1155" t="s">
        <v>876</v>
      </c>
      <c r="I1155" s="2">
        <v>3.3</v>
      </c>
      <c r="J1155" t="s">
        <v>91</v>
      </c>
    </row>
    <row r="1156" spans="1:10">
      <c r="A1156" t="s">
        <v>1310</v>
      </c>
      <c r="B1156" t="s">
        <v>90</v>
      </c>
      <c r="C1156" s="1">
        <v>45512</v>
      </c>
      <c r="D1156" t="s">
        <v>210</v>
      </c>
      <c r="E1156" t="s">
        <v>25</v>
      </c>
      <c r="F1156" s="3">
        <v>2025</v>
      </c>
      <c r="G1156" s="3">
        <v>2</v>
      </c>
      <c r="H1156" t="s">
        <v>876</v>
      </c>
      <c r="I1156" s="2">
        <v>2.8</v>
      </c>
      <c r="J1156" t="s">
        <v>91</v>
      </c>
    </row>
    <row r="1157" spans="1:10">
      <c r="A1157" t="s">
        <v>1311</v>
      </c>
      <c r="B1157" t="s">
        <v>90</v>
      </c>
      <c r="C1157" s="1">
        <v>45512</v>
      </c>
      <c r="D1157" t="s">
        <v>212</v>
      </c>
      <c r="E1157" t="s">
        <v>26</v>
      </c>
      <c r="F1157" s="3">
        <v>2025</v>
      </c>
      <c r="G1157" s="3">
        <v>2</v>
      </c>
      <c r="H1157" t="s">
        <v>876</v>
      </c>
      <c r="I1157" s="2">
        <v>2.7</v>
      </c>
      <c r="J1157" t="s">
        <v>91</v>
      </c>
    </row>
    <row r="1158" spans="1:10">
      <c r="A1158" t="s">
        <v>1312</v>
      </c>
      <c r="B1158" t="s">
        <v>90</v>
      </c>
      <c r="C1158" s="1">
        <v>45512</v>
      </c>
      <c r="D1158" t="s">
        <v>22</v>
      </c>
      <c r="E1158" t="s">
        <v>22</v>
      </c>
      <c r="F1158" s="3">
        <v>2025</v>
      </c>
      <c r="G1158" s="3">
        <v>3</v>
      </c>
      <c r="H1158" t="s">
        <v>981</v>
      </c>
      <c r="I1158" s="2">
        <v>3.1</v>
      </c>
      <c r="J1158" t="s">
        <v>91</v>
      </c>
    </row>
    <row r="1159" spans="1:10">
      <c r="A1159" t="s">
        <v>1313</v>
      </c>
      <c r="B1159" t="s">
        <v>90</v>
      </c>
      <c r="C1159" s="1">
        <v>45512</v>
      </c>
      <c r="D1159" t="s">
        <v>134</v>
      </c>
      <c r="E1159" t="s">
        <v>24</v>
      </c>
      <c r="F1159" s="3">
        <v>2025</v>
      </c>
      <c r="G1159" s="3">
        <v>3</v>
      </c>
      <c r="H1159" t="s">
        <v>981</v>
      </c>
      <c r="I1159" s="2">
        <v>3.1</v>
      </c>
      <c r="J1159" t="s">
        <v>91</v>
      </c>
    </row>
    <row r="1160" spans="1:10">
      <c r="A1160" t="s">
        <v>1314</v>
      </c>
      <c r="B1160" t="s">
        <v>90</v>
      </c>
      <c r="C1160" s="1">
        <v>45512</v>
      </c>
      <c r="D1160" t="s">
        <v>210</v>
      </c>
      <c r="E1160" t="s">
        <v>25</v>
      </c>
      <c r="F1160" s="3">
        <v>2025</v>
      </c>
      <c r="G1160" s="3">
        <v>3</v>
      </c>
      <c r="H1160" t="s">
        <v>981</v>
      </c>
      <c r="I1160" s="2">
        <v>3.9</v>
      </c>
      <c r="J1160" t="s">
        <v>91</v>
      </c>
    </row>
    <row r="1161" spans="1:10">
      <c r="A1161" t="s">
        <v>1315</v>
      </c>
      <c r="B1161" t="s">
        <v>90</v>
      </c>
      <c r="C1161" s="1">
        <v>45512</v>
      </c>
      <c r="D1161" t="s">
        <v>212</v>
      </c>
      <c r="E1161" t="s">
        <v>26</v>
      </c>
      <c r="F1161" s="3">
        <v>2025</v>
      </c>
      <c r="G1161" s="3">
        <v>3</v>
      </c>
      <c r="H1161" t="s">
        <v>981</v>
      </c>
      <c r="I1161" s="2">
        <v>3</v>
      </c>
      <c r="J1161" t="s">
        <v>91</v>
      </c>
    </row>
    <row r="1162" spans="1:10">
      <c r="A1162" t="s">
        <v>1316</v>
      </c>
      <c r="B1162" t="s">
        <v>90</v>
      </c>
      <c r="C1162" s="1">
        <v>45512</v>
      </c>
      <c r="D1162" t="s">
        <v>22</v>
      </c>
      <c r="E1162" t="s">
        <v>22</v>
      </c>
      <c r="F1162" s="3">
        <v>2025</v>
      </c>
      <c r="G1162" s="3">
        <v>4</v>
      </c>
      <c r="H1162" t="s">
        <v>1086</v>
      </c>
      <c r="I1162" s="2">
        <v>3</v>
      </c>
      <c r="J1162" t="s">
        <v>91</v>
      </c>
    </row>
    <row r="1163" spans="1:10">
      <c r="A1163" t="s">
        <v>1317</v>
      </c>
      <c r="B1163" t="s">
        <v>90</v>
      </c>
      <c r="C1163" s="1">
        <v>45512</v>
      </c>
      <c r="D1163" t="s">
        <v>134</v>
      </c>
      <c r="E1163" t="s">
        <v>24</v>
      </c>
      <c r="F1163" s="3">
        <v>2025</v>
      </c>
      <c r="G1163" s="3">
        <v>4</v>
      </c>
      <c r="H1163" t="s">
        <v>1086</v>
      </c>
      <c r="I1163" s="2">
        <v>3</v>
      </c>
      <c r="J1163" t="s">
        <v>91</v>
      </c>
    </row>
    <row r="1164" spans="1:10">
      <c r="A1164" t="s">
        <v>1318</v>
      </c>
      <c r="B1164" t="s">
        <v>90</v>
      </c>
      <c r="C1164" s="1">
        <v>45512</v>
      </c>
      <c r="D1164" t="s">
        <v>210</v>
      </c>
      <c r="E1164" t="s">
        <v>25</v>
      </c>
      <c r="F1164" s="3">
        <v>2025</v>
      </c>
      <c r="G1164" s="3">
        <v>4</v>
      </c>
      <c r="H1164" t="s">
        <v>1086</v>
      </c>
      <c r="I1164" s="2">
        <v>2.2999999999999998</v>
      </c>
      <c r="J1164" t="s">
        <v>91</v>
      </c>
    </row>
    <row r="1165" spans="1:10">
      <c r="A1165" t="s">
        <v>1319</v>
      </c>
      <c r="B1165" t="s">
        <v>90</v>
      </c>
      <c r="C1165" s="1">
        <v>45512</v>
      </c>
      <c r="D1165" t="s">
        <v>212</v>
      </c>
      <c r="E1165" t="s">
        <v>26</v>
      </c>
      <c r="F1165" s="3">
        <v>2025</v>
      </c>
      <c r="G1165" s="3">
        <v>4</v>
      </c>
      <c r="H1165" t="s">
        <v>1086</v>
      </c>
      <c r="I1165" s="2">
        <v>3.1</v>
      </c>
      <c r="J1165" t="s">
        <v>91</v>
      </c>
    </row>
    <row r="1166" spans="1:10">
      <c r="A1166" t="s">
        <v>1320</v>
      </c>
      <c r="B1166" t="s">
        <v>90</v>
      </c>
      <c r="C1166" s="1">
        <v>45512</v>
      </c>
      <c r="D1166" t="s">
        <v>22</v>
      </c>
      <c r="E1166" t="s">
        <v>22</v>
      </c>
      <c r="F1166" s="3">
        <v>2026</v>
      </c>
      <c r="G1166" s="3">
        <v>1</v>
      </c>
      <c r="H1166" t="s">
        <v>1183</v>
      </c>
      <c r="I1166" s="2">
        <v>3</v>
      </c>
      <c r="J1166" t="s">
        <v>91</v>
      </c>
    </row>
    <row r="1167" spans="1:10">
      <c r="A1167" t="s">
        <v>1321</v>
      </c>
      <c r="B1167" t="s">
        <v>90</v>
      </c>
      <c r="C1167" s="1">
        <v>45512</v>
      </c>
      <c r="D1167" t="s">
        <v>134</v>
      </c>
      <c r="E1167" t="s">
        <v>24</v>
      </c>
      <c r="F1167" s="3">
        <v>2026</v>
      </c>
      <c r="G1167" s="3">
        <v>1</v>
      </c>
      <c r="H1167" t="s">
        <v>1183</v>
      </c>
      <c r="I1167" s="2">
        <v>3</v>
      </c>
      <c r="J1167" t="s">
        <v>91</v>
      </c>
    </row>
    <row r="1168" spans="1:10">
      <c r="A1168" t="s">
        <v>1322</v>
      </c>
      <c r="B1168" t="s">
        <v>90</v>
      </c>
      <c r="C1168" s="1">
        <v>45512</v>
      </c>
      <c r="D1168" t="s">
        <v>210</v>
      </c>
      <c r="E1168" t="s">
        <v>25</v>
      </c>
      <c r="F1168" s="3">
        <v>2026</v>
      </c>
      <c r="G1168" s="3">
        <v>1</v>
      </c>
      <c r="H1168" t="s">
        <v>1183</v>
      </c>
      <c r="I1168" s="2">
        <v>2.8</v>
      </c>
      <c r="J1168" t="s">
        <v>91</v>
      </c>
    </row>
    <row r="1169" spans="1:10">
      <c r="A1169" t="s">
        <v>1323</v>
      </c>
      <c r="B1169" t="s">
        <v>90</v>
      </c>
      <c r="C1169" s="1">
        <v>45512</v>
      </c>
      <c r="D1169" t="s">
        <v>212</v>
      </c>
      <c r="E1169" t="s">
        <v>26</v>
      </c>
      <c r="F1169" s="3">
        <v>2026</v>
      </c>
      <c r="G1169" s="3">
        <v>1</v>
      </c>
      <c r="H1169" t="s">
        <v>1183</v>
      </c>
      <c r="I1169" s="2">
        <v>3</v>
      </c>
      <c r="J1169" t="s">
        <v>91</v>
      </c>
    </row>
    <row r="1170" spans="1:10">
      <c r="A1170" t="s">
        <v>1324</v>
      </c>
      <c r="B1170" t="s">
        <v>90</v>
      </c>
      <c r="C1170" s="1">
        <v>45512</v>
      </c>
      <c r="D1170" t="s">
        <v>22</v>
      </c>
      <c r="E1170" t="s">
        <v>22</v>
      </c>
      <c r="F1170" s="3">
        <v>2026</v>
      </c>
      <c r="G1170" s="3">
        <v>2</v>
      </c>
      <c r="H1170" t="s">
        <v>1276</v>
      </c>
      <c r="I1170" s="2">
        <v>3</v>
      </c>
      <c r="J1170" t="s">
        <v>91</v>
      </c>
    </row>
    <row r="1171" spans="1:10">
      <c r="A1171" t="s">
        <v>1325</v>
      </c>
      <c r="B1171" t="s">
        <v>90</v>
      </c>
      <c r="C1171" s="1">
        <v>45512</v>
      </c>
      <c r="D1171" t="s">
        <v>134</v>
      </c>
      <c r="E1171" t="s">
        <v>24</v>
      </c>
      <c r="F1171" s="3">
        <v>2026</v>
      </c>
      <c r="G1171" s="3">
        <v>2</v>
      </c>
      <c r="H1171" t="s">
        <v>1276</v>
      </c>
      <c r="I1171" s="2">
        <v>3</v>
      </c>
      <c r="J1171" t="s">
        <v>91</v>
      </c>
    </row>
    <row r="1172" spans="1:10">
      <c r="A1172" t="s">
        <v>1326</v>
      </c>
      <c r="B1172" t="s">
        <v>90</v>
      </c>
      <c r="C1172" s="1">
        <v>45512</v>
      </c>
      <c r="D1172" t="s">
        <v>210</v>
      </c>
      <c r="E1172" t="s">
        <v>25</v>
      </c>
      <c r="F1172" s="3">
        <v>2026</v>
      </c>
      <c r="G1172" s="3">
        <v>2</v>
      </c>
      <c r="H1172" t="s">
        <v>1276</v>
      </c>
      <c r="I1172" s="2">
        <v>2.8</v>
      </c>
      <c r="J1172" t="s">
        <v>91</v>
      </c>
    </row>
    <row r="1173" spans="1:10">
      <c r="A1173" t="s">
        <v>1327</v>
      </c>
      <c r="B1173" t="s">
        <v>90</v>
      </c>
      <c r="C1173" s="1">
        <v>45512</v>
      </c>
      <c r="D1173" t="s">
        <v>212</v>
      </c>
      <c r="E1173" t="s">
        <v>26</v>
      </c>
      <c r="F1173" s="3">
        <v>2026</v>
      </c>
      <c r="G1173" s="3">
        <v>2</v>
      </c>
      <c r="H1173" t="s">
        <v>1276</v>
      </c>
      <c r="I1173" s="2">
        <v>2.8</v>
      </c>
      <c r="J1173" t="s">
        <v>91</v>
      </c>
    </row>
    <row r="1174" spans="1:10">
      <c r="A1174" t="s">
        <v>1328</v>
      </c>
      <c r="B1174" t="s">
        <v>92</v>
      </c>
      <c r="C1174" s="1">
        <v>45561</v>
      </c>
      <c r="D1174" t="s">
        <v>22</v>
      </c>
      <c r="E1174" t="s">
        <v>22</v>
      </c>
      <c r="F1174" s="3">
        <v>2023</v>
      </c>
      <c r="G1174" s="3">
        <v>4</v>
      </c>
      <c r="H1174" t="s">
        <v>254</v>
      </c>
      <c r="I1174" s="2">
        <v>4.4000000000000004</v>
      </c>
      <c r="J1174" t="s">
        <v>93</v>
      </c>
    </row>
    <row r="1175" spans="1:10">
      <c r="A1175" t="s">
        <v>1329</v>
      </c>
      <c r="B1175" t="s">
        <v>92</v>
      </c>
      <c r="C1175" s="1">
        <v>45561</v>
      </c>
      <c r="D1175" t="s">
        <v>134</v>
      </c>
      <c r="E1175" t="s">
        <v>24</v>
      </c>
      <c r="F1175" s="3">
        <v>2023</v>
      </c>
      <c r="G1175" s="3">
        <v>4</v>
      </c>
      <c r="H1175" t="s">
        <v>254</v>
      </c>
      <c r="I1175" s="2">
        <v>5.3</v>
      </c>
      <c r="J1175" t="s">
        <v>93</v>
      </c>
    </row>
    <row r="1176" spans="1:10">
      <c r="A1176" t="s">
        <v>1330</v>
      </c>
      <c r="B1176" t="s">
        <v>92</v>
      </c>
      <c r="C1176" s="1">
        <v>45561</v>
      </c>
      <c r="D1176" t="s">
        <v>210</v>
      </c>
      <c r="E1176" t="s">
        <v>25</v>
      </c>
      <c r="F1176" s="3">
        <v>2023</v>
      </c>
      <c r="G1176" s="3">
        <v>4</v>
      </c>
      <c r="H1176" t="s">
        <v>254</v>
      </c>
      <c r="I1176" s="2">
        <v>5.2</v>
      </c>
      <c r="J1176" t="s">
        <v>93</v>
      </c>
    </row>
    <row r="1177" spans="1:10">
      <c r="A1177" t="s">
        <v>1331</v>
      </c>
      <c r="B1177" t="s">
        <v>92</v>
      </c>
      <c r="C1177" s="1">
        <v>45561</v>
      </c>
      <c r="D1177" t="s">
        <v>212</v>
      </c>
      <c r="E1177" t="s">
        <v>26</v>
      </c>
      <c r="F1177" s="3">
        <v>2023</v>
      </c>
      <c r="G1177" s="3">
        <v>4</v>
      </c>
      <c r="H1177" t="s">
        <v>254</v>
      </c>
      <c r="I1177" s="2">
        <v>4.7</v>
      </c>
      <c r="J1177" t="s">
        <v>93</v>
      </c>
    </row>
    <row r="1178" spans="1:10">
      <c r="A1178" t="s">
        <v>1332</v>
      </c>
      <c r="B1178" t="s">
        <v>92</v>
      </c>
      <c r="C1178" s="1">
        <v>45561</v>
      </c>
      <c r="D1178" t="s">
        <v>22</v>
      </c>
      <c r="E1178" t="s">
        <v>22</v>
      </c>
      <c r="F1178" s="3">
        <v>2024</v>
      </c>
      <c r="G1178" s="3">
        <v>1</v>
      </c>
      <c r="H1178" t="s">
        <v>355</v>
      </c>
      <c r="I1178" s="2">
        <v>4.5999999999999996</v>
      </c>
      <c r="J1178" t="s">
        <v>93</v>
      </c>
    </row>
    <row r="1179" spans="1:10">
      <c r="A1179" t="s">
        <v>1333</v>
      </c>
      <c r="B1179" t="s">
        <v>92</v>
      </c>
      <c r="C1179" s="1">
        <v>45561</v>
      </c>
      <c r="D1179" t="s">
        <v>134</v>
      </c>
      <c r="E1179" t="s">
        <v>24</v>
      </c>
      <c r="F1179" s="3">
        <v>2024</v>
      </c>
      <c r="G1179" s="3">
        <v>1</v>
      </c>
      <c r="H1179" t="s">
        <v>355</v>
      </c>
      <c r="I1179" s="2">
        <v>4.7</v>
      </c>
      <c r="J1179" t="s">
        <v>93</v>
      </c>
    </row>
    <row r="1180" spans="1:10">
      <c r="A1180" t="s">
        <v>1334</v>
      </c>
      <c r="B1180" t="s">
        <v>92</v>
      </c>
      <c r="C1180" s="1">
        <v>45561</v>
      </c>
      <c r="D1180" t="s">
        <v>210</v>
      </c>
      <c r="E1180" t="s">
        <v>25</v>
      </c>
      <c r="F1180" s="3">
        <v>2024</v>
      </c>
      <c r="G1180" s="3">
        <v>1</v>
      </c>
      <c r="H1180" t="s">
        <v>355</v>
      </c>
      <c r="I1180" s="2">
        <v>5.3</v>
      </c>
      <c r="J1180" t="s">
        <v>93</v>
      </c>
    </row>
    <row r="1181" spans="1:10">
      <c r="A1181" t="s">
        <v>1335</v>
      </c>
      <c r="B1181" t="s">
        <v>92</v>
      </c>
      <c r="C1181" s="1">
        <v>45561</v>
      </c>
      <c r="D1181" t="s">
        <v>212</v>
      </c>
      <c r="E1181" t="s">
        <v>26</v>
      </c>
      <c r="F1181" s="3">
        <v>2024</v>
      </c>
      <c r="G1181" s="3">
        <v>1</v>
      </c>
      <c r="H1181" t="s">
        <v>355</v>
      </c>
      <c r="I1181" s="2">
        <v>4.3</v>
      </c>
      <c r="J1181" t="s">
        <v>93</v>
      </c>
    </row>
    <row r="1182" spans="1:10">
      <c r="A1182" t="s">
        <v>1336</v>
      </c>
      <c r="B1182" t="s">
        <v>92</v>
      </c>
      <c r="C1182" s="1">
        <v>45561</v>
      </c>
      <c r="D1182" t="s">
        <v>22</v>
      </c>
      <c r="E1182" t="s">
        <v>22</v>
      </c>
      <c r="F1182" s="3">
        <v>2024</v>
      </c>
      <c r="G1182" s="3">
        <v>2</v>
      </c>
      <c r="H1182" t="s">
        <v>460</v>
      </c>
      <c r="I1182" s="2">
        <v>4.8</v>
      </c>
      <c r="J1182" t="s">
        <v>93</v>
      </c>
    </row>
    <row r="1183" spans="1:10">
      <c r="A1183" t="s">
        <v>1337</v>
      </c>
      <c r="B1183" t="s">
        <v>92</v>
      </c>
      <c r="C1183" s="1">
        <v>45561</v>
      </c>
      <c r="D1183" t="s">
        <v>134</v>
      </c>
      <c r="E1183" t="s">
        <v>24</v>
      </c>
      <c r="F1183" s="3">
        <v>2024</v>
      </c>
      <c r="G1183" s="3">
        <v>2</v>
      </c>
      <c r="H1183" t="s">
        <v>460</v>
      </c>
      <c r="I1183" s="2">
        <v>4.2</v>
      </c>
      <c r="J1183" t="s">
        <v>93</v>
      </c>
    </row>
    <row r="1184" spans="1:10">
      <c r="A1184" t="s">
        <v>1338</v>
      </c>
      <c r="B1184" t="s">
        <v>92</v>
      </c>
      <c r="C1184" s="1">
        <v>45561</v>
      </c>
      <c r="D1184" t="s">
        <v>210</v>
      </c>
      <c r="E1184" t="s">
        <v>25</v>
      </c>
      <c r="F1184" s="3">
        <v>2024</v>
      </c>
      <c r="G1184" s="3">
        <v>2</v>
      </c>
      <c r="H1184" t="s">
        <v>460</v>
      </c>
      <c r="I1184" s="2">
        <v>4.3</v>
      </c>
      <c r="J1184" t="s">
        <v>93</v>
      </c>
    </row>
    <row r="1185" spans="1:10">
      <c r="A1185" t="s">
        <v>1339</v>
      </c>
      <c r="B1185" t="s">
        <v>92</v>
      </c>
      <c r="C1185" s="1">
        <v>45561</v>
      </c>
      <c r="D1185" t="s">
        <v>212</v>
      </c>
      <c r="E1185" t="s">
        <v>26</v>
      </c>
      <c r="F1185" s="3">
        <v>2024</v>
      </c>
      <c r="G1185" s="3">
        <v>2</v>
      </c>
      <c r="H1185" t="s">
        <v>460</v>
      </c>
      <c r="I1185" s="2">
        <v>3.7</v>
      </c>
      <c r="J1185" t="s">
        <v>93</v>
      </c>
    </row>
    <row r="1186" spans="1:10">
      <c r="A1186" t="s">
        <v>1340</v>
      </c>
      <c r="B1186" t="s">
        <v>92</v>
      </c>
      <c r="C1186" s="1">
        <v>45561</v>
      </c>
      <c r="D1186" t="s">
        <v>22</v>
      </c>
      <c r="E1186" t="s">
        <v>22</v>
      </c>
      <c r="F1186" s="3">
        <v>2024</v>
      </c>
      <c r="G1186" s="3">
        <v>3</v>
      </c>
      <c r="H1186" t="s">
        <v>565</v>
      </c>
      <c r="I1186" s="2">
        <v>5.0999999999999996</v>
      </c>
      <c r="J1186" t="s">
        <v>93</v>
      </c>
    </row>
    <row r="1187" spans="1:10">
      <c r="A1187" t="s">
        <v>1341</v>
      </c>
      <c r="B1187" t="s">
        <v>92</v>
      </c>
      <c r="C1187" s="1">
        <v>45561</v>
      </c>
      <c r="D1187" t="s">
        <v>134</v>
      </c>
      <c r="E1187" t="s">
        <v>24</v>
      </c>
      <c r="F1187" s="3">
        <v>2024</v>
      </c>
      <c r="G1187" s="3">
        <v>3</v>
      </c>
      <c r="H1187" t="s">
        <v>565</v>
      </c>
      <c r="I1187" s="2">
        <v>4</v>
      </c>
      <c r="J1187" t="s">
        <v>93</v>
      </c>
    </row>
    <row r="1188" spans="1:10">
      <c r="A1188" t="s">
        <v>1342</v>
      </c>
      <c r="B1188" t="s">
        <v>92</v>
      </c>
      <c r="C1188" s="1">
        <v>45561</v>
      </c>
      <c r="D1188" t="s">
        <v>210</v>
      </c>
      <c r="E1188" t="s">
        <v>25</v>
      </c>
      <c r="F1188" s="3">
        <v>2024</v>
      </c>
      <c r="G1188" s="3">
        <v>3</v>
      </c>
      <c r="H1188" t="s">
        <v>565</v>
      </c>
      <c r="I1188" s="2">
        <v>4.9000000000000004</v>
      </c>
      <c r="J1188" t="s">
        <v>93</v>
      </c>
    </row>
    <row r="1189" spans="1:10">
      <c r="A1189" t="s">
        <v>1343</v>
      </c>
      <c r="B1189" t="s">
        <v>92</v>
      </c>
      <c r="C1189" s="1">
        <v>45561</v>
      </c>
      <c r="D1189" t="s">
        <v>212</v>
      </c>
      <c r="E1189" t="s">
        <v>26</v>
      </c>
      <c r="F1189" s="3">
        <v>2024</v>
      </c>
      <c r="G1189" s="3">
        <v>3</v>
      </c>
      <c r="H1189" t="s">
        <v>565</v>
      </c>
      <c r="I1189" s="2">
        <v>3.5</v>
      </c>
      <c r="J1189" t="s">
        <v>93</v>
      </c>
    </row>
    <row r="1190" spans="1:10">
      <c r="A1190" t="s">
        <v>1344</v>
      </c>
      <c r="B1190" t="s">
        <v>92</v>
      </c>
      <c r="C1190" s="1">
        <v>45561</v>
      </c>
      <c r="D1190" t="s">
        <v>22</v>
      </c>
      <c r="E1190" t="s">
        <v>22</v>
      </c>
      <c r="F1190" s="3">
        <v>2024</v>
      </c>
      <c r="G1190" s="3">
        <v>4</v>
      </c>
      <c r="H1190" t="s">
        <v>670</v>
      </c>
      <c r="I1190" s="2">
        <v>4.3</v>
      </c>
      <c r="J1190" t="s">
        <v>93</v>
      </c>
    </row>
    <row r="1191" spans="1:10">
      <c r="A1191" t="s">
        <v>1345</v>
      </c>
      <c r="B1191" t="s">
        <v>92</v>
      </c>
      <c r="C1191" s="1">
        <v>45561</v>
      </c>
      <c r="D1191" t="s">
        <v>134</v>
      </c>
      <c r="E1191" t="s">
        <v>24</v>
      </c>
      <c r="F1191" s="3">
        <v>2024</v>
      </c>
      <c r="G1191" s="3">
        <v>4</v>
      </c>
      <c r="H1191" t="s">
        <v>670</v>
      </c>
      <c r="I1191" s="2">
        <v>3.8</v>
      </c>
      <c r="J1191" t="s">
        <v>93</v>
      </c>
    </row>
    <row r="1192" spans="1:10">
      <c r="A1192" t="s">
        <v>1346</v>
      </c>
      <c r="B1192" t="s">
        <v>92</v>
      </c>
      <c r="C1192" s="1">
        <v>45561</v>
      </c>
      <c r="D1192" t="s">
        <v>210</v>
      </c>
      <c r="E1192" t="s">
        <v>25</v>
      </c>
      <c r="F1192" s="3">
        <v>2024</v>
      </c>
      <c r="G1192" s="3">
        <v>4</v>
      </c>
      <c r="H1192" t="s">
        <v>670</v>
      </c>
      <c r="I1192" s="2">
        <v>2.6</v>
      </c>
      <c r="J1192" t="s">
        <v>93</v>
      </c>
    </row>
    <row r="1193" spans="1:10">
      <c r="A1193" t="s">
        <v>1347</v>
      </c>
      <c r="B1193" t="s">
        <v>92</v>
      </c>
      <c r="C1193" s="1">
        <v>45561</v>
      </c>
      <c r="D1193" t="s">
        <v>212</v>
      </c>
      <c r="E1193" t="s">
        <v>26</v>
      </c>
      <c r="F1193" s="3">
        <v>2024</v>
      </c>
      <c r="G1193" s="3">
        <v>4</v>
      </c>
      <c r="H1193" t="s">
        <v>670</v>
      </c>
      <c r="I1193" s="2">
        <v>3.7</v>
      </c>
      <c r="J1193" t="s">
        <v>93</v>
      </c>
    </row>
    <row r="1194" spans="1:10">
      <c r="A1194" t="s">
        <v>1348</v>
      </c>
      <c r="B1194" t="s">
        <v>92</v>
      </c>
      <c r="C1194" s="1">
        <v>45561</v>
      </c>
      <c r="D1194" t="s">
        <v>22</v>
      </c>
      <c r="E1194" t="s">
        <v>22</v>
      </c>
      <c r="F1194" s="3">
        <v>2025</v>
      </c>
      <c r="G1194" s="3">
        <v>1</v>
      </c>
      <c r="H1194" t="s">
        <v>771</v>
      </c>
      <c r="I1194" s="2">
        <v>3.7</v>
      </c>
      <c r="J1194" t="s">
        <v>93</v>
      </c>
    </row>
    <row r="1195" spans="1:10">
      <c r="A1195" t="s">
        <v>1349</v>
      </c>
      <c r="B1195" t="s">
        <v>92</v>
      </c>
      <c r="C1195" s="1">
        <v>45561</v>
      </c>
      <c r="D1195" t="s">
        <v>134</v>
      </c>
      <c r="E1195" t="s">
        <v>24</v>
      </c>
      <c r="F1195" s="3">
        <v>2025</v>
      </c>
      <c r="G1195" s="3">
        <v>1</v>
      </c>
      <c r="H1195" t="s">
        <v>771</v>
      </c>
      <c r="I1195" s="2">
        <v>3.5</v>
      </c>
      <c r="J1195" t="s">
        <v>93</v>
      </c>
    </row>
    <row r="1196" spans="1:10">
      <c r="A1196" t="s">
        <v>1350</v>
      </c>
      <c r="B1196" t="s">
        <v>92</v>
      </c>
      <c r="C1196" s="1">
        <v>45561</v>
      </c>
      <c r="D1196" t="s">
        <v>210</v>
      </c>
      <c r="E1196" t="s">
        <v>25</v>
      </c>
      <c r="F1196" s="3">
        <v>2025</v>
      </c>
      <c r="G1196" s="3">
        <v>1</v>
      </c>
      <c r="H1196" t="s">
        <v>771</v>
      </c>
      <c r="I1196" s="2">
        <v>3</v>
      </c>
      <c r="J1196" t="s">
        <v>93</v>
      </c>
    </row>
    <row r="1197" spans="1:10">
      <c r="A1197" t="s">
        <v>1351</v>
      </c>
      <c r="B1197" t="s">
        <v>92</v>
      </c>
      <c r="C1197" s="1">
        <v>45561</v>
      </c>
      <c r="D1197" t="s">
        <v>212</v>
      </c>
      <c r="E1197" t="s">
        <v>26</v>
      </c>
      <c r="F1197" s="3">
        <v>2025</v>
      </c>
      <c r="G1197" s="3">
        <v>1</v>
      </c>
      <c r="H1197" t="s">
        <v>771</v>
      </c>
      <c r="I1197" s="2">
        <v>3.2</v>
      </c>
      <c r="J1197" t="s">
        <v>93</v>
      </c>
    </row>
    <row r="1198" spans="1:10">
      <c r="A1198" t="s">
        <v>1352</v>
      </c>
      <c r="B1198" t="s">
        <v>92</v>
      </c>
      <c r="C1198" s="1">
        <v>45561</v>
      </c>
      <c r="D1198" t="s">
        <v>22</v>
      </c>
      <c r="E1198" t="s">
        <v>22</v>
      </c>
      <c r="F1198" s="3">
        <v>2025</v>
      </c>
      <c r="G1198" s="3">
        <v>2</v>
      </c>
      <c r="H1198" t="s">
        <v>876</v>
      </c>
      <c r="I1198" s="2">
        <v>3.3</v>
      </c>
      <c r="J1198" t="s">
        <v>93</v>
      </c>
    </row>
    <row r="1199" spans="1:10">
      <c r="A1199" t="s">
        <v>1353</v>
      </c>
      <c r="B1199" t="s">
        <v>92</v>
      </c>
      <c r="C1199" s="1">
        <v>45561</v>
      </c>
      <c r="D1199" t="s">
        <v>134</v>
      </c>
      <c r="E1199" t="s">
        <v>24</v>
      </c>
      <c r="F1199" s="3">
        <v>2025</v>
      </c>
      <c r="G1199" s="3">
        <v>2</v>
      </c>
      <c r="H1199" t="s">
        <v>876</v>
      </c>
      <c r="I1199" s="2">
        <v>3.3</v>
      </c>
      <c r="J1199" t="s">
        <v>93</v>
      </c>
    </row>
    <row r="1200" spans="1:10">
      <c r="A1200" t="s">
        <v>1354</v>
      </c>
      <c r="B1200" t="s">
        <v>92</v>
      </c>
      <c r="C1200" s="1">
        <v>45561</v>
      </c>
      <c r="D1200" t="s">
        <v>210</v>
      </c>
      <c r="E1200" t="s">
        <v>25</v>
      </c>
      <c r="F1200" s="3">
        <v>2025</v>
      </c>
      <c r="G1200" s="3">
        <v>2</v>
      </c>
      <c r="H1200" t="s">
        <v>876</v>
      </c>
      <c r="I1200" s="2">
        <v>3</v>
      </c>
      <c r="J1200" t="s">
        <v>93</v>
      </c>
    </row>
    <row r="1201" spans="1:10">
      <c r="A1201" t="s">
        <v>1355</v>
      </c>
      <c r="B1201" t="s">
        <v>92</v>
      </c>
      <c r="C1201" s="1">
        <v>45561</v>
      </c>
      <c r="D1201" t="s">
        <v>212</v>
      </c>
      <c r="E1201" t="s">
        <v>26</v>
      </c>
      <c r="F1201" s="3">
        <v>2025</v>
      </c>
      <c r="G1201" s="3">
        <v>2</v>
      </c>
      <c r="H1201" t="s">
        <v>876</v>
      </c>
      <c r="I1201" s="2">
        <v>2.7</v>
      </c>
      <c r="J1201" t="s">
        <v>93</v>
      </c>
    </row>
    <row r="1202" spans="1:10">
      <c r="A1202" t="s">
        <v>1356</v>
      </c>
      <c r="B1202" t="s">
        <v>92</v>
      </c>
      <c r="C1202" s="1">
        <v>45561</v>
      </c>
      <c r="D1202" t="s">
        <v>22</v>
      </c>
      <c r="E1202" t="s">
        <v>22</v>
      </c>
      <c r="F1202" s="3">
        <v>2025</v>
      </c>
      <c r="G1202" s="3">
        <v>3</v>
      </c>
      <c r="H1202" t="s">
        <v>981</v>
      </c>
      <c r="I1202" s="2">
        <v>3.1</v>
      </c>
      <c r="J1202" t="s">
        <v>93</v>
      </c>
    </row>
    <row r="1203" spans="1:10">
      <c r="A1203" t="s">
        <v>1357</v>
      </c>
      <c r="B1203" t="s">
        <v>92</v>
      </c>
      <c r="C1203" s="1">
        <v>45561</v>
      </c>
      <c r="D1203" t="s">
        <v>134</v>
      </c>
      <c r="E1203" t="s">
        <v>24</v>
      </c>
      <c r="F1203" s="3">
        <v>2025</v>
      </c>
      <c r="G1203" s="3">
        <v>3</v>
      </c>
      <c r="H1203" t="s">
        <v>981</v>
      </c>
      <c r="I1203" s="2">
        <v>3.1</v>
      </c>
      <c r="J1203" t="s">
        <v>93</v>
      </c>
    </row>
    <row r="1204" spans="1:10">
      <c r="A1204" t="s">
        <v>1358</v>
      </c>
      <c r="B1204" t="s">
        <v>92</v>
      </c>
      <c r="C1204" s="1">
        <v>45561</v>
      </c>
      <c r="D1204" t="s">
        <v>210</v>
      </c>
      <c r="E1204" t="s">
        <v>25</v>
      </c>
      <c r="F1204" s="3">
        <v>2025</v>
      </c>
      <c r="G1204" s="3">
        <v>3</v>
      </c>
      <c r="H1204" t="s">
        <v>981</v>
      </c>
      <c r="I1204" s="2">
        <v>3.7</v>
      </c>
      <c r="J1204" t="s">
        <v>93</v>
      </c>
    </row>
    <row r="1205" spans="1:10">
      <c r="A1205" t="s">
        <v>1359</v>
      </c>
      <c r="B1205" t="s">
        <v>92</v>
      </c>
      <c r="C1205" s="1">
        <v>45561</v>
      </c>
      <c r="D1205" t="s">
        <v>212</v>
      </c>
      <c r="E1205" t="s">
        <v>26</v>
      </c>
      <c r="F1205" s="3">
        <v>2025</v>
      </c>
      <c r="G1205" s="3">
        <v>3</v>
      </c>
      <c r="H1205" t="s">
        <v>981</v>
      </c>
      <c r="I1205" s="2">
        <v>3</v>
      </c>
      <c r="J1205" t="s">
        <v>93</v>
      </c>
    </row>
    <row r="1206" spans="1:10">
      <c r="A1206" t="s">
        <v>1360</v>
      </c>
      <c r="B1206" t="s">
        <v>92</v>
      </c>
      <c r="C1206" s="1">
        <v>45561</v>
      </c>
      <c r="D1206" t="s">
        <v>22</v>
      </c>
      <c r="E1206" t="s">
        <v>22</v>
      </c>
      <c r="F1206" s="3">
        <v>2025</v>
      </c>
      <c r="G1206" s="3">
        <v>4</v>
      </c>
      <c r="H1206" t="s">
        <v>1086</v>
      </c>
      <c r="I1206" s="2">
        <v>3</v>
      </c>
      <c r="J1206" t="s">
        <v>93</v>
      </c>
    </row>
    <row r="1207" spans="1:10">
      <c r="A1207" t="s">
        <v>1361</v>
      </c>
      <c r="B1207" t="s">
        <v>92</v>
      </c>
      <c r="C1207" s="1">
        <v>45561</v>
      </c>
      <c r="D1207" t="s">
        <v>134</v>
      </c>
      <c r="E1207" t="s">
        <v>24</v>
      </c>
      <c r="F1207" s="3">
        <v>2025</v>
      </c>
      <c r="G1207" s="3">
        <v>4</v>
      </c>
      <c r="H1207" t="s">
        <v>1086</v>
      </c>
      <c r="I1207" s="2">
        <v>3</v>
      </c>
      <c r="J1207" t="s">
        <v>93</v>
      </c>
    </row>
    <row r="1208" spans="1:10">
      <c r="A1208" t="s">
        <v>1362</v>
      </c>
      <c r="B1208" t="s">
        <v>92</v>
      </c>
      <c r="C1208" s="1">
        <v>45561</v>
      </c>
      <c r="D1208" t="s">
        <v>210</v>
      </c>
      <c r="E1208" t="s">
        <v>25</v>
      </c>
      <c r="F1208" s="3">
        <v>2025</v>
      </c>
      <c r="G1208" s="3">
        <v>4</v>
      </c>
      <c r="H1208" t="s">
        <v>1086</v>
      </c>
      <c r="I1208" s="2">
        <v>2.2000000000000002</v>
      </c>
      <c r="J1208" t="s">
        <v>93</v>
      </c>
    </row>
    <row r="1209" spans="1:10">
      <c r="A1209" t="s">
        <v>1363</v>
      </c>
      <c r="B1209" t="s">
        <v>92</v>
      </c>
      <c r="C1209" s="1">
        <v>45561</v>
      </c>
      <c r="D1209" t="s">
        <v>212</v>
      </c>
      <c r="E1209" t="s">
        <v>26</v>
      </c>
      <c r="F1209" s="3">
        <v>2025</v>
      </c>
      <c r="G1209" s="3">
        <v>4</v>
      </c>
      <c r="H1209" t="s">
        <v>1086</v>
      </c>
      <c r="I1209" s="2">
        <v>3</v>
      </c>
      <c r="J1209" t="s">
        <v>93</v>
      </c>
    </row>
    <row r="1210" spans="1:10">
      <c r="A1210" t="s">
        <v>1364</v>
      </c>
      <c r="B1210" t="s">
        <v>92</v>
      </c>
      <c r="C1210" s="1">
        <v>45561</v>
      </c>
      <c r="D1210" t="s">
        <v>22</v>
      </c>
      <c r="E1210" t="s">
        <v>22</v>
      </c>
      <c r="F1210" s="3">
        <v>2026</v>
      </c>
      <c r="G1210" s="3">
        <v>1</v>
      </c>
      <c r="H1210" t="s">
        <v>1183</v>
      </c>
      <c r="I1210" s="2">
        <v>3</v>
      </c>
      <c r="J1210" t="s">
        <v>93</v>
      </c>
    </row>
    <row r="1211" spans="1:10">
      <c r="A1211" t="s">
        <v>1365</v>
      </c>
      <c r="B1211" t="s">
        <v>92</v>
      </c>
      <c r="C1211" s="1">
        <v>45561</v>
      </c>
      <c r="D1211" t="s">
        <v>134</v>
      </c>
      <c r="E1211" t="s">
        <v>24</v>
      </c>
      <c r="F1211" s="3">
        <v>2026</v>
      </c>
      <c r="G1211" s="3">
        <v>1</v>
      </c>
      <c r="H1211" t="s">
        <v>1183</v>
      </c>
      <c r="I1211" s="2">
        <v>3</v>
      </c>
      <c r="J1211" t="s">
        <v>93</v>
      </c>
    </row>
    <row r="1212" spans="1:10">
      <c r="A1212" t="s">
        <v>1366</v>
      </c>
      <c r="B1212" t="s">
        <v>92</v>
      </c>
      <c r="C1212" s="1">
        <v>45561</v>
      </c>
      <c r="D1212" t="s">
        <v>210</v>
      </c>
      <c r="E1212" t="s">
        <v>25</v>
      </c>
      <c r="F1212" s="3">
        <v>2026</v>
      </c>
      <c r="G1212" s="3">
        <v>1</v>
      </c>
      <c r="H1212" t="s">
        <v>1183</v>
      </c>
      <c r="I1212" s="2">
        <v>3</v>
      </c>
      <c r="J1212" t="s">
        <v>93</v>
      </c>
    </row>
    <row r="1213" spans="1:10">
      <c r="A1213" t="s">
        <v>1367</v>
      </c>
      <c r="B1213" t="s">
        <v>92</v>
      </c>
      <c r="C1213" s="1">
        <v>45561</v>
      </c>
      <c r="D1213" t="s">
        <v>212</v>
      </c>
      <c r="E1213" t="s">
        <v>26</v>
      </c>
      <c r="F1213" s="3">
        <v>2026</v>
      </c>
      <c r="G1213" s="3">
        <v>1</v>
      </c>
      <c r="H1213" t="s">
        <v>1183</v>
      </c>
      <c r="I1213" s="2">
        <v>3</v>
      </c>
      <c r="J1213" t="s">
        <v>93</v>
      </c>
    </row>
    <row r="1214" spans="1:10">
      <c r="A1214" t="s">
        <v>1368</v>
      </c>
      <c r="B1214" t="s">
        <v>92</v>
      </c>
      <c r="C1214" s="1">
        <v>45561</v>
      </c>
      <c r="D1214" t="s">
        <v>22</v>
      </c>
      <c r="E1214" t="s">
        <v>22</v>
      </c>
      <c r="F1214" s="3">
        <v>2026</v>
      </c>
      <c r="G1214" s="3">
        <v>2</v>
      </c>
      <c r="H1214" t="s">
        <v>1276</v>
      </c>
      <c r="I1214" s="2">
        <v>3</v>
      </c>
      <c r="J1214" t="s">
        <v>93</v>
      </c>
    </row>
    <row r="1215" spans="1:10">
      <c r="A1215" t="s">
        <v>1369</v>
      </c>
      <c r="B1215" t="s">
        <v>92</v>
      </c>
      <c r="C1215" s="1">
        <v>45561</v>
      </c>
      <c r="D1215" t="s">
        <v>134</v>
      </c>
      <c r="E1215" t="s">
        <v>24</v>
      </c>
      <c r="F1215" s="3">
        <v>2026</v>
      </c>
      <c r="G1215" s="3">
        <v>2</v>
      </c>
      <c r="H1215" t="s">
        <v>1276</v>
      </c>
      <c r="I1215" s="2">
        <v>3</v>
      </c>
      <c r="J1215" t="s">
        <v>93</v>
      </c>
    </row>
    <row r="1216" spans="1:10">
      <c r="A1216" t="s">
        <v>1370</v>
      </c>
      <c r="B1216" t="s">
        <v>92</v>
      </c>
      <c r="C1216" s="1">
        <v>45561</v>
      </c>
      <c r="D1216" t="s">
        <v>210</v>
      </c>
      <c r="E1216" t="s">
        <v>25</v>
      </c>
      <c r="F1216" s="3">
        <v>2026</v>
      </c>
      <c r="G1216" s="3">
        <v>2</v>
      </c>
      <c r="H1216" t="s">
        <v>1276</v>
      </c>
      <c r="I1216" s="2">
        <v>3.1</v>
      </c>
      <c r="J1216" t="s">
        <v>93</v>
      </c>
    </row>
    <row r="1217" spans="1:10">
      <c r="A1217" t="s">
        <v>1371</v>
      </c>
      <c r="B1217" t="s">
        <v>92</v>
      </c>
      <c r="C1217" s="1">
        <v>45561</v>
      </c>
      <c r="D1217" t="s">
        <v>212</v>
      </c>
      <c r="E1217" t="s">
        <v>26</v>
      </c>
      <c r="F1217" s="3">
        <v>2026</v>
      </c>
      <c r="G1217" s="3">
        <v>2</v>
      </c>
      <c r="H1217" t="s">
        <v>1276</v>
      </c>
      <c r="I1217" s="2">
        <v>2.8</v>
      </c>
      <c r="J1217" t="s">
        <v>93</v>
      </c>
    </row>
    <row r="1218" spans="1:10">
      <c r="A1218" t="s">
        <v>1372</v>
      </c>
      <c r="B1218" t="s">
        <v>92</v>
      </c>
      <c r="C1218" s="1">
        <v>45561</v>
      </c>
      <c r="D1218" t="s">
        <v>22</v>
      </c>
      <c r="E1218" t="s">
        <v>22</v>
      </c>
      <c r="F1218" s="3">
        <v>2026</v>
      </c>
      <c r="G1218" s="3">
        <v>3</v>
      </c>
      <c r="H1218" t="s">
        <v>21</v>
      </c>
      <c r="I1218" s="2">
        <v>3</v>
      </c>
      <c r="J1218" t="s">
        <v>93</v>
      </c>
    </row>
    <row r="1219" spans="1:10">
      <c r="A1219" t="s">
        <v>1373</v>
      </c>
      <c r="B1219" t="s">
        <v>92</v>
      </c>
      <c r="C1219" s="1">
        <v>45561</v>
      </c>
      <c r="D1219" t="s">
        <v>134</v>
      </c>
      <c r="E1219" t="s">
        <v>24</v>
      </c>
      <c r="F1219" s="3">
        <v>2026</v>
      </c>
      <c r="G1219" s="3">
        <v>3</v>
      </c>
      <c r="H1219" t="s">
        <v>21</v>
      </c>
      <c r="I1219" s="2">
        <v>3</v>
      </c>
      <c r="J1219" t="s">
        <v>93</v>
      </c>
    </row>
    <row r="1220" spans="1:10">
      <c r="A1220" t="s">
        <v>1374</v>
      </c>
      <c r="B1220" t="s">
        <v>92</v>
      </c>
      <c r="C1220" s="1">
        <v>45561</v>
      </c>
      <c r="D1220" t="s">
        <v>210</v>
      </c>
      <c r="E1220" t="s">
        <v>25</v>
      </c>
      <c r="F1220" s="3">
        <v>2026</v>
      </c>
      <c r="G1220" s="3">
        <v>3</v>
      </c>
      <c r="H1220" t="s">
        <v>21</v>
      </c>
      <c r="I1220" s="2">
        <v>3.4</v>
      </c>
      <c r="J1220" t="s">
        <v>93</v>
      </c>
    </row>
    <row r="1221" spans="1:10">
      <c r="A1221" t="s">
        <v>1375</v>
      </c>
      <c r="B1221" t="s">
        <v>92</v>
      </c>
      <c r="C1221" s="1">
        <v>45561</v>
      </c>
      <c r="D1221" t="s">
        <v>212</v>
      </c>
      <c r="E1221" t="s">
        <v>26</v>
      </c>
      <c r="F1221" s="3">
        <v>2026</v>
      </c>
      <c r="G1221" s="3">
        <v>3</v>
      </c>
      <c r="H1221" t="s">
        <v>21</v>
      </c>
      <c r="I1221" s="2">
        <v>3</v>
      </c>
      <c r="J1221" t="s">
        <v>93</v>
      </c>
    </row>
    <row r="1222" spans="1:10">
      <c r="A1222" t="s">
        <v>1376</v>
      </c>
      <c r="B1222" t="s">
        <v>94</v>
      </c>
      <c r="C1222" s="1">
        <v>45610</v>
      </c>
      <c r="D1222" t="s">
        <v>22</v>
      </c>
      <c r="E1222" t="s">
        <v>22</v>
      </c>
      <c r="F1222" s="3">
        <v>2023</v>
      </c>
      <c r="G1222" s="3">
        <v>4</v>
      </c>
      <c r="H1222" t="s">
        <v>254</v>
      </c>
      <c r="I1222" s="2">
        <v>4.4000000000000004</v>
      </c>
      <c r="J1222" t="s">
        <v>95</v>
      </c>
    </row>
    <row r="1223" spans="1:10">
      <c r="A1223" t="s">
        <v>1377</v>
      </c>
      <c r="B1223" t="s">
        <v>94</v>
      </c>
      <c r="C1223" s="1">
        <v>45610</v>
      </c>
      <c r="D1223" t="s">
        <v>134</v>
      </c>
      <c r="E1223" t="s">
        <v>24</v>
      </c>
      <c r="F1223" s="3">
        <v>2023</v>
      </c>
      <c r="G1223" s="3">
        <v>4</v>
      </c>
      <c r="H1223" t="s">
        <v>254</v>
      </c>
      <c r="I1223" s="2">
        <v>5.3</v>
      </c>
      <c r="J1223" t="s">
        <v>95</v>
      </c>
    </row>
    <row r="1224" spans="1:10">
      <c r="A1224" t="s">
        <v>1378</v>
      </c>
      <c r="B1224" t="s">
        <v>94</v>
      </c>
      <c r="C1224" s="1">
        <v>45610</v>
      </c>
      <c r="D1224" t="s">
        <v>210</v>
      </c>
      <c r="E1224" t="s">
        <v>25</v>
      </c>
      <c r="F1224" s="3">
        <v>2023</v>
      </c>
      <c r="G1224" s="3">
        <v>4</v>
      </c>
      <c r="H1224" t="s">
        <v>254</v>
      </c>
      <c r="I1224" s="2">
        <v>5.3</v>
      </c>
      <c r="J1224" t="s">
        <v>95</v>
      </c>
    </row>
    <row r="1225" spans="1:10">
      <c r="A1225" t="s">
        <v>1379</v>
      </c>
      <c r="B1225" t="s">
        <v>94</v>
      </c>
      <c r="C1225" s="1">
        <v>45610</v>
      </c>
      <c r="D1225" t="s">
        <v>212</v>
      </c>
      <c r="E1225" t="s">
        <v>26</v>
      </c>
      <c r="F1225" s="3">
        <v>2023</v>
      </c>
      <c r="G1225" s="3">
        <v>4</v>
      </c>
      <c r="H1225" t="s">
        <v>254</v>
      </c>
      <c r="I1225" s="2">
        <v>4.5999999999999996</v>
      </c>
      <c r="J1225" t="s">
        <v>95</v>
      </c>
    </row>
    <row r="1226" spans="1:10">
      <c r="A1226" t="s">
        <v>1380</v>
      </c>
      <c r="B1226" t="s">
        <v>94</v>
      </c>
      <c r="C1226" s="1">
        <v>45610</v>
      </c>
      <c r="D1226" t="s">
        <v>22</v>
      </c>
      <c r="E1226" t="s">
        <v>22</v>
      </c>
      <c r="F1226" s="3">
        <v>2024</v>
      </c>
      <c r="G1226" s="3">
        <v>1</v>
      </c>
      <c r="H1226" t="s">
        <v>355</v>
      </c>
      <c r="I1226" s="2">
        <v>4.5999999999999996</v>
      </c>
      <c r="J1226" t="s">
        <v>95</v>
      </c>
    </row>
    <row r="1227" spans="1:10">
      <c r="A1227" t="s">
        <v>1381</v>
      </c>
      <c r="B1227" t="s">
        <v>94</v>
      </c>
      <c r="C1227" s="1">
        <v>45610</v>
      </c>
      <c r="D1227" t="s">
        <v>134</v>
      </c>
      <c r="E1227" t="s">
        <v>24</v>
      </c>
      <c r="F1227" s="3">
        <v>2024</v>
      </c>
      <c r="G1227" s="3">
        <v>1</v>
      </c>
      <c r="H1227" t="s">
        <v>355</v>
      </c>
      <c r="I1227" s="2">
        <v>4.7</v>
      </c>
      <c r="J1227" t="s">
        <v>95</v>
      </c>
    </row>
    <row r="1228" spans="1:10">
      <c r="A1228" t="s">
        <v>1382</v>
      </c>
      <c r="B1228" t="s">
        <v>94</v>
      </c>
      <c r="C1228" s="1">
        <v>45610</v>
      </c>
      <c r="D1228" t="s">
        <v>210</v>
      </c>
      <c r="E1228" t="s">
        <v>25</v>
      </c>
      <c r="F1228" s="3">
        <v>2024</v>
      </c>
      <c r="G1228" s="3">
        <v>1</v>
      </c>
      <c r="H1228" t="s">
        <v>355</v>
      </c>
      <c r="I1228" s="2">
        <v>5.3</v>
      </c>
      <c r="J1228" t="s">
        <v>95</v>
      </c>
    </row>
    <row r="1229" spans="1:10">
      <c r="A1229" t="s">
        <v>1383</v>
      </c>
      <c r="B1229" t="s">
        <v>94</v>
      </c>
      <c r="C1229" s="1">
        <v>45610</v>
      </c>
      <c r="D1229" t="s">
        <v>212</v>
      </c>
      <c r="E1229" t="s">
        <v>26</v>
      </c>
      <c r="F1229" s="3">
        <v>2024</v>
      </c>
      <c r="G1229" s="3">
        <v>1</v>
      </c>
      <c r="H1229" t="s">
        <v>355</v>
      </c>
      <c r="I1229" s="2">
        <v>4.3</v>
      </c>
      <c r="J1229" t="s">
        <v>95</v>
      </c>
    </row>
    <row r="1230" spans="1:10">
      <c r="A1230" t="s">
        <v>1384</v>
      </c>
      <c r="B1230" t="s">
        <v>94</v>
      </c>
      <c r="C1230" s="1">
        <v>45610</v>
      </c>
      <c r="D1230" t="s">
        <v>22</v>
      </c>
      <c r="E1230" t="s">
        <v>22</v>
      </c>
      <c r="F1230" s="3">
        <v>2024</v>
      </c>
      <c r="G1230" s="3">
        <v>2</v>
      </c>
      <c r="H1230" t="s">
        <v>460</v>
      </c>
      <c r="I1230" s="2">
        <v>4.8</v>
      </c>
      <c r="J1230" t="s">
        <v>95</v>
      </c>
    </row>
    <row r="1231" spans="1:10">
      <c r="A1231" t="s">
        <v>1385</v>
      </c>
      <c r="B1231" t="s">
        <v>94</v>
      </c>
      <c r="C1231" s="1">
        <v>45610</v>
      </c>
      <c r="D1231" t="s">
        <v>134</v>
      </c>
      <c r="E1231" t="s">
        <v>24</v>
      </c>
      <c r="F1231" s="3">
        <v>2024</v>
      </c>
      <c r="G1231" s="3">
        <v>2</v>
      </c>
      <c r="H1231" t="s">
        <v>460</v>
      </c>
      <c r="I1231" s="2">
        <v>4.2</v>
      </c>
      <c r="J1231" t="s">
        <v>95</v>
      </c>
    </row>
    <row r="1232" spans="1:10">
      <c r="A1232" t="s">
        <v>1386</v>
      </c>
      <c r="B1232" t="s">
        <v>94</v>
      </c>
      <c r="C1232" s="1">
        <v>45610</v>
      </c>
      <c r="D1232" t="s">
        <v>210</v>
      </c>
      <c r="E1232" t="s">
        <v>25</v>
      </c>
      <c r="F1232" s="3">
        <v>2024</v>
      </c>
      <c r="G1232" s="3">
        <v>2</v>
      </c>
      <c r="H1232" t="s">
        <v>460</v>
      </c>
      <c r="I1232" s="2">
        <v>4.2</v>
      </c>
      <c r="J1232" t="s">
        <v>95</v>
      </c>
    </row>
    <row r="1233" spans="1:10">
      <c r="A1233" t="s">
        <v>1387</v>
      </c>
      <c r="B1233" t="s">
        <v>94</v>
      </c>
      <c r="C1233" s="1">
        <v>45610</v>
      </c>
      <c r="D1233" t="s">
        <v>212</v>
      </c>
      <c r="E1233" t="s">
        <v>26</v>
      </c>
      <c r="F1233" s="3">
        <v>2024</v>
      </c>
      <c r="G1233" s="3">
        <v>2</v>
      </c>
      <c r="H1233" t="s">
        <v>460</v>
      </c>
      <c r="I1233" s="2">
        <v>3.7</v>
      </c>
      <c r="J1233" t="s">
        <v>95</v>
      </c>
    </row>
    <row r="1234" spans="1:10">
      <c r="A1234" t="s">
        <v>1388</v>
      </c>
      <c r="B1234" t="s">
        <v>94</v>
      </c>
      <c r="C1234" s="1">
        <v>45610</v>
      </c>
      <c r="D1234" t="s">
        <v>22</v>
      </c>
      <c r="E1234" t="s">
        <v>22</v>
      </c>
      <c r="F1234" s="3">
        <v>2024</v>
      </c>
      <c r="G1234" s="3">
        <v>3</v>
      </c>
      <c r="H1234" t="s">
        <v>565</v>
      </c>
      <c r="I1234" s="2">
        <v>5</v>
      </c>
      <c r="J1234" t="s">
        <v>95</v>
      </c>
    </row>
    <row r="1235" spans="1:10">
      <c r="A1235" t="s">
        <v>1389</v>
      </c>
      <c r="B1235" t="s">
        <v>94</v>
      </c>
      <c r="C1235" s="1">
        <v>45610</v>
      </c>
      <c r="D1235" t="s">
        <v>134</v>
      </c>
      <c r="E1235" t="s">
        <v>24</v>
      </c>
      <c r="F1235" s="3">
        <v>2024</v>
      </c>
      <c r="G1235" s="3">
        <v>3</v>
      </c>
      <c r="H1235" t="s">
        <v>565</v>
      </c>
      <c r="I1235" s="2">
        <v>4</v>
      </c>
      <c r="J1235" t="s">
        <v>95</v>
      </c>
    </row>
    <row r="1236" spans="1:10">
      <c r="A1236" t="s">
        <v>1390</v>
      </c>
      <c r="B1236" t="s">
        <v>94</v>
      </c>
      <c r="C1236" s="1">
        <v>45610</v>
      </c>
      <c r="D1236" t="s">
        <v>210</v>
      </c>
      <c r="E1236" t="s">
        <v>25</v>
      </c>
      <c r="F1236" s="3">
        <v>2024</v>
      </c>
      <c r="G1236" s="3">
        <v>3</v>
      </c>
      <c r="H1236" t="s">
        <v>565</v>
      </c>
      <c r="I1236" s="2">
        <v>5.3</v>
      </c>
      <c r="J1236" t="s">
        <v>95</v>
      </c>
    </row>
    <row r="1237" spans="1:10">
      <c r="A1237" t="s">
        <v>1391</v>
      </c>
      <c r="B1237" t="s">
        <v>94</v>
      </c>
      <c r="C1237" s="1">
        <v>45610</v>
      </c>
      <c r="D1237" t="s">
        <v>212</v>
      </c>
      <c r="E1237" t="s">
        <v>26</v>
      </c>
      <c r="F1237" s="3">
        <v>2024</v>
      </c>
      <c r="G1237" s="3">
        <v>3</v>
      </c>
      <c r="H1237" t="s">
        <v>565</v>
      </c>
      <c r="I1237" s="2">
        <v>3.6</v>
      </c>
      <c r="J1237" t="s">
        <v>95</v>
      </c>
    </row>
    <row r="1238" spans="1:10">
      <c r="A1238" t="s">
        <v>1392</v>
      </c>
      <c r="B1238" t="s">
        <v>94</v>
      </c>
      <c r="C1238" s="1">
        <v>45610</v>
      </c>
      <c r="D1238" t="s">
        <v>22</v>
      </c>
      <c r="E1238" t="s">
        <v>22</v>
      </c>
      <c r="F1238" s="3">
        <v>2024</v>
      </c>
      <c r="G1238" s="3">
        <v>4</v>
      </c>
      <c r="H1238" t="s">
        <v>670</v>
      </c>
      <c r="I1238" s="2">
        <v>4.7</v>
      </c>
      <c r="J1238" t="s">
        <v>95</v>
      </c>
    </row>
    <row r="1239" spans="1:10">
      <c r="A1239" t="s">
        <v>1393</v>
      </c>
      <c r="B1239" t="s">
        <v>94</v>
      </c>
      <c r="C1239" s="1">
        <v>45610</v>
      </c>
      <c r="D1239" t="s">
        <v>134</v>
      </c>
      <c r="E1239" t="s">
        <v>24</v>
      </c>
      <c r="F1239" s="3">
        <v>2024</v>
      </c>
      <c r="G1239" s="3">
        <v>4</v>
      </c>
      <c r="H1239" t="s">
        <v>670</v>
      </c>
      <c r="I1239" s="2">
        <v>3.7</v>
      </c>
      <c r="J1239" t="s">
        <v>95</v>
      </c>
    </row>
    <row r="1240" spans="1:10">
      <c r="A1240" t="s">
        <v>1394</v>
      </c>
      <c r="B1240" t="s">
        <v>94</v>
      </c>
      <c r="C1240" s="1">
        <v>45610</v>
      </c>
      <c r="D1240" t="s">
        <v>210</v>
      </c>
      <c r="E1240" t="s">
        <v>25</v>
      </c>
      <c r="F1240" s="3">
        <v>2024</v>
      </c>
      <c r="G1240" s="3">
        <v>4</v>
      </c>
      <c r="H1240" t="s">
        <v>670</v>
      </c>
      <c r="I1240" s="2">
        <v>3.5</v>
      </c>
      <c r="J1240" t="s">
        <v>95</v>
      </c>
    </row>
    <row r="1241" spans="1:10">
      <c r="A1241" t="s">
        <v>1395</v>
      </c>
      <c r="B1241" t="s">
        <v>94</v>
      </c>
      <c r="C1241" s="1">
        <v>45610</v>
      </c>
      <c r="D1241" t="s">
        <v>212</v>
      </c>
      <c r="E1241" t="s">
        <v>26</v>
      </c>
      <c r="F1241" s="3">
        <v>2024</v>
      </c>
      <c r="G1241" s="3">
        <v>4</v>
      </c>
      <c r="H1241" t="s">
        <v>670</v>
      </c>
      <c r="I1241" s="2">
        <v>3.5</v>
      </c>
      <c r="J1241" t="s">
        <v>95</v>
      </c>
    </row>
    <row r="1242" spans="1:10">
      <c r="A1242" t="s">
        <v>1396</v>
      </c>
      <c r="B1242" t="s">
        <v>94</v>
      </c>
      <c r="C1242" s="1">
        <v>45610</v>
      </c>
      <c r="D1242" t="s">
        <v>22</v>
      </c>
      <c r="E1242" t="s">
        <v>22</v>
      </c>
      <c r="F1242" s="3">
        <v>2025</v>
      </c>
      <c r="G1242" s="3">
        <v>1</v>
      </c>
      <c r="H1242" t="s">
        <v>771</v>
      </c>
      <c r="I1242" s="2">
        <v>3.9</v>
      </c>
      <c r="J1242" t="s">
        <v>95</v>
      </c>
    </row>
    <row r="1243" spans="1:10">
      <c r="A1243" t="s">
        <v>1397</v>
      </c>
      <c r="B1243" t="s">
        <v>94</v>
      </c>
      <c r="C1243" s="1">
        <v>45610</v>
      </c>
      <c r="D1243" t="s">
        <v>134</v>
      </c>
      <c r="E1243" t="s">
        <v>24</v>
      </c>
      <c r="F1243" s="3">
        <v>2025</v>
      </c>
      <c r="G1243" s="3">
        <v>1</v>
      </c>
      <c r="H1243" t="s">
        <v>771</v>
      </c>
      <c r="I1243" s="2">
        <v>3.5</v>
      </c>
      <c r="J1243" t="s">
        <v>95</v>
      </c>
    </row>
    <row r="1244" spans="1:10">
      <c r="A1244" t="s">
        <v>1398</v>
      </c>
      <c r="B1244" t="s">
        <v>94</v>
      </c>
      <c r="C1244" s="1">
        <v>45610</v>
      </c>
      <c r="D1244" t="s">
        <v>210</v>
      </c>
      <c r="E1244" t="s">
        <v>25</v>
      </c>
      <c r="F1244" s="3">
        <v>2025</v>
      </c>
      <c r="G1244" s="3">
        <v>1</v>
      </c>
      <c r="H1244" t="s">
        <v>771</v>
      </c>
      <c r="I1244" s="2">
        <v>2.8</v>
      </c>
      <c r="J1244" t="s">
        <v>95</v>
      </c>
    </row>
    <row r="1245" spans="1:10">
      <c r="A1245" t="s">
        <v>1399</v>
      </c>
      <c r="B1245" t="s">
        <v>94</v>
      </c>
      <c r="C1245" s="1">
        <v>45610</v>
      </c>
      <c r="D1245" t="s">
        <v>212</v>
      </c>
      <c r="E1245" t="s">
        <v>26</v>
      </c>
      <c r="F1245" s="3">
        <v>2025</v>
      </c>
      <c r="G1245" s="3">
        <v>1</v>
      </c>
      <c r="H1245" t="s">
        <v>771</v>
      </c>
      <c r="I1245" s="2">
        <v>3.3</v>
      </c>
      <c r="J1245" t="s">
        <v>95</v>
      </c>
    </row>
    <row r="1246" spans="1:10">
      <c r="A1246" t="s">
        <v>1400</v>
      </c>
      <c r="B1246" t="s">
        <v>94</v>
      </c>
      <c r="C1246" s="1">
        <v>45610</v>
      </c>
      <c r="D1246" t="s">
        <v>22</v>
      </c>
      <c r="E1246" t="s">
        <v>22</v>
      </c>
      <c r="F1246" s="3">
        <v>2025</v>
      </c>
      <c r="G1246" s="3">
        <v>2</v>
      </c>
      <c r="H1246" t="s">
        <v>876</v>
      </c>
      <c r="I1246" s="2">
        <v>3.4</v>
      </c>
      <c r="J1246" t="s">
        <v>95</v>
      </c>
    </row>
    <row r="1247" spans="1:10">
      <c r="A1247" t="s">
        <v>1401</v>
      </c>
      <c r="B1247" t="s">
        <v>94</v>
      </c>
      <c r="C1247" s="1">
        <v>45610</v>
      </c>
      <c r="D1247" t="s">
        <v>134</v>
      </c>
      <c r="E1247" t="s">
        <v>24</v>
      </c>
      <c r="F1247" s="3">
        <v>2025</v>
      </c>
      <c r="G1247" s="3">
        <v>2</v>
      </c>
      <c r="H1247" t="s">
        <v>876</v>
      </c>
      <c r="I1247" s="2">
        <v>3.3</v>
      </c>
      <c r="J1247" t="s">
        <v>95</v>
      </c>
    </row>
    <row r="1248" spans="1:10">
      <c r="A1248" t="s">
        <v>1402</v>
      </c>
      <c r="B1248" t="s">
        <v>94</v>
      </c>
      <c r="C1248" s="1">
        <v>45610</v>
      </c>
      <c r="D1248" t="s">
        <v>210</v>
      </c>
      <c r="E1248" t="s">
        <v>25</v>
      </c>
      <c r="F1248" s="3">
        <v>2025</v>
      </c>
      <c r="G1248" s="3">
        <v>2</v>
      </c>
      <c r="H1248" t="s">
        <v>876</v>
      </c>
      <c r="I1248" s="2">
        <v>2.5</v>
      </c>
      <c r="J1248" t="s">
        <v>95</v>
      </c>
    </row>
    <row r="1249" spans="1:10">
      <c r="A1249" t="s">
        <v>1403</v>
      </c>
      <c r="B1249" t="s">
        <v>94</v>
      </c>
      <c r="C1249" s="1">
        <v>45610</v>
      </c>
      <c r="D1249" t="s">
        <v>212</v>
      </c>
      <c r="E1249" t="s">
        <v>26</v>
      </c>
      <c r="F1249" s="3">
        <v>2025</v>
      </c>
      <c r="G1249" s="3">
        <v>2</v>
      </c>
      <c r="H1249" t="s">
        <v>876</v>
      </c>
      <c r="I1249" s="2">
        <v>2.7</v>
      </c>
      <c r="J1249" t="s">
        <v>95</v>
      </c>
    </row>
    <row r="1250" spans="1:10">
      <c r="A1250" t="s">
        <v>1404</v>
      </c>
      <c r="B1250" t="s">
        <v>94</v>
      </c>
      <c r="C1250" s="1">
        <v>45610</v>
      </c>
      <c r="D1250" t="s">
        <v>22</v>
      </c>
      <c r="E1250" t="s">
        <v>22</v>
      </c>
      <c r="F1250" s="3">
        <v>2025</v>
      </c>
      <c r="G1250" s="3">
        <v>3</v>
      </c>
      <c r="H1250" t="s">
        <v>981</v>
      </c>
      <c r="I1250" s="2">
        <v>3.1</v>
      </c>
      <c r="J1250" t="s">
        <v>95</v>
      </c>
    </row>
    <row r="1251" spans="1:10">
      <c r="A1251" t="s">
        <v>1405</v>
      </c>
      <c r="B1251" t="s">
        <v>94</v>
      </c>
      <c r="C1251" s="1">
        <v>45610</v>
      </c>
      <c r="D1251" t="s">
        <v>134</v>
      </c>
      <c r="E1251" t="s">
        <v>24</v>
      </c>
      <c r="F1251" s="3">
        <v>2025</v>
      </c>
      <c r="G1251" s="3">
        <v>3</v>
      </c>
      <c r="H1251" t="s">
        <v>981</v>
      </c>
      <c r="I1251" s="2">
        <v>3.1</v>
      </c>
      <c r="J1251" t="s">
        <v>95</v>
      </c>
    </row>
    <row r="1252" spans="1:10">
      <c r="A1252" t="s">
        <v>1406</v>
      </c>
      <c r="B1252" t="s">
        <v>94</v>
      </c>
      <c r="C1252" s="1">
        <v>45610</v>
      </c>
      <c r="D1252" t="s">
        <v>210</v>
      </c>
      <c r="E1252" t="s">
        <v>25</v>
      </c>
      <c r="F1252" s="3">
        <v>2025</v>
      </c>
      <c r="G1252" s="3">
        <v>3</v>
      </c>
      <c r="H1252" t="s">
        <v>981</v>
      </c>
      <c r="I1252" s="2">
        <v>3.7</v>
      </c>
      <c r="J1252" t="s">
        <v>95</v>
      </c>
    </row>
    <row r="1253" spans="1:10">
      <c r="A1253" t="s">
        <v>1407</v>
      </c>
      <c r="B1253" t="s">
        <v>94</v>
      </c>
      <c r="C1253" s="1">
        <v>45610</v>
      </c>
      <c r="D1253" t="s">
        <v>212</v>
      </c>
      <c r="E1253" t="s">
        <v>26</v>
      </c>
      <c r="F1253" s="3">
        <v>2025</v>
      </c>
      <c r="G1253" s="3">
        <v>3</v>
      </c>
      <c r="H1253" t="s">
        <v>981</v>
      </c>
      <c r="I1253" s="2">
        <v>3</v>
      </c>
      <c r="J1253" t="s">
        <v>95</v>
      </c>
    </row>
    <row r="1254" spans="1:10">
      <c r="A1254" t="s">
        <v>1408</v>
      </c>
      <c r="B1254" t="s">
        <v>94</v>
      </c>
      <c r="C1254" s="1">
        <v>45610</v>
      </c>
      <c r="D1254" t="s">
        <v>22</v>
      </c>
      <c r="E1254" t="s">
        <v>22</v>
      </c>
      <c r="F1254" s="3">
        <v>2025</v>
      </c>
      <c r="G1254" s="3">
        <v>4</v>
      </c>
      <c r="H1254" t="s">
        <v>1086</v>
      </c>
      <c r="I1254" s="2">
        <v>3</v>
      </c>
      <c r="J1254" t="s">
        <v>95</v>
      </c>
    </row>
    <row r="1255" spans="1:10">
      <c r="A1255" t="s">
        <v>1409</v>
      </c>
      <c r="B1255" t="s">
        <v>94</v>
      </c>
      <c r="C1255" s="1">
        <v>45610</v>
      </c>
      <c r="D1255" t="s">
        <v>134</v>
      </c>
      <c r="E1255" t="s">
        <v>24</v>
      </c>
      <c r="F1255" s="3">
        <v>2025</v>
      </c>
      <c r="G1255" s="3">
        <v>4</v>
      </c>
      <c r="H1255" t="s">
        <v>1086</v>
      </c>
      <c r="I1255" s="2">
        <v>3</v>
      </c>
      <c r="J1255" t="s">
        <v>95</v>
      </c>
    </row>
    <row r="1256" spans="1:10">
      <c r="A1256" t="s">
        <v>1410</v>
      </c>
      <c r="B1256" t="s">
        <v>94</v>
      </c>
      <c r="C1256" s="1">
        <v>45610</v>
      </c>
      <c r="D1256" t="s">
        <v>210</v>
      </c>
      <c r="E1256" t="s">
        <v>25</v>
      </c>
      <c r="F1256" s="3">
        <v>2025</v>
      </c>
      <c r="G1256" s="3">
        <v>4</v>
      </c>
      <c r="H1256" t="s">
        <v>1086</v>
      </c>
      <c r="I1256" s="2">
        <v>3.1</v>
      </c>
      <c r="J1256" t="s">
        <v>95</v>
      </c>
    </row>
    <row r="1257" spans="1:10">
      <c r="A1257" t="s">
        <v>1411</v>
      </c>
      <c r="B1257" t="s">
        <v>94</v>
      </c>
      <c r="C1257" s="1">
        <v>45610</v>
      </c>
      <c r="D1257" t="s">
        <v>212</v>
      </c>
      <c r="E1257" t="s">
        <v>26</v>
      </c>
      <c r="F1257" s="3">
        <v>2025</v>
      </c>
      <c r="G1257" s="3">
        <v>4</v>
      </c>
      <c r="H1257" t="s">
        <v>1086</v>
      </c>
      <c r="I1257" s="2">
        <v>2.9</v>
      </c>
      <c r="J1257" t="s">
        <v>95</v>
      </c>
    </row>
    <row r="1258" spans="1:10">
      <c r="A1258" t="s">
        <v>1412</v>
      </c>
      <c r="B1258" t="s">
        <v>94</v>
      </c>
      <c r="C1258" s="1">
        <v>45610</v>
      </c>
      <c r="D1258" t="s">
        <v>22</v>
      </c>
      <c r="E1258" t="s">
        <v>22</v>
      </c>
      <c r="F1258" s="3">
        <v>2026</v>
      </c>
      <c r="G1258" s="3">
        <v>1</v>
      </c>
      <c r="H1258" t="s">
        <v>1183</v>
      </c>
      <c r="I1258" s="2">
        <v>3</v>
      </c>
      <c r="J1258" t="s">
        <v>95</v>
      </c>
    </row>
    <row r="1259" spans="1:10">
      <c r="A1259" t="s">
        <v>1413</v>
      </c>
      <c r="B1259" t="s">
        <v>94</v>
      </c>
      <c r="C1259" s="1">
        <v>45610</v>
      </c>
      <c r="D1259" t="s">
        <v>134</v>
      </c>
      <c r="E1259" t="s">
        <v>24</v>
      </c>
      <c r="F1259" s="3">
        <v>2026</v>
      </c>
      <c r="G1259" s="3">
        <v>1</v>
      </c>
      <c r="H1259" t="s">
        <v>1183</v>
      </c>
      <c r="I1259" s="2">
        <v>3</v>
      </c>
      <c r="J1259" t="s">
        <v>95</v>
      </c>
    </row>
    <row r="1260" spans="1:10">
      <c r="A1260" t="s">
        <v>1414</v>
      </c>
      <c r="B1260" t="s">
        <v>94</v>
      </c>
      <c r="C1260" s="1">
        <v>45610</v>
      </c>
      <c r="D1260" t="s">
        <v>210</v>
      </c>
      <c r="E1260" t="s">
        <v>25</v>
      </c>
      <c r="F1260" s="3">
        <v>2026</v>
      </c>
      <c r="G1260" s="3">
        <v>1</v>
      </c>
      <c r="H1260" t="s">
        <v>1183</v>
      </c>
      <c r="I1260" s="2">
        <v>2.8</v>
      </c>
      <c r="J1260" t="s">
        <v>95</v>
      </c>
    </row>
    <row r="1261" spans="1:10">
      <c r="A1261" t="s">
        <v>1415</v>
      </c>
      <c r="B1261" t="s">
        <v>94</v>
      </c>
      <c r="C1261" s="1">
        <v>45610</v>
      </c>
      <c r="D1261" t="s">
        <v>212</v>
      </c>
      <c r="E1261" t="s">
        <v>26</v>
      </c>
      <c r="F1261" s="3">
        <v>2026</v>
      </c>
      <c r="G1261" s="3">
        <v>1</v>
      </c>
      <c r="H1261" t="s">
        <v>1183</v>
      </c>
      <c r="I1261" s="2">
        <v>3.2</v>
      </c>
      <c r="J1261" t="s">
        <v>95</v>
      </c>
    </row>
    <row r="1262" spans="1:10">
      <c r="A1262" t="s">
        <v>1416</v>
      </c>
      <c r="B1262" t="s">
        <v>94</v>
      </c>
      <c r="C1262" s="1">
        <v>45610</v>
      </c>
      <c r="D1262" t="s">
        <v>22</v>
      </c>
      <c r="E1262" t="s">
        <v>22</v>
      </c>
      <c r="F1262" s="3">
        <v>2026</v>
      </c>
      <c r="G1262" s="3">
        <v>2</v>
      </c>
      <c r="H1262" t="s">
        <v>1276</v>
      </c>
      <c r="I1262" s="2">
        <v>3</v>
      </c>
      <c r="J1262" t="s">
        <v>95</v>
      </c>
    </row>
    <row r="1263" spans="1:10">
      <c r="A1263" t="s">
        <v>1417</v>
      </c>
      <c r="B1263" t="s">
        <v>94</v>
      </c>
      <c r="C1263" s="1">
        <v>45610</v>
      </c>
      <c r="D1263" t="s">
        <v>134</v>
      </c>
      <c r="E1263" t="s">
        <v>24</v>
      </c>
      <c r="F1263" s="3">
        <v>2026</v>
      </c>
      <c r="G1263" s="3">
        <v>2</v>
      </c>
      <c r="H1263" t="s">
        <v>1276</v>
      </c>
      <c r="I1263" s="2">
        <v>3</v>
      </c>
      <c r="J1263" t="s">
        <v>95</v>
      </c>
    </row>
    <row r="1264" spans="1:10">
      <c r="A1264" t="s">
        <v>1418</v>
      </c>
      <c r="B1264" t="s">
        <v>94</v>
      </c>
      <c r="C1264" s="1">
        <v>45610</v>
      </c>
      <c r="D1264" t="s">
        <v>210</v>
      </c>
      <c r="E1264" t="s">
        <v>25</v>
      </c>
      <c r="F1264" s="3">
        <v>2026</v>
      </c>
      <c r="G1264" s="3">
        <v>2</v>
      </c>
      <c r="H1264" t="s">
        <v>1276</v>
      </c>
      <c r="I1264" s="2">
        <v>2.6</v>
      </c>
      <c r="J1264" t="s">
        <v>95</v>
      </c>
    </row>
    <row r="1265" spans="1:10">
      <c r="A1265" t="s">
        <v>1419</v>
      </c>
      <c r="B1265" t="s">
        <v>94</v>
      </c>
      <c r="C1265" s="1">
        <v>45610</v>
      </c>
      <c r="D1265" t="s">
        <v>212</v>
      </c>
      <c r="E1265" t="s">
        <v>26</v>
      </c>
      <c r="F1265" s="3">
        <v>2026</v>
      </c>
      <c r="G1265" s="3">
        <v>2</v>
      </c>
      <c r="H1265" t="s">
        <v>1276</v>
      </c>
      <c r="I1265" s="2">
        <v>2.8</v>
      </c>
      <c r="J1265" t="s">
        <v>95</v>
      </c>
    </row>
    <row r="1266" spans="1:10">
      <c r="A1266" t="s">
        <v>1420</v>
      </c>
      <c r="B1266" t="s">
        <v>94</v>
      </c>
      <c r="C1266" s="1">
        <v>45610</v>
      </c>
      <c r="D1266" t="s">
        <v>22</v>
      </c>
      <c r="E1266" t="s">
        <v>22</v>
      </c>
      <c r="F1266" s="3">
        <v>2026</v>
      </c>
      <c r="G1266" s="3">
        <v>3</v>
      </c>
      <c r="H1266" t="s">
        <v>21</v>
      </c>
      <c r="I1266" s="2">
        <v>3</v>
      </c>
      <c r="J1266" t="s">
        <v>95</v>
      </c>
    </row>
    <row r="1267" spans="1:10">
      <c r="A1267" t="s">
        <v>1421</v>
      </c>
      <c r="B1267" t="s">
        <v>94</v>
      </c>
      <c r="C1267" s="1">
        <v>45610</v>
      </c>
      <c r="D1267" t="s">
        <v>134</v>
      </c>
      <c r="E1267" t="s">
        <v>24</v>
      </c>
      <c r="F1267" s="3">
        <v>2026</v>
      </c>
      <c r="G1267" s="3">
        <v>3</v>
      </c>
      <c r="H1267" t="s">
        <v>21</v>
      </c>
      <c r="I1267" s="2">
        <v>3</v>
      </c>
      <c r="J1267" t="s">
        <v>95</v>
      </c>
    </row>
    <row r="1268" spans="1:10">
      <c r="A1268" t="s">
        <v>1422</v>
      </c>
      <c r="B1268" t="s">
        <v>94</v>
      </c>
      <c r="C1268" s="1">
        <v>45610</v>
      </c>
      <c r="D1268" t="s">
        <v>210</v>
      </c>
      <c r="E1268" t="s">
        <v>25</v>
      </c>
      <c r="F1268" s="3">
        <v>2026</v>
      </c>
      <c r="G1268" s="3">
        <v>3</v>
      </c>
      <c r="H1268" t="s">
        <v>21</v>
      </c>
      <c r="I1268" s="2">
        <v>3.4</v>
      </c>
      <c r="J1268" t="s">
        <v>95</v>
      </c>
    </row>
    <row r="1269" spans="1:10">
      <c r="A1269" t="s">
        <v>1423</v>
      </c>
      <c r="B1269" t="s">
        <v>94</v>
      </c>
      <c r="C1269" s="1">
        <v>45610</v>
      </c>
      <c r="D1269" t="s">
        <v>212</v>
      </c>
      <c r="E1269" t="s">
        <v>26</v>
      </c>
      <c r="F1269" s="3">
        <v>2026</v>
      </c>
      <c r="G1269" s="3">
        <v>3</v>
      </c>
      <c r="H1269" t="s">
        <v>21</v>
      </c>
      <c r="I1269" s="2">
        <v>3</v>
      </c>
      <c r="J1269" t="s">
        <v>95</v>
      </c>
    </row>
    <row r="1270" spans="1:10">
      <c r="A1270" t="s">
        <v>1424</v>
      </c>
      <c r="B1270" t="s">
        <v>96</v>
      </c>
      <c r="C1270" s="1">
        <v>45645</v>
      </c>
      <c r="D1270" t="s">
        <v>22</v>
      </c>
      <c r="E1270" t="s">
        <v>22</v>
      </c>
      <c r="F1270" s="3">
        <v>2024</v>
      </c>
      <c r="G1270" s="3">
        <v>1</v>
      </c>
      <c r="H1270" t="s">
        <v>355</v>
      </c>
      <c r="I1270" s="2">
        <v>4.5999999999999996</v>
      </c>
      <c r="J1270" t="s">
        <v>97</v>
      </c>
    </row>
    <row r="1271" spans="1:10">
      <c r="A1271" t="s">
        <v>1425</v>
      </c>
      <c r="B1271" t="s">
        <v>96</v>
      </c>
      <c r="C1271" s="1">
        <v>45645</v>
      </c>
      <c r="D1271" t="s">
        <v>134</v>
      </c>
      <c r="E1271" t="s">
        <v>24</v>
      </c>
      <c r="F1271" s="3">
        <v>2024</v>
      </c>
      <c r="G1271" s="3">
        <v>1</v>
      </c>
      <c r="H1271" t="s">
        <v>355</v>
      </c>
      <c r="I1271" s="2">
        <v>4.7</v>
      </c>
      <c r="J1271" t="s">
        <v>97</v>
      </c>
    </row>
    <row r="1272" spans="1:10">
      <c r="A1272" t="s">
        <v>1426</v>
      </c>
      <c r="B1272" t="s">
        <v>96</v>
      </c>
      <c r="C1272" s="1">
        <v>45645</v>
      </c>
      <c r="D1272" t="s">
        <v>210</v>
      </c>
      <c r="E1272" t="s">
        <v>25</v>
      </c>
      <c r="F1272" s="3">
        <v>2024</v>
      </c>
      <c r="G1272" s="3">
        <v>1</v>
      </c>
      <c r="H1272" t="s">
        <v>355</v>
      </c>
      <c r="I1272" s="2">
        <v>5.3</v>
      </c>
      <c r="J1272" t="s">
        <v>97</v>
      </c>
    </row>
    <row r="1273" spans="1:10">
      <c r="A1273" t="s">
        <v>1427</v>
      </c>
      <c r="B1273" t="s">
        <v>96</v>
      </c>
      <c r="C1273" s="1">
        <v>45645</v>
      </c>
      <c r="D1273" t="s">
        <v>212</v>
      </c>
      <c r="E1273" t="s">
        <v>26</v>
      </c>
      <c r="F1273" s="3">
        <v>2024</v>
      </c>
      <c r="G1273" s="3">
        <v>1</v>
      </c>
      <c r="H1273" t="s">
        <v>355</v>
      </c>
      <c r="I1273" s="2">
        <v>4.4000000000000004</v>
      </c>
      <c r="J1273" t="s">
        <v>97</v>
      </c>
    </row>
    <row r="1274" spans="1:10">
      <c r="A1274" t="s">
        <v>1428</v>
      </c>
      <c r="B1274" t="s">
        <v>96</v>
      </c>
      <c r="C1274" s="1">
        <v>45645</v>
      </c>
      <c r="D1274" t="s">
        <v>22</v>
      </c>
      <c r="E1274" t="s">
        <v>22</v>
      </c>
      <c r="F1274" s="3">
        <v>2024</v>
      </c>
      <c r="G1274" s="3">
        <v>2</v>
      </c>
      <c r="H1274" t="s">
        <v>460</v>
      </c>
      <c r="I1274" s="2">
        <v>4.8</v>
      </c>
      <c r="J1274" t="s">
        <v>97</v>
      </c>
    </row>
    <row r="1275" spans="1:10">
      <c r="A1275" t="s">
        <v>1429</v>
      </c>
      <c r="B1275" t="s">
        <v>96</v>
      </c>
      <c r="C1275" s="1">
        <v>45645</v>
      </c>
      <c r="D1275" t="s">
        <v>134</v>
      </c>
      <c r="E1275" t="s">
        <v>24</v>
      </c>
      <c r="F1275" s="3">
        <v>2024</v>
      </c>
      <c r="G1275" s="3">
        <v>2</v>
      </c>
      <c r="H1275" t="s">
        <v>460</v>
      </c>
      <c r="I1275" s="2">
        <v>4.2</v>
      </c>
      <c r="J1275" t="s">
        <v>97</v>
      </c>
    </row>
    <row r="1276" spans="1:10">
      <c r="A1276" t="s">
        <v>1430</v>
      </c>
      <c r="B1276" t="s">
        <v>96</v>
      </c>
      <c r="C1276" s="1">
        <v>45645</v>
      </c>
      <c r="D1276" t="s">
        <v>210</v>
      </c>
      <c r="E1276" t="s">
        <v>25</v>
      </c>
      <c r="F1276" s="3">
        <v>2024</v>
      </c>
      <c r="G1276" s="3">
        <v>2</v>
      </c>
      <c r="H1276" t="s">
        <v>460</v>
      </c>
      <c r="I1276" s="2">
        <v>4.0999999999999996</v>
      </c>
      <c r="J1276" t="s">
        <v>97</v>
      </c>
    </row>
    <row r="1277" spans="1:10">
      <c r="A1277" t="s">
        <v>1431</v>
      </c>
      <c r="B1277" t="s">
        <v>96</v>
      </c>
      <c r="C1277" s="1">
        <v>45645</v>
      </c>
      <c r="D1277" t="s">
        <v>212</v>
      </c>
      <c r="E1277" t="s">
        <v>26</v>
      </c>
      <c r="F1277" s="3">
        <v>2024</v>
      </c>
      <c r="G1277" s="3">
        <v>2</v>
      </c>
      <c r="H1277" t="s">
        <v>460</v>
      </c>
      <c r="I1277" s="2">
        <v>3.7</v>
      </c>
      <c r="J1277" t="s">
        <v>97</v>
      </c>
    </row>
    <row r="1278" spans="1:10">
      <c r="A1278" t="s">
        <v>1432</v>
      </c>
      <c r="B1278" t="s">
        <v>96</v>
      </c>
      <c r="C1278" s="1">
        <v>45645</v>
      </c>
      <c r="D1278" t="s">
        <v>22</v>
      </c>
      <c r="E1278" t="s">
        <v>22</v>
      </c>
      <c r="F1278" s="3">
        <v>2024</v>
      </c>
      <c r="G1278" s="3">
        <v>3</v>
      </c>
      <c r="H1278" t="s">
        <v>565</v>
      </c>
      <c r="I1278" s="2">
        <v>5</v>
      </c>
      <c r="J1278" t="s">
        <v>97</v>
      </c>
    </row>
    <row r="1279" spans="1:10">
      <c r="A1279" t="s">
        <v>1433</v>
      </c>
      <c r="B1279" t="s">
        <v>96</v>
      </c>
      <c r="C1279" s="1">
        <v>45645</v>
      </c>
      <c r="D1279" t="s">
        <v>134</v>
      </c>
      <c r="E1279" t="s">
        <v>24</v>
      </c>
      <c r="F1279" s="3">
        <v>2024</v>
      </c>
      <c r="G1279" s="3">
        <v>3</v>
      </c>
      <c r="H1279" t="s">
        <v>565</v>
      </c>
      <c r="I1279" s="2">
        <v>4</v>
      </c>
      <c r="J1279" t="s">
        <v>97</v>
      </c>
    </row>
    <row r="1280" spans="1:10">
      <c r="A1280" t="s">
        <v>1434</v>
      </c>
      <c r="B1280" t="s">
        <v>96</v>
      </c>
      <c r="C1280" s="1">
        <v>45645</v>
      </c>
      <c r="D1280" t="s">
        <v>210</v>
      </c>
      <c r="E1280" t="s">
        <v>25</v>
      </c>
      <c r="F1280" s="3">
        <v>2024</v>
      </c>
      <c r="G1280" s="3">
        <v>3</v>
      </c>
      <c r="H1280" t="s">
        <v>565</v>
      </c>
      <c r="I1280" s="2">
        <v>5.3</v>
      </c>
      <c r="J1280" t="s">
        <v>97</v>
      </c>
    </row>
    <row r="1281" spans="1:10">
      <c r="A1281" t="s">
        <v>1435</v>
      </c>
      <c r="B1281" t="s">
        <v>96</v>
      </c>
      <c r="C1281" s="1">
        <v>45645</v>
      </c>
      <c r="D1281" t="s">
        <v>212</v>
      </c>
      <c r="E1281" t="s">
        <v>26</v>
      </c>
      <c r="F1281" s="3">
        <v>2024</v>
      </c>
      <c r="G1281" s="3">
        <v>3</v>
      </c>
      <c r="H1281" t="s">
        <v>565</v>
      </c>
      <c r="I1281" s="2">
        <v>3.6</v>
      </c>
      <c r="J1281" t="s">
        <v>97</v>
      </c>
    </row>
    <row r="1282" spans="1:10">
      <c r="A1282" t="s">
        <v>1436</v>
      </c>
      <c r="B1282" t="s">
        <v>96</v>
      </c>
      <c r="C1282" s="1">
        <v>45645</v>
      </c>
      <c r="D1282" t="s">
        <v>22</v>
      </c>
      <c r="E1282" t="s">
        <v>22</v>
      </c>
      <c r="F1282" s="3">
        <v>2024</v>
      </c>
      <c r="G1282" s="3">
        <v>4</v>
      </c>
      <c r="H1282" t="s">
        <v>670</v>
      </c>
      <c r="I1282" s="2">
        <v>4.5999999999999996</v>
      </c>
      <c r="J1282" t="s">
        <v>97</v>
      </c>
    </row>
    <row r="1283" spans="1:10">
      <c r="A1283" t="s">
        <v>1437</v>
      </c>
      <c r="B1283" t="s">
        <v>96</v>
      </c>
      <c r="C1283" s="1">
        <v>45645</v>
      </c>
      <c r="D1283" t="s">
        <v>134</v>
      </c>
      <c r="E1283" t="s">
        <v>24</v>
      </c>
      <c r="F1283" s="3">
        <v>2024</v>
      </c>
      <c r="G1283" s="3">
        <v>4</v>
      </c>
      <c r="H1283" t="s">
        <v>670</v>
      </c>
      <c r="I1283" s="2">
        <v>3.6</v>
      </c>
      <c r="J1283" t="s">
        <v>97</v>
      </c>
    </row>
    <row r="1284" spans="1:10">
      <c r="A1284" t="s">
        <v>1438</v>
      </c>
      <c r="B1284" t="s">
        <v>96</v>
      </c>
      <c r="C1284" s="1">
        <v>45645</v>
      </c>
      <c r="D1284" t="s">
        <v>210</v>
      </c>
      <c r="E1284" t="s">
        <v>25</v>
      </c>
      <c r="F1284" s="3">
        <v>2024</v>
      </c>
      <c r="G1284" s="3">
        <v>4</v>
      </c>
      <c r="H1284" t="s">
        <v>670</v>
      </c>
      <c r="I1284" s="2">
        <v>3.2</v>
      </c>
      <c r="J1284" t="s">
        <v>97</v>
      </c>
    </row>
    <row r="1285" spans="1:10">
      <c r="A1285" t="s">
        <v>1439</v>
      </c>
      <c r="B1285" t="s">
        <v>96</v>
      </c>
      <c r="C1285" s="1">
        <v>45645</v>
      </c>
      <c r="D1285" t="s">
        <v>212</v>
      </c>
      <c r="E1285" t="s">
        <v>26</v>
      </c>
      <c r="F1285" s="3">
        <v>2024</v>
      </c>
      <c r="G1285" s="3">
        <v>4</v>
      </c>
      <c r="H1285" t="s">
        <v>670</v>
      </c>
      <c r="I1285" s="2">
        <v>3.4</v>
      </c>
      <c r="J1285" t="s">
        <v>97</v>
      </c>
    </row>
    <row r="1286" spans="1:10">
      <c r="A1286" t="s">
        <v>1440</v>
      </c>
      <c r="B1286" t="s">
        <v>96</v>
      </c>
      <c r="C1286" s="1">
        <v>45645</v>
      </c>
      <c r="D1286" t="s">
        <v>22</v>
      </c>
      <c r="E1286" t="s">
        <v>22</v>
      </c>
      <c r="F1286" s="3">
        <v>2025</v>
      </c>
      <c r="G1286" s="3">
        <v>1</v>
      </c>
      <c r="H1286" t="s">
        <v>771</v>
      </c>
      <c r="I1286" s="2">
        <v>3.8</v>
      </c>
      <c r="J1286" t="s">
        <v>97</v>
      </c>
    </row>
    <row r="1287" spans="1:10">
      <c r="A1287" t="s">
        <v>1441</v>
      </c>
      <c r="B1287" t="s">
        <v>96</v>
      </c>
      <c r="C1287" s="1">
        <v>45645</v>
      </c>
      <c r="D1287" t="s">
        <v>134</v>
      </c>
      <c r="E1287" t="s">
        <v>24</v>
      </c>
      <c r="F1287" s="3">
        <v>2025</v>
      </c>
      <c r="G1287" s="3">
        <v>1</v>
      </c>
      <c r="H1287" t="s">
        <v>771</v>
      </c>
      <c r="I1287" s="2">
        <v>3.5</v>
      </c>
      <c r="J1287" t="s">
        <v>97</v>
      </c>
    </row>
    <row r="1288" spans="1:10">
      <c r="A1288" t="s">
        <v>1442</v>
      </c>
      <c r="B1288" t="s">
        <v>96</v>
      </c>
      <c r="C1288" s="1">
        <v>45645</v>
      </c>
      <c r="D1288" t="s">
        <v>210</v>
      </c>
      <c r="E1288" t="s">
        <v>25</v>
      </c>
      <c r="F1288" s="3">
        <v>2025</v>
      </c>
      <c r="G1288" s="3">
        <v>1</v>
      </c>
      <c r="H1288" t="s">
        <v>771</v>
      </c>
      <c r="I1288" s="2">
        <v>3</v>
      </c>
      <c r="J1288" t="s">
        <v>97</v>
      </c>
    </row>
    <row r="1289" spans="1:10">
      <c r="A1289" t="s">
        <v>1443</v>
      </c>
      <c r="B1289" t="s">
        <v>96</v>
      </c>
      <c r="C1289" s="1">
        <v>45645</v>
      </c>
      <c r="D1289" t="s">
        <v>212</v>
      </c>
      <c r="E1289" t="s">
        <v>26</v>
      </c>
      <c r="F1289" s="3">
        <v>2025</v>
      </c>
      <c r="G1289" s="3">
        <v>1</v>
      </c>
      <c r="H1289" t="s">
        <v>771</v>
      </c>
      <c r="I1289" s="2">
        <v>3.7</v>
      </c>
      <c r="J1289" t="s">
        <v>97</v>
      </c>
    </row>
    <row r="1290" spans="1:10">
      <c r="A1290" t="s">
        <v>1444</v>
      </c>
      <c r="B1290" t="s">
        <v>96</v>
      </c>
      <c r="C1290" s="1">
        <v>45645</v>
      </c>
      <c r="D1290" t="s">
        <v>22</v>
      </c>
      <c r="E1290" t="s">
        <v>22</v>
      </c>
      <c r="F1290" s="3">
        <v>2025</v>
      </c>
      <c r="G1290" s="3">
        <v>2</v>
      </c>
      <c r="H1290" t="s">
        <v>876</v>
      </c>
      <c r="I1290" s="2">
        <v>3.5</v>
      </c>
      <c r="J1290" t="s">
        <v>97</v>
      </c>
    </row>
    <row r="1291" spans="1:10">
      <c r="A1291" t="s">
        <v>1445</v>
      </c>
      <c r="B1291" t="s">
        <v>96</v>
      </c>
      <c r="C1291" s="1">
        <v>45645</v>
      </c>
      <c r="D1291" t="s">
        <v>134</v>
      </c>
      <c r="E1291" t="s">
        <v>24</v>
      </c>
      <c r="F1291" s="3">
        <v>2025</v>
      </c>
      <c r="G1291" s="3">
        <v>2</v>
      </c>
      <c r="H1291" t="s">
        <v>876</v>
      </c>
      <c r="I1291" s="2">
        <v>3.5</v>
      </c>
      <c r="J1291" t="s">
        <v>97</v>
      </c>
    </row>
    <row r="1292" spans="1:10">
      <c r="A1292" t="s">
        <v>1446</v>
      </c>
      <c r="B1292" t="s">
        <v>96</v>
      </c>
      <c r="C1292" s="1">
        <v>45645</v>
      </c>
      <c r="D1292" t="s">
        <v>210</v>
      </c>
      <c r="E1292" t="s">
        <v>25</v>
      </c>
      <c r="F1292" s="3">
        <v>2025</v>
      </c>
      <c r="G1292" s="3">
        <v>2</v>
      </c>
      <c r="H1292" t="s">
        <v>876</v>
      </c>
      <c r="I1292" s="2">
        <v>3.1</v>
      </c>
      <c r="J1292" t="s">
        <v>97</v>
      </c>
    </row>
    <row r="1293" spans="1:10">
      <c r="A1293" t="s">
        <v>1447</v>
      </c>
      <c r="B1293" t="s">
        <v>96</v>
      </c>
      <c r="C1293" s="1">
        <v>45645</v>
      </c>
      <c r="D1293" t="s">
        <v>212</v>
      </c>
      <c r="E1293" t="s">
        <v>26</v>
      </c>
      <c r="F1293" s="3">
        <v>2025</v>
      </c>
      <c r="G1293" s="3">
        <v>2</v>
      </c>
      <c r="H1293" t="s">
        <v>876</v>
      </c>
      <c r="I1293" s="2">
        <v>3.4</v>
      </c>
      <c r="J1293" t="s">
        <v>97</v>
      </c>
    </row>
    <row r="1294" spans="1:10">
      <c r="A1294" t="s">
        <v>1448</v>
      </c>
      <c r="B1294" t="s">
        <v>96</v>
      </c>
      <c r="C1294" s="1">
        <v>45645</v>
      </c>
      <c r="D1294" t="s">
        <v>22</v>
      </c>
      <c r="E1294" t="s">
        <v>22</v>
      </c>
      <c r="F1294" s="3">
        <v>2025</v>
      </c>
      <c r="G1294" s="3">
        <v>3</v>
      </c>
      <c r="H1294" t="s">
        <v>981</v>
      </c>
      <c r="I1294" s="2">
        <v>3.4</v>
      </c>
      <c r="J1294" t="s">
        <v>97</v>
      </c>
    </row>
    <row r="1295" spans="1:10">
      <c r="A1295" t="s">
        <v>1449</v>
      </c>
      <c r="B1295" t="s">
        <v>96</v>
      </c>
      <c r="C1295" s="1">
        <v>45645</v>
      </c>
      <c r="D1295" t="s">
        <v>134</v>
      </c>
      <c r="E1295" t="s">
        <v>24</v>
      </c>
      <c r="F1295" s="3">
        <v>2025</v>
      </c>
      <c r="G1295" s="3">
        <v>3</v>
      </c>
      <c r="H1295" t="s">
        <v>981</v>
      </c>
      <c r="I1295" s="2">
        <v>3.4</v>
      </c>
      <c r="J1295" t="s">
        <v>97</v>
      </c>
    </row>
    <row r="1296" spans="1:10">
      <c r="A1296" t="s">
        <v>1450</v>
      </c>
      <c r="B1296" t="s">
        <v>96</v>
      </c>
      <c r="C1296" s="1">
        <v>45645</v>
      </c>
      <c r="D1296" t="s">
        <v>210</v>
      </c>
      <c r="E1296" t="s">
        <v>25</v>
      </c>
      <c r="F1296" s="3">
        <v>2025</v>
      </c>
      <c r="G1296" s="3">
        <v>3</v>
      </c>
      <c r="H1296" t="s">
        <v>981</v>
      </c>
      <c r="I1296" s="2">
        <v>4</v>
      </c>
      <c r="J1296" t="s">
        <v>97</v>
      </c>
    </row>
    <row r="1297" spans="1:10">
      <c r="A1297" t="s">
        <v>1451</v>
      </c>
      <c r="B1297" t="s">
        <v>96</v>
      </c>
      <c r="C1297" s="1">
        <v>45645</v>
      </c>
      <c r="D1297" t="s">
        <v>212</v>
      </c>
      <c r="E1297" t="s">
        <v>26</v>
      </c>
      <c r="F1297" s="3">
        <v>2025</v>
      </c>
      <c r="G1297" s="3">
        <v>3</v>
      </c>
      <c r="H1297" t="s">
        <v>981</v>
      </c>
      <c r="I1297" s="2">
        <v>3.3</v>
      </c>
      <c r="J1297" t="s">
        <v>97</v>
      </c>
    </row>
    <row r="1298" spans="1:10">
      <c r="A1298" t="s">
        <v>1452</v>
      </c>
      <c r="B1298" t="s">
        <v>96</v>
      </c>
      <c r="C1298" s="1">
        <v>45645</v>
      </c>
      <c r="D1298" t="s">
        <v>22</v>
      </c>
      <c r="E1298" t="s">
        <v>22</v>
      </c>
      <c r="F1298" s="3">
        <v>2025</v>
      </c>
      <c r="G1298" s="3">
        <v>4</v>
      </c>
      <c r="H1298" t="s">
        <v>1086</v>
      </c>
      <c r="I1298" s="2">
        <v>3.3</v>
      </c>
      <c r="J1298" t="s">
        <v>97</v>
      </c>
    </row>
    <row r="1299" spans="1:10">
      <c r="A1299" t="s">
        <v>1453</v>
      </c>
      <c r="B1299" t="s">
        <v>96</v>
      </c>
      <c r="C1299" s="1">
        <v>45645</v>
      </c>
      <c r="D1299" t="s">
        <v>134</v>
      </c>
      <c r="E1299" t="s">
        <v>24</v>
      </c>
      <c r="F1299" s="3">
        <v>2025</v>
      </c>
      <c r="G1299" s="3">
        <v>4</v>
      </c>
      <c r="H1299" t="s">
        <v>1086</v>
      </c>
      <c r="I1299" s="2">
        <v>3.3</v>
      </c>
      <c r="J1299" t="s">
        <v>97</v>
      </c>
    </row>
    <row r="1300" spans="1:10">
      <c r="A1300" t="s">
        <v>1454</v>
      </c>
      <c r="B1300" t="s">
        <v>96</v>
      </c>
      <c r="C1300" s="1">
        <v>45645</v>
      </c>
      <c r="D1300" t="s">
        <v>210</v>
      </c>
      <c r="E1300" t="s">
        <v>25</v>
      </c>
      <c r="F1300" s="3">
        <v>2025</v>
      </c>
      <c r="G1300" s="3">
        <v>4</v>
      </c>
      <c r="H1300" t="s">
        <v>1086</v>
      </c>
      <c r="I1300" s="2">
        <v>3</v>
      </c>
      <c r="J1300" t="s">
        <v>97</v>
      </c>
    </row>
    <row r="1301" spans="1:10">
      <c r="A1301" t="s">
        <v>1455</v>
      </c>
      <c r="B1301" t="s">
        <v>96</v>
      </c>
      <c r="C1301" s="1">
        <v>45645</v>
      </c>
      <c r="D1301" t="s">
        <v>212</v>
      </c>
      <c r="E1301" t="s">
        <v>26</v>
      </c>
      <c r="F1301" s="3">
        <v>2025</v>
      </c>
      <c r="G1301" s="3">
        <v>4</v>
      </c>
      <c r="H1301" t="s">
        <v>1086</v>
      </c>
      <c r="I1301" s="2">
        <v>3</v>
      </c>
      <c r="J1301" t="s">
        <v>97</v>
      </c>
    </row>
    <row r="1302" spans="1:10">
      <c r="A1302" t="s">
        <v>1456</v>
      </c>
      <c r="B1302" t="s">
        <v>96</v>
      </c>
      <c r="C1302" s="1">
        <v>45645</v>
      </c>
      <c r="D1302" t="s">
        <v>22</v>
      </c>
      <c r="E1302" t="s">
        <v>22</v>
      </c>
      <c r="F1302" s="3">
        <v>2026</v>
      </c>
      <c r="G1302" s="3">
        <v>1</v>
      </c>
      <c r="H1302" t="s">
        <v>1183</v>
      </c>
      <c r="I1302" s="2">
        <v>3.2</v>
      </c>
      <c r="J1302" t="s">
        <v>97</v>
      </c>
    </row>
    <row r="1303" spans="1:10">
      <c r="A1303" t="s">
        <v>1457</v>
      </c>
      <c r="B1303" t="s">
        <v>96</v>
      </c>
      <c r="C1303" s="1">
        <v>45645</v>
      </c>
      <c r="D1303" t="s">
        <v>134</v>
      </c>
      <c r="E1303" t="s">
        <v>24</v>
      </c>
      <c r="F1303" s="3">
        <v>2026</v>
      </c>
      <c r="G1303" s="3">
        <v>1</v>
      </c>
      <c r="H1303" t="s">
        <v>1183</v>
      </c>
      <c r="I1303" s="2">
        <v>3.2</v>
      </c>
      <c r="J1303" t="s">
        <v>97</v>
      </c>
    </row>
    <row r="1304" spans="1:10">
      <c r="A1304" t="s">
        <v>1458</v>
      </c>
      <c r="B1304" t="s">
        <v>96</v>
      </c>
      <c r="C1304" s="1">
        <v>45645</v>
      </c>
      <c r="D1304" t="s">
        <v>210</v>
      </c>
      <c r="E1304" t="s">
        <v>25</v>
      </c>
      <c r="F1304" s="3">
        <v>2026</v>
      </c>
      <c r="G1304" s="3">
        <v>1</v>
      </c>
      <c r="H1304" t="s">
        <v>1183</v>
      </c>
      <c r="I1304" s="2">
        <v>2.7</v>
      </c>
      <c r="J1304" t="s">
        <v>97</v>
      </c>
    </row>
    <row r="1305" spans="1:10">
      <c r="A1305" t="s">
        <v>1459</v>
      </c>
      <c r="B1305" t="s">
        <v>96</v>
      </c>
      <c r="C1305" s="1">
        <v>45645</v>
      </c>
      <c r="D1305" t="s">
        <v>212</v>
      </c>
      <c r="E1305" t="s">
        <v>26</v>
      </c>
      <c r="F1305" s="3">
        <v>2026</v>
      </c>
      <c r="G1305" s="3">
        <v>1</v>
      </c>
      <c r="H1305" t="s">
        <v>1183</v>
      </c>
      <c r="I1305" s="2">
        <v>3</v>
      </c>
      <c r="J1305" t="s">
        <v>97</v>
      </c>
    </row>
    <row r="1306" spans="1:10">
      <c r="A1306" t="s">
        <v>1460</v>
      </c>
      <c r="B1306" t="s">
        <v>96</v>
      </c>
      <c r="C1306" s="1">
        <v>45645</v>
      </c>
      <c r="D1306" t="s">
        <v>22</v>
      </c>
      <c r="E1306" t="s">
        <v>22</v>
      </c>
      <c r="F1306" s="3">
        <v>2026</v>
      </c>
      <c r="G1306" s="3">
        <v>2</v>
      </c>
      <c r="H1306" t="s">
        <v>1276</v>
      </c>
      <c r="I1306" s="2">
        <v>3.1</v>
      </c>
      <c r="J1306" t="s">
        <v>97</v>
      </c>
    </row>
    <row r="1307" spans="1:10">
      <c r="A1307" t="s">
        <v>1461</v>
      </c>
      <c r="B1307" t="s">
        <v>96</v>
      </c>
      <c r="C1307" s="1">
        <v>45645</v>
      </c>
      <c r="D1307" t="s">
        <v>134</v>
      </c>
      <c r="E1307" t="s">
        <v>24</v>
      </c>
      <c r="F1307" s="3">
        <v>2026</v>
      </c>
      <c r="G1307" s="3">
        <v>2</v>
      </c>
      <c r="H1307" t="s">
        <v>1276</v>
      </c>
      <c r="I1307" s="2">
        <v>3</v>
      </c>
      <c r="J1307" t="s">
        <v>97</v>
      </c>
    </row>
    <row r="1308" spans="1:10">
      <c r="A1308" t="s">
        <v>1462</v>
      </c>
      <c r="B1308" t="s">
        <v>96</v>
      </c>
      <c r="C1308" s="1">
        <v>45645</v>
      </c>
      <c r="D1308" t="s">
        <v>210</v>
      </c>
      <c r="E1308" t="s">
        <v>25</v>
      </c>
      <c r="F1308" s="3">
        <v>2026</v>
      </c>
      <c r="G1308" s="3">
        <v>2</v>
      </c>
      <c r="H1308" t="s">
        <v>1276</v>
      </c>
      <c r="I1308" s="2">
        <v>2.7</v>
      </c>
      <c r="J1308" t="s">
        <v>97</v>
      </c>
    </row>
    <row r="1309" spans="1:10">
      <c r="A1309" t="s">
        <v>1463</v>
      </c>
      <c r="B1309" t="s">
        <v>96</v>
      </c>
      <c r="C1309" s="1">
        <v>45645</v>
      </c>
      <c r="D1309" t="s">
        <v>212</v>
      </c>
      <c r="E1309" t="s">
        <v>26</v>
      </c>
      <c r="F1309" s="3">
        <v>2026</v>
      </c>
      <c r="G1309" s="3">
        <v>2</v>
      </c>
      <c r="H1309" t="s">
        <v>1276</v>
      </c>
      <c r="I1309" s="2">
        <v>2.8</v>
      </c>
      <c r="J1309" t="s">
        <v>97</v>
      </c>
    </row>
    <row r="1310" spans="1:10">
      <c r="A1310" t="s">
        <v>1464</v>
      </c>
      <c r="B1310" t="s">
        <v>96</v>
      </c>
      <c r="C1310" s="1">
        <v>45645</v>
      </c>
      <c r="D1310" t="s">
        <v>22</v>
      </c>
      <c r="E1310" t="s">
        <v>22</v>
      </c>
      <c r="F1310" s="3">
        <v>2026</v>
      </c>
      <c r="G1310" s="3">
        <v>3</v>
      </c>
      <c r="H1310" t="s">
        <v>21</v>
      </c>
      <c r="I1310" s="2">
        <v>3</v>
      </c>
      <c r="J1310" t="s">
        <v>97</v>
      </c>
    </row>
    <row r="1311" spans="1:10">
      <c r="A1311" t="s">
        <v>1465</v>
      </c>
      <c r="B1311" t="s">
        <v>96</v>
      </c>
      <c r="C1311" s="1">
        <v>45645</v>
      </c>
      <c r="D1311" t="s">
        <v>134</v>
      </c>
      <c r="E1311" t="s">
        <v>24</v>
      </c>
      <c r="F1311" s="3">
        <v>2026</v>
      </c>
      <c r="G1311" s="3">
        <v>3</v>
      </c>
      <c r="H1311" t="s">
        <v>21</v>
      </c>
      <c r="I1311" s="2">
        <v>3</v>
      </c>
      <c r="J1311" t="s">
        <v>97</v>
      </c>
    </row>
    <row r="1312" spans="1:10">
      <c r="A1312" t="s">
        <v>1466</v>
      </c>
      <c r="B1312" t="s">
        <v>96</v>
      </c>
      <c r="C1312" s="1">
        <v>45645</v>
      </c>
      <c r="D1312" t="s">
        <v>210</v>
      </c>
      <c r="E1312" t="s">
        <v>25</v>
      </c>
      <c r="F1312" s="3">
        <v>2026</v>
      </c>
      <c r="G1312" s="3">
        <v>3</v>
      </c>
      <c r="H1312" t="s">
        <v>21</v>
      </c>
      <c r="I1312" s="2">
        <v>3.6</v>
      </c>
      <c r="J1312" t="s">
        <v>97</v>
      </c>
    </row>
    <row r="1313" spans="1:10">
      <c r="A1313" t="s">
        <v>1467</v>
      </c>
      <c r="B1313" t="s">
        <v>96</v>
      </c>
      <c r="C1313" s="1">
        <v>45645</v>
      </c>
      <c r="D1313" t="s">
        <v>212</v>
      </c>
      <c r="E1313" t="s">
        <v>26</v>
      </c>
      <c r="F1313" s="3">
        <v>2026</v>
      </c>
      <c r="G1313" s="3">
        <v>3</v>
      </c>
      <c r="H1313" t="s">
        <v>21</v>
      </c>
      <c r="I1313" s="2">
        <v>3.1</v>
      </c>
      <c r="J1313" t="s">
        <v>97</v>
      </c>
    </row>
    <row r="1314" spans="1:10">
      <c r="A1314" t="s">
        <v>1468</v>
      </c>
      <c r="B1314" t="s">
        <v>96</v>
      </c>
      <c r="C1314" s="1">
        <v>45645</v>
      </c>
      <c r="D1314" t="s">
        <v>22</v>
      </c>
      <c r="E1314" t="s">
        <v>22</v>
      </c>
      <c r="F1314" s="3">
        <v>2026</v>
      </c>
      <c r="G1314" s="3">
        <v>4</v>
      </c>
      <c r="H1314" t="s">
        <v>1469</v>
      </c>
      <c r="I1314" s="2">
        <v>3</v>
      </c>
      <c r="J1314" t="s">
        <v>97</v>
      </c>
    </row>
    <row r="1315" spans="1:10">
      <c r="A1315" t="s">
        <v>1470</v>
      </c>
      <c r="B1315" t="s">
        <v>96</v>
      </c>
      <c r="C1315" s="1">
        <v>45645</v>
      </c>
      <c r="D1315" t="s">
        <v>134</v>
      </c>
      <c r="E1315" t="s">
        <v>24</v>
      </c>
      <c r="F1315" s="3">
        <v>2026</v>
      </c>
      <c r="G1315" s="3">
        <v>4</v>
      </c>
      <c r="H1315" t="s">
        <v>1469</v>
      </c>
      <c r="I1315" s="2">
        <v>3</v>
      </c>
      <c r="J1315" t="s">
        <v>97</v>
      </c>
    </row>
    <row r="1316" spans="1:10">
      <c r="A1316" t="s">
        <v>1471</v>
      </c>
      <c r="B1316" t="s">
        <v>96</v>
      </c>
      <c r="C1316" s="1">
        <v>45645</v>
      </c>
      <c r="D1316" t="s">
        <v>210</v>
      </c>
      <c r="E1316" t="s">
        <v>25</v>
      </c>
      <c r="F1316" s="3">
        <v>2026</v>
      </c>
      <c r="G1316" s="3">
        <v>4</v>
      </c>
      <c r="H1316" t="s">
        <v>1469</v>
      </c>
      <c r="I1316" s="2">
        <v>3</v>
      </c>
      <c r="J1316" t="s">
        <v>97</v>
      </c>
    </row>
    <row r="1317" spans="1:10">
      <c r="A1317" t="s">
        <v>1472</v>
      </c>
      <c r="B1317" t="s">
        <v>96</v>
      </c>
      <c r="C1317" s="1">
        <v>45645</v>
      </c>
      <c r="D1317" t="s">
        <v>212</v>
      </c>
      <c r="E1317" t="s">
        <v>26</v>
      </c>
      <c r="F1317" s="3">
        <v>2026</v>
      </c>
      <c r="G1317" s="3">
        <v>4</v>
      </c>
      <c r="H1317" t="s">
        <v>1469</v>
      </c>
      <c r="I1317" s="2">
        <v>3</v>
      </c>
      <c r="J1317" t="s">
        <v>97</v>
      </c>
    </row>
    <row r="1318" spans="1:10">
      <c r="A1318" t="s">
        <v>1473</v>
      </c>
      <c r="B1318" t="s">
        <v>98</v>
      </c>
      <c r="C1318" s="1">
        <v>45694</v>
      </c>
      <c r="D1318" t="s">
        <v>22</v>
      </c>
      <c r="E1318" t="s">
        <v>22</v>
      </c>
      <c r="F1318" s="3">
        <v>2024</v>
      </c>
      <c r="G1318" s="3">
        <v>1</v>
      </c>
      <c r="H1318" t="s">
        <v>355</v>
      </c>
      <c r="I1318" s="2">
        <v>4.5999999999999996</v>
      </c>
      <c r="J1318" t="s">
        <v>99</v>
      </c>
    </row>
    <row r="1319" spans="1:10">
      <c r="A1319" t="s">
        <v>1474</v>
      </c>
      <c r="B1319" t="s">
        <v>98</v>
      </c>
      <c r="C1319" s="1">
        <v>45694</v>
      </c>
      <c r="D1319" t="s">
        <v>134</v>
      </c>
      <c r="E1319" t="s">
        <v>24</v>
      </c>
      <c r="F1319" s="3">
        <v>2024</v>
      </c>
      <c r="G1319" s="3">
        <v>1</v>
      </c>
      <c r="H1319" t="s">
        <v>355</v>
      </c>
      <c r="I1319" s="2">
        <v>4.7</v>
      </c>
      <c r="J1319" t="s">
        <v>99</v>
      </c>
    </row>
    <row r="1320" spans="1:10">
      <c r="A1320" t="s">
        <v>1475</v>
      </c>
      <c r="B1320" t="s">
        <v>98</v>
      </c>
      <c r="C1320" s="1">
        <v>45694</v>
      </c>
      <c r="D1320" t="s">
        <v>210</v>
      </c>
      <c r="E1320" t="s">
        <v>25</v>
      </c>
      <c r="F1320" s="3">
        <v>2024</v>
      </c>
      <c r="G1320" s="3">
        <v>1</v>
      </c>
      <c r="H1320" t="s">
        <v>355</v>
      </c>
      <c r="I1320" s="2">
        <v>5.5</v>
      </c>
      <c r="J1320" t="s">
        <v>99</v>
      </c>
    </row>
    <row r="1321" spans="1:10">
      <c r="A1321" t="s">
        <v>1476</v>
      </c>
      <c r="B1321" t="s">
        <v>98</v>
      </c>
      <c r="C1321" s="1">
        <v>45694</v>
      </c>
      <c r="D1321" t="s">
        <v>212</v>
      </c>
      <c r="E1321" t="s">
        <v>26</v>
      </c>
      <c r="F1321" s="3">
        <v>2024</v>
      </c>
      <c r="G1321" s="3">
        <v>1</v>
      </c>
      <c r="H1321" t="s">
        <v>355</v>
      </c>
      <c r="I1321" s="2">
        <v>4.3</v>
      </c>
      <c r="J1321" t="s">
        <v>99</v>
      </c>
    </row>
    <row r="1322" spans="1:10">
      <c r="A1322" t="s">
        <v>1477</v>
      </c>
      <c r="B1322" t="s">
        <v>98</v>
      </c>
      <c r="C1322" s="1">
        <v>45694</v>
      </c>
      <c r="D1322" t="s">
        <v>22</v>
      </c>
      <c r="E1322" t="s">
        <v>22</v>
      </c>
      <c r="F1322" s="3">
        <v>2024</v>
      </c>
      <c r="G1322" s="3">
        <v>2</v>
      </c>
      <c r="H1322" t="s">
        <v>460</v>
      </c>
      <c r="I1322" s="2">
        <v>4.8</v>
      </c>
      <c r="J1322" t="s">
        <v>99</v>
      </c>
    </row>
    <row r="1323" spans="1:10">
      <c r="A1323" t="s">
        <v>1478</v>
      </c>
      <c r="B1323" t="s">
        <v>98</v>
      </c>
      <c r="C1323" s="1">
        <v>45694</v>
      </c>
      <c r="D1323" t="s">
        <v>134</v>
      </c>
      <c r="E1323" t="s">
        <v>24</v>
      </c>
      <c r="F1323" s="3">
        <v>2024</v>
      </c>
      <c r="G1323" s="3">
        <v>2</v>
      </c>
      <c r="H1323" t="s">
        <v>460</v>
      </c>
      <c r="I1323" s="2">
        <v>4.2</v>
      </c>
      <c r="J1323" t="s">
        <v>99</v>
      </c>
    </row>
    <row r="1324" spans="1:10">
      <c r="A1324" t="s">
        <v>1479</v>
      </c>
      <c r="B1324" t="s">
        <v>98</v>
      </c>
      <c r="C1324" s="1">
        <v>45694</v>
      </c>
      <c r="D1324" t="s">
        <v>210</v>
      </c>
      <c r="E1324" t="s">
        <v>25</v>
      </c>
      <c r="F1324" s="3">
        <v>2024</v>
      </c>
      <c r="G1324" s="3">
        <v>2</v>
      </c>
      <c r="H1324" t="s">
        <v>460</v>
      </c>
      <c r="I1324" s="2">
        <v>4.0999999999999996</v>
      </c>
      <c r="J1324" t="s">
        <v>99</v>
      </c>
    </row>
    <row r="1325" spans="1:10">
      <c r="A1325" t="s">
        <v>1480</v>
      </c>
      <c r="B1325" t="s">
        <v>98</v>
      </c>
      <c r="C1325" s="1">
        <v>45694</v>
      </c>
      <c r="D1325" t="s">
        <v>212</v>
      </c>
      <c r="E1325" t="s">
        <v>26</v>
      </c>
      <c r="F1325" s="3">
        <v>2024</v>
      </c>
      <c r="G1325" s="3">
        <v>2</v>
      </c>
      <c r="H1325" t="s">
        <v>460</v>
      </c>
      <c r="I1325" s="2">
        <v>3.6</v>
      </c>
      <c r="J1325" t="s">
        <v>99</v>
      </c>
    </row>
    <row r="1326" spans="1:10">
      <c r="A1326" t="s">
        <v>1481</v>
      </c>
      <c r="B1326" t="s">
        <v>98</v>
      </c>
      <c r="C1326" s="1">
        <v>45694</v>
      </c>
      <c r="D1326" t="s">
        <v>22</v>
      </c>
      <c r="E1326" t="s">
        <v>22</v>
      </c>
      <c r="F1326" s="3">
        <v>2024</v>
      </c>
      <c r="G1326" s="3">
        <v>3</v>
      </c>
      <c r="H1326" t="s">
        <v>565</v>
      </c>
      <c r="I1326" s="2">
        <v>5</v>
      </c>
      <c r="J1326" t="s">
        <v>99</v>
      </c>
    </row>
    <row r="1327" spans="1:10">
      <c r="A1327" t="s">
        <v>1482</v>
      </c>
      <c r="B1327" t="s">
        <v>98</v>
      </c>
      <c r="C1327" s="1">
        <v>45694</v>
      </c>
      <c r="D1327" t="s">
        <v>134</v>
      </c>
      <c r="E1327" t="s">
        <v>24</v>
      </c>
      <c r="F1327" s="3">
        <v>2024</v>
      </c>
      <c r="G1327" s="3">
        <v>3</v>
      </c>
      <c r="H1327" t="s">
        <v>565</v>
      </c>
      <c r="I1327" s="2">
        <v>4</v>
      </c>
      <c r="J1327" t="s">
        <v>99</v>
      </c>
    </row>
    <row r="1328" spans="1:10">
      <c r="A1328" t="s">
        <v>1483</v>
      </c>
      <c r="B1328" t="s">
        <v>98</v>
      </c>
      <c r="C1328" s="1">
        <v>45694</v>
      </c>
      <c r="D1328" t="s">
        <v>210</v>
      </c>
      <c r="E1328" t="s">
        <v>25</v>
      </c>
      <c r="F1328" s="3">
        <v>2024</v>
      </c>
      <c r="G1328" s="3">
        <v>3</v>
      </c>
      <c r="H1328" t="s">
        <v>565</v>
      </c>
      <c r="I1328" s="2">
        <v>5.2</v>
      </c>
      <c r="J1328" t="s">
        <v>99</v>
      </c>
    </row>
    <row r="1329" spans="1:10">
      <c r="A1329" t="s">
        <v>1484</v>
      </c>
      <c r="B1329" t="s">
        <v>98</v>
      </c>
      <c r="C1329" s="1">
        <v>45694</v>
      </c>
      <c r="D1329" t="s">
        <v>212</v>
      </c>
      <c r="E1329" t="s">
        <v>26</v>
      </c>
      <c r="F1329" s="3">
        <v>2024</v>
      </c>
      <c r="G1329" s="3">
        <v>3</v>
      </c>
      <c r="H1329" t="s">
        <v>565</v>
      </c>
      <c r="I1329" s="2">
        <v>3.6</v>
      </c>
      <c r="J1329" t="s">
        <v>99</v>
      </c>
    </row>
    <row r="1330" spans="1:10">
      <c r="A1330" t="s">
        <v>1485</v>
      </c>
      <c r="B1330" t="s">
        <v>98</v>
      </c>
      <c r="C1330" s="1">
        <v>45694</v>
      </c>
      <c r="D1330" t="s">
        <v>22</v>
      </c>
      <c r="E1330" t="s">
        <v>22</v>
      </c>
      <c r="F1330" s="3">
        <v>2024</v>
      </c>
      <c r="G1330" s="3">
        <v>4</v>
      </c>
      <c r="H1330" t="s">
        <v>670</v>
      </c>
      <c r="I1330" s="2">
        <v>4.5</v>
      </c>
      <c r="J1330" t="s">
        <v>99</v>
      </c>
    </row>
    <row r="1331" spans="1:10">
      <c r="A1331" t="s">
        <v>1486</v>
      </c>
      <c r="B1331" t="s">
        <v>98</v>
      </c>
      <c r="C1331" s="1">
        <v>45694</v>
      </c>
      <c r="D1331" t="s">
        <v>134</v>
      </c>
      <c r="E1331" t="s">
        <v>24</v>
      </c>
      <c r="F1331" s="3">
        <v>2024</v>
      </c>
      <c r="G1331" s="3">
        <v>4</v>
      </c>
      <c r="H1331" t="s">
        <v>670</v>
      </c>
      <c r="I1331" s="2">
        <v>3.7</v>
      </c>
      <c r="J1331" t="s">
        <v>99</v>
      </c>
    </row>
    <row r="1332" spans="1:10">
      <c r="A1332" t="s">
        <v>1487</v>
      </c>
      <c r="B1332" t="s">
        <v>98</v>
      </c>
      <c r="C1332" s="1">
        <v>45694</v>
      </c>
      <c r="D1332" t="s">
        <v>210</v>
      </c>
      <c r="E1332" t="s">
        <v>25</v>
      </c>
      <c r="F1332" s="3">
        <v>2024</v>
      </c>
      <c r="G1332" s="3">
        <v>4</v>
      </c>
      <c r="H1332" t="s">
        <v>670</v>
      </c>
      <c r="I1332" s="2">
        <v>3.2</v>
      </c>
      <c r="J1332" t="s">
        <v>99</v>
      </c>
    </row>
    <row r="1333" spans="1:10">
      <c r="A1333" t="s">
        <v>1488</v>
      </c>
      <c r="B1333" t="s">
        <v>98</v>
      </c>
      <c r="C1333" s="1">
        <v>45694</v>
      </c>
      <c r="D1333" t="s">
        <v>212</v>
      </c>
      <c r="E1333" t="s">
        <v>26</v>
      </c>
      <c r="F1333" s="3">
        <v>2024</v>
      </c>
      <c r="G1333" s="3">
        <v>4</v>
      </c>
      <c r="H1333" t="s">
        <v>670</v>
      </c>
      <c r="I1333" s="2">
        <v>3.4</v>
      </c>
      <c r="J1333" t="s">
        <v>99</v>
      </c>
    </row>
    <row r="1334" spans="1:10">
      <c r="A1334" t="s">
        <v>1489</v>
      </c>
      <c r="B1334" t="s">
        <v>98</v>
      </c>
      <c r="C1334" s="1">
        <v>45694</v>
      </c>
      <c r="D1334" t="s">
        <v>22</v>
      </c>
      <c r="E1334" t="s">
        <v>22</v>
      </c>
      <c r="F1334" s="3">
        <v>2025</v>
      </c>
      <c r="G1334" s="3">
        <v>1</v>
      </c>
      <c r="H1334" t="s">
        <v>771</v>
      </c>
      <c r="I1334" s="2">
        <v>3.7</v>
      </c>
      <c r="J1334" t="s">
        <v>99</v>
      </c>
    </row>
    <row r="1335" spans="1:10">
      <c r="A1335" t="s">
        <v>1490</v>
      </c>
      <c r="B1335" t="s">
        <v>98</v>
      </c>
      <c r="C1335" s="1">
        <v>45694</v>
      </c>
      <c r="D1335" t="s">
        <v>134</v>
      </c>
      <c r="E1335" t="s">
        <v>24</v>
      </c>
      <c r="F1335" s="3">
        <v>2025</v>
      </c>
      <c r="G1335" s="3">
        <v>1</v>
      </c>
      <c r="H1335" t="s">
        <v>771</v>
      </c>
      <c r="I1335" s="2">
        <v>3.6</v>
      </c>
      <c r="J1335" t="s">
        <v>99</v>
      </c>
    </row>
    <row r="1336" spans="1:10">
      <c r="A1336" t="s">
        <v>1491</v>
      </c>
      <c r="B1336" t="s">
        <v>98</v>
      </c>
      <c r="C1336" s="1">
        <v>45694</v>
      </c>
      <c r="D1336" t="s">
        <v>210</v>
      </c>
      <c r="E1336" t="s">
        <v>25</v>
      </c>
      <c r="F1336" s="3">
        <v>2025</v>
      </c>
      <c r="G1336" s="3">
        <v>1</v>
      </c>
      <c r="H1336" t="s">
        <v>771</v>
      </c>
      <c r="I1336" s="2">
        <v>2.8</v>
      </c>
      <c r="J1336" t="s">
        <v>99</v>
      </c>
    </row>
    <row r="1337" spans="1:10">
      <c r="A1337" t="s">
        <v>1492</v>
      </c>
      <c r="B1337" t="s">
        <v>98</v>
      </c>
      <c r="C1337" s="1">
        <v>45694</v>
      </c>
      <c r="D1337" t="s">
        <v>212</v>
      </c>
      <c r="E1337" t="s">
        <v>26</v>
      </c>
      <c r="F1337" s="3">
        <v>2025</v>
      </c>
      <c r="G1337" s="3">
        <v>1</v>
      </c>
      <c r="H1337" t="s">
        <v>771</v>
      </c>
      <c r="I1337" s="2">
        <v>3.8</v>
      </c>
      <c r="J1337" t="s">
        <v>99</v>
      </c>
    </row>
    <row r="1338" spans="1:10">
      <c r="A1338" t="s">
        <v>1493</v>
      </c>
      <c r="B1338" t="s">
        <v>98</v>
      </c>
      <c r="C1338" s="1">
        <v>45694</v>
      </c>
      <c r="D1338" t="s">
        <v>22</v>
      </c>
      <c r="E1338" t="s">
        <v>22</v>
      </c>
      <c r="F1338" s="3">
        <v>2025</v>
      </c>
      <c r="G1338" s="3">
        <v>2</v>
      </c>
      <c r="H1338" t="s">
        <v>876</v>
      </c>
      <c r="I1338" s="2">
        <v>3.5</v>
      </c>
      <c r="J1338" t="s">
        <v>99</v>
      </c>
    </row>
    <row r="1339" spans="1:10">
      <c r="A1339" t="s">
        <v>1494</v>
      </c>
      <c r="B1339" t="s">
        <v>98</v>
      </c>
      <c r="C1339" s="1">
        <v>45694</v>
      </c>
      <c r="D1339" t="s">
        <v>134</v>
      </c>
      <c r="E1339" t="s">
        <v>24</v>
      </c>
      <c r="F1339" s="3">
        <v>2025</v>
      </c>
      <c r="G1339" s="3">
        <v>2</v>
      </c>
      <c r="H1339" t="s">
        <v>876</v>
      </c>
      <c r="I1339" s="2">
        <v>3.5</v>
      </c>
      <c r="J1339" t="s">
        <v>99</v>
      </c>
    </row>
    <row r="1340" spans="1:10">
      <c r="A1340" t="s">
        <v>1495</v>
      </c>
      <c r="B1340" t="s">
        <v>98</v>
      </c>
      <c r="C1340" s="1">
        <v>45694</v>
      </c>
      <c r="D1340" t="s">
        <v>210</v>
      </c>
      <c r="E1340" t="s">
        <v>25</v>
      </c>
      <c r="F1340" s="3">
        <v>2025</v>
      </c>
      <c r="G1340" s="3">
        <v>2</v>
      </c>
      <c r="H1340" t="s">
        <v>876</v>
      </c>
      <c r="I1340" s="2">
        <v>3.6</v>
      </c>
      <c r="J1340" t="s">
        <v>99</v>
      </c>
    </row>
    <row r="1341" spans="1:10">
      <c r="A1341" t="s">
        <v>1496</v>
      </c>
      <c r="B1341" t="s">
        <v>98</v>
      </c>
      <c r="C1341" s="1">
        <v>45694</v>
      </c>
      <c r="D1341" t="s">
        <v>212</v>
      </c>
      <c r="E1341" t="s">
        <v>26</v>
      </c>
      <c r="F1341" s="3">
        <v>2025</v>
      </c>
      <c r="G1341" s="3">
        <v>2</v>
      </c>
      <c r="H1341" t="s">
        <v>876</v>
      </c>
      <c r="I1341" s="2">
        <v>3.2</v>
      </c>
      <c r="J1341" t="s">
        <v>99</v>
      </c>
    </row>
    <row r="1342" spans="1:10">
      <c r="A1342" t="s">
        <v>1497</v>
      </c>
      <c r="B1342" t="s">
        <v>98</v>
      </c>
      <c r="C1342" s="1">
        <v>45694</v>
      </c>
      <c r="D1342" t="s">
        <v>22</v>
      </c>
      <c r="E1342" t="s">
        <v>22</v>
      </c>
      <c r="F1342" s="3">
        <v>2025</v>
      </c>
      <c r="G1342" s="3">
        <v>3</v>
      </c>
      <c r="H1342" t="s">
        <v>981</v>
      </c>
      <c r="I1342" s="2">
        <v>3.4</v>
      </c>
      <c r="J1342" t="s">
        <v>99</v>
      </c>
    </row>
    <row r="1343" spans="1:10">
      <c r="A1343" t="s">
        <v>1498</v>
      </c>
      <c r="B1343" t="s">
        <v>98</v>
      </c>
      <c r="C1343" s="1">
        <v>45694</v>
      </c>
      <c r="D1343" t="s">
        <v>134</v>
      </c>
      <c r="E1343" t="s">
        <v>24</v>
      </c>
      <c r="F1343" s="3">
        <v>2025</v>
      </c>
      <c r="G1343" s="3">
        <v>3</v>
      </c>
      <c r="H1343" t="s">
        <v>981</v>
      </c>
      <c r="I1343" s="2">
        <v>3.4</v>
      </c>
      <c r="J1343" t="s">
        <v>99</v>
      </c>
    </row>
    <row r="1344" spans="1:10">
      <c r="A1344" t="s">
        <v>1499</v>
      </c>
      <c r="B1344" t="s">
        <v>98</v>
      </c>
      <c r="C1344" s="1">
        <v>45694</v>
      </c>
      <c r="D1344" t="s">
        <v>210</v>
      </c>
      <c r="E1344" t="s">
        <v>25</v>
      </c>
      <c r="F1344" s="3">
        <v>2025</v>
      </c>
      <c r="G1344" s="3">
        <v>3</v>
      </c>
      <c r="H1344" t="s">
        <v>981</v>
      </c>
      <c r="I1344" s="2">
        <v>4</v>
      </c>
      <c r="J1344" t="s">
        <v>99</v>
      </c>
    </row>
    <row r="1345" spans="1:10">
      <c r="A1345" t="s">
        <v>1500</v>
      </c>
      <c r="B1345" t="s">
        <v>98</v>
      </c>
      <c r="C1345" s="1">
        <v>45694</v>
      </c>
      <c r="D1345" t="s">
        <v>212</v>
      </c>
      <c r="E1345" t="s">
        <v>26</v>
      </c>
      <c r="F1345" s="3">
        <v>2025</v>
      </c>
      <c r="G1345" s="3">
        <v>3</v>
      </c>
      <c r="H1345" t="s">
        <v>981</v>
      </c>
      <c r="I1345" s="2">
        <v>3.2</v>
      </c>
      <c r="J1345" t="s">
        <v>99</v>
      </c>
    </row>
    <row r="1346" spans="1:10">
      <c r="A1346" t="s">
        <v>1501</v>
      </c>
      <c r="B1346" t="s">
        <v>98</v>
      </c>
      <c r="C1346" s="1">
        <v>45694</v>
      </c>
      <c r="D1346" t="s">
        <v>22</v>
      </c>
      <c r="E1346" t="s">
        <v>22</v>
      </c>
      <c r="F1346" s="3">
        <v>2025</v>
      </c>
      <c r="G1346" s="3">
        <v>4</v>
      </c>
      <c r="H1346" t="s">
        <v>1086</v>
      </c>
      <c r="I1346" s="2">
        <v>3.3</v>
      </c>
      <c r="J1346" t="s">
        <v>99</v>
      </c>
    </row>
    <row r="1347" spans="1:10">
      <c r="A1347" t="s">
        <v>1502</v>
      </c>
      <c r="B1347" t="s">
        <v>98</v>
      </c>
      <c r="C1347" s="1">
        <v>45694</v>
      </c>
      <c r="D1347" t="s">
        <v>134</v>
      </c>
      <c r="E1347" t="s">
        <v>24</v>
      </c>
      <c r="F1347" s="3">
        <v>2025</v>
      </c>
      <c r="G1347" s="3">
        <v>4</v>
      </c>
      <c r="H1347" t="s">
        <v>1086</v>
      </c>
      <c r="I1347" s="2">
        <v>3.3</v>
      </c>
      <c r="J1347" t="s">
        <v>99</v>
      </c>
    </row>
    <row r="1348" spans="1:10">
      <c r="A1348" t="s">
        <v>1503</v>
      </c>
      <c r="B1348" t="s">
        <v>98</v>
      </c>
      <c r="C1348" s="1">
        <v>45694</v>
      </c>
      <c r="D1348" t="s">
        <v>210</v>
      </c>
      <c r="E1348" t="s">
        <v>25</v>
      </c>
      <c r="F1348" s="3">
        <v>2025</v>
      </c>
      <c r="G1348" s="3">
        <v>4</v>
      </c>
      <c r="H1348" t="s">
        <v>1086</v>
      </c>
      <c r="I1348" s="2">
        <v>3</v>
      </c>
      <c r="J1348" t="s">
        <v>99</v>
      </c>
    </row>
    <row r="1349" spans="1:10">
      <c r="A1349" t="s">
        <v>1504</v>
      </c>
      <c r="B1349" t="s">
        <v>98</v>
      </c>
      <c r="C1349" s="1">
        <v>45694</v>
      </c>
      <c r="D1349" t="s">
        <v>212</v>
      </c>
      <c r="E1349" t="s">
        <v>26</v>
      </c>
      <c r="F1349" s="3">
        <v>2025</v>
      </c>
      <c r="G1349" s="3">
        <v>4</v>
      </c>
      <c r="H1349" t="s">
        <v>1086</v>
      </c>
      <c r="I1349" s="2">
        <v>3</v>
      </c>
      <c r="J1349" t="s">
        <v>99</v>
      </c>
    </row>
    <row r="1350" spans="1:10">
      <c r="A1350" t="s">
        <v>1505</v>
      </c>
      <c r="B1350" t="s">
        <v>98</v>
      </c>
      <c r="C1350" s="1">
        <v>45694</v>
      </c>
      <c r="D1350" t="s">
        <v>22</v>
      </c>
      <c r="E1350" t="s">
        <v>22</v>
      </c>
      <c r="F1350" s="3">
        <v>2026</v>
      </c>
      <c r="G1350" s="3">
        <v>1</v>
      </c>
      <c r="H1350" t="s">
        <v>1183</v>
      </c>
      <c r="I1350" s="2">
        <v>3.2</v>
      </c>
      <c r="J1350" t="s">
        <v>99</v>
      </c>
    </row>
    <row r="1351" spans="1:10">
      <c r="A1351" t="s">
        <v>1506</v>
      </c>
      <c r="B1351" t="s">
        <v>98</v>
      </c>
      <c r="C1351" s="1">
        <v>45694</v>
      </c>
      <c r="D1351" t="s">
        <v>134</v>
      </c>
      <c r="E1351" t="s">
        <v>24</v>
      </c>
      <c r="F1351" s="3">
        <v>2026</v>
      </c>
      <c r="G1351" s="3">
        <v>1</v>
      </c>
      <c r="H1351" t="s">
        <v>1183</v>
      </c>
      <c r="I1351" s="2">
        <v>3.2</v>
      </c>
      <c r="J1351" t="s">
        <v>99</v>
      </c>
    </row>
    <row r="1352" spans="1:10">
      <c r="A1352" t="s">
        <v>1507</v>
      </c>
      <c r="B1352" t="s">
        <v>98</v>
      </c>
      <c r="C1352" s="1">
        <v>45694</v>
      </c>
      <c r="D1352" t="s">
        <v>210</v>
      </c>
      <c r="E1352" t="s">
        <v>25</v>
      </c>
      <c r="F1352" s="3">
        <v>2026</v>
      </c>
      <c r="G1352" s="3">
        <v>1</v>
      </c>
      <c r="H1352" t="s">
        <v>1183</v>
      </c>
      <c r="I1352" s="2">
        <v>2.4</v>
      </c>
      <c r="J1352" t="s">
        <v>99</v>
      </c>
    </row>
    <row r="1353" spans="1:10">
      <c r="A1353" t="s">
        <v>1508</v>
      </c>
      <c r="B1353" t="s">
        <v>98</v>
      </c>
      <c r="C1353" s="1">
        <v>45694</v>
      </c>
      <c r="D1353" t="s">
        <v>212</v>
      </c>
      <c r="E1353" t="s">
        <v>26</v>
      </c>
      <c r="F1353" s="3">
        <v>2026</v>
      </c>
      <c r="G1353" s="3">
        <v>1</v>
      </c>
      <c r="H1353" t="s">
        <v>1183</v>
      </c>
      <c r="I1353" s="2">
        <v>3.1</v>
      </c>
      <c r="J1353" t="s">
        <v>99</v>
      </c>
    </row>
    <row r="1354" spans="1:10">
      <c r="A1354" t="s">
        <v>1509</v>
      </c>
      <c r="B1354" t="s">
        <v>98</v>
      </c>
      <c r="C1354" s="1">
        <v>45694</v>
      </c>
      <c r="D1354" t="s">
        <v>22</v>
      </c>
      <c r="E1354" t="s">
        <v>22</v>
      </c>
      <c r="F1354" s="3">
        <v>2026</v>
      </c>
      <c r="G1354" s="3">
        <v>2</v>
      </c>
      <c r="H1354" t="s">
        <v>1276</v>
      </c>
      <c r="I1354" s="2">
        <v>3.1</v>
      </c>
      <c r="J1354" t="s">
        <v>99</v>
      </c>
    </row>
    <row r="1355" spans="1:10">
      <c r="A1355" t="s">
        <v>1510</v>
      </c>
      <c r="B1355" t="s">
        <v>98</v>
      </c>
      <c r="C1355" s="1">
        <v>45694</v>
      </c>
      <c r="D1355" t="s">
        <v>134</v>
      </c>
      <c r="E1355" t="s">
        <v>24</v>
      </c>
      <c r="F1355" s="3">
        <v>2026</v>
      </c>
      <c r="G1355" s="3">
        <v>2</v>
      </c>
      <c r="H1355" t="s">
        <v>1276</v>
      </c>
      <c r="I1355" s="2">
        <v>3</v>
      </c>
      <c r="J1355" t="s">
        <v>99</v>
      </c>
    </row>
    <row r="1356" spans="1:10">
      <c r="A1356" t="s">
        <v>1511</v>
      </c>
      <c r="B1356" t="s">
        <v>98</v>
      </c>
      <c r="C1356" s="1">
        <v>45694</v>
      </c>
      <c r="D1356" t="s">
        <v>210</v>
      </c>
      <c r="E1356" t="s">
        <v>25</v>
      </c>
      <c r="F1356" s="3">
        <v>2026</v>
      </c>
      <c r="G1356" s="3">
        <v>2</v>
      </c>
      <c r="H1356" t="s">
        <v>1276</v>
      </c>
      <c r="I1356" s="2">
        <v>3.1</v>
      </c>
      <c r="J1356" t="s">
        <v>99</v>
      </c>
    </row>
    <row r="1357" spans="1:10">
      <c r="A1357" t="s">
        <v>1512</v>
      </c>
      <c r="B1357" t="s">
        <v>98</v>
      </c>
      <c r="C1357" s="1">
        <v>45694</v>
      </c>
      <c r="D1357" t="s">
        <v>212</v>
      </c>
      <c r="E1357" t="s">
        <v>26</v>
      </c>
      <c r="F1357" s="3">
        <v>2026</v>
      </c>
      <c r="G1357" s="3">
        <v>2</v>
      </c>
      <c r="H1357" t="s">
        <v>1276</v>
      </c>
      <c r="I1357" s="2">
        <v>2.8</v>
      </c>
      <c r="J1357" t="s">
        <v>99</v>
      </c>
    </row>
    <row r="1358" spans="1:10">
      <c r="A1358" t="s">
        <v>1513</v>
      </c>
      <c r="B1358" t="s">
        <v>98</v>
      </c>
      <c r="C1358" s="1">
        <v>45694</v>
      </c>
      <c r="D1358" t="s">
        <v>22</v>
      </c>
      <c r="E1358" t="s">
        <v>22</v>
      </c>
      <c r="F1358" s="3">
        <v>2026</v>
      </c>
      <c r="G1358" s="3">
        <v>3</v>
      </c>
      <c r="H1358" t="s">
        <v>21</v>
      </c>
      <c r="I1358" s="2">
        <v>3</v>
      </c>
      <c r="J1358" t="s">
        <v>99</v>
      </c>
    </row>
    <row r="1359" spans="1:10">
      <c r="A1359" t="s">
        <v>1514</v>
      </c>
      <c r="B1359" t="s">
        <v>98</v>
      </c>
      <c r="C1359" s="1">
        <v>45694</v>
      </c>
      <c r="D1359" t="s">
        <v>134</v>
      </c>
      <c r="E1359" t="s">
        <v>24</v>
      </c>
      <c r="F1359" s="3">
        <v>2026</v>
      </c>
      <c r="G1359" s="3">
        <v>3</v>
      </c>
      <c r="H1359" t="s">
        <v>21</v>
      </c>
      <c r="I1359" s="2">
        <v>3</v>
      </c>
      <c r="J1359" t="s">
        <v>99</v>
      </c>
    </row>
    <row r="1360" spans="1:10">
      <c r="A1360" t="s">
        <v>1515</v>
      </c>
      <c r="B1360" t="s">
        <v>98</v>
      </c>
      <c r="C1360" s="1">
        <v>45694</v>
      </c>
      <c r="D1360" t="s">
        <v>210</v>
      </c>
      <c r="E1360" t="s">
        <v>25</v>
      </c>
      <c r="F1360" s="3">
        <v>2026</v>
      </c>
      <c r="G1360" s="3">
        <v>3</v>
      </c>
      <c r="H1360" t="s">
        <v>21</v>
      </c>
      <c r="I1360" s="2">
        <v>3.5</v>
      </c>
      <c r="J1360" t="s">
        <v>99</v>
      </c>
    </row>
    <row r="1361" spans="1:10">
      <c r="A1361" t="s">
        <v>1516</v>
      </c>
      <c r="B1361" t="s">
        <v>98</v>
      </c>
      <c r="C1361" s="1">
        <v>45694</v>
      </c>
      <c r="D1361" t="s">
        <v>212</v>
      </c>
      <c r="E1361" t="s">
        <v>26</v>
      </c>
      <c r="F1361" s="3">
        <v>2026</v>
      </c>
      <c r="G1361" s="3">
        <v>3</v>
      </c>
      <c r="H1361" t="s">
        <v>21</v>
      </c>
      <c r="I1361" s="2">
        <v>3</v>
      </c>
      <c r="J1361" t="s">
        <v>99</v>
      </c>
    </row>
    <row r="1362" spans="1:10">
      <c r="A1362" t="s">
        <v>1517</v>
      </c>
      <c r="B1362" t="s">
        <v>98</v>
      </c>
      <c r="C1362" s="1">
        <v>45694</v>
      </c>
      <c r="D1362" t="s">
        <v>22</v>
      </c>
      <c r="E1362" t="s">
        <v>22</v>
      </c>
      <c r="F1362" s="3">
        <v>2026</v>
      </c>
      <c r="G1362" s="3">
        <v>4</v>
      </c>
      <c r="H1362" t="s">
        <v>1469</v>
      </c>
      <c r="I1362" s="2">
        <v>3</v>
      </c>
      <c r="J1362" t="s">
        <v>99</v>
      </c>
    </row>
    <row r="1363" spans="1:10">
      <c r="A1363" t="s">
        <v>1518</v>
      </c>
      <c r="B1363" t="s">
        <v>98</v>
      </c>
      <c r="C1363" s="1">
        <v>45694</v>
      </c>
      <c r="D1363" t="s">
        <v>134</v>
      </c>
      <c r="E1363" t="s">
        <v>24</v>
      </c>
      <c r="F1363" s="3">
        <v>2026</v>
      </c>
      <c r="G1363" s="3">
        <v>4</v>
      </c>
      <c r="H1363" t="s">
        <v>1469</v>
      </c>
      <c r="I1363" s="2">
        <v>3</v>
      </c>
      <c r="J1363" t="s">
        <v>99</v>
      </c>
    </row>
    <row r="1364" spans="1:10">
      <c r="A1364" t="s">
        <v>1519</v>
      </c>
      <c r="B1364" t="s">
        <v>98</v>
      </c>
      <c r="C1364" s="1">
        <v>45694</v>
      </c>
      <c r="D1364" t="s">
        <v>210</v>
      </c>
      <c r="E1364" t="s">
        <v>25</v>
      </c>
      <c r="F1364" s="3">
        <v>2026</v>
      </c>
      <c r="G1364" s="3">
        <v>4</v>
      </c>
      <c r="H1364" t="s">
        <v>1469</v>
      </c>
      <c r="I1364" s="2">
        <v>2.9</v>
      </c>
      <c r="J1364" t="s">
        <v>99</v>
      </c>
    </row>
    <row r="1365" spans="1:10">
      <c r="A1365" t="s">
        <v>1520</v>
      </c>
      <c r="B1365" t="s">
        <v>98</v>
      </c>
      <c r="C1365" s="1">
        <v>45694</v>
      </c>
      <c r="D1365" t="s">
        <v>212</v>
      </c>
      <c r="E1365" t="s">
        <v>26</v>
      </c>
      <c r="F1365" s="3">
        <v>2026</v>
      </c>
      <c r="G1365" s="3">
        <v>4</v>
      </c>
      <c r="H1365" t="s">
        <v>1469</v>
      </c>
      <c r="I1365" s="2">
        <v>3</v>
      </c>
      <c r="J1365" t="s">
        <v>99</v>
      </c>
    </row>
    <row r="1366" spans="1:10">
      <c r="A1366" t="s">
        <v>1521</v>
      </c>
      <c r="B1366" t="s">
        <v>100</v>
      </c>
      <c r="C1366" s="1">
        <v>45743</v>
      </c>
      <c r="D1366" t="s">
        <v>22</v>
      </c>
      <c r="E1366" t="s">
        <v>22</v>
      </c>
      <c r="F1366" s="3">
        <v>2024</v>
      </c>
      <c r="G1366" s="3">
        <v>2</v>
      </c>
      <c r="H1366" t="s">
        <v>460</v>
      </c>
      <c r="I1366" s="2">
        <v>4.8</v>
      </c>
      <c r="J1366" t="s">
        <v>101</v>
      </c>
    </row>
    <row r="1367" spans="1:10">
      <c r="A1367" t="s">
        <v>1522</v>
      </c>
      <c r="B1367" t="s">
        <v>100</v>
      </c>
      <c r="C1367" s="1">
        <v>45743</v>
      </c>
      <c r="D1367" t="s">
        <v>134</v>
      </c>
      <c r="E1367" t="s">
        <v>24</v>
      </c>
      <c r="F1367" s="3">
        <v>2024</v>
      </c>
      <c r="G1367" s="3">
        <v>2</v>
      </c>
      <c r="H1367" t="s">
        <v>460</v>
      </c>
      <c r="I1367" s="2">
        <v>4.2</v>
      </c>
      <c r="J1367" t="s">
        <v>101</v>
      </c>
    </row>
    <row r="1368" spans="1:10">
      <c r="A1368" t="s">
        <v>1523</v>
      </c>
      <c r="B1368" t="s">
        <v>100</v>
      </c>
      <c r="C1368" s="1">
        <v>45743</v>
      </c>
      <c r="D1368" t="s">
        <v>210</v>
      </c>
      <c r="E1368" t="s">
        <v>25</v>
      </c>
      <c r="F1368" s="3">
        <v>2024</v>
      </c>
      <c r="G1368" s="3">
        <v>2</v>
      </c>
      <c r="H1368" t="s">
        <v>460</v>
      </c>
      <c r="I1368" s="2">
        <v>4</v>
      </c>
      <c r="J1368" t="s">
        <v>101</v>
      </c>
    </row>
    <row r="1369" spans="1:10">
      <c r="A1369" t="s">
        <v>1524</v>
      </c>
      <c r="B1369" t="s">
        <v>100</v>
      </c>
      <c r="C1369" s="1">
        <v>45743</v>
      </c>
      <c r="D1369" t="s">
        <v>212</v>
      </c>
      <c r="E1369" t="s">
        <v>26</v>
      </c>
      <c r="F1369" s="3">
        <v>2024</v>
      </c>
      <c r="G1369" s="3">
        <v>2</v>
      </c>
      <c r="H1369" t="s">
        <v>460</v>
      </c>
      <c r="I1369" s="2">
        <v>3.6</v>
      </c>
      <c r="J1369" t="s">
        <v>101</v>
      </c>
    </row>
    <row r="1370" spans="1:10">
      <c r="A1370" t="s">
        <v>1525</v>
      </c>
      <c r="B1370" t="s">
        <v>100</v>
      </c>
      <c r="C1370" s="1">
        <v>45743</v>
      </c>
      <c r="D1370" t="s">
        <v>22</v>
      </c>
      <c r="E1370" t="s">
        <v>22</v>
      </c>
      <c r="F1370" s="3">
        <v>2024</v>
      </c>
      <c r="G1370" s="3">
        <v>3</v>
      </c>
      <c r="H1370" t="s">
        <v>565</v>
      </c>
      <c r="I1370" s="2">
        <v>5</v>
      </c>
      <c r="J1370" t="s">
        <v>101</v>
      </c>
    </row>
    <row r="1371" spans="1:10">
      <c r="A1371" t="s">
        <v>1526</v>
      </c>
      <c r="B1371" t="s">
        <v>100</v>
      </c>
      <c r="C1371" s="1">
        <v>45743</v>
      </c>
      <c r="D1371" t="s">
        <v>134</v>
      </c>
      <c r="E1371" t="s">
        <v>24</v>
      </c>
      <c r="F1371" s="3">
        <v>2024</v>
      </c>
      <c r="G1371" s="3">
        <v>3</v>
      </c>
      <c r="H1371" t="s">
        <v>565</v>
      </c>
      <c r="I1371" s="2">
        <v>4</v>
      </c>
      <c r="J1371" t="s">
        <v>101</v>
      </c>
    </row>
    <row r="1372" spans="1:10">
      <c r="A1372" t="s">
        <v>1527</v>
      </c>
      <c r="B1372" t="s">
        <v>100</v>
      </c>
      <c r="C1372" s="1">
        <v>45743</v>
      </c>
      <c r="D1372" t="s">
        <v>210</v>
      </c>
      <c r="E1372" t="s">
        <v>25</v>
      </c>
      <c r="F1372" s="3">
        <v>2024</v>
      </c>
      <c r="G1372" s="3">
        <v>3</v>
      </c>
      <c r="H1372" t="s">
        <v>565</v>
      </c>
      <c r="I1372" s="2">
        <v>5.2</v>
      </c>
      <c r="J1372" t="s">
        <v>101</v>
      </c>
    </row>
    <row r="1373" spans="1:10">
      <c r="A1373" t="s">
        <v>1528</v>
      </c>
      <c r="B1373" t="s">
        <v>100</v>
      </c>
      <c r="C1373" s="1">
        <v>45743</v>
      </c>
      <c r="D1373" t="s">
        <v>212</v>
      </c>
      <c r="E1373" t="s">
        <v>26</v>
      </c>
      <c r="F1373" s="3">
        <v>2024</v>
      </c>
      <c r="G1373" s="3">
        <v>3</v>
      </c>
      <c r="H1373" t="s">
        <v>565</v>
      </c>
      <c r="I1373" s="2">
        <v>3.6</v>
      </c>
      <c r="J1373" t="s">
        <v>101</v>
      </c>
    </row>
    <row r="1374" spans="1:10">
      <c r="A1374" t="s">
        <v>1529</v>
      </c>
      <c r="B1374" t="s">
        <v>100</v>
      </c>
      <c r="C1374" s="1">
        <v>45743</v>
      </c>
      <c r="D1374" t="s">
        <v>22</v>
      </c>
      <c r="E1374" t="s">
        <v>22</v>
      </c>
      <c r="F1374" s="3">
        <v>2024</v>
      </c>
      <c r="G1374" s="3">
        <v>4</v>
      </c>
      <c r="H1374" t="s">
        <v>670</v>
      </c>
      <c r="I1374" s="2">
        <v>4.5</v>
      </c>
      <c r="J1374" t="s">
        <v>101</v>
      </c>
    </row>
    <row r="1375" spans="1:10">
      <c r="A1375" t="s">
        <v>1530</v>
      </c>
      <c r="B1375" t="s">
        <v>100</v>
      </c>
      <c r="C1375" s="1">
        <v>45743</v>
      </c>
      <c r="D1375" t="s">
        <v>134</v>
      </c>
      <c r="E1375" t="s">
        <v>24</v>
      </c>
      <c r="F1375" s="3">
        <v>2024</v>
      </c>
      <c r="G1375" s="3">
        <v>4</v>
      </c>
      <c r="H1375" t="s">
        <v>670</v>
      </c>
      <c r="I1375" s="2">
        <v>3.7</v>
      </c>
      <c r="J1375" t="s">
        <v>101</v>
      </c>
    </row>
    <row r="1376" spans="1:10">
      <c r="A1376" t="s">
        <v>1531</v>
      </c>
      <c r="B1376" t="s">
        <v>100</v>
      </c>
      <c r="C1376" s="1">
        <v>45743</v>
      </c>
      <c r="D1376" t="s">
        <v>210</v>
      </c>
      <c r="E1376" t="s">
        <v>25</v>
      </c>
      <c r="F1376" s="3">
        <v>2024</v>
      </c>
      <c r="G1376" s="3">
        <v>4</v>
      </c>
      <c r="H1376" t="s">
        <v>670</v>
      </c>
      <c r="I1376" s="2">
        <v>3</v>
      </c>
      <c r="J1376" t="s">
        <v>101</v>
      </c>
    </row>
    <row r="1377" spans="1:10">
      <c r="A1377" t="s">
        <v>1532</v>
      </c>
      <c r="B1377" t="s">
        <v>100</v>
      </c>
      <c r="C1377" s="1">
        <v>45743</v>
      </c>
      <c r="D1377" t="s">
        <v>212</v>
      </c>
      <c r="E1377" t="s">
        <v>26</v>
      </c>
      <c r="F1377" s="3">
        <v>2024</v>
      </c>
      <c r="G1377" s="3">
        <v>4</v>
      </c>
      <c r="H1377" t="s">
        <v>670</v>
      </c>
      <c r="I1377" s="2">
        <v>3.4</v>
      </c>
      <c r="J1377" t="s">
        <v>101</v>
      </c>
    </row>
    <row r="1378" spans="1:10">
      <c r="A1378" t="s">
        <v>1533</v>
      </c>
      <c r="B1378" t="s">
        <v>100</v>
      </c>
      <c r="C1378" s="1">
        <v>45743</v>
      </c>
      <c r="D1378" t="s">
        <v>22</v>
      </c>
      <c r="E1378" t="s">
        <v>22</v>
      </c>
      <c r="F1378" s="3">
        <v>2025</v>
      </c>
      <c r="G1378" s="3">
        <v>1</v>
      </c>
      <c r="H1378" t="s">
        <v>771</v>
      </c>
      <c r="I1378" s="2">
        <v>3.7</v>
      </c>
      <c r="J1378" t="s">
        <v>101</v>
      </c>
    </row>
    <row r="1379" spans="1:10">
      <c r="A1379" t="s">
        <v>1534</v>
      </c>
      <c r="B1379" t="s">
        <v>100</v>
      </c>
      <c r="C1379" s="1">
        <v>45743</v>
      </c>
      <c r="D1379" t="s">
        <v>134</v>
      </c>
      <c r="E1379" t="s">
        <v>24</v>
      </c>
      <c r="F1379" s="3">
        <v>2025</v>
      </c>
      <c r="G1379" s="3">
        <v>1</v>
      </c>
      <c r="H1379" t="s">
        <v>771</v>
      </c>
      <c r="I1379" s="2">
        <v>3.6</v>
      </c>
      <c r="J1379" t="s">
        <v>101</v>
      </c>
    </row>
    <row r="1380" spans="1:10">
      <c r="A1380" t="s">
        <v>1535</v>
      </c>
      <c r="B1380" t="s">
        <v>100</v>
      </c>
      <c r="C1380" s="1">
        <v>45743</v>
      </c>
      <c r="D1380" t="s">
        <v>210</v>
      </c>
      <c r="E1380" t="s">
        <v>25</v>
      </c>
      <c r="F1380" s="3">
        <v>2025</v>
      </c>
      <c r="G1380" s="3">
        <v>1</v>
      </c>
      <c r="H1380" t="s">
        <v>771</v>
      </c>
      <c r="I1380" s="2">
        <v>2.9</v>
      </c>
      <c r="J1380" t="s">
        <v>101</v>
      </c>
    </row>
    <row r="1381" spans="1:10">
      <c r="A1381" t="s">
        <v>1536</v>
      </c>
      <c r="B1381" t="s">
        <v>100</v>
      </c>
      <c r="C1381" s="1">
        <v>45743</v>
      </c>
      <c r="D1381" t="s">
        <v>212</v>
      </c>
      <c r="E1381" t="s">
        <v>26</v>
      </c>
      <c r="F1381" s="3">
        <v>2025</v>
      </c>
      <c r="G1381" s="3">
        <v>1</v>
      </c>
      <c r="H1381" t="s">
        <v>771</v>
      </c>
      <c r="I1381" s="2">
        <v>4.0999999999999996</v>
      </c>
      <c r="J1381" t="s">
        <v>101</v>
      </c>
    </row>
    <row r="1382" spans="1:10">
      <c r="A1382" t="s">
        <v>1537</v>
      </c>
      <c r="B1382" t="s">
        <v>100</v>
      </c>
      <c r="C1382" s="1">
        <v>45743</v>
      </c>
      <c r="D1382" t="s">
        <v>22</v>
      </c>
      <c r="E1382" t="s">
        <v>22</v>
      </c>
      <c r="F1382" s="3">
        <v>2025</v>
      </c>
      <c r="G1382" s="3">
        <v>2</v>
      </c>
      <c r="H1382" t="s">
        <v>876</v>
      </c>
      <c r="I1382" s="2">
        <v>3.5</v>
      </c>
      <c r="J1382" t="s">
        <v>101</v>
      </c>
    </row>
    <row r="1383" spans="1:10">
      <c r="A1383" t="s">
        <v>1538</v>
      </c>
      <c r="B1383" t="s">
        <v>100</v>
      </c>
      <c r="C1383" s="1">
        <v>45743</v>
      </c>
      <c r="D1383" t="s">
        <v>134</v>
      </c>
      <c r="E1383" t="s">
        <v>24</v>
      </c>
      <c r="F1383" s="3">
        <v>2025</v>
      </c>
      <c r="G1383" s="3">
        <v>2</v>
      </c>
      <c r="H1383" t="s">
        <v>876</v>
      </c>
      <c r="I1383" s="2">
        <v>3.5</v>
      </c>
      <c r="J1383" t="s">
        <v>101</v>
      </c>
    </row>
    <row r="1384" spans="1:10">
      <c r="A1384" t="s">
        <v>1539</v>
      </c>
      <c r="B1384" t="s">
        <v>100</v>
      </c>
      <c r="C1384" s="1">
        <v>45743</v>
      </c>
      <c r="D1384" t="s">
        <v>210</v>
      </c>
      <c r="E1384" t="s">
        <v>25</v>
      </c>
      <c r="F1384" s="3">
        <v>2025</v>
      </c>
      <c r="G1384" s="3">
        <v>2</v>
      </c>
      <c r="H1384" t="s">
        <v>876</v>
      </c>
      <c r="I1384" s="2">
        <v>3.4</v>
      </c>
      <c r="J1384" t="s">
        <v>101</v>
      </c>
    </row>
    <row r="1385" spans="1:10">
      <c r="A1385" t="s">
        <v>1540</v>
      </c>
      <c r="B1385" t="s">
        <v>100</v>
      </c>
      <c r="C1385" s="1">
        <v>45743</v>
      </c>
      <c r="D1385" t="s">
        <v>212</v>
      </c>
      <c r="E1385" t="s">
        <v>26</v>
      </c>
      <c r="F1385" s="3">
        <v>2025</v>
      </c>
      <c r="G1385" s="3">
        <v>2</v>
      </c>
      <c r="H1385" t="s">
        <v>876</v>
      </c>
      <c r="I1385" s="2">
        <v>3.3</v>
      </c>
      <c r="J1385" t="s">
        <v>101</v>
      </c>
    </row>
    <row r="1386" spans="1:10">
      <c r="A1386" t="s">
        <v>1541</v>
      </c>
      <c r="B1386" t="s">
        <v>100</v>
      </c>
      <c r="C1386" s="1">
        <v>45743</v>
      </c>
      <c r="D1386" t="s">
        <v>22</v>
      </c>
      <c r="E1386" t="s">
        <v>22</v>
      </c>
      <c r="F1386" s="3">
        <v>2025</v>
      </c>
      <c r="G1386" s="3">
        <v>3</v>
      </c>
      <c r="H1386" t="s">
        <v>981</v>
      </c>
      <c r="I1386" s="2">
        <v>3.4</v>
      </c>
      <c r="J1386" t="s">
        <v>101</v>
      </c>
    </row>
    <row r="1387" spans="1:10">
      <c r="A1387" t="s">
        <v>1542</v>
      </c>
      <c r="B1387" t="s">
        <v>100</v>
      </c>
      <c r="C1387" s="1">
        <v>45743</v>
      </c>
      <c r="D1387" t="s">
        <v>134</v>
      </c>
      <c r="E1387" t="s">
        <v>24</v>
      </c>
      <c r="F1387" s="3">
        <v>2025</v>
      </c>
      <c r="G1387" s="3">
        <v>3</v>
      </c>
      <c r="H1387" t="s">
        <v>981</v>
      </c>
      <c r="I1387" s="2">
        <v>3.4</v>
      </c>
      <c r="J1387" t="s">
        <v>101</v>
      </c>
    </row>
    <row r="1388" spans="1:10">
      <c r="A1388" t="s">
        <v>1543</v>
      </c>
      <c r="B1388" t="s">
        <v>100</v>
      </c>
      <c r="C1388" s="1">
        <v>45743</v>
      </c>
      <c r="D1388" t="s">
        <v>210</v>
      </c>
      <c r="E1388" t="s">
        <v>25</v>
      </c>
      <c r="F1388" s="3">
        <v>2025</v>
      </c>
      <c r="G1388" s="3">
        <v>3</v>
      </c>
      <c r="H1388" t="s">
        <v>981</v>
      </c>
      <c r="I1388" s="2">
        <v>3.9</v>
      </c>
      <c r="J1388" t="s">
        <v>101</v>
      </c>
    </row>
    <row r="1389" spans="1:10">
      <c r="A1389" t="s">
        <v>1544</v>
      </c>
      <c r="B1389" t="s">
        <v>100</v>
      </c>
      <c r="C1389" s="1">
        <v>45743</v>
      </c>
      <c r="D1389" t="s">
        <v>212</v>
      </c>
      <c r="E1389" t="s">
        <v>26</v>
      </c>
      <c r="F1389" s="3">
        <v>2025</v>
      </c>
      <c r="G1389" s="3">
        <v>3</v>
      </c>
      <c r="H1389" t="s">
        <v>981</v>
      </c>
      <c r="I1389" s="2">
        <v>3.1</v>
      </c>
      <c r="J1389" t="s">
        <v>101</v>
      </c>
    </row>
    <row r="1390" spans="1:10">
      <c r="A1390" t="s">
        <v>1545</v>
      </c>
      <c r="B1390" t="s">
        <v>100</v>
      </c>
      <c r="C1390" s="1">
        <v>45743</v>
      </c>
      <c r="D1390" t="s">
        <v>22</v>
      </c>
      <c r="E1390" t="s">
        <v>22</v>
      </c>
      <c r="F1390" s="3">
        <v>2025</v>
      </c>
      <c r="G1390" s="3">
        <v>4</v>
      </c>
      <c r="H1390" t="s">
        <v>1086</v>
      </c>
      <c r="I1390" s="2">
        <v>3.3</v>
      </c>
      <c r="J1390" t="s">
        <v>101</v>
      </c>
    </row>
    <row r="1391" spans="1:10">
      <c r="A1391" t="s">
        <v>1546</v>
      </c>
      <c r="B1391" t="s">
        <v>100</v>
      </c>
      <c r="C1391" s="1">
        <v>45743</v>
      </c>
      <c r="D1391" t="s">
        <v>134</v>
      </c>
      <c r="E1391" t="s">
        <v>24</v>
      </c>
      <c r="F1391" s="3">
        <v>2025</v>
      </c>
      <c r="G1391" s="3">
        <v>4</v>
      </c>
      <c r="H1391" t="s">
        <v>1086</v>
      </c>
      <c r="I1391" s="2">
        <v>3.3</v>
      </c>
      <c r="J1391" t="s">
        <v>101</v>
      </c>
    </row>
    <row r="1392" spans="1:10">
      <c r="A1392" t="s">
        <v>1547</v>
      </c>
      <c r="B1392" t="s">
        <v>100</v>
      </c>
      <c r="C1392" s="1">
        <v>45743</v>
      </c>
      <c r="D1392" t="s">
        <v>210</v>
      </c>
      <c r="E1392" t="s">
        <v>25</v>
      </c>
      <c r="F1392" s="3">
        <v>2025</v>
      </c>
      <c r="G1392" s="3">
        <v>4</v>
      </c>
      <c r="H1392" t="s">
        <v>1086</v>
      </c>
      <c r="I1392" s="2">
        <v>2.8</v>
      </c>
      <c r="J1392" t="s">
        <v>101</v>
      </c>
    </row>
    <row r="1393" spans="1:10">
      <c r="A1393" t="s">
        <v>1548</v>
      </c>
      <c r="B1393" t="s">
        <v>100</v>
      </c>
      <c r="C1393" s="1">
        <v>45743</v>
      </c>
      <c r="D1393" t="s">
        <v>212</v>
      </c>
      <c r="E1393" t="s">
        <v>26</v>
      </c>
      <c r="F1393" s="3">
        <v>2025</v>
      </c>
      <c r="G1393" s="3">
        <v>4</v>
      </c>
      <c r="H1393" t="s">
        <v>1086</v>
      </c>
      <c r="I1393" s="2">
        <v>3</v>
      </c>
      <c r="J1393" t="s">
        <v>101</v>
      </c>
    </row>
    <row r="1394" spans="1:10">
      <c r="A1394" t="s">
        <v>1549</v>
      </c>
      <c r="B1394" t="s">
        <v>100</v>
      </c>
      <c r="C1394" s="1">
        <v>45743</v>
      </c>
      <c r="D1394" t="s">
        <v>22</v>
      </c>
      <c r="E1394" t="s">
        <v>22</v>
      </c>
      <c r="F1394" s="3">
        <v>2026</v>
      </c>
      <c r="G1394" s="3">
        <v>1</v>
      </c>
      <c r="H1394" t="s">
        <v>1183</v>
      </c>
      <c r="I1394" s="2">
        <v>3.2</v>
      </c>
      <c r="J1394" t="s">
        <v>101</v>
      </c>
    </row>
    <row r="1395" spans="1:10">
      <c r="A1395" t="s">
        <v>1550</v>
      </c>
      <c r="B1395" t="s">
        <v>100</v>
      </c>
      <c r="C1395" s="1">
        <v>45743</v>
      </c>
      <c r="D1395" t="s">
        <v>134</v>
      </c>
      <c r="E1395" t="s">
        <v>24</v>
      </c>
      <c r="F1395" s="3">
        <v>2026</v>
      </c>
      <c r="G1395" s="3">
        <v>1</v>
      </c>
      <c r="H1395" t="s">
        <v>1183</v>
      </c>
      <c r="I1395" s="2">
        <v>3.2</v>
      </c>
      <c r="J1395" t="s">
        <v>101</v>
      </c>
    </row>
    <row r="1396" spans="1:10">
      <c r="A1396" t="s">
        <v>1551</v>
      </c>
      <c r="B1396" t="s">
        <v>100</v>
      </c>
      <c r="C1396" s="1">
        <v>45743</v>
      </c>
      <c r="D1396" t="s">
        <v>210</v>
      </c>
      <c r="E1396" t="s">
        <v>25</v>
      </c>
      <c r="F1396" s="3">
        <v>2026</v>
      </c>
      <c r="G1396" s="3">
        <v>1</v>
      </c>
      <c r="H1396" t="s">
        <v>1183</v>
      </c>
      <c r="I1396" s="2">
        <v>2.6</v>
      </c>
      <c r="J1396" t="s">
        <v>101</v>
      </c>
    </row>
    <row r="1397" spans="1:10">
      <c r="A1397" t="s">
        <v>1552</v>
      </c>
      <c r="B1397" t="s">
        <v>100</v>
      </c>
      <c r="C1397" s="1">
        <v>45743</v>
      </c>
      <c r="D1397" t="s">
        <v>212</v>
      </c>
      <c r="E1397" t="s">
        <v>26</v>
      </c>
      <c r="F1397" s="3">
        <v>2026</v>
      </c>
      <c r="G1397" s="3">
        <v>1</v>
      </c>
      <c r="H1397" t="s">
        <v>1183</v>
      </c>
      <c r="I1397" s="2">
        <v>3.2</v>
      </c>
      <c r="J1397" t="s">
        <v>101</v>
      </c>
    </row>
    <row r="1398" spans="1:10">
      <c r="A1398" t="s">
        <v>1553</v>
      </c>
      <c r="B1398" t="s">
        <v>100</v>
      </c>
      <c r="C1398" s="1">
        <v>45743</v>
      </c>
      <c r="D1398" t="s">
        <v>22</v>
      </c>
      <c r="E1398" t="s">
        <v>22</v>
      </c>
      <c r="F1398" s="3">
        <v>2026</v>
      </c>
      <c r="G1398" s="3">
        <v>2</v>
      </c>
      <c r="H1398" t="s">
        <v>1276</v>
      </c>
      <c r="I1398" s="2">
        <v>3.1</v>
      </c>
      <c r="J1398" t="s">
        <v>101</v>
      </c>
    </row>
    <row r="1399" spans="1:10">
      <c r="A1399" t="s">
        <v>1554</v>
      </c>
      <c r="B1399" t="s">
        <v>100</v>
      </c>
      <c r="C1399" s="1">
        <v>45743</v>
      </c>
      <c r="D1399" t="s">
        <v>134</v>
      </c>
      <c r="E1399" t="s">
        <v>24</v>
      </c>
      <c r="F1399" s="3">
        <v>2026</v>
      </c>
      <c r="G1399" s="3">
        <v>2</v>
      </c>
      <c r="H1399" t="s">
        <v>1276</v>
      </c>
      <c r="I1399" s="2">
        <v>3</v>
      </c>
      <c r="J1399" t="s">
        <v>101</v>
      </c>
    </row>
    <row r="1400" spans="1:10">
      <c r="A1400" t="s">
        <v>1555</v>
      </c>
      <c r="B1400" t="s">
        <v>100</v>
      </c>
      <c r="C1400" s="1">
        <v>45743</v>
      </c>
      <c r="D1400" t="s">
        <v>210</v>
      </c>
      <c r="E1400" t="s">
        <v>25</v>
      </c>
      <c r="F1400" s="3">
        <v>2026</v>
      </c>
      <c r="G1400" s="3">
        <v>2</v>
      </c>
      <c r="H1400" t="s">
        <v>1276</v>
      </c>
      <c r="I1400" s="2">
        <v>3.1</v>
      </c>
      <c r="J1400" t="s">
        <v>101</v>
      </c>
    </row>
    <row r="1401" spans="1:10">
      <c r="A1401" t="s">
        <v>1556</v>
      </c>
      <c r="B1401" t="s">
        <v>100</v>
      </c>
      <c r="C1401" s="1">
        <v>45743</v>
      </c>
      <c r="D1401" t="s">
        <v>212</v>
      </c>
      <c r="E1401" t="s">
        <v>26</v>
      </c>
      <c r="F1401" s="3">
        <v>2026</v>
      </c>
      <c r="G1401" s="3">
        <v>2</v>
      </c>
      <c r="H1401" t="s">
        <v>1276</v>
      </c>
      <c r="I1401" s="2">
        <v>2.9</v>
      </c>
      <c r="J1401" t="s">
        <v>101</v>
      </c>
    </row>
    <row r="1402" spans="1:10">
      <c r="A1402" t="s">
        <v>1557</v>
      </c>
      <c r="B1402" t="s">
        <v>100</v>
      </c>
      <c r="C1402" s="1">
        <v>45743</v>
      </c>
      <c r="D1402" t="s">
        <v>22</v>
      </c>
      <c r="E1402" t="s">
        <v>22</v>
      </c>
      <c r="F1402" s="3">
        <v>2026</v>
      </c>
      <c r="G1402" s="3">
        <v>3</v>
      </c>
      <c r="H1402" t="s">
        <v>21</v>
      </c>
      <c r="I1402" s="2">
        <v>3</v>
      </c>
      <c r="J1402" t="s">
        <v>101</v>
      </c>
    </row>
    <row r="1403" spans="1:10">
      <c r="A1403" t="s">
        <v>1558</v>
      </c>
      <c r="B1403" t="s">
        <v>100</v>
      </c>
      <c r="C1403" s="1">
        <v>45743</v>
      </c>
      <c r="D1403" t="s">
        <v>134</v>
      </c>
      <c r="E1403" t="s">
        <v>24</v>
      </c>
      <c r="F1403" s="3">
        <v>2026</v>
      </c>
      <c r="G1403" s="3">
        <v>3</v>
      </c>
      <c r="H1403" t="s">
        <v>21</v>
      </c>
      <c r="I1403" s="2">
        <v>3</v>
      </c>
      <c r="J1403" t="s">
        <v>101</v>
      </c>
    </row>
    <row r="1404" spans="1:10">
      <c r="A1404" t="s">
        <v>1559</v>
      </c>
      <c r="B1404" t="s">
        <v>100</v>
      </c>
      <c r="C1404" s="1">
        <v>45743</v>
      </c>
      <c r="D1404" t="s">
        <v>210</v>
      </c>
      <c r="E1404" t="s">
        <v>25</v>
      </c>
      <c r="F1404" s="3">
        <v>2026</v>
      </c>
      <c r="G1404" s="3">
        <v>3</v>
      </c>
      <c r="H1404" t="s">
        <v>21</v>
      </c>
      <c r="I1404" s="2">
        <v>3.4</v>
      </c>
      <c r="J1404" t="s">
        <v>101</v>
      </c>
    </row>
    <row r="1405" spans="1:10">
      <c r="A1405" t="s">
        <v>1560</v>
      </c>
      <c r="B1405" t="s">
        <v>100</v>
      </c>
      <c r="C1405" s="1">
        <v>45743</v>
      </c>
      <c r="D1405" t="s">
        <v>212</v>
      </c>
      <c r="E1405" t="s">
        <v>26</v>
      </c>
      <c r="F1405" s="3">
        <v>2026</v>
      </c>
      <c r="G1405" s="3">
        <v>3</v>
      </c>
      <c r="H1405" t="s">
        <v>21</v>
      </c>
      <c r="I1405" s="2">
        <v>2.9</v>
      </c>
      <c r="J1405" t="s">
        <v>101</v>
      </c>
    </row>
    <row r="1406" spans="1:10">
      <c r="A1406" t="s">
        <v>1561</v>
      </c>
      <c r="B1406" t="s">
        <v>100</v>
      </c>
      <c r="C1406" s="1">
        <v>45743</v>
      </c>
      <c r="D1406" t="s">
        <v>22</v>
      </c>
      <c r="E1406" t="s">
        <v>22</v>
      </c>
      <c r="F1406" s="3">
        <v>2026</v>
      </c>
      <c r="G1406" s="3">
        <v>4</v>
      </c>
      <c r="H1406" t="s">
        <v>1469</v>
      </c>
      <c r="I1406" s="2">
        <v>3</v>
      </c>
      <c r="J1406" t="s">
        <v>101</v>
      </c>
    </row>
    <row r="1407" spans="1:10">
      <c r="A1407" t="s">
        <v>1562</v>
      </c>
      <c r="B1407" t="s">
        <v>100</v>
      </c>
      <c r="C1407" s="1">
        <v>45743</v>
      </c>
      <c r="D1407" t="s">
        <v>134</v>
      </c>
      <c r="E1407" t="s">
        <v>24</v>
      </c>
      <c r="F1407" s="3">
        <v>2026</v>
      </c>
      <c r="G1407" s="3">
        <v>4</v>
      </c>
      <c r="H1407" t="s">
        <v>1469</v>
      </c>
      <c r="I1407" s="2">
        <v>3</v>
      </c>
      <c r="J1407" t="s">
        <v>101</v>
      </c>
    </row>
    <row r="1408" spans="1:10">
      <c r="A1408" t="s">
        <v>1563</v>
      </c>
      <c r="B1408" t="s">
        <v>100</v>
      </c>
      <c r="C1408" s="1">
        <v>45743</v>
      </c>
      <c r="D1408" t="s">
        <v>210</v>
      </c>
      <c r="E1408" t="s">
        <v>25</v>
      </c>
      <c r="F1408" s="3">
        <v>2026</v>
      </c>
      <c r="G1408" s="3">
        <v>4</v>
      </c>
      <c r="H1408" t="s">
        <v>1469</v>
      </c>
      <c r="I1408" s="2">
        <v>2.7</v>
      </c>
      <c r="J1408" t="s">
        <v>101</v>
      </c>
    </row>
    <row r="1409" spans="1:10">
      <c r="A1409" t="s">
        <v>1564</v>
      </c>
      <c r="B1409" t="s">
        <v>100</v>
      </c>
      <c r="C1409" s="1">
        <v>45743</v>
      </c>
      <c r="D1409" t="s">
        <v>212</v>
      </c>
      <c r="E1409" t="s">
        <v>26</v>
      </c>
      <c r="F1409" s="3">
        <v>2026</v>
      </c>
      <c r="G1409" s="3">
        <v>4</v>
      </c>
      <c r="H1409" t="s">
        <v>1469</v>
      </c>
      <c r="I1409" s="2">
        <v>3</v>
      </c>
      <c r="J1409" t="s">
        <v>101</v>
      </c>
    </row>
    <row r="1410" spans="1:10">
      <c r="A1410" t="s">
        <v>1565</v>
      </c>
      <c r="B1410" t="s">
        <v>100</v>
      </c>
      <c r="C1410" s="1">
        <v>45743</v>
      </c>
      <c r="D1410" t="s">
        <v>22</v>
      </c>
      <c r="E1410" t="s">
        <v>22</v>
      </c>
      <c r="F1410" s="3">
        <v>2027</v>
      </c>
      <c r="G1410" s="3">
        <v>1</v>
      </c>
      <c r="H1410" t="s">
        <v>1566</v>
      </c>
      <c r="I1410" s="2">
        <v>3</v>
      </c>
      <c r="J1410" t="s">
        <v>101</v>
      </c>
    </row>
    <row r="1411" spans="1:10">
      <c r="A1411" t="s">
        <v>1567</v>
      </c>
      <c r="B1411" t="s">
        <v>100</v>
      </c>
      <c r="C1411" s="1">
        <v>45743</v>
      </c>
      <c r="D1411" t="s">
        <v>134</v>
      </c>
      <c r="E1411" t="s">
        <v>24</v>
      </c>
      <c r="F1411" s="3">
        <v>2027</v>
      </c>
      <c r="G1411" s="3">
        <v>1</v>
      </c>
      <c r="H1411" t="s">
        <v>1566</v>
      </c>
      <c r="I1411" s="2">
        <v>3</v>
      </c>
      <c r="J1411" t="s">
        <v>101</v>
      </c>
    </row>
    <row r="1412" spans="1:10">
      <c r="A1412" t="s">
        <v>1568</v>
      </c>
      <c r="B1412" t="s">
        <v>100</v>
      </c>
      <c r="C1412" s="1">
        <v>45743</v>
      </c>
      <c r="D1412" t="s">
        <v>210</v>
      </c>
      <c r="E1412" t="s">
        <v>25</v>
      </c>
      <c r="F1412" s="3">
        <v>2027</v>
      </c>
      <c r="G1412" s="3">
        <v>1</v>
      </c>
      <c r="H1412" t="s">
        <v>1566</v>
      </c>
      <c r="I1412" s="2">
        <v>2.8</v>
      </c>
      <c r="J1412" t="s">
        <v>101</v>
      </c>
    </row>
    <row r="1413" spans="1:10">
      <c r="A1413" t="s">
        <v>1569</v>
      </c>
      <c r="B1413" t="s">
        <v>100</v>
      </c>
      <c r="C1413" s="1">
        <v>45743</v>
      </c>
      <c r="D1413" t="s">
        <v>212</v>
      </c>
      <c r="E1413" t="s">
        <v>26</v>
      </c>
      <c r="F1413" s="3">
        <v>2027</v>
      </c>
      <c r="G1413" s="3">
        <v>1</v>
      </c>
      <c r="H1413" t="s">
        <v>1566</v>
      </c>
      <c r="I1413" s="2">
        <v>3.1</v>
      </c>
      <c r="J1413" t="s">
        <v>101</v>
      </c>
    </row>
    <row r="1414" spans="1:10">
      <c r="A1414" t="s">
        <v>1570</v>
      </c>
      <c r="B1414" t="s">
        <v>102</v>
      </c>
      <c r="C1414" s="1">
        <v>45792</v>
      </c>
      <c r="D1414" t="s">
        <v>22</v>
      </c>
      <c r="E1414" t="s">
        <v>22</v>
      </c>
      <c r="F1414" s="3">
        <v>2024</v>
      </c>
      <c r="G1414" s="3">
        <v>2</v>
      </c>
      <c r="H1414" t="s">
        <v>460</v>
      </c>
      <c r="I1414" s="2">
        <v>4.8</v>
      </c>
      <c r="J1414" t="s">
        <v>103</v>
      </c>
    </row>
    <row r="1415" spans="1:10">
      <c r="A1415" t="s">
        <v>1571</v>
      </c>
      <c r="B1415" t="s">
        <v>102</v>
      </c>
      <c r="C1415" s="1">
        <v>45792</v>
      </c>
      <c r="D1415" t="s">
        <v>134</v>
      </c>
      <c r="E1415" t="s">
        <v>24</v>
      </c>
      <c r="F1415" s="3">
        <v>2024</v>
      </c>
      <c r="G1415" s="3">
        <v>2</v>
      </c>
      <c r="H1415" t="s">
        <v>460</v>
      </c>
      <c r="I1415" s="2">
        <v>4.2</v>
      </c>
      <c r="J1415" t="s">
        <v>103</v>
      </c>
    </row>
    <row r="1416" spans="1:10">
      <c r="A1416" t="s">
        <v>1572</v>
      </c>
      <c r="B1416" t="s">
        <v>102</v>
      </c>
      <c r="C1416" s="1">
        <v>45792</v>
      </c>
      <c r="D1416" t="s">
        <v>210</v>
      </c>
      <c r="E1416" t="s">
        <v>25</v>
      </c>
      <c r="F1416" s="3">
        <v>2024</v>
      </c>
      <c r="G1416" s="3">
        <v>2</v>
      </c>
      <c r="H1416" t="s">
        <v>460</v>
      </c>
      <c r="I1416" s="2">
        <v>3.9</v>
      </c>
      <c r="J1416" t="s">
        <v>103</v>
      </c>
    </row>
    <row r="1417" spans="1:10">
      <c r="A1417" t="s">
        <v>1573</v>
      </c>
      <c r="B1417" t="s">
        <v>102</v>
      </c>
      <c r="C1417" s="1">
        <v>45792</v>
      </c>
      <c r="D1417" t="s">
        <v>212</v>
      </c>
      <c r="E1417" t="s">
        <v>26</v>
      </c>
      <c r="F1417" s="3">
        <v>2024</v>
      </c>
      <c r="G1417" s="3">
        <v>2</v>
      </c>
      <c r="H1417" t="s">
        <v>460</v>
      </c>
      <c r="I1417" s="2">
        <v>3.5</v>
      </c>
      <c r="J1417" t="s">
        <v>103</v>
      </c>
    </row>
    <row r="1418" spans="1:10">
      <c r="A1418" t="s">
        <v>1574</v>
      </c>
      <c r="B1418" t="s">
        <v>102</v>
      </c>
      <c r="C1418" s="1">
        <v>45792</v>
      </c>
      <c r="D1418" t="s">
        <v>22</v>
      </c>
      <c r="E1418" t="s">
        <v>22</v>
      </c>
      <c r="F1418" s="3">
        <v>2024</v>
      </c>
      <c r="G1418" s="3">
        <v>3</v>
      </c>
      <c r="H1418" t="s">
        <v>565</v>
      </c>
      <c r="I1418" s="2">
        <v>5</v>
      </c>
      <c r="J1418" t="s">
        <v>103</v>
      </c>
    </row>
    <row r="1419" spans="1:10">
      <c r="A1419" t="s">
        <v>1575</v>
      </c>
      <c r="B1419" t="s">
        <v>102</v>
      </c>
      <c r="C1419" s="1">
        <v>45792</v>
      </c>
      <c r="D1419" t="s">
        <v>134</v>
      </c>
      <c r="E1419" t="s">
        <v>24</v>
      </c>
      <c r="F1419" s="3">
        <v>2024</v>
      </c>
      <c r="G1419" s="3">
        <v>3</v>
      </c>
      <c r="H1419" t="s">
        <v>565</v>
      </c>
      <c r="I1419" s="2">
        <v>4</v>
      </c>
      <c r="J1419" t="s">
        <v>103</v>
      </c>
    </row>
    <row r="1420" spans="1:10">
      <c r="A1420" t="s">
        <v>1576</v>
      </c>
      <c r="B1420" t="s">
        <v>102</v>
      </c>
      <c r="C1420" s="1">
        <v>45792</v>
      </c>
      <c r="D1420" t="s">
        <v>210</v>
      </c>
      <c r="E1420" t="s">
        <v>25</v>
      </c>
      <c r="F1420" s="3">
        <v>2024</v>
      </c>
      <c r="G1420" s="3">
        <v>3</v>
      </c>
      <c r="H1420" t="s">
        <v>565</v>
      </c>
      <c r="I1420" s="2">
        <v>5.2</v>
      </c>
      <c r="J1420" t="s">
        <v>103</v>
      </c>
    </row>
    <row r="1421" spans="1:10">
      <c r="A1421" t="s">
        <v>1577</v>
      </c>
      <c r="B1421" t="s">
        <v>102</v>
      </c>
      <c r="C1421" s="1">
        <v>45792</v>
      </c>
      <c r="D1421" t="s">
        <v>212</v>
      </c>
      <c r="E1421" t="s">
        <v>26</v>
      </c>
      <c r="F1421" s="3">
        <v>2024</v>
      </c>
      <c r="G1421" s="3">
        <v>3</v>
      </c>
      <c r="H1421" t="s">
        <v>565</v>
      </c>
      <c r="I1421" s="2">
        <v>3.6</v>
      </c>
      <c r="J1421" t="s">
        <v>103</v>
      </c>
    </row>
    <row r="1422" spans="1:10">
      <c r="A1422" t="s">
        <v>1578</v>
      </c>
      <c r="B1422" t="s">
        <v>102</v>
      </c>
      <c r="C1422" s="1">
        <v>45792</v>
      </c>
      <c r="D1422" t="s">
        <v>22</v>
      </c>
      <c r="E1422" t="s">
        <v>22</v>
      </c>
      <c r="F1422" s="3">
        <v>2024</v>
      </c>
      <c r="G1422" s="3">
        <v>4</v>
      </c>
      <c r="H1422" t="s">
        <v>670</v>
      </c>
      <c r="I1422" s="2">
        <v>4.5</v>
      </c>
      <c r="J1422" t="s">
        <v>103</v>
      </c>
    </row>
    <row r="1423" spans="1:10">
      <c r="A1423" t="s">
        <v>1579</v>
      </c>
      <c r="B1423" t="s">
        <v>102</v>
      </c>
      <c r="C1423" s="1">
        <v>45792</v>
      </c>
      <c r="D1423" t="s">
        <v>134</v>
      </c>
      <c r="E1423" t="s">
        <v>24</v>
      </c>
      <c r="F1423" s="3">
        <v>2024</v>
      </c>
      <c r="G1423" s="3">
        <v>4</v>
      </c>
      <c r="H1423" t="s">
        <v>670</v>
      </c>
      <c r="I1423" s="2">
        <v>3.7</v>
      </c>
      <c r="J1423" t="s">
        <v>103</v>
      </c>
    </row>
    <row r="1424" spans="1:10">
      <c r="A1424" t="s">
        <v>1580</v>
      </c>
      <c r="B1424" t="s">
        <v>102</v>
      </c>
      <c r="C1424" s="1">
        <v>45792</v>
      </c>
      <c r="D1424" t="s">
        <v>210</v>
      </c>
      <c r="E1424" t="s">
        <v>25</v>
      </c>
      <c r="F1424" s="3">
        <v>2024</v>
      </c>
      <c r="G1424" s="3">
        <v>4</v>
      </c>
      <c r="H1424" t="s">
        <v>670</v>
      </c>
      <c r="I1424" s="2">
        <v>3</v>
      </c>
      <c r="J1424" t="s">
        <v>103</v>
      </c>
    </row>
    <row r="1425" spans="1:10">
      <c r="A1425" t="s">
        <v>1581</v>
      </c>
      <c r="B1425" t="s">
        <v>102</v>
      </c>
      <c r="C1425" s="1">
        <v>45792</v>
      </c>
      <c r="D1425" t="s">
        <v>212</v>
      </c>
      <c r="E1425" t="s">
        <v>26</v>
      </c>
      <c r="F1425" s="3">
        <v>2024</v>
      </c>
      <c r="G1425" s="3">
        <v>4</v>
      </c>
      <c r="H1425" t="s">
        <v>670</v>
      </c>
      <c r="I1425" s="2">
        <v>3.5</v>
      </c>
      <c r="J1425" t="s">
        <v>103</v>
      </c>
    </row>
    <row r="1426" spans="1:10">
      <c r="A1426" t="s">
        <v>1582</v>
      </c>
      <c r="B1426" t="s">
        <v>102</v>
      </c>
      <c r="C1426" s="1">
        <v>45792</v>
      </c>
      <c r="D1426" t="s">
        <v>22</v>
      </c>
      <c r="E1426" t="s">
        <v>22</v>
      </c>
      <c r="F1426" s="3">
        <v>2025</v>
      </c>
      <c r="G1426" s="3">
        <v>1</v>
      </c>
      <c r="H1426" t="s">
        <v>771</v>
      </c>
      <c r="I1426" s="2">
        <v>3.7</v>
      </c>
      <c r="J1426" t="s">
        <v>103</v>
      </c>
    </row>
    <row r="1427" spans="1:10">
      <c r="A1427" t="s">
        <v>1583</v>
      </c>
      <c r="B1427" t="s">
        <v>102</v>
      </c>
      <c r="C1427" s="1">
        <v>45792</v>
      </c>
      <c r="D1427" t="s">
        <v>134</v>
      </c>
      <c r="E1427" t="s">
        <v>24</v>
      </c>
      <c r="F1427" s="3">
        <v>2025</v>
      </c>
      <c r="G1427" s="3">
        <v>1</v>
      </c>
      <c r="H1427" t="s">
        <v>771</v>
      </c>
      <c r="I1427" s="2">
        <v>3.6</v>
      </c>
      <c r="J1427" t="s">
        <v>103</v>
      </c>
    </row>
    <row r="1428" spans="1:10">
      <c r="A1428" t="s">
        <v>1584</v>
      </c>
      <c r="B1428" t="s">
        <v>102</v>
      </c>
      <c r="C1428" s="1">
        <v>45792</v>
      </c>
      <c r="D1428" t="s">
        <v>210</v>
      </c>
      <c r="E1428" t="s">
        <v>25</v>
      </c>
      <c r="F1428" s="3">
        <v>2025</v>
      </c>
      <c r="G1428" s="3">
        <v>1</v>
      </c>
      <c r="H1428" t="s">
        <v>771</v>
      </c>
      <c r="I1428" s="2">
        <v>2.8</v>
      </c>
      <c r="J1428" t="s">
        <v>103</v>
      </c>
    </row>
    <row r="1429" spans="1:10">
      <c r="A1429" t="s">
        <v>1585</v>
      </c>
      <c r="B1429" t="s">
        <v>102</v>
      </c>
      <c r="C1429" s="1">
        <v>45792</v>
      </c>
      <c r="D1429" t="s">
        <v>212</v>
      </c>
      <c r="E1429" t="s">
        <v>26</v>
      </c>
      <c r="F1429" s="3">
        <v>2025</v>
      </c>
      <c r="G1429" s="3">
        <v>1</v>
      </c>
      <c r="H1429" t="s">
        <v>771</v>
      </c>
      <c r="I1429" s="2">
        <v>4.2</v>
      </c>
      <c r="J1429" t="s">
        <v>103</v>
      </c>
    </row>
    <row r="1430" spans="1:10">
      <c r="A1430" t="s">
        <v>1586</v>
      </c>
      <c r="B1430" t="s">
        <v>102</v>
      </c>
      <c r="C1430" s="1">
        <v>45792</v>
      </c>
      <c r="D1430" t="s">
        <v>22</v>
      </c>
      <c r="E1430" t="s">
        <v>22</v>
      </c>
      <c r="F1430" s="3">
        <v>2025</v>
      </c>
      <c r="G1430" s="3">
        <v>2</v>
      </c>
      <c r="H1430" t="s">
        <v>876</v>
      </c>
      <c r="I1430" s="2">
        <v>3.9</v>
      </c>
      <c r="J1430" t="s">
        <v>103</v>
      </c>
    </row>
    <row r="1431" spans="1:10">
      <c r="A1431" t="s">
        <v>1587</v>
      </c>
      <c r="B1431" t="s">
        <v>102</v>
      </c>
      <c r="C1431" s="1">
        <v>45792</v>
      </c>
      <c r="D1431" t="s">
        <v>134</v>
      </c>
      <c r="E1431" t="s">
        <v>24</v>
      </c>
      <c r="F1431" s="3">
        <v>2025</v>
      </c>
      <c r="G1431" s="3">
        <v>2</v>
      </c>
      <c r="H1431" t="s">
        <v>876</v>
      </c>
      <c r="I1431" s="2">
        <v>3.9</v>
      </c>
      <c r="J1431" t="s">
        <v>103</v>
      </c>
    </row>
    <row r="1432" spans="1:10">
      <c r="A1432" t="s">
        <v>1588</v>
      </c>
      <c r="B1432" t="s">
        <v>102</v>
      </c>
      <c r="C1432" s="1">
        <v>45792</v>
      </c>
      <c r="D1432" t="s">
        <v>210</v>
      </c>
      <c r="E1432" t="s">
        <v>25</v>
      </c>
      <c r="F1432" s="3">
        <v>2025</v>
      </c>
      <c r="G1432" s="3">
        <v>2</v>
      </c>
      <c r="H1432" t="s">
        <v>876</v>
      </c>
      <c r="I1432" s="2">
        <v>4.5999999999999996</v>
      </c>
      <c r="J1432" t="s">
        <v>103</v>
      </c>
    </row>
    <row r="1433" spans="1:10">
      <c r="A1433" t="s">
        <v>1589</v>
      </c>
      <c r="B1433" t="s">
        <v>102</v>
      </c>
      <c r="C1433" s="1">
        <v>45792</v>
      </c>
      <c r="D1433" t="s">
        <v>212</v>
      </c>
      <c r="E1433" t="s">
        <v>26</v>
      </c>
      <c r="F1433" s="3">
        <v>2025</v>
      </c>
      <c r="G1433" s="3">
        <v>2</v>
      </c>
      <c r="H1433" t="s">
        <v>876</v>
      </c>
      <c r="I1433" s="2">
        <v>4.0999999999999996</v>
      </c>
      <c r="J1433" t="s">
        <v>103</v>
      </c>
    </row>
    <row r="1434" spans="1:10">
      <c r="A1434" t="s">
        <v>1590</v>
      </c>
      <c r="B1434" t="s">
        <v>102</v>
      </c>
      <c r="C1434" s="1">
        <v>45792</v>
      </c>
      <c r="D1434" t="s">
        <v>22</v>
      </c>
      <c r="E1434" t="s">
        <v>22</v>
      </c>
      <c r="F1434" s="3">
        <v>2025</v>
      </c>
      <c r="G1434" s="3">
        <v>3</v>
      </c>
      <c r="H1434" t="s">
        <v>981</v>
      </c>
      <c r="I1434" s="2">
        <v>3.5</v>
      </c>
      <c r="J1434" t="s">
        <v>103</v>
      </c>
    </row>
    <row r="1435" spans="1:10">
      <c r="A1435" t="s">
        <v>1591</v>
      </c>
      <c r="B1435" t="s">
        <v>102</v>
      </c>
      <c r="C1435" s="1">
        <v>45792</v>
      </c>
      <c r="D1435" t="s">
        <v>134</v>
      </c>
      <c r="E1435" t="s">
        <v>24</v>
      </c>
      <c r="F1435" s="3">
        <v>2025</v>
      </c>
      <c r="G1435" s="3">
        <v>3</v>
      </c>
      <c r="H1435" t="s">
        <v>981</v>
      </c>
      <c r="I1435" s="2">
        <v>3.6</v>
      </c>
      <c r="J1435" t="s">
        <v>103</v>
      </c>
    </row>
    <row r="1436" spans="1:10">
      <c r="A1436" t="s">
        <v>1592</v>
      </c>
      <c r="B1436" t="s">
        <v>102</v>
      </c>
      <c r="C1436" s="1">
        <v>45792</v>
      </c>
      <c r="D1436" t="s">
        <v>210</v>
      </c>
      <c r="E1436" t="s">
        <v>25</v>
      </c>
      <c r="F1436" s="3">
        <v>2025</v>
      </c>
      <c r="G1436" s="3">
        <v>3</v>
      </c>
      <c r="H1436" t="s">
        <v>981</v>
      </c>
      <c r="I1436" s="2">
        <v>3.3</v>
      </c>
      <c r="J1436" t="s">
        <v>103</v>
      </c>
    </row>
    <row r="1437" spans="1:10">
      <c r="A1437" t="s">
        <v>1593</v>
      </c>
      <c r="B1437" t="s">
        <v>102</v>
      </c>
      <c r="C1437" s="1">
        <v>45792</v>
      </c>
      <c r="D1437" t="s">
        <v>212</v>
      </c>
      <c r="E1437" t="s">
        <v>26</v>
      </c>
      <c r="F1437" s="3">
        <v>2025</v>
      </c>
      <c r="G1437" s="3">
        <v>3</v>
      </c>
      <c r="H1437" t="s">
        <v>981</v>
      </c>
      <c r="I1437" s="2">
        <v>2.7</v>
      </c>
      <c r="J1437" t="s">
        <v>103</v>
      </c>
    </row>
    <row r="1438" spans="1:10">
      <c r="A1438" t="s">
        <v>1594</v>
      </c>
      <c r="B1438" t="s">
        <v>102</v>
      </c>
      <c r="C1438" s="1">
        <v>45792</v>
      </c>
      <c r="D1438" t="s">
        <v>22</v>
      </c>
      <c r="E1438" t="s">
        <v>22</v>
      </c>
      <c r="F1438" s="3">
        <v>2025</v>
      </c>
      <c r="G1438" s="3">
        <v>4</v>
      </c>
      <c r="H1438" t="s">
        <v>1086</v>
      </c>
      <c r="I1438" s="2">
        <v>3.3</v>
      </c>
      <c r="J1438" t="s">
        <v>103</v>
      </c>
    </row>
    <row r="1439" spans="1:10">
      <c r="A1439" t="s">
        <v>1595</v>
      </c>
      <c r="B1439" t="s">
        <v>102</v>
      </c>
      <c r="C1439" s="1">
        <v>45792</v>
      </c>
      <c r="D1439" t="s">
        <v>134</v>
      </c>
      <c r="E1439" t="s">
        <v>24</v>
      </c>
      <c r="F1439" s="3">
        <v>2025</v>
      </c>
      <c r="G1439" s="3">
        <v>4</v>
      </c>
      <c r="H1439" t="s">
        <v>1086</v>
      </c>
      <c r="I1439" s="2">
        <v>3.4</v>
      </c>
      <c r="J1439" t="s">
        <v>103</v>
      </c>
    </row>
    <row r="1440" spans="1:10">
      <c r="A1440" t="s">
        <v>1596</v>
      </c>
      <c r="B1440" t="s">
        <v>102</v>
      </c>
      <c r="C1440" s="1">
        <v>45792</v>
      </c>
      <c r="D1440" t="s">
        <v>210</v>
      </c>
      <c r="E1440" t="s">
        <v>25</v>
      </c>
      <c r="F1440" s="3">
        <v>2025</v>
      </c>
      <c r="G1440" s="3">
        <v>4</v>
      </c>
      <c r="H1440" t="s">
        <v>1086</v>
      </c>
      <c r="I1440" s="2">
        <v>2.6</v>
      </c>
      <c r="J1440" t="s">
        <v>103</v>
      </c>
    </row>
    <row r="1441" spans="1:10">
      <c r="A1441" t="s">
        <v>1597</v>
      </c>
      <c r="B1441" t="s">
        <v>102</v>
      </c>
      <c r="C1441" s="1">
        <v>45792</v>
      </c>
      <c r="D1441" t="s">
        <v>212</v>
      </c>
      <c r="E1441" t="s">
        <v>26</v>
      </c>
      <c r="F1441" s="3">
        <v>2025</v>
      </c>
      <c r="G1441" s="3">
        <v>4</v>
      </c>
      <c r="H1441" t="s">
        <v>1086</v>
      </c>
      <c r="I1441" s="2">
        <v>3</v>
      </c>
      <c r="J1441" t="s">
        <v>103</v>
      </c>
    </row>
    <row r="1442" spans="1:10">
      <c r="A1442" t="s">
        <v>1598</v>
      </c>
      <c r="B1442" t="s">
        <v>102</v>
      </c>
      <c r="C1442" s="1">
        <v>45792</v>
      </c>
      <c r="D1442" t="s">
        <v>22</v>
      </c>
      <c r="E1442" t="s">
        <v>22</v>
      </c>
      <c r="F1442" s="3">
        <v>2026</v>
      </c>
      <c r="G1442" s="3">
        <v>1</v>
      </c>
      <c r="H1442" t="s">
        <v>1183</v>
      </c>
      <c r="I1442" s="2">
        <v>3.2</v>
      </c>
      <c r="J1442" t="s">
        <v>103</v>
      </c>
    </row>
    <row r="1443" spans="1:10">
      <c r="A1443" t="s">
        <v>1599</v>
      </c>
      <c r="B1443" t="s">
        <v>102</v>
      </c>
      <c r="C1443" s="1">
        <v>45792</v>
      </c>
      <c r="D1443" t="s">
        <v>134</v>
      </c>
      <c r="E1443" t="s">
        <v>24</v>
      </c>
      <c r="F1443" s="3">
        <v>2026</v>
      </c>
      <c r="G1443" s="3">
        <v>1</v>
      </c>
      <c r="H1443" t="s">
        <v>1183</v>
      </c>
      <c r="I1443" s="2">
        <v>3.3</v>
      </c>
      <c r="J1443" t="s">
        <v>103</v>
      </c>
    </row>
    <row r="1444" spans="1:10">
      <c r="A1444" t="s">
        <v>1600</v>
      </c>
      <c r="B1444" t="s">
        <v>102</v>
      </c>
      <c r="C1444" s="1">
        <v>45792</v>
      </c>
      <c r="D1444" t="s">
        <v>210</v>
      </c>
      <c r="E1444" t="s">
        <v>25</v>
      </c>
      <c r="F1444" s="3">
        <v>2026</v>
      </c>
      <c r="G1444" s="3">
        <v>1</v>
      </c>
      <c r="H1444" t="s">
        <v>1183</v>
      </c>
      <c r="I1444" s="2">
        <v>2.6</v>
      </c>
      <c r="J1444" t="s">
        <v>103</v>
      </c>
    </row>
    <row r="1445" spans="1:10">
      <c r="A1445" t="s">
        <v>1601</v>
      </c>
      <c r="B1445" t="s">
        <v>102</v>
      </c>
      <c r="C1445" s="1">
        <v>45792</v>
      </c>
      <c r="D1445" t="s">
        <v>212</v>
      </c>
      <c r="E1445" t="s">
        <v>26</v>
      </c>
      <c r="F1445" s="3">
        <v>2026</v>
      </c>
      <c r="G1445" s="3">
        <v>1</v>
      </c>
      <c r="H1445" t="s">
        <v>1183</v>
      </c>
      <c r="I1445" s="2">
        <v>3.3</v>
      </c>
      <c r="J1445" t="s">
        <v>103</v>
      </c>
    </row>
    <row r="1446" spans="1:10">
      <c r="A1446" t="s">
        <v>1602</v>
      </c>
      <c r="B1446" t="s">
        <v>102</v>
      </c>
      <c r="C1446" s="1">
        <v>45792</v>
      </c>
      <c r="D1446" t="s">
        <v>22</v>
      </c>
      <c r="E1446" t="s">
        <v>22</v>
      </c>
      <c r="F1446" s="3">
        <v>2026</v>
      </c>
      <c r="G1446" s="3">
        <v>2</v>
      </c>
      <c r="H1446" t="s">
        <v>1276</v>
      </c>
      <c r="I1446" s="2">
        <v>3.1</v>
      </c>
      <c r="J1446" t="s">
        <v>103</v>
      </c>
    </row>
    <row r="1447" spans="1:10">
      <c r="A1447" t="s">
        <v>1603</v>
      </c>
      <c r="B1447" t="s">
        <v>102</v>
      </c>
      <c r="C1447" s="1">
        <v>45792</v>
      </c>
      <c r="D1447" t="s">
        <v>134</v>
      </c>
      <c r="E1447" t="s">
        <v>24</v>
      </c>
      <c r="F1447" s="3">
        <v>2026</v>
      </c>
      <c r="G1447" s="3">
        <v>2</v>
      </c>
      <c r="H1447" t="s">
        <v>1276</v>
      </c>
      <c r="I1447" s="2">
        <v>3</v>
      </c>
      <c r="J1447" t="s">
        <v>103</v>
      </c>
    </row>
    <row r="1448" spans="1:10">
      <c r="A1448" t="s">
        <v>1604</v>
      </c>
      <c r="B1448" t="s">
        <v>102</v>
      </c>
      <c r="C1448" s="1">
        <v>45792</v>
      </c>
      <c r="D1448" t="s">
        <v>210</v>
      </c>
      <c r="E1448" t="s">
        <v>25</v>
      </c>
      <c r="F1448" s="3">
        <v>2026</v>
      </c>
      <c r="G1448" s="3">
        <v>2</v>
      </c>
      <c r="H1448" t="s">
        <v>1276</v>
      </c>
      <c r="I1448" s="2">
        <v>3.6</v>
      </c>
      <c r="J1448" t="s">
        <v>103</v>
      </c>
    </row>
    <row r="1449" spans="1:10">
      <c r="A1449" t="s">
        <v>1605</v>
      </c>
      <c r="B1449" t="s">
        <v>102</v>
      </c>
      <c r="C1449" s="1">
        <v>45792</v>
      </c>
      <c r="D1449" t="s">
        <v>212</v>
      </c>
      <c r="E1449" t="s">
        <v>26</v>
      </c>
      <c r="F1449" s="3">
        <v>2026</v>
      </c>
      <c r="G1449" s="3">
        <v>2</v>
      </c>
      <c r="H1449" t="s">
        <v>1276</v>
      </c>
      <c r="I1449" s="2">
        <v>3.3</v>
      </c>
      <c r="J1449" t="s">
        <v>103</v>
      </c>
    </row>
    <row r="1450" spans="1:10">
      <c r="A1450" t="s">
        <v>1606</v>
      </c>
      <c r="B1450" t="s">
        <v>102</v>
      </c>
      <c r="C1450" s="1">
        <v>45792</v>
      </c>
      <c r="D1450" t="s">
        <v>22</v>
      </c>
      <c r="E1450" t="s">
        <v>22</v>
      </c>
      <c r="F1450" s="3">
        <v>2026</v>
      </c>
      <c r="G1450" s="3">
        <v>3</v>
      </c>
      <c r="H1450" t="s">
        <v>21</v>
      </c>
      <c r="I1450" s="2">
        <v>3</v>
      </c>
      <c r="J1450" t="s">
        <v>103</v>
      </c>
    </row>
    <row r="1451" spans="1:10">
      <c r="A1451" t="s">
        <v>1607</v>
      </c>
      <c r="B1451" t="s">
        <v>102</v>
      </c>
      <c r="C1451" s="1">
        <v>45792</v>
      </c>
      <c r="D1451" t="s">
        <v>134</v>
      </c>
      <c r="E1451" t="s">
        <v>24</v>
      </c>
      <c r="F1451" s="3">
        <v>2026</v>
      </c>
      <c r="G1451" s="3">
        <v>3</v>
      </c>
      <c r="H1451" t="s">
        <v>21</v>
      </c>
      <c r="I1451" s="2">
        <v>3</v>
      </c>
      <c r="J1451" t="s">
        <v>103</v>
      </c>
    </row>
    <row r="1452" spans="1:10">
      <c r="A1452" t="s">
        <v>1608</v>
      </c>
      <c r="B1452" t="s">
        <v>102</v>
      </c>
      <c r="C1452" s="1">
        <v>45792</v>
      </c>
      <c r="D1452" t="s">
        <v>210</v>
      </c>
      <c r="E1452" t="s">
        <v>25</v>
      </c>
      <c r="F1452" s="3">
        <v>2026</v>
      </c>
      <c r="G1452" s="3">
        <v>3</v>
      </c>
      <c r="H1452" t="s">
        <v>21</v>
      </c>
      <c r="I1452" s="2">
        <v>3.1</v>
      </c>
      <c r="J1452" t="s">
        <v>103</v>
      </c>
    </row>
    <row r="1453" spans="1:10">
      <c r="A1453" t="s">
        <v>1609</v>
      </c>
      <c r="B1453" t="s">
        <v>102</v>
      </c>
      <c r="C1453" s="1">
        <v>45792</v>
      </c>
      <c r="D1453" t="s">
        <v>212</v>
      </c>
      <c r="E1453" t="s">
        <v>26</v>
      </c>
      <c r="F1453" s="3">
        <v>2026</v>
      </c>
      <c r="G1453" s="3">
        <v>3</v>
      </c>
      <c r="H1453" t="s">
        <v>21</v>
      </c>
      <c r="I1453" s="2">
        <v>2.6</v>
      </c>
      <c r="J1453" t="s">
        <v>103</v>
      </c>
    </row>
    <row r="1454" spans="1:10">
      <c r="A1454" t="s">
        <v>1610</v>
      </c>
      <c r="B1454" t="s">
        <v>102</v>
      </c>
      <c r="C1454" s="1">
        <v>45792</v>
      </c>
      <c r="D1454" t="s">
        <v>22</v>
      </c>
      <c r="E1454" t="s">
        <v>22</v>
      </c>
      <c r="F1454" s="3">
        <v>2026</v>
      </c>
      <c r="G1454" s="3">
        <v>4</v>
      </c>
      <c r="H1454" t="s">
        <v>1469</v>
      </c>
      <c r="I1454" s="2">
        <v>3</v>
      </c>
      <c r="J1454" t="s">
        <v>103</v>
      </c>
    </row>
    <row r="1455" spans="1:10">
      <c r="A1455" t="s">
        <v>1611</v>
      </c>
      <c r="B1455" t="s">
        <v>102</v>
      </c>
      <c r="C1455" s="1">
        <v>45792</v>
      </c>
      <c r="D1455" t="s">
        <v>134</v>
      </c>
      <c r="E1455" t="s">
        <v>24</v>
      </c>
      <c r="F1455" s="3">
        <v>2026</v>
      </c>
      <c r="G1455" s="3">
        <v>4</v>
      </c>
      <c r="H1455" t="s">
        <v>1469</v>
      </c>
      <c r="I1455" s="2">
        <v>3</v>
      </c>
      <c r="J1455" t="s">
        <v>103</v>
      </c>
    </row>
    <row r="1456" spans="1:10">
      <c r="A1456" t="s">
        <v>1612</v>
      </c>
      <c r="B1456" t="s">
        <v>102</v>
      </c>
      <c r="C1456" s="1">
        <v>45792</v>
      </c>
      <c r="D1456" t="s">
        <v>210</v>
      </c>
      <c r="E1456" t="s">
        <v>25</v>
      </c>
      <c r="F1456" s="3">
        <v>2026</v>
      </c>
      <c r="G1456" s="3">
        <v>4</v>
      </c>
      <c r="H1456" t="s">
        <v>1469</v>
      </c>
      <c r="I1456" s="2">
        <v>2.5</v>
      </c>
      <c r="J1456" t="s">
        <v>103</v>
      </c>
    </row>
    <row r="1457" spans="1:10">
      <c r="A1457" t="s">
        <v>1613</v>
      </c>
      <c r="B1457" t="s">
        <v>102</v>
      </c>
      <c r="C1457" s="1">
        <v>45792</v>
      </c>
      <c r="D1457" t="s">
        <v>212</v>
      </c>
      <c r="E1457" t="s">
        <v>26</v>
      </c>
      <c r="F1457" s="3">
        <v>2026</v>
      </c>
      <c r="G1457" s="3">
        <v>4</v>
      </c>
      <c r="H1457" t="s">
        <v>1469</v>
      </c>
      <c r="I1457" s="2">
        <v>3</v>
      </c>
      <c r="J1457" t="s">
        <v>103</v>
      </c>
    </row>
    <row r="1458" spans="1:10">
      <c r="A1458" t="s">
        <v>1614</v>
      </c>
      <c r="B1458" t="s">
        <v>102</v>
      </c>
      <c r="C1458" s="1">
        <v>45792</v>
      </c>
      <c r="D1458" t="s">
        <v>22</v>
      </c>
      <c r="E1458" t="s">
        <v>22</v>
      </c>
      <c r="F1458" s="3">
        <v>2027</v>
      </c>
      <c r="G1458" s="3">
        <v>1</v>
      </c>
      <c r="H1458" t="s">
        <v>1566</v>
      </c>
      <c r="I1458" s="2">
        <v>3</v>
      </c>
      <c r="J1458" t="s">
        <v>103</v>
      </c>
    </row>
    <row r="1459" spans="1:10">
      <c r="A1459" t="s">
        <v>1615</v>
      </c>
      <c r="B1459" t="s">
        <v>102</v>
      </c>
      <c r="C1459" s="1">
        <v>45792</v>
      </c>
      <c r="D1459" t="s">
        <v>134</v>
      </c>
      <c r="E1459" t="s">
        <v>24</v>
      </c>
      <c r="F1459" s="3">
        <v>2027</v>
      </c>
      <c r="G1459" s="3">
        <v>1</v>
      </c>
      <c r="H1459" t="s">
        <v>1566</v>
      </c>
      <c r="I1459" s="2">
        <v>3</v>
      </c>
      <c r="J1459" t="s">
        <v>103</v>
      </c>
    </row>
    <row r="1460" spans="1:10">
      <c r="A1460" t="s">
        <v>1616</v>
      </c>
      <c r="B1460" t="s">
        <v>102</v>
      </c>
      <c r="C1460" s="1">
        <v>45792</v>
      </c>
      <c r="D1460" t="s">
        <v>210</v>
      </c>
      <c r="E1460" t="s">
        <v>25</v>
      </c>
      <c r="F1460" s="3">
        <v>2027</v>
      </c>
      <c r="G1460" s="3">
        <v>1</v>
      </c>
      <c r="H1460" t="s">
        <v>1566</v>
      </c>
      <c r="I1460" s="2">
        <v>2.7</v>
      </c>
      <c r="J1460" t="s">
        <v>103</v>
      </c>
    </row>
    <row r="1461" spans="1:10">
      <c r="A1461" t="s">
        <v>1617</v>
      </c>
      <c r="B1461" t="s">
        <v>102</v>
      </c>
      <c r="C1461" s="1">
        <v>45792</v>
      </c>
      <c r="D1461" t="s">
        <v>212</v>
      </c>
      <c r="E1461" t="s">
        <v>26</v>
      </c>
      <c r="F1461" s="3">
        <v>2027</v>
      </c>
      <c r="G1461" s="3">
        <v>1</v>
      </c>
      <c r="H1461" t="s">
        <v>1566</v>
      </c>
      <c r="I1461" s="2">
        <v>3.1</v>
      </c>
      <c r="J1461" t="s">
        <v>103</v>
      </c>
    </row>
    <row r="1462" spans="1:10">
      <c r="A1462" t="s">
        <v>1618</v>
      </c>
      <c r="B1462" t="s">
        <v>104</v>
      </c>
      <c r="C1462" s="1">
        <v>45834</v>
      </c>
      <c r="D1462" t="s">
        <v>22</v>
      </c>
      <c r="E1462" t="s">
        <v>22</v>
      </c>
      <c r="F1462" s="3">
        <v>2024</v>
      </c>
      <c r="G1462" s="3">
        <v>3</v>
      </c>
      <c r="H1462" t="s">
        <v>565</v>
      </c>
      <c r="I1462" s="2">
        <v>5</v>
      </c>
      <c r="J1462" t="s">
        <v>105</v>
      </c>
    </row>
    <row r="1463" spans="1:10">
      <c r="A1463" t="s">
        <v>1619</v>
      </c>
      <c r="B1463" t="s">
        <v>104</v>
      </c>
      <c r="C1463" s="1">
        <v>45834</v>
      </c>
      <c r="D1463" t="s">
        <v>134</v>
      </c>
      <c r="E1463" t="s">
        <v>24</v>
      </c>
      <c r="F1463" s="3">
        <v>2024</v>
      </c>
      <c r="G1463" s="3">
        <v>3</v>
      </c>
      <c r="H1463" t="s">
        <v>565</v>
      </c>
      <c r="I1463" s="2">
        <v>4</v>
      </c>
      <c r="J1463" t="s">
        <v>105</v>
      </c>
    </row>
    <row r="1464" spans="1:10">
      <c r="A1464" t="s">
        <v>1620</v>
      </c>
      <c r="B1464" t="s">
        <v>104</v>
      </c>
      <c r="C1464" s="1">
        <v>45834</v>
      </c>
      <c r="D1464" t="s">
        <v>210</v>
      </c>
      <c r="E1464" t="s">
        <v>25</v>
      </c>
      <c r="F1464" s="3">
        <v>2024</v>
      </c>
      <c r="G1464" s="3">
        <v>3</v>
      </c>
      <c r="H1464" t="s">
        <v>565</v>
      </c>
      <c r="I1464" s="2">
        <v>5.0999999999999996</v>
      </c>
      <c r="J1464" t="s">
        <v>105</v>
      </c>
    </row>
    <row r="1465" spans="1:10">
      <c r="A1465" t="s">
        <v>1621</v>
      </c>
      <c r="B1465" t="s">
        <v>104</v>
      </c>
      <c r="C1465" s="1">
        <v>45834</v>
      </c>
      <c r="D1465" t="s">
        <v>212</v>
      </c>
      <c r="E1465" t="s">
        <v>26</v>
      </c>
      <c r="F1465" s="3">
        <v>2024</v>
      </c>
      <c r="G1465" s="3">
        <v>3</v>
      </c>
      <c r="H1465" t="s">
        <v>565</v>
      </c>
      <c r="I1465" s="2">
        <v>3.6</v>
      </c>
      <c r="J1465" t="s">
        <v>105</v>
      </c>
    </row>
    <row r="1466" spans="1:10">
      <c r="A1466" t="s">
        <v>1622</v>
      </c>
      <c r="B1466" t="s">
        <v>104</v>
      </c>
      <c r="C1466" s="1">
        <v>45834</v>
      </c>
      <c r="D1466" t="s">
        <v>22</v>
      </c>
      <c r="E1466" t="s">
        <v>22</v>
      </c>
      <c r="F1466" s="3">
        <v>2024</v>
      </c>
      <c r="G1466" s="3">
        <v>4</v>
      </c>
      <c r="H1466" t="s">
        <v>670</v>
      </c>
      <c r="I1466" s="2">
        <v>4.5</v>
      </c>
      <c r="J1466" t="s">
        <v>105</v>
      </c>
    </row>
    <row r="1467" spans="1:10">
      <c r="A1467" t="s">
        <v>1623</v>
      </c>
      <c r="B1467" t="s">
        <v>104</v>
      </c>
      <c r="C1467" s="1">
        <v>45834</v>
      </c>
      <c r="D1467" t="s">
        <v>134</v>
      </c>
      <c r="E1467" t="s">
        <v>24</v>
      </c>
      <c r="F1467" s="3">
        <v>2024</v>
      </c>
      <c r="G1467" s="3">
        <v>4</v>
      </c>
      <c r="H1467" t="s">
        <v>670</v>
      </c>
      <c r="I1467" s="2">
        <v>3.7</v>
      </c>
      <c r="J1467" t="s">
        <v>105</v>
      </c>
    </row>
    <row r="1468" spans="1:10">
      <c r="A1468" t="s">
        <v>1624</v>
      </c>
      <c r="B1468" t="s">
        <v>104</v>
      </c>
      <c r="C1468" s="1">
        <v>45834</v>
      </c>
      <c r="D1468" t="s">
        <v>210</v>
      </c>
      <c r="E1468" t="s">
        <v>25</v>
      </c>
      <c r="F1468" s="3">
        <v>2024</v>
      </c>
      <c r="G1468" s="3">
        <v>4</v>
      </c>
      <c r="H1468" t="s">
        <v>670</v>
      </c>
      <c r="I1468" s="2">
        <v>3.1</v>
      </c>
      <c r="J1468" t="s">
        <v>105</v>
      </c>
    </row>
    <row r="1469" spans="1:10">
      <c r="A1469" t="s">
        <v>1625</v>
      </c>
      <c r="B1469" t="s">
        <v>104</v>
      </c>
      <c r="C1469" s="1">
        <v>45834</v>
      </c>
      <c r="D1469" t="s">
        <v>212</v>
      </c>
      <c r="E1469" t="s">
        <v>26</v>
      </c>
      <c r="F1469" s="3">
        <v>2024</v>
      </c>
      <c r="G1469" s="3">
        <v>4</v>
      </c>
      <c r="H1469" t="s">
        <v>670</v>
      </c>
      <c r="I1469" s="2">
        <v>3.5</v>
      </c>
      <c r="J1469" t="s">
        <v>105</v>
      </c>
    </row>
    <row r="1470" spans="1:10">
      <c r="A1470" t="s">
        <v>1626</v>
      </c>
      <c r="B1470" t="s">
        <v>104</v>
      </c>
      <c r="C1470" s="1">
        <v>45834</v>
      </c>
      <c r="D1470" t="s">
        <v>22</v>
      </c>
      <c r="E1470" t="s">
        <v>22</v>
      </c>
      <c r="F1470" s="3">
        <v>2025</v>
      </c>
      <c r="G1470" s="3">
        <v>1</v>
      </c>
      <c r="H1470" t="s">
        <v>771</v>
      </c>
      <c r="I1470" s="2">
        <v>3.7</v>
      </c>
      <c r="J1470" t="s">
        <v>105</v>
      </c>
    </row>
    <row r="1471" spans="1:10">
      <c r="A1471" t="s">
        <v>1627</v>
      </c>
      <c r="B1471" t="s">
        <v>104</v>
      </c>
      <c r="C1471" s="1">
        <v>45834</v>
      </c>
      <c r="D1471" t="s">
        <v>134</v>
      </c>
      <c r="E1471" t="s">
        <v>24</v>
      </c>
      <c r="F1471" s="3">
        <v>2025</v>
      </c>
      <c r="G1471" s="3">
        <v>1</v>
      </c>
      <c r="H1471" t="s">
        <v>771</v>
      </c>
      <c r="I1471" s="2">
        <v>3.6</v>
      </c>
      <c r="J1471" t="s">
        <v>105</v>
      </c>
    </row>
    <row r="1472" spans="1:10">
      <c r="A1472" t="s">
        <v>1628</v>
      </c>
      <c r="B1472" t="s">
        <v>104</v>
      </c>
      <c r="C1472" s="1">
        <v>45834</v>
      </c>
      <c r="D1472" t="s">
        <v>210</v>
      </c>
      <c r="E1472" t="s">
        <v>25</v>
      </c>
      <c r="F1472" s="3">
        <v>2025</v>
      </c>
      <c r="G1472" s="3">
        <v>1</v>
      </c>
      <c r="H1472" t="s">
        <v>771</v>
      </c>
      <c r="I1472" s="2">
        <v>2.9</v>
      </c>
      <c r="J1472" t="s">
        <v>105</v>
      </c>
    </row>
    <row r="1473" spans="1:10">
      <c r="A1473" t="s">
        <v>1629</v>
      </c>
      <c r="B1473" t="s">
        <v>104</v>
      </c>
      <c r="C1473" s="1">
        <v>45834</v>
      </c>
      <c r="D1473" t="s">
        <v>212</v>
      </c>
      <c r="E1473" t="s">
        <v>26</v>
      </c>
      <c r="F1473" s="3">
        <v>2025</v>
      </c>
      <c r="G1473" s="3">
        <v>1</v>
      </c>
      <c r="H1473" t="s">
        <v>771</v>
      </c>
      <c r="I1473" s="2">
        <v>4.2</v>
      </c>
      <c r="J1473" t="s">
        <v>105</v>
      </c>
    </row>
    <row r="1474" spans="1:10">
      <c r="A1474" t="s">
        <v>1630</v>
      </c>
      <c r="B1474" t="s">
        <v>104</v>
      </c>
      <c r="C1474" s="1">
        <v>45834</v>
      </c>
      <c r="D1474" t="s">
        <v>22</v>
      </c>
      <c r="E1474" t="s">
        <v>22</v>
      </c>
      <c r="F1474" s="3">
        <v>2025</v>
      </c>
      <c r="G1474" s="3">
        <v>2</v>
      </c>
      <c r="H1474" t="s">
        <v>876</v>
      </c>
      <c r="I1474" s="2">
        <v>4.3</v>
      </c>
      <c r="J1474" t="s">
        <v>105</v>
      </c>
    </row>
    <row r="1475" spans="1:10">
      <c r="A1475" t="s">
        <v>1631</v>
      </c>
      <c r="B1475" t="s">
        <v>104</v>
      </c>
      <c r="C1475" s="1">
        <v>45834</v>
      </c>
      <c r="D1475" t="s">
        <v>134</v>
      </c>
      <c r="E1475" t="s">
        <v>24</v>
      </c>
      <c r="F1475" s="3">
        <v>2025</v>
      </c>
      <c r="G1475" s="3">
        <v>2</v>
      </c>
      <c r="H1475" t="s">
        <v>876</v>
      </c>
      <c r="I1475" s="2">
        <v>4.0999999999999996</v>
      </c>
      <c r="J1475" t="s">
        <v>105</v>
      </c>
    </row>
    <row r="1476" spans="1:10">
      <c r="A1476" t="s">
        <v>1632</v>
      </c>
      <c r="B1476" t="s">
        <v>104</v>
      </c>
      <c r="C1476" s="1">
        <v>45834</v>
      </c>
      <c r="D1476" t="s">
        <v>210</v>
      </c>
      <c r="E1476" t="s">
        <v>25</v>
      </c>
      <c r="F1476" s="3">
        <v>2025</v>
      </c>
      <c r="G1476" s="3">
        <v>2</v>
      </c>
      <c r="H1476" t="s">
        <v>876</v>
      </c>
      <c r="I1476" s="2">
        <v>5.7</v>
      </c>
      <c r="J1476" t="s">
        <v>105</v>
      </c>
    </row>
    <row r="1477" spans="1:10">
      <c r="A1477" t="s">
        <v>1633</v>
      </c>
      <c r="B1477" t="s">
        <v>104</v>
      </c>
      <c r="C1477" s="1">
        <v>45834</v>
      </c>
      <c r="D1477" t="s">
        <v>212</v>
      </c>
      <c r="E1477" t="s">
        <v>26</v>
      </c>
      <c r="F1477" s="3">
        <v>2025</v>
      </c>
      <c r="G1477" s="3">
        <v>2</v>
      </c>
      <c r="H1477" t="s">
        <v>876</v>
      </c>
      <c r="I1477" s="2">
        <v>4.5999999999999996</v>
      </c>
      <c r="J1477" t="s">
        <v>105</v>
      </c>
    </row>
    <row r="1478" spans="1:10">
      <c r="A1478" t="s">
        <v>1634</v>
      </c>
      <c r="B1478" t="s">
        <v>104</v>
      </c>
      <c r="C1478" s="1">
        <v>45834</v>
      </c>
      <c r="D1478" t="s">
        <v>22</v>
      </c>
      <c r="E1478" t="s">
        <v>22</v>
      </c>
      <c r="F1478" s="3">
        <v>2025</v>
      </c>
      <c r="G1478" s="3">
        <v>3</v>
      </c>
      <c r="H1478" t="s">
        <v>981</v>
      </c>
      <c r="I1478" s="2">
        <v>4.0999999999999996</v>
      </c>
      <c r="J1478" t="s">
        <v>105</v>
      </c>
    </row>
    <row r="1479" spans="1:10">
      <c r="A1479" t="s">
        <v>1635</v>
      </c>
      <c r="B1479" t="s">
        <v>104</v>
      </c>
      <c r="C1479" s="1">
        <v>45834</v>
      </c>
      <c r="D1479" t="s">
        <v>134</v>
      </c>
      <c r="E1479" t="s">
        <v>24</v>
      </c>
      <c r="F1479" s="3">
        <v>2025</v>
      </c>
      <c r="G1479" s="3">
        <v>3</v>
      </c>
      <c r="H1479" t="s">
        <v>981</v>
      </c>
      <c r="I1479" s="2">
        <v>3.8</v>
      </c>
      <c r="J1479" t="s">
        <v>105</v>
      </c>
    </row>
    <row r="1480" spans="1:10">
      <c r="A1480" t="s">
        <v>1636</v>
      </c>
      <c r="B1480" t="s">
        <v>104</v>
      </c>
      <c r="C1480" s="1">
        <v>45834</v>
      </c>
      <c r="D1480" t="s">
        <v>210</v>
      </c>
      <c r="E1480" t="s">
        <v>25</v>
      </c>
      <c r="F1480" s="3">
        <v>2025</v>
      </c>
      <c r="G1480" s="3">
        <v>3</v>
      </c>
      <c r="H1480" t="s">
        <v>981</v>
      </c>
      <c r="I1480" s="2">
        <v>4.0999999999999996</v>
      </c>
      <c r="J1480" t="s">
        <v>105</v>
      </c>
    </row>
    <row r="1481" spans="1:10">
      <c r="A1481" t="s">
        <v>1637</v>
      </c>
      <c r="B1481" t="s">
        <v>104</v>
      </c>
      <c r="C1481" s="1">
        <v>45834</v>
      </c>
      <c r="D1481" t="s">
        <v>212</v>
      </c>
      <c r="E1481" t="s">
        <v>26</v>
      </c>
      <c r="F1481" s="3">
        <v>2025</v>
      </c>
      <c r="G1481" s="3">
        <v>3</v>
      </c>
      <c r="H1481" t="s">
        <v>981</v>
      </c>
      <c r="I1481" s="2">
        <v>3.1</v>
      </c>
      <c r="J1481" t="s">
        <v>105</v>
      </c>
    </row>
    <row r="1482" spans="1:10">
      <c r="A1482" t="s">
        <v>1638</v>
      </c>
      <c r="B1482" t="s">
        <v>104</v>
      </c>
      <c r="C1482" s="1">
        <v>45834</v>
      </c>
      <c r="D1482" t="s">
        <v>22</v>
      </c>
      <c r="E1482" t="s">
        <v>22</v>
      </c>
      <c r="F1482" s="3">
        <v>2025</v>
      </c>
      <c r="G1482" s="3">
        <v>4</v>
      </c>
      <c r="H1482" t="s">
        <v>1086</v>
      </c>
      <c r="I1482" s="2">
        <v>3.7</v>
      </c>
      <c r="J1482" t="s">
        <v>105</v>
      </c>
    </row>
    <row r="1483" spans="1:10">
      <c r="A1483" t="s">
        <v>1639</v>
      </c>
      <c r="B1483" t="s">
        <v>104</v>
      </c>
      <c r="C1483" s="1">
        <v>45834</v>
      </c>
      <c r="D1483" t="s">
        <v>134</v>
      </c>
      <c r="E1483" t="s">
        <v>24</v>
      </c>
      <c r="F1483" s="3">
        <v>2025</v>
      </c>
      <c r="G1483" s="3">
        <v>4</v>
      </c>
      <c r="H1483" t="s">
        <v>1086</v>
      </c>
      <c r="I1483" s="2">
        <v>3.6</v>
      </c>
      <c r="J1483" t="s">
        <v>105</v>
      </c>
    </row>
    <row r="1484" spans="1:10">
      <c r="A1484" t="s">
        <v>1640</v>
      </c>
      <c r="B1484" t="s">
        <v>104</v>
      </c>
      <c r="C1484" s="1">
        <v>45834</v>
      </c>
      <c r="D1484" t="s">
        <v>210</v>
      </c>
      <c r="E1484" t="s">
        <v>25</v>
      </c>
      <c r="F1484" s="3">
        <v>2025</v>
      </c>
      <c r="G1484" s="3">
        <v>4</v>
      </c>
      <c r="H1484" t="s">
        <v>1086</v>
      </c>
      <c r="I1484" s="2">
        <v>2.1</v>
      </c>
      <c r="J1484" t="s">
        <v>105</v>
      </c>
    </row>
    <row r="1485" spans="1:10">
      <c r="A1485" t="s">
        <v>1641</v>
      </c>
      <c r="B1485" t="s">
        <v>104</v>
      </c>
      <c r="C1485" s="1">
        <v>45834</v>
      </c>
      <c r="D1485" t="s">
        <v>212</v>
      </c>
      <c r="E1485" t="s">
        <v>26</v>
      </c>
      <c r="F1485" s="3">
        <v>2025</v>
      </c>
      <c r="G1485" s="3">
        <v>4</v>
      </c>
      <c r="H1485" t="s">
        <v>1086</v>
      </c>
      <c r="I1485" s="2">
        <v>2.9</v>
      </c>
      <c r="J1485" t="s">
        <v>105</v>
      </c>
    </row>
    <row r="1486" spans="1:10">
      <c r="A1486" t="s">
        <v>1642</v>
      </c>
      <c r="B1486" t="s">
        <v>104</v>
      </c>
      <c r="C1486" s="1">
        <v>45834</v>
      </c>
      <c r="D1486" t="s">
        <v>22</v>
      </c>
      <c r="E1486" t="s">
        <v>22</v>
      </c>
      <c r="F1486" s="3">
        <v>2026</v>
      </c>
      <c r="G1486" s="3">
        <v>1</v>
      </c>
      <c r="H1486" t="s">
        <v>1183</v>
      </c>
      <c r="I1486" s="2">
        <v>3.4</v>
      </c>
      <c r="J1486" t="s">
        <v>105</v>
      </c>
    </row>
    <row r="1487" spans="1:10">
      <c r="A1487" t="s">
        <v>1643</v>
      </c>
      <c r="B1487" t="s">
        <v>104</v>
      </c>
      <c r="C1487" s="1">
        <v>45834</v>
      </c>
      <c r="D1487" t="s">
        <v>134</v>
      </c>
      <c r="E1487" t="s">
        <v>24</v>
      </c>
      <c r="F1487" s="3">
        <v>2026</v>
      </c>
      <c r="G1487" s="3">
        <v>1</v>
      </c>
      <c r="H1487" t="s">
        <v>1183</v>
      </c>
      <c r="I1487" s="2">
        <v>3.4</v>
      </c>
      <c r="J1487" t="s">
        <v>105</v>
      </c>
    </row>
    <row r="1488" spans="1:10">
      <c r="A1488" t="s">
        <v>1644</v>
      </c>
      <c r="B1488" t="s">
        <v>104</v>
      </c>
      <c r="C1488" s="1">
        <v>45834</v>
      </c>
      <c r="D1488" t="s">
        <v>210</v>
      </c>
      <c r="E1488" t="s">
        <v>25</v>
      </c>
      <c r="F1488" s="3">
        <v>2026</v>
      </c>
      <c r="G1488" s="3">
        <v>1</v>
      </c>
      <c r="H1488" t="s">
        <v>1183</v>
      </c>
      <c r="I1488" s="2">
        <v>2.4</v>
      </c>
      <c r="J1488" t="s">
        <v>105</v>
      </c>
    </row>
    <row r="1489" spans="1:10">
      <c r="A1489" t="s">
        <v>1645</v>
      </c>
      <c r="B1489" t="s">
        <v>104</v>
      </c>
      <c r="C1489" s="1">
        <v>45834</v>
      </c>
      <c r="D1489" t="s">
        <v>212</v>
      </c>
      <c r="E1489" t="s">
        <v>26</v>
      </c>
      <c r="F1489" s="3">
        <v>2026</v>
      </c>
      <c r="G1489" s="3">
        <v>1</v>
      </c>
      <c r="H1489" t="s">
        <v>1183</v>
      </c>
      <c r="I1489" s="2">
        <v>3.3</v>
      </c>
      <c r="J1489" t="s">
        <v>105</v>
      </c>
    </row>
    <row r="1490" spans="1:10">
      <c r="A1490" t="s">
        <v>1646</v>
      </c>
      <c r="B1490" t="s">
        <v>104</v>
      </c>
      <c r="C1490" s="1">
        <v>45834</v>
      </c>
      <c r="D1490" t="s">
        <v>22</v>
      </c>
      <c r="E1490" t="s">
        <v>22</v>
      </c>
      <c r="F1490" s="3">
        <v>2026</v>
      </c>
      <c r="G1490" s="3">
        <v>2</v>
      </c>
      <c r="H1490" t="s">
        <v>1276</v>
      </c>
      <c r="I1490" s="2">
        <v>3.1</v>
      </c>
      <c r="J1490" t="s">
        <v>105</v>
      </c>
    </row>
    <row r="1491" spans="1:10">
      <c r="A1491" t="s">
        <v>1647</v>
      </c>
      <c r="B1491" t="s">
        <v>104</v>
      </c>
      <c r="C1491" s="1">
        <v>45834</v>
      </c>
      <c r="D1491" t="s">
        <v>134</v>
      </c>
      <c r="E1491" t="s">
        <v>24</v>
      </c>
      <c r="F1491" s="3">
        <v>2026</v>
      </c>
      <c r="G1491" s="3">
        <v>2</v>
      </c>
      <c r="H1491" t="s">
        <v>1276</v>
      </c>
      <c r="I1491" s="2">
        <v>3.1</v>
      </c>
      <c r="J1491" t="s">
        <v>105</v>
      </c>
    </row>
    <row r="1492" spans="1:10">
      <c r="A1492" t="s">
        <v>1648</v>
      </c>
      <c r="B1492" t="s">
        <v>104</v>
      </c>
      <c r="C1492" s="1">
        <v>45834</v>
      </c>
      <c r="D1492" t="s">
        <v>210</v>
      </c>
      <c r="E1492" t="s">
        <v>25</v>
      </c>
      <c r="F1492" s="3">
        <v>2026</v>
      </c>
      <c r="G1492" s="3">
        <v>2</v>
      </c>
      <c r="H1492" t="s">
        <v>1276</v>
      </c>
      <c r="I1492" s="2">
        <v>3.8</v>
      </c>
      <c r="J1492" t="s">
        <v>105</v>
      </c>
    </row>
    <row r="1493" spans="1:10">
      <c r="A1493" t="s">
        <v>1649</v>
      </c>
      <c r="B1493" t="s">
        <v>104</v>
      </c>
      <c r="C1493" s="1">
        <v>45834</v>
      </c>
      <c r="D1493" t="s">
        <v>212</v>
      </c>
      <c r="E1493" t="s">
        <v>26</v>
      </c>
      <c r="F1493" s="3">
        <v>2026</v>
      </c>
      <c r="G1493" s="3">
        <v>2</v>
      </c>
      <c r="H1493" t="s">
        <v>1276</v>
      </c>
      <c r="I1493" s="2">
        <v>3.1</v>
      </c>
      <c r="J1493" t="s">
        <v>105</v>
      </c>
    </row>
    <row r="1494" spans="1:10">
      <c r="A1494" t="s">
        <v>1650</v>
      </c>
      <c r="B1494" t="s">
        <v>104</v>
      </c>
      <c r="C1494" s="1">
        <v>45834</v>
      </c>
      <c r="D1494" t="s">
        <v>22</v>
      </c>
      <c r="E1494" t="s">
        <v>22</v>
      </c>
      <c r="F1494" s="3">
        <v>2026</v>
      </c>
      <c r="G1494" s="3">
        <v>3</v>
      </c>
      <c r="H1494" t="s">
        <v>21</v>
      </c>
      <c r="I1494" s="2">
        <v>3</v>
      </c>
      <c r="J1494" t="s">
        <v>105</v>
      </c>
    </row>
    <row r="1495" spans="1:10">
      <c r="A1495" t="s">
        <v>1651</v>
      </c>
      <c r="B1495" t="s">
        <v>104</v>
      </c>
      <c r="C1495" s="1">
        <v>45834</v>
      </c>
      <c r="D1495" t="s">
        <v>134</v>
      </c>
      <c r="E1495" t="s">
        <v>24</v>
      </c>
      <c r="F1495" s="3">
        <v>2026</v>
      </c>
      <c r="G1495" s="3">
        <v>3</v>
      </c>
      <c r="H1495" t="s">
        <v>21</v>
      </c>
      <c r="I1495" s="2">
        <v>3</v>
      </c>
      <c r="J1495" t="s">
        <v>105</v>
      </c>
    </row>
    <row r="1496" spans="1:10">
      <c r="A1496" t="s">
        <v>1652</v>
      </c>
      <c r="B1496" t="s">
        <v>104</v>
      </c>
      <c r="C1496" s="1">
        <v>45834</v>
      </c>
      <c r="D1496" t="s">
        <v>210</v>
      </c>
      <c r="E1496" t="s">
        <v>25</v>
      </c>
      <c r="F1496" s="3">
        <v>2026</v>
      </c>
      <c r="G1496" s="3">
        <v>3</v>
      </c>
      <c r="H1496" t="s">
        <v>21</v>
      </c>
      <c r="I1496" s="2">
        <v>3.6</v>
      </c>
      <c r="J1496" t="s">
        <v>105</v>
      </c>
    </row>
    <row r="1497" spans="1:10">
      <c r="A1497" t="s">
        <v>1653</v>
      </c>
      <c r="B1497" t="s">
        <v>104</v>
      </c>
      <c r="C1497" s="1">
        <v>45834</v>
      </c>
      <c r="D1497" t="s">
        <v>212</v>
      </c>
      <c r="E1497" t="s">
        <v>26</v>
      </c>
      <c r="F1497" s="3">
        <v>2026</v>
      </c>
      <c r="G1497" s="3">
        <v>3</v>
      </c>
      <c r="H1497" t="s">
        <v>21</v>
      </c>
      <c r="I1497" s="2">
        <v>2.9</v>
      </c>
      <c r="J1497" t="s">
        <v>105</v>
      </c>
    </row>
    <row r="1498" spans="1:10">
      <c r="A1498" t="s">
        <v>1654</v>
      </c>
      <c r="B1498" t="s">
        <v>104</v>
      </c>
      <c r="C1498" s="1">
        <v>45834</v>
      </c>
      <c r="D1498" t="s">
        <v>22</v>
      </c>
      <c r="E1498" t="s">
        <v>22</v>
      </c>
      <c r="F1498" s="3">
        <v>2026</v>
      </c>
      <c r="G1498" s="3">
        <v>4</v>
      </c>
      <c r="H1498" t="s">
        <v>1469</v>
      </c>
      <c r="I1498" s="2">
        <v>3</v>
      </c>
      <c r="J1498" t="s">
        <v>105</v>
      </c>
    </row>
    <row r="1499" spans="1:10">
      <c r="A1499" t="s">
        <v>1655</v>
      </c>
      <c r="B1499" t="s">
        <v>104</v>
      </c>
      <c r="C1499" s="1">
        <v>45834</v>
      </c>
      <c r="D1499" t="s">
        <v>134</v>
      </c>
      <c r="E1499" t="s">
        <v>24</v>
      </c>
      <c r="F1499" s="3">
        <v>2026</v>
      </c>
      <c r="G1499" s="3">
        <v>4</v>
      </c>
      <c r="H1499" t="s">
        <v>1469</v>
      </c>
      <c r="I1499" s="2">
        <v>3</v>
      </c>
      <c r="J1499" t="s">
        <v>105</v>
      </c>
    </row>
    <row r="1500" spans="1:10">
      <c r="A1500" t="s">
        <v>1656</v>
      </c>
      <c r="B1500" t="s">
        <v>104</v>
      </c>
      <c r="C1500" s="1">
        <v>45834</v>
      </c>
      <c r="D1500" t="s">
        <v>210</v>
      </c>
      <c r="E1500" t="s">
        <v>25</v>
      </c>
      <c r="F1500" s="3">
        <v>2026</v>
      </c>
      <c r="G1500" s="3">
        <v>4</v>
      </c>
      <c r="H1500" t="s">
        <v>1469</v>
      </c>
      <c r="I1500" s="2">
        <v>2.1</v>
      </c>
      <c r="J1500" t="s">
        <v>105</v>
      </c>
    </row>
    <row r="1501" spans="1:10">
      <c r="A1501" t="s">
        <v>1657</v>
      </c>
      <c r="B1501" t="s">
        <v>104</v>
      </c>
      <c r="C1501" s="1">
        <v>45834</v>
      </c>
      <c r="D1501" t="s">
        <v>212</v>
      </c>
      <c r="E1501" t="s">
        <v>26</v>
      </c>
      <c r="F1501" s="3">
        <v>2026</v>
      </c>
      <c r="G1501" s="3">
        <v>4</v>
      </c>
      <c r="H1501" t="s">
        <v>1469</v>
      </c>
      <c r="I1501" s="2">
        <v>2.9</v>
      </c>
      <c r="J1501" t="s">
        <v>105</v>
      </c>
    </row>
    <row r="1502" spans="1:10">
      <c r="A1502" t="s">
        <v>1658</v>
      </c>
      <c r="B1502" t="s">
        <v>104</v>
      </c>
      <c r="C1502" s="1">
        <v>45834</v>
      </c>
      <c r="D1502" t="s">
        <v>22</v>
      </c>
      <c r="E1502" t="s">
        <v>22</v>
      </c>
      <c r="F1502" s="3">
        <v>2027</v>
      </c>
      <c r="G1502" s="3">
        <v>1</v>
      </c>
      <c r="H1502" t="s">
        <v>1566</v>
      </c>
      <c r="I1502" s="2">
        <v>3</v>
      </c>
      <c r="J1502" t="s">
        <v>105</v>
      </c>
    </row>
    <row r="1503" spans="1:10">
      <c r="A1503" t="s">
        <v>1659</v>
      </c>
      <c r="B1503" t="s">
        <v>104</v>
      </c>
      <c r="C1503" s="1">
        <v>45834</v>
      </c>
      <c r="D1503" t="s">
        <v>134</v>
      </c>
      <c r="E1503" t="s">
        <v>24</v>
      </c>
      <c r="F1503" s="3">
        <v>2027</v>
      </c>
      <c r="G1503" s="3">
        <v>1</v>
      </c>
      <c r="H1503" t="s">
        <v>1566</v>
      </c>
      <c r="I1503" s="2">
        <v>3</v>
      </c>
      <c r="J1503" t="s">
        <v>105</v>
      </c>
    </row>
    <row r="1504" spans="1:10">
      <c r="A1504" t="s">
        <v>1660</v>
      </c>
      <c r="B1504" t="s">
        <v>104</v>
      </c>
      <c r="C1504" s="1">
        <v>45834</v>
      </c>
      <c r="D1504" t="s">
        <v>210</v>
      </c>
      <c r="E1504" t="s">
        <v>25</v>
      </c>
      <c r="F1504" s="3">
        <v>2027</v>
      </c>
      <c r="G1504" s="3">
        <v>1</v>
      </c>
      <c r="H1504" t="s">
        <v>1566</v>
      </c>
      <c r="I1504" s="2">
        <v>2.5</v>
      </c>
      <c r="J1504" t="s">
        <v>105</v>
      </c>
    </row>
    <row r="1505" spans="1:10">
      <c r="A1505" t="s">
        <v>1661</v>
      </c>
      <c r="B1505" t="s">
        <v>104</v>
      </c>
      <c r="C1505" s="1">
        <v>45834</v>
      </c>
      <c r="D1505" t="s">
        <v>212</v>
      </c>
      <c r="E1505" t="s">
        <v>26</v>
      </c>
      <c r="F1505" s="3">
        <v>2027</v>
      </c>
      <c r="G1505" s="3">
        <v>1</v>
      </c>
      <c r="H1505" t="s">
        <v>1566</v>
      </c>
      <c r="I1505" s="2">
        <v>3.1</v>
      </c>
      <c r="J1505" t="s">
        <v>105</v>
      </c>
    </row>
    <row r="1506" spans="1:10">
      <c r="A1506" t="s">
        <v>1662</v>
      </c>
      <c r="B1506" t="s">
        <v>104</v>
      </c>
      <c r="C1506" s="1">
        <v>45834</v>
      </c>
      <c r="D1506" t="s">
        <v>22</v>
      </c>
      <c r="E1506" t="s">
        <v>22</v>
      </c>
      <c r="F1506" s="3">
        <v>2027</v>
      </c>
      <c r="G1506" s="3">
        <v>2</v>
      </c>
      <c r="H1506" t="s">
        <v>1663</v>
      </c>
      <c r="I1506" s="2">
        <v>3</v>
      </c>
      <c r="J1506" t="s">
        <v>105</v>
      </c>
    </row>
    <row r="1507" spans="1:10">
      <c r="A1507" t="s">
        <v>1664</v>
      </c>
      <c r="B1507" t="s">
        <v>104</v>
      </c>
      <c r="C1507" s="1">
        <v>45834</v>
      </c>
      <c r="D1507" t="s">
        <v>134</v>
      </c>
      <c r="E1507" t="s">
        <v>24</v>
      </c>
      <c r="F1507" s="3">
        <v>2027</v>
      </c>
      <c r="G1507" s="3">
        <v>2</v>
      </c>
      <c r="H1507" t="s">
        <v>1663</v>
      </c>
      <c r="I1507" s="2">
        <v>3</v>
      </c>
      <c r="J1507" t="s">
        <v>105</v>
      </c>
    </row>
    <row r="1508" spans="1:10">
      <c r="A1508" t="s">
        <v>1665</v>
      </c>
      <c r="B1508" t="s">
        <v>104</v>
      </c>
      <c r="C1508" s="1">
        <v>45834</v>
      </c>
      <c r="D1508" t="s">
        <v>210</v>
      </c>
      <c r="E1508" t="s">
        <v>25</v>
      </c>
      <c r="F1508" s="3">
        <v>2027</v>
      </c>
      <c r="G1508" s="3">
        <v>2</v>
      </c>
      <c r="H1508" t="s">
        <v>1663</v>
      </c>
      <c r="I1508" s="2">
        <v>3.5</v>
      </c>
      <c r="J1508" t="s">
        <v>105</v>
      </c>
    </row>
    <row r="1509" spans="1:10">
      <c r="A1509" t="s">
        <v>1666</v>
      </c>
      <c r="B1509" t="s">
        <v>104</v>
      </c>
      <c r="C1509" s="1">
        <v>45834</v>
      </c>
      <c r="D1509" t="s">
        <v>212</v>
      </c>
      <c r="E1509" t="s">
        <v>26</v>
      </c>
      <c r="F1509" s="3">
        <v>2027</v>
      </c>
      <c r="G1509" s="3">
        <v>2</v>
      </c>
      <c r="H1509" t="s">
        <v>1663</v>
      </c>
      <c r="I1509" s="2">
        <v>3</v>
      </c>
      <c r="J1509" t="s">
        <v>105</v>
      </c>
    </row>
    <row r="1510" spans="1:10">
      <c r="A1510" t="s">
        <v>1667</v>
      </c>
      <c r="B1510" t="s">
        <v>106</v>
      </c>
      <c r="C1510" s="1">
        <v>45876</v>
      </c>
      <c r="D1510" t="s">
        <v>22</v>
      </c>
      <c r="E1510" t="s">
        <v>22</v>
      </c>
      <c r="F1510" s="3">
        <v>2024</v>
      </c>
      <c r="G1510" s="3">
        <v>3</v>
      </c>
      <c r="H1510" t="s">
        <v>565</v>
      </c>
      <c r="I1510" s="2">
        <v>5</v>
      </c>
      <c r="J1510" t="s">
        <v>107</v>
      </c>
    </row>
    <row r="1511" spans="1:10">
      <c r="A1511" t="s">
        <v>1668</v>
      </c>
      <c r="B1511" t="s">
        <v>106</v>
      </c>
      <c r="C1511" s="1">
        <v>45876</v>
      </c>
      <c r="D1511" t="s">
        <v>134</v>
      </c>
      <c r="E1511" t="s">
        <v>24</v>
      </c>
      <c r="F1511" s="3">
        <v>2024</v>
      </c>
      <c r="G1511" s="3">
        <v>3</v>
      </c>
      <c r="H1511" t="s">
        <v>565</v>
      </c>
      <c r="I1511" s="2">
        <v>4</v>
      </c>
      <c r="J1511" t="s">
        <v>107</v>
      </c>
    </row>
    <row r="1512" spans="1:10">
      <c r="A1512" t="s">
        <v>1669</v>
      </c>
      <c r="B1512" t="s">
        <v>106</v>
      </c>
      <c r="C1512" s="1">
        <v>45876</v>
      </c>
      <c r="D1512" t="s">
        <v>210</v>
      </c>
      <c r="E1512" t="s">
        <v>25</v>
      </c>
      <c r="F1512" s="3">
        <v>2024</v>
      </c>
      <c r="G1512" s="3">
        <v>3</v>
      </c>
      <c r="H1512" t="s">
        <v>565</v>
      </c>
      <c r="I1512" s="2">
        <v>5.3</v>
      </c>
      <c r="J1512" t="s">
        <v>107</v>
      </c>
    </row>
    <row r="1513" spans="1:10">
      <c r="A1513" t="s">
        <v>1670</v>
      </c>
      <c r="B1513" t="s">
        <v>106</v>
      </c>
      <c r="C1513" s="1">
        <v>45876</v>
      </c>
      <c r="D1513" t="s">
        <v>212</v>
      </c>
      <c r="E1513" t="s">
        <v>26</v>
      </c>
      <c r="F1513" s="3">
        <v>2024</v>
      </c>
      <c r="G1513" s="3">
        <v>3</v>
      </c>
      <c r="H1513" t="s">
        <v>565</v>
      </c>
      <c r="I1513" s="2">
        <v>3.6</v>
      </c>
      <c r="J1513" t="s">
        <v>107</v>
      </c>
    </row>
    <row r="1514" spans="1:10">
      <c r="A1514" t="s">
        <v>1671</v>
      </c>
      <c r="B1514" t="s">
        <v>106</v>
      </c>
      <c r="C1514" s="1">
        <v>45876</v>
      </c>
      <c r="D1514" t="s">
        <v>22</v>
      </c>
      <c r="E1514" t="s">
        <v>22</v>
      </c>
      <c r="F1514" s="3">
        <v>2024</v>
      </c>
      <c r="G1514" s="3">
        <v>4</v>
      </c>
      <c r="H1514" t="s">
        <v>670</v>
      </c>
      <c r="I1514" s="2">
        <v>4.5</v>
      </c>
      <c r="J1514" t="s">
        <v>107</v>
      </c>
    </row>
    <row r="1515" spans="1:10">
      <c r="A1515" t="s">
        <v>1672</v>
      </c>
      <c r="B1515" t="s">
        <v>106</v>
      </c>
      <c r="C1515" s="1">
        <v>45876</v>
      </c>
      <c r="D1515" t="s">
        <v>134</v>
      </c>
      <c r="E1515" t="s">
        <v>24</v>
      </c>
      <c r="F1515" s="3">
        <v>2024</v>
      </c>
      <c r="G1515" s="3">
        <v>4</v>
      </c>
      <c r="H1515" t="s">
        <v>670</v>
      </c>
      <c r="I1515" s="2">
        <v>3.7</v>
      </c>
      <c r="J1515" t="s">
        <v>107</v>
      </c>
    </row>
    <row r="1516" spans="1:10">
      <c r="A1516" t="s">
        <v>1673</v>
      </c>
      <c r="B1516" t="s">
        <v>106</v>
      </c>
      <c r="C1516" s="1">
        <v>45876</v>
      </c>
      <c r="D1516" t="s">
        <v>210</v>
      </c>
      <c r="E1516" t="s">
        <v>25</v>
      </c>
      <c r="F1516" s="3">
        <v>2024</v>
      </c>
      <c r="G1516" s="3">
        <v>4</v>
      </c>
      <c r="H1516" t="s">
        <v>670</v>
      </c>
      <c r="I1516" s="2">
        <v>3.1</v>
      </c>
      <c r="J1516" t="s">
        <v>107</v>
      </c>
    </row>
    <row r="1517" spans="1:10">
      <c r="A1517" t="s">
        <v>1674</v>
      </c>
      <c r="B1517" t="s">
        <v>106</v>
      </c>
      <c r="C1517" s="1">
        <v>45876</v>
      </c>
      <c r="D1517" t="s">
        <v>212</v>
      </c>
      <c r="E1517" t="s">
        <v>26</v>
      </c>
      <c r="F1517" s="3">
        <v>2024</v>
      </c>
      <c r="G1517" s="3">
        <v>4</v>
      </c>
      <c r="H1517" t="s">
        <v>670</v>
      </c>
      <c r="I1517" s="2">
        <v>3.5</v>
      </c>
      <c r="J1517" t="s">
        <v>107</v>
      </c>
    </row>
    <row r="1518" spans="1:10">
      <c r="A1518" t="s">
        <v>1675</v>
      </c>
      <c r="B1518" t="s">
        <v>106</v>
      </c>
      <c r="C1518" s="1">
        <v>45876</v>
      </c>
      <c r="D1518" t="s">
        <v>22</v>
      </c>
      <c r="E1518" t="s">
        <v>22</v>
      </c>
      <c r="F1518" s="3">
        <v>2025</v>
      </c>
      <c r="G1518" s="3">
        <v>1</v>
      </c>
      <c r="H1518" t="s">
        <v>771</v>
      </c>
      <c r="I1518" s="2">
        <v>3.7</v>
      </c>
      <c r="J1518" t="s">
        <v>107</v>
      </c>
    </row>
    <row r="1519" spans="1:10">
      <c r="A1519" t="s">
        <v>1676</v>
      </c>
      <c r="B1519" t="s">
        <v>106</v>
      </c>
      <c r="C1519" s="1">
        <v>45876</v>
      </c>
      <c r="D1519" t="s">
        <v>134</v>
      </c>
      <c r="E1519" t="s">
        <v>24</v>
      </c>
      <c r="F1519" s="3">
        <v>2025</v>
      </c>
      <c r="G1519" s="3">
        <v>1</v>
      </c>
      <c r="H1519" t="s">
        <v>771</v>
      </c>
      <c r="I1519" s="2">
        <v>3.6</v>
      </c>
      <c r="J1519" t="s">
        <v>107</v>
      </c>
    </row>
    <row r="1520" spans="1:10">
      <c r="A1520" t="s">
        <v>1677</v>
      </c>
      <c r="B1520" t="s">
        <v>106</v>
      </c>
      <c r="C1520" s="1">
        <v>45876</v>
      </c>
      <c r="D1520" t="s">
        <v>210</v>
      </c>
      <c r="E1520" t="s">
        <v>25</v>
      </c>
      <c r="F1520" s="3">
        <v>2025</v>
      </c>
      <c r="G1520" s="3">
        <v>1</v>
      </c>
      <c r="H1520" t="s">
        <v>771</v>
      </c>
      <c r="I1520" s="2">
        <v>2.8</v>
      </c>
      <c r="J1520" t="s">
        <v>107</v>
      </c>
    </row>
    <row r="1521" spans="1:10">
      <c r="A1521" t="s">
        <v>1678</v>
      </c>
      <c r="B1521" t="s">
        <v>106</v>
      </c>
      <c r="C1521" s="1">
        <v>45876</v>
      </c>
      <c r="D1521" t="s">
        <v>212</v>
      </c>
      <c r="E1521" t="s">
        <v>26</v>
      </c>
      <c r="F1521" s="3">
        <v>2025</v>
      </c>
      <c r="G1521" s="3">
        <v>1</v>
      </c>
      <c r="H1521" t="s">
        <v>771</v>
      </c>
      <c r="I1521" s="2">
        <v>4.2</v>
      </c>
      <c r="J1521" t="s">
        <v>107</v>
      </c>
    </row>
    <row r="1522" spans="1:10">
      <c r="A1522" t="s">
        <v>1679</v>
      </c>
      <c r="B1522" t="s">
        <v>106</v>
      </c>
      <c r="C1522" s="1">
        <v>45876</v>
      </c>
      <c r="D1522" t="s">
        <v>22</v>
      </c>
      <c r="E1522" t="s">
        <v>22</v>
      </c>
      <c r="F1522" s="3">
        <v>2025</v>
      </c>
      <c r="G1522" s="3">
        <v>2</v>
      </c>
      <c r="H1522" t="s">
        <v>876</v>
      </c>
      <c r="I1522" s="2">
        <v>4.2</v>
      </c>
      <c r="J1522" t="s">
        <v>107</v>
      </c>
    </row>
    <row r="1523" spans="1:10">
      <c r="A1523" t="s">
        <v>1680</v>
      </c>
      <c r="B1523" t="s">
        <v>106</v>
      </c>
      <c r="C1523" s="1">
        <v>45876</v>
      </c>
      <c r="D1523" t="s">
        <v>134</v>
      </c>
      <c r="E1523" t="s">
        <v>24</v>
      </c>
      <c r="F1523" s="3">
        <v>2025</v>
      </c>
      <c r="G1523" s="3">
        <v>2</v>
      </c>
      <c r="H1523" t="s">
        <v>876</v>
      </c>
      <c r="I1523" s="2">
        <v>4.0999999999999996</v>
      </c>
      <c r="J1523" t="s">
        <v>107</v>
      </c>
    </row>
    <row r="1524" spans="1:10">
      <c r="A1524" t="s">
        <v>1681</v>
      </c>
      <c r="B1524" t="s">
        <v>106</v>
      </c>
      <c r="C1524" s="1">
        <v>45876</v>
      </c>
      <c r="D1524" t="s">
        <v>210</v>
      </c>
      <c r="E1524" t="s">
        <v>25</v>
      </c>
      <c r="F1524" s="3">
        <v>2025</v>
      </c>
      <c r="G1524" s="3">
        <v>2</v>
      </c>
      <c r="H1524" t="s">
        <v>876</v>
      </c>
      <c r="I1524" s="2">
        <v>5.8</v>
      </c>
      <c r="J1524" t="s">
        <v>107</v>
      </c>
    </row>
    <row r="1525" spans="1:10">
      <c r="A1525" t="s">
        <v>1682</v>
      </c>
      <c r="B1525" t="s">
        <v>106</v>
      </c>
      <c r="C1525" s="1">
        <v>45876</v>
      </c>
      <c r="D1525" t="s">
        <v>212</v>
      </c>
      <c r="E1525" t="s">
        <v>26</v>
      </c>
      <c r="F1525" s="3">
        <v>2025</v>
      </c>
      <c r="G1525" s="3">
        <v>2</v>
      </c>
      <c r="H1525" t="s">
        <v>876</v>
      </c>
      <c r="I1525" s="2">
        <v>5</v>
      </c>
      <c r="J1525" t="s">
        <v>107</v>
      </c>
    </row>
    <row r="1526" spans="1:10">
      <c r="A1526" t="s">
        <v>1683</v>
      </c>
      <c r="B1526" t="s">
        <v>106</v>
      </c>
      <c r="C1526" s="1">
        <v>45876</v>
      </c>
      <c r="D1526" t="s">
        <v>22</v>
      </c>
      <c r="E1526" t="s">
        <v>22</v>
      </c>
      <c r="F1526" s="3">
        <v>2025</v>
      </c>
      <c r="G1526" s="3">
        <v>3</v>
      </c>
      <c r="H1526" t="s">
        <v>981</v>
      </c>
      <c r="I1526" s="2">
        <v>3.8</v>
      </c>
      <c r="J1526" t="s">
        <v>107</v>
      </c>
    </row>
    <row r="1527" spans="1:10">
      <c r="A1527" t="s">
        <v>1684</v>
      </c>
      <c r="B1527" t="s">
        <v>106</v>
      </c>
      <c r="C1527" s="1">
        <v>45876</v>
      </c>
      <c r="D1527" t="s">
        <v>134</v>
      </c>
      <c r="E1527" t="s">
        <v>24</v>
      </c>
      <c r="F1527" s="3">
        <v>2025</v>
      </c>
      <c r="G1527" s="3">
        <v>3</v>
      </c>
      <c r="H1527" t="s">
        <v>981</v>
      </c>
      <c r="I1527" s="2">
        <v>4.0999999999999996</v>
      </c>
      <c r="J1527" t="s">
        <v>107</v>
      </c>
    </row>
    <row r="1528" spans="1:10">
      <c r="A1528" t="s">
        <v>1685</v>
      </c>
      <c r="B1528" t="s">
        <v>106</v>
      </c>
      <c r="C1528" s="1">
        <v>45876</v>
      </c>
      <c r="D1528" t="s">
        <v>210</v>
      </c>
      <c r="E1528" t="s">
        <v>25</v>
      </c>
      <c r="F1528" s="3">
        <v>2025</v>
      </c>
      <c r="G1528" s="3">
        <v>3</v>
      </c>
      <c r="H1528" t="s">
        <v>981</v>
      </c>
      <c r="I1528" s="2">
        <v>3.7</v>
      </c>
      <c r="J1528" t="s">
        <v>107</v>
      </c>
    </row>
    <row r="1529" spans="1:10">
      <c r="A1529" t="s">
        <v>1686</v>
      </c>
      <c r="B1529" t="s">
        <v>106</v>
      </c>
      <c r="C1529" s="1">
        <v>45876</v>
      </c>
      <c r="D1529" t="s">
        <v>212</v>
      </c>
      <c r="E1529" t="s">
        <v>26</v>
      </c>
      <c r="F1529" s="3">
        <v>2025</v>
      </c>
      <c r="G1529" s="3">
        <v>3</v>
      </c>
      <c r="H1529" t="s">
        <v>981</v>
      </c>
      <c r="I1529" s="2">
        <v>3.7</v>
      </c>
      <c r="J1529" t="s">
        <v>107</v>
      </c>
    </row>
    <row r="1530" spans="1:10">
      <c r="A1530" t="s">
        <v>1687</v>
      </c>
      <c r="B1530" t="s">
        <v>106</v>
      </c>
      <c r="C1530" s="1">
        <v>45876</v>
      </c>
      <c r="D1530" t="s">
        <v>22</v>
      </c>
      <c r="E1530" t="s">
        <v>22</v>
      </c>
      <c r="F1530" s="3">
        <v>2025</v>
      </c>
      <c r="G1530" s="3">
        <v>4</v>
      </c>
      <c r="H1530" t="s">
        <v>1086</v>
      </c>
      <c r="I1530" s="2">
        <v>3.7</v>
      </c>
      <c r="J1530" t="s">
        <v>107</v>
      </c>
    </row>
    <row r="1531" spans="1:10">
      <c r="A1531" t="s">
        <v>1688</v>
      </c>
      <c r="B1531" t="s">
        <v>106</v>
      </c>
      <c r="C1531" s="1">
        <v>45876</v>
      </c>
      <c r="D1531" t="s">
        <v>134</v>
      </c>
      <c r="E1531" t="s">
        <v>24</v>
      </c>
      <c r="F1531" s="3">
        <v>2025</v>
      </c>
      <c r="G1531" s="3">
        <v>4</v>
      </c>
      <c r="H1531" t="s">
        <v>1086</v>
      </c>
      <c r="I1531" s="2">
        <v>3.7</v>
      </c>
      <c r="J1531" t="s">
        <v>107</v>
      </c>
    </row>
    <row r="1532" spans="1:10">
      <c r="A1532" t="s">
        <v>1689</v>
      </c>
      <c r="B1532" t="s">
        <v>106</v>
      </c>
      <c r="C1532" s="1">
        <v>45876</v>
      </c>
      <c r="D1532" t="s">
        <v>210</v>
      </c>
      <c r="E1532" t="s">
        <v>25</v>
      </c>
      <c r="F1532" s="3">
        <v>2025</v>
      </c>
      <c r="G1532" s="3">
        <v>4</v>
      </c>
      <c r="H1532" t="s">
        <v>1086</v>
      </c>
      <c r="I1532" s="2">
        <v>2.9</v>
      </c>
      <c r="J1532" t="s">
        <v>107</v>
      </c>
    </row>
    <row r="1533" spans="1:10">
      <c r="A1533" t="s">
        <v>1690</v>
      </c>
      <c r="B1533" t="s">
        <v>106</v>
      </c>
      <c r="C1533" s="1">
        <v>45876</v>
      </c>
      <c r="D1533" t="s">
        <v>212</v>
      </c>
      <c r="E1533" t="s">
        <v>26</v>
      </c>
      <c r="F1533" s="3">
        <v>2025</v>
      </c>
      <c r="G1533" s="3">
        <v>4</v>
      </c>
      <c r="H1533" t="s">
        <v>1086</v>
      </c>
      <c r="I1533" s="2">
        <v>2.6</v>
      </c>
      <c r="J1533" t="s">
        <v>107</v>
      </c>
    </row>
    <row r="1534" spans="1:10">
      <c r="A1534" t="s">
        <v>1691</v>
      </c>
      <c r="B1534" t="s">
        <v>106</v>
      </c>
      <c r="C1534" s="1">
        <v>45876</v>
      </c>
      <c r="D1534" t="s">
        <v>22</v>
      </c>
      <c r="E1534" t="s">
        <v>22</v>
      </c>
      <c r="F1534" s="3">
        <v>2026</v>
      </c>
      <c r="G1534" s="3">
        <v>1</v>
      </c>
      <c r="H1534" t="s">
        <v>1183</v>
      </c>
      <c r="I1534" s="2">
        <v>3.4</v>
      </c>
      <c r="J1534" t="s">
        <v>107</v>
      </c>
    </row>
    <row r="1535" spans="1:10">
      <c r="A1535" t="s">
        <v>1692</v>
      </c>
      <c r="B1535" t="s">
        <v>106</v>
      </c>
      <c r="C1535" s="1">
        <v>45876</v>
      </c>
      <c r="D1535" t="s">
        <v>134</v>
      </c>
      <c r="E1535" t="s">
        <v>24</v>
      </c>
      <c r="F1535" s="3">
        <v>2026</v>
      </c>
      <c r="G1535" s="3">
        <v>1</v>
      </c>
      <c r="H1535" t="s">
        <v>1183</v>
      </c>
      <c r="I1535" s="2">
        <v>3.5</v>
      </c>
      <c r="J1535" t="s">
        <v>107</v>
      </c>
    </row>
    <row r="1536" spans="1:10">
      <c r="A1536" t="s">
        <v>1693</v>
      </c>
      <c r="B1536" t="s">
        <v>106</v>
      </c>
      <c r="C1536" s="1">
        <v>45876</v>
      </c>
      <c r="D1536" t="s">
        <v>210</v>
      </c>
      <c r="E1536" t="s">
        <v>25</v>
      </c>
      <c r="F1536" s="3">
        <v>2026</v>
      </c>
      <c r="G1536" s="3">
        <v>1</v>
      </c>
      <c r="H1536" t="s">
        <v>1183</v>
      </c>
      <c r="I1536" s="2">
        <v>2.4</v>
      </c>
      <c r="J1536" t="s">
        <v>107</v>
      </c>
    </row>
    <row r="1537" spans="1:10">
      <c r="A1537" t="s">
        <v>1694</v>
      </c>
      <c r="B1537" t="s">
        <v>106</v>
      </c>
      <c r="C1537" s="1">
        <v>45876</v>
      </c>
      <c r="D1537" t="s">
        <v>212</v>
      </c>
      <c r="E1537" t="s">
        <v>26</v>
      </c>
      <c r="F1537" s="3">
        <v>2026</v>
      </c>
      <c r="G1537" s="3">
        <v>1</v>
      </c>
      <c r="H1537" t="s">
        <v>1183</v>
      </c>
      <c r="I1537" s="2">
        <v>3.2</v>
      </c>
      <c r="J1537" t="s">
        <v>107</v>
      </c>
    </row>
    <row r="1538" spans="1:10">
      <c r="A1538" t="s">
        <v>1695</v>
      </c>
      <c r="B1538" t="s">
        <v>106</v>
      </c>
      <c r="C1538" s="1">
        <v>45876</v>
      </c>
      <c r="D1538" t="s">
        <v>22</v>
      </c>
      <c r="E1538" t="s">
        <v>22</v>
      </c>
      <c r="F1538" s="3">
        <v>2026</v>
      </c>
      <c r="G1538" s="3">
        <v>2</v>
      </c>
      <c r="H1538" t="s">
        <v>1276</v>
      </c>
      <c r="I1538" s="2">
        <v>3.1</v>
      </c>
      <c r="J1538" t="s">
        <v>107</v>
      </c>
    </row>
    <row r="1539" spans="1:10">
      <c r="A1539" t="s">
        <v>1696</v>
      </c>
      <c r="B1539" t="s">
        <v>106</v>
      </c>
      <c r="C1539" s="1">
        <v>45876</v>
      </c>
      <c r="D1539" t="s">
        <v>134</v>
      </c>
      <c r="E1539" t="s">
        <v>24</v>
      </c>
      <c r="F1539" s="3">
        <v>2026</v>
      </c>
      <c r="G1539" s="3">
        <v>2</v>
      </c>
      <c r="H1539" t="s">
        <v>1276</v>
      </c>
      <c r="I1539" s="2">
        <v>3.1</v>
      </c>
      <c r="J1539" t="s">
        <v>107</v>
      </c>
    </row>
    <row r="1540" spans="1:10">
      <c r="A1540" t="s">
        <v>1697</v>
      </c>
      <c r="B1540" t="s">
        <v>106</v>
      </c>
      <c r="C1540" s="1">
        <v>45876</v>
      </c>
      <c r="D1540" t="s">
        <v>210</v>
      </c>
      <c r="E1540" t="s">
        <v>25</v>
      </c>
      <c r="F1540" s="3">
        <v>2026</v>
      </c>
      <c r="G1540" s="3">
        <v>2</v>
      </c>
      <c r="H1540" t="s">
        <v>1276</v>
      </c>
      <c r="I1540" s="2">
        <v>3.5</v>
      </c>
      <c r="J1540" t="s">
        <v>107</v>
      </c>
    </row>
    <row r="1541" spans="1:10">
      <c r="A1541" t="s">
        <v>1698</v>
      </c>
      <c r="B1541" t="s">
        <v>106</v>
      </c>
      <c r="C1541" s="1">
        <v>45876</v>
      </c>
      <c r="D1541" t="s">
        <v>212</v>
      </c>
      <c r="E1541" t="s">
        <v>26</v>
      </c>
      <c r="F1541" s="3">
        <v>2026</v>
      </c>
      <c r="G1541" s="3">
        <v>2</v>
      </c>
      <c r="H1541" t="s">
        <v>1276</v>
      </c>
      <c r="I1541" s="2">
        <v>3</v>
      </c>
      <c r="J1541" t="s">
        <v>107</v>
      </c>
    </row>
    <row r="1542" spans="1:10">
      <c r="A1542" t="s">
        <v>1699</v>
      </c>
      <c r="B1542" t="s">
        <v>106</v>
      </c>
      <c r="C1542" s="1">
        <v>45876</v>
      </c>
      <c r="D1542" t="s">
        <v>22</v>
      </c>
      <c r="E1542" t="s">
        <v>22</v>
      </c>
      <c r="F1542" s="3">
        <v>2026</v>
      </c>
      <c r="G1542" s="3">
        <v>3</v>
      </c>
      <c r="H1542" t="s">
        <v>21</v>
      </c>
      <c r="I1542" s="2">
        <v>3</v>
      </c>
      <c r="J1542" t="s">
        <v>107</v>
      </c>
    </row>
    <row r="1543" spans="1:10">
      <c r="A1543" t="s">
        <v>1700</v>
      </c>
      <c r="B1543" t="s">
        <v>106</v>
      </c>
      <c r="C1543" s="1">
        <v>45876</v>
      </c>
      <c r="D1543" t="s">
        <v>134</v>
      </c>
      <c r="E1543" t="s">
        <v>24</v>
      </c>
      <c r="F1543" s="3">
        <v>2026</v>
      </c>
      <c r="G1543" s="3">
        <v>3</v>
      </c>
      <c r="H1543" t="s">
        <v>21</v>
      </c>
      <c r="I1543" s="2">
        <v>3</v>
      </c>
      <c r="J1543" t="s">
        <v>107</v>
      </c>
    </row>
    <row r="1544" spans="1:10">
      <c r="A1544" t="s">
        <v>1701</v>
      </c>
      <c r="B1544" t="s">
        <v>106</v>
      </c>
      <c r="C1544" s="1">
        <v>45876</v>
      </c>
      <c r="D1544" t="s">
        <v>210</v>
      </c>
      <c r="E1544" t="s">
        <v>25</v>
      </c>
      <c r="F1544" s="3">
        <v>2026</v>
      </c>
      <c r="G1544" s="3">
        <v>3</v>
      </c>
      <c r="H1544" t="s">
        <v>21</v>
      </c>
      <c r="I1544" s="2">
        <v>3.2</v>
      </c>
      <c r="J1544" t="s">
        <v>107</v>
      </c>
    </row>
    <row r="1545" spans="1:10">
      <c r="A1545" t="s">
        <v>1702</v>
      </c>
      <c r="B1545" t="s">
        <v>106</v>
      </c>
      <c r="C1545" s="1">
        <v>45876</v>
      </c>
      <c r="D1545" t="s">
        <v>212</v>
      </c>
      <c r="E1545" t="s">
        <v>26</v>
      </c>
      <c r="F1545" s="3">
        <v>2026</v>
      </c>
      <c r="G1545" s="3">
        <v>3</v>
      </c>
      <c r="H1545" t="s">
        <v>21</v>
      </c>
      <c r="I1545" s="2">
        <v>3.1</v>
      </c>
      <c r="J1545" t="s">
        <v>107</v>
      </c>
    </row>
    <row r="1546" spans="1:10">
      <c r="A1546" t="s">
        <v>1703</v>
      </c>
      <c r="B1546" t="s">
        <v>106</v>
      </c>
      <c r="C1546" s="1">
        <v>45876</v>
      </c>
      <c r="D1546" t="s">
        <v>22</v>
      </c>
      <c r="E1546" t="s">
        <v>22</v>
      </c>
      <c r="F1546" s="3">
        <v>2026</v>
      </c>
      <c r="G1546" s="3">
        <v>4</v>
      </c>
      <c r="H1546" t="s">
        <v>1469</v>
      </c>
      <c r="I1546" s="2">
        <v>3</v>
      </c>
      <c r="J1546" t="s">
        <v>107</v>
      </c>
    </row>
    <row r="1547" spans="1:10">
      <c r="A1547" t="s">
        <v>1704</v>
      </c>
      <c r="B1547" t="s">
        <v>106</v>
      </c>
      <c r="C1547" s="1">
        <v>45876</v>
      </c>
      <c r="D1547" t="s">
        <v>134</v>
      </c>
      <c r="E1547" t="s">
        <v>24</v>
      </c>
      <c r="F1547" s="3">
        <v>2026</v>
      </c>
      <c r="G1547" s="3">
        <v>4</v>
      </c>
      <c r="H1547" t="s">
        <v>1469</v>
      </c>
      <c r="I1547" s="2">
        <v>3</v>
      </c>
      <c r="J1547" t="s">
        <v>107</v>
      </c>
    </row>
    <row r="1548" spans="1:10">
      <c r="A1548" t="s">
        <v>1705</v>
      </c>
      <c r="B1548" t="s">
        <v>106</v>
      </c>
      <c r="C1548" s="1">
        <v>45876</v>
      </c>
      <c r="D1548" t="s">
        <v>210</v>
      </c>
      <c r="E1548" t="s">
        <v>25</v>
      </c>
      <c r="F1548" s="3">
        <v>2026</v>
      </c>
      <c r="G1548" s="3">
        <v>4</v>
      </c>
      <c r="H1548" t="s">
        <v>1469</v>
      </c>
      <c r="I1548" s="2">
        <v>2.8</v>
      </c>
      <c r="J1548" t="s">
        <v>107</v>
      </c>
    </row>
    <row r="1549" spans="1:10">
      <c r="A1549" t="s">
        <v>1706</v>
      </c>
      <c r="B1549" t="s">
        <v>106</v>
      </c>
      <c r="C1549" s="1">
        <v>45876</v>
      </c>
      <c r="D1549" t="s">
        <v>212</v>
      </c>
      <c r="E1549" t="s">
        <v>26</v>
      </c>
      <c r="F1549" s="3">
        <v>2026</v>
      </c>
      <c r="G1549" s="3">
        <v>4</v>
      </c>
      <c r="H1549" t="s">
        <v>1469</v>
      </c>
      <c r="I1549" s="2">
        <v>2.7</v>
      </c>
      <c r="J1549" t="s">
        <v>107</v>
      </c>
    </row>
    <row r="1550" spans="1:10">
      <c r="A1550" t="s">
        <v>1707</v>
      </c>
      <c r="B1550" t="s">
        <v>106</v>
      </c>
      <c r="C1550" s="1">
        <v>45876</v>
      </c>
      <c r="D1550" t="s">
        <v>22</v>
      </c>
      <c r="E1550" t="s">
        <v>22</v>
      </c>
      <c r="F1550" s="3">
        <v>2027</v>
      </c>
      <c r="G1550" s="3">
        <v>1</v>
      </c>
      <c r="H1550" t="s">
        <v>1566</v>
      </c>
      <c r="I1550" s="2">
        <v>3</v>
      </c>
      <c r="J1550" t="s">
        <v>107</v>
      </c>
    </row>
    <row r="1551" spans="1:10">
      <c r="A1551" t="s">
        <v>1708</v>
      </c>
      <c r="B1551" t="s">
        <v>106</v>
      </c>
      <c r="C1551" s="1">
        <v>45876</v>
      </c>
      <c r="D1551" t="s">
        <v>134</v>
      </c>
      <c r="E1551" t="s">
        <v>24</v>
      </c>
      <c r="F1551" s="3">
        <v>2027</v>
      </c>
      <c r="G1551" s="3">
        <v>1</v>
      </c>
      <c r="H1551" t="s">
        <v>1566</v>
      </c>
      <c r="I1551" s="2">
        <v>3</v>
      </c>
      <c r="J1551" t="s">
        <v>107</v>
      </c>
    </row>
    <row r="1552" spans="1:10">
      <c r="A1552" t="s">
        <v>1709</v>
      </c>
      <c r="B1552" t="s">
        <v>106</v>
      </c>
      <c r="C1552" s="1">
        <v>45876</v>
      </c>
      <c r="D1552" t="s">
        <v>210</v>
      </c>
      <c r="E1552" t="s">
        <v>25</v>
      </c>
      <c r="F1552" s="3">
        <v>2027</v>
      </c>
      <c r="G1552" s="3">
        <v>1</v>
      </c>
      <c r="H1552" t="s">
        <v>1566</v>
      </c>
      <c r="I1552" s="2">
        <v>2.5</v>
      </c>
      <c r="J1552" t="s">
        <v>107</v>
      </c>
    </row>
    <row r="1553" spans="1:10">
      <c r="A1553" t="s">
        <v>1710</v>
      </c>
      <c r="B1553" t="s">
        <v>106</v>
      </c>
      <c r="C1553" s="1">
        <v>45876</v>
      </c>
      <c r="D1553" t="s">
        <v>212</v>
      </c>
      <c r="E1553" t="s">
        <v>26</v>
      </c>
      <c r="F1553" s="3">
        <v>2027</v>
      </c>
      <c r="G1553" s="3">
        <v>1</v>
      </c>
      <c r="H1553" t="s">
        <v>1566</v>
      </c>
      <c r="I1553" s="2">
        <v>3.1</v>
      </c>
      <c r="J1553" t="s">
        <v>107</v>
      </c>
    </row>
    <row r="1554" spans="1:10">
      <c r="A1554" t="s">
        <v>1711</v>
      </c>
      <c r="B1554" t="s">
        <v>106</v>
      </c>
      <c r="C1554" s="1">
        <v>45876</v>
      </c>
      <c r="D1554" t="s">
        <v>22</v>
      </c>
      <c r="E1554" t="s">
        <v>22</v>
      </c>
      <c r="F1554" s="3">
        <v>2027</v>
      </c>
      <c r="G1554" s="3">
        <v>2</v>
      </c>
      <c r="H1554" t="s">
        <v>1663</v>
      </c>
      <c r="I1554" s="2">
        <v>3</v>
      </c>
      <c r="J1554" t="s">
        <v>107</v>
      </c>
    </row>
    <row r="1555" spans="1:10">
      <c r="A1555" t="s">
        <v>1712</v>
      </c>
      <c r="B1555" t="s">
        <v>106</v>
      </c>
      <c r="C1555" s="1">
        <v>45876</v>
      </c>
      <c r="D1555" t="s">
        <v>134</v>
      </c>
      <c r="E1555" t="s">
        <v>24</v>
      </c>
      <c r="F1555" s="3">
        <v>2027</v>
      </c>
      <c r="G1555" s="3">
        <v>2</v>
      </c>
      <c r="H1555" t="s">
        <v>1663</v>
      </c>
      <c r="I1555" s="2">
        <v>3</v>
      </c>
      <c r="J1555" t="s">
        <v>107</v>
      </c>
    </row>
    <row r="1556" spans="1:10">
      <c r="A1556" t="s">
        <v>1713</v>
      </c>
      <c r="B1556" t="s">
        <v>106</v>
      </c>
      <c r="C1556" s="1">
        <v>45876</v>
      </c>
      <c r="D1556" t="s">
        <v>210</v>
      </c>
      <c r="E1556" t="s">
        <v>25</v>
      </c>
      <c r="F1556" s="3">
        <v>2027</v>
      </c>
      <c r="G1556" s="3">
        <v>2</v>
      </c>
      <c r="H1556" t="s">
        <v>1663</v>
      </c>
      <c r="I1556" s="2">
        <v>3.3</v>
      </c>
      <c r="J1556" t="s">
        <v>107</v>
      </c>
    </row>
    <row r="1557" spans="1:10">
      <c r="A1557" t="s">
        <v>1714</v>
      </c>
      <c r="B1557" t="s">
        <v>106</v>
      </c>
      <c r="C1557" s="1">
        <v>45876</v>
      </c>
      <c r="D1557" t="s">
        <v>212</v>
      </c>
      <c r="E1557" t="s">
        <v>26</v>
      </c>
      <c r="F1557" s="3">
        <v>2027</v>
      </c>
      <c r="G1557" s="3">
        <v>2</v>
      </c>
      <c r="H1557" t="s">
        <v>1663</v>
      </c>
      <c r="I1557" s="2">
        <v>3</v>
      </c>
      <c r="J1557" t="s">
        <v>107</v>
      </c>
    </row>
    <row r="1558" spans="1:10">
      <c r="A1558" t="s">
        <v>1715</v>
      </c>
      <c r="B1558" t="s">
        <v>108</v>
      </c>
      <c r="C1558" s="1">
        <v>45925</v>
      </c>
      <c r="D1558" t="s">
        <v>22</v>
      </c>
      <c r="E1558" t="s">
        <v>22</v>
      </c>
      <c r="F1558" s="3">
        <v>2024</v>
      </c>
      <c r="G1558" s="3">
        <v>4</v>
      </c>
      <c r="H1558" t="s">
        <v>670</v>
      </c>
      <c r="I1558" s="2">
        <v>4.5</v>
      </c>
      <c r="J1558" t="s">
        <v>109</v>
      </c>
    </row>
    <row r="1559" spans="1:10">
      <c r="A1559" t="s">
        <v>1716</v>
      </c>
      <c r="B1559" t="s">
        <v>108</v>
      </c>
      <c r="C1559" s="1">
        <v>45925</v>
      </c>
      <c r="D1559" t="s">
        <v>134</v>
      </c>
      <c r="E1559" t="s">
        <v>24</v>
      </c>
      <c r="F1559" s="3">
        <v>2024</v>
      </c>
      <c r="G1559" s="3">
        <v>4</v>
      </c>
      <c r="H1559" t="s">
        <v>670</v>
      </c>
      <c r="I1559" s="2">
        <v>3.7</v>
      </c>
      <c r="J1559" t="s">
        <v>109</v>
      </c>
    </row>
    <row r="1560" spans="1:10">
      <c r="A1560" t="s">
        <v>1717</v>
      </c>
      <c r="B1560" t="s">
        <v>108</v>
      </c>
      <c r="C1560" s="1">
        <v>45925</v>
      </c>
      <c r="D1560" t="s">
        <v>210</v>
      </c>
      <c r="E1560" t="s">
        <v>25</v>
      </c>
      <c r="F1560" s="3">
        <v>2024</v>
      </c>
      <c r="G1560" s="3">
        <v>4</v>
      </c>
      <c r="H1560" t="s">
        <v>670</v>
      </c>
      <c r="I1560" s="2">
        <v>3.2</v>
      </c>
      <c r="J1560" t="s">
        <v>109</v>
      </c>
    </row>
    <row r="1561" spans="1:10">
      <c r="A1561" t="s">
        <v>1718</v>
      </c>
      <c r="B1561" t="s">
        <v>108</v>
      </c>
      <c r="C1561" s="1">
        <v>45925</v>
      </c>
      <c r="D1561" t="s">
        <v>212</v>
      </c>
      <c r="E1561" t="s">
        <v>26</v>
      </c>
      <c r="F1561" s="3">
        <v>2024</v>
      </c>
      <c r="G1561" s="3">
        <v>4</v>
      </c>
      <c r="H1561" t="s">
        <v>670</v>
      </c>
      <c r="I1561" s="2">
        <v>3.6</v>
      </c>
      <c r="J1561" t="s">
        <v>109</v>
      </c>
    </row>
    <row r="1562" spans="1:10">
      <c r="A1562" t="s">
        <v>1719</v>
      </c>
      <c r="B1562" t="s">
        <v>108</v>
      </c>
      <c r="C1562" s="1">
        <v>45925</v>
      </c>
      <c r="D1562" t="s">
        <v>22</v>
      </c>
      <c r="E1562" t="s">
        <v>22</v>
      </c>
      <c r="F1562" s="3">
        <v>2025</v>
      </c>
      <c r="G1562" s="3">
        <v>1</v>
      </c>
      <c r="H1562" t="s">
        <v>771</v>
      </c>
      <c r="I1562" s="2">
        <v>3.7</v>
      </c>
      <c r="J1562" t="s">
        <v>109</v>
      </c>
    </row>
    <row r="1563" spans="1:10">
      <c r="A1563" t="s">
        <v>1720</v>
      </c>
      <c r="B1563" t="s">
        <v>108</v>
      </c>
      <c r="C1563" s="1">
        <v>45925</v>
      </c>
      <c r="D1563" t="s">
        <v>134</v>
      </c>
      <c r="E1563" t="s">
        <v>24</v>
      </c>
      <c r="F1563" s="3">
        <v>2025</v>
      </c>
      <c r="G1563" s="3">
        <v>1</v>
      </c>
      <c r="H1563" t="s">
        <v>771</v>
      </c>
      <c r="I1563" s="2">
        <v>3.6</v>
      </c>
      <c r="J1563" t="s">
        <v>109</v>
      </c>
    </row>
    <row r="1564" spans="1:10">
      <c r="A1564" t="s">
        <v>1721</v>
      </c>
      <c r="B1564" t="s">
        <v>108</v>
      </c>
      <c r="C1564" s="1">
        <v>45925</v>
      </c>
      <c r="D1564" t="s">
        <v>210</v>
      </c>
      <c r="E1564" t="s">
        <v>25</v>
      </c>
      <c r="F1564" s="3">
        <v>2025</v>
      </c>
      <c r="G1564" s="3">
        <v>1</v>
      </c>
      <c r="H1564" t="s">
        <v>771</v>
      </c>
      <c r="I1564" s="2">
        <v>2.7</v>
      </c>
      <c r="J1564" t="s">
        <v>109</v>
      </c>
    </row>
    <row r="1565" spans="1:10">
      <c r="A1565" t="s">
        <v>1722</v>
      </c>
      <c r="B1565" t="s">
        <v>108</v>
      </c>
      <c r="C1565" s="1">
        <v>45925</v>
      </c>
      <c r="D1565" t="s">
        <v>212</v>
      </c>
      <c r="E1565" t="s">
        <v>26</v>
      </c>
      <c r="F1565" s="3">
        <v>2025</v>
      </c>
      <c r="G1565" s="3">
        <v>1</v>
      </c>
      <c r="H1565" t="s">
        <v>771</v>
      </c>
      <c r="I1565" s="2">
        <v>4.2</v>
      </c>
      <c r="J1565" t="s">
        <v>109</v>
      </c>
    </row>
    <row r="1566" spans="1:10">
      <c r="A1566" t="s">
        <v>1723</v>
      </c>
      <c r="B1566" t="s">
        <v>108</v>
      </c>
      <c r="C1566" s="1">
        <v>45925</v>
      </c>
      <c r="D1566" t="s">
        <v>22</v>
      </c>
      <c r="E1566" t="s">
        <v>22</v>
      </c>
      <c r="F1566" s="3">
        <v>2025</v>
      </c>
      <c r="G1566" s="3">
        <v>2</v>
      </c>
      <c r="H1566" t="s">
        <v>876</v>
      </c>
      <c r="I1566" s="2">
        <v>4.2</v>
      </c>
      <c r="J1566" t="s">
        <v>109</v>
      </c>
    </row>
    <row r="1567" spans="1:10">
      <c r="A1567" t="s">
        <v>1724</v>
      </c>
      <c r="B1567" t="s">
        <v>108</v>
      </c>
      <c r="C1567" s="1">
        <v>45925</v>
      </c>
      <c r="D1567" t="s">
        <v>134</v>
      </c>
      <c r="E1567" t="s">
        <v>24</v>
      </c>
      <c r="F1567" s="3">
        <v>2025</v>
      </c>
      <c r="G1567" s="3">
        <v>2</v>
      </c>
      <c r="H1567" t="s">
        <v>876</v>
      </c>
      <c r="I1567" s="2">
        <v>4.0999999999999996</v>
      </c>
      <c r="J1567" t="s">
        <v>109</v>
      </c>
    </row>
    <row r="1568" spans="1:10">
      <c r="A1568" t="s">
        <v>1725</v>
      </c>
      <c r="B1568" t="s">
        <v>108</v>
      </c>
      <c r="C1568" s="1">
        <v>45925</v>
      </c>
      <c r="D1568" t="s">
        <v>210</v>
      </c>
      <c r="E1568" t="s">
        <v>25</v>
      </c>
      <c r="F1568" s="3">
        <v>2025</v>
      </c>
      <c r="G1568" s="3">
        <v>2</v>
      </c>
      <c r="H1568" t="s">
        <v>876</v>
      </c>
      <c r="I1568" s="2">
        <v>5.7</v>
      </c>
      <c r="J1568" t="s">
        <v>109</v>
      </c>
    </row>
    <row r="1569" spans="1:10">
      <c r="A1569" t="s">
        <v>1726</v>
      </c>
      <c r="B1569" t="s">
        <v>108</v>
      </c>
      <c r="C1569" s="1">
        <v>45925</v>
      </c>
      <c r="D1569" t="s">
        <v>212</v>
      </c>
      <c r="E1569" t="s">
        <v>26</v>
      </c>
      <c r="F1569" s="3">
        <v>2025</v>
      </c>
      <c r="G1569" s="3">
        <v>2</v>
      </c>
      <c r="H1569" t="s">
        <v>876</v>
      </c>
      <c r="I1569" s="2">
        <v>4.9000000000000004</v>
      </c>
      <c r="J1569" t="s">
        <v>109</v>
      </c>
    </row>
    <row r="1570" spans="1:10">
      <c r="A1570" t="s">
        <v>1727</v>
      </c>
      <c r="B1570" t="s">
        <v>108</v>
      </c>
      <c r="C1570" s="1">
        <v>45925</v>
      </c>
      <c r="D1570" t="s">
        <v>22</v>
      </c>
      <c r="E1570" t="s">
        <v>22</v>
      </c>
      <c r="F1570" s="3">
        <v>2025</v>
      </c>
      <c r="G1570" s="3">
        <v>3</v>
      </c>
      <c r="H1570" t="s">
        <v>981</v>
      </c>
      <c r="I1570" s="2">
        <v>3.6</v>
      </c>
      <c r="J1570" t="s">
        <v>109</v>
      </c>
    </row>
    <row r="1571" spans="1:10">
      <c r="A1571" t="s">
        <v>1728</v>
      </c>
      <c r="B1571" t="s">
        <v>108</v>
      </c>
      <c r="C1571" s="1">
        <v>45925</v>
      </c>
      <c r="D1571" t="s">
        <v>134</v>
      </c>
      <c r="E1571" t="s">
        <v>24</v>
      </c>
      <c r="F1571" s="3">
        <v>2025</v>
      </c>
      <c r="G1571" s="3">
        <v>3</v>
      </c>
      <c r="H1571" t="s">
        <v>981</v>
      </c>
      <c r="I1571" s="2">
        <v>4.2</v>
      </c>
      <c r="J1571" t="s">
        <v>109</v>
      </c>
    </row>
    <row r="1572" spans="1:10">
      <c r="A1572" t="s">
        <v>1729</v>
      </c>
      <c r="B1572" t="s">
        <v>108</v>
      </c>
      <c r="C1572" s="1">
        <v>45925</v>
      </c>
      <c r="D1572" t="s">
        <v>210</v>
      </c>
      <c r="E1572" t="s">
        <v>25</v>
      </c>
      <c r="F1572" s="3">
        <v>2025</v>
      </c>
      <c r="G1572" s="3">
        <v>3</v>
      </c>
      <c r="H1572" t="s">
        <v>981</v>
      </c>
      <c r="I1572" s="2">
        <v>3.3</v>
      </c>
      <c r="J1572" t="s">
        <v>109</v>
      </c>
    </row>
    <row r="1573" spans="1:10">
      <c r="A1573" t="s">
        <v>1730</v>
      </c>
      <c r="B1573" t="s">
        <v>108</v>
      </c>
      <c r="C1573" s="1">
        <v>45925</v>
      </c>
      <c r="D1573" t="s">
        <v>212</v>
      </c>
      <c r="E1573" t="s">
        <v>26</v>
      </c>
      <c r="F1573" s="3">
        <v>2025</v>
      </c>
      <c r="G1573" s="3">
        <v>3</v>
      </c>
      <c r="H1573" t="s">
        <v>981</v>
      </c>
      <c r="I1573" s="2">
        <v>4</v>
      </c>
      <c r="J1573" t="s">
        <v>109</v>
      </c>
    </row>
    <row r="1574" spans="1:10">
      <c r="A1574" t="s">
        <v>1731</v>
      </c>
      <c r="B1574" t="s">
        <v>108</v>
      </c>
      <c r="C1574" s="1">
        <v>45925</v>
      </c>
      <c r="D1574" t="s">
        <v>22</v>
      </c>
      <c r="E1574" t="s">
        <v>22</v>
      </c>
      <c r="F1574" s="3">
        <v>2025</v>
      </c>
      <c r="G1574" s="3">
        <v>4</v>
      </c>
      <c r="H1574" t="s">
        <v>1086</v>
      </c>
      <c r="I1574" s="2">
        <v>3.6</v>
      </c>
      <c r="J1574" t="s">
        <v>109</v>
      </c>
    </row>
    <row r="1575" spans="1:10">
      <c r="A1575" t="s">
        <v>1732</v>
      </c>
      <c r="B1575" t="s">
        <v>108</v>
      </c>
      <c r="C1575" s="1">
        <v>45925</v>
      </c>
      <c r="D1575" t="s">
        <v>134</v>
      </c>
      <c r="E1575" t="s">
        <v>24</v>
      </c>
      <c r="F1575" s="3">
        <v>2025</v>
      </c>
      <c r="G1575" s="3">
        <v>4</v>
      </c>
      <c r="H1575" t="s">
        <v>1086</v>
      </c>
      <c r="I1575" s="2">
        <v>4</v>
      </c>
      <c r="J1575" t="s">
        <v>109</v>
      </c>
    </row>
    <row r="1576" spans="1:10">
      <c r="A1576" t="s">
        <v>1733</v>
      </c>
      <c r="B1576" t="s">
        <v>108</v>
      </c>
      <c r="C1576" s="1">
        <v>45925</v>
      </c>
      <c r="D1576" t="s">
        <v>210</v>
      </c>
      <c r="E1576" t="s">
        <v>25</v>
      </c>
      <c r="F1576" s="3">
        <v>2025</v>
      </c>
      <c r="G1576" s="3">
        <v>4</v>
      </c>
      <c r="H1576" t="s">
        <v>1086</v>
      </c>
      <c r="I1576" s="2">
        <v>3.1</v>
      </c>
      <c r="J1576" t="s">
        <v>109</v>
      </c>
    </row>
    <row r="1577" spans="1:10">
      <c r="A1577" t="s">
        <v>1734</v>
      </c>
      <c r="B1577" t="s">
        <v>108</v>
      </c>
      <c r="C1577" s="1">
        <v>45925</v>
      </c>
      <c r="D1577" t="s">
        <v>212</v>
      </c>
      <c r="E1577" t="s">
        <v>26</v>
      </c>
      <c r="F1577" s="3">
        <v>2025</v>
      </c>
      <c r="G1577" s="3">
        <v>4</v>
      </c>
      <c r="H1577" t="s">
        <v>1086</v>
      </c>
      <c r="I1577" s="2">
        <v>3</v>
      </c>
      <c r="J1577" t="s">
        <v>109</v>
      </c>
    </row>
    <row r="1578" spans="1:10">
      <c r="A1578" t="s">
        <v>1735</v>
      </c>
      <c r="B1578" t="s">
        <v>108</v>
      </c>
      <c r="C1578" s="1">
        <v>45925</v>
      </c>
      <c r="D1578" t="s">
        <v>22</v>
      </c>
      <c r="E1578" t="s">
        <v>22</v>
      </c>
      <c r="F1578" s="3">
        <v>2026</v>
      </c>
      <c r="G1578" s="3">
        <v>1</v>
      </c>
      <c r="H1578" t="s">
        <v>1183</v>
      </c>
      <c r="I1578" s="2">
        <v>3.4</v>
      </c>
      <c r="J1578" t="s">
        <v>109</v>
      </c>
    </row>
    <row r="1579" spans="1:10">
      <c r="A1579" t="s">
        <v>1736</v>
      </c>
      <c r="B1579" t="s">
        <v>108</v>
      </c>
      <c r="C1579" s="1">
        <v>45925</v>
      </c>
      <c r="D1579" t="s">
        <v>134</v>
      </c>
      <c r="E1579" t="s">
        <v>24</v>
      </c>
      <c r="F1579" s="3">
        <v>2026</v>
      </c>
      <c r="G1579" s="3">
        <v>1</v>
      </c>
      <c r="H1579" t="s">
        <v>1183</v>
      </c>
      <c r="I1579" s="2">
        <v>3.6</v>
      </c>
      <c r="J1579" t="s">
        <v>109</v>
      </c>
    </row>
    <row r="1580" spans="1:10">
      <c r="A1580" t="s">
        <v>1737</v>
      </c>
      <c r="B1580" t="s">
        <v>108</v>
      </c>
      <c r="C1580" s="1">
        <v>45925</v>
      </c>
      <c r="D1580" t="s">
        <v>210</v>
      </c>
      <c r="E1580" t="s">
        <v>25</v>
      </c>
      <c r="F1580" s="3">
        <v>2026</v>
      </c>
      <c r="G1580" s="3">
        <v>1</v>
      </c>
      <c r="H1580" t="s">
        <v>1183</v>
      </c>
      <c r="I1580" s="2">
        <v>2.4</v>
      </c>
      <c r="J1580" t="s">
        <v>109</v>
      </c>
    </row>
    <row r="1581" spans="1:10">
      <c r="A1581" t="s">
        <v>1738</v>
      </c>
      <c r="B1581" t="s">
        <v>108</v>
      </c>
      <c r="C1581" s="1">
        <v>45925</v>
      </c>
      <c r="D1581" t="s">
        <v>212</v>
      </c>
      <c r="E1581" t="s">
        <v>26</v>
      </c>
      <c r="F1581" s="3">
        <v>2026</v>
      </c>
      <c r="G1581" s="3">
        <v>1</v>
      </c>
      <c r="H1581" t="s">
        <v>1183</v>
      </c>
      <c r="I1581" s="2">
        <v>2.7</v>
      </c>
      <c r="J1581" t="s">
        <v>109</v>
      </c>
    </row>
    <row r="1582" spans="1:10">
      <c r="A1582" t="s">
        <v>1739</v>
      </c>
      <c r="B1582" t="s">
        <v>108</v>
      </c>
      <c r="C1582" s="1">
        <v>45925</v>
      </c>
      <c r="D1582" t="s">
        <v>22</v>
      </c>
      <c r="E1582" t="s">
        <v>22</v>
      </c>
      <c r="F1582" s="3">
        <v>2026</v>
      </c>
      <c r="G1582" s="3">
        <v>2</v>
      </c>
      <c r="H1582" t="s">
        <v>1276</v>
      </c>
      <c r="I1582" s="2">
        <v>3.1</v>
      </c>
      <c r="J1582" t="s">
        <v>109</v>
      </c>
    </row>
    <row r="1583" spans="1:10">
      <c r="A1583" t="s">
        <v>1740</v>
      </c>
      <c r="B1583" t="s">
        <v>108</v>
      </c>
      <c r="C1583" s="1">
        <v>45925</v>
      </c>
      <c r="D1583" t="s">
        <v>134</v>
      </c>
      <c r="E1583" t="s">
        <v>24</v>
      </c>
      <c r="F1583" s="3">
        <v>2026</v>
      </c>
      <c r="G1583" s="3">
        <v>2</v>
      </c>
      <c r="H1583" t="s">
        <v>1276</v>
      </c>
      <c r="I1583" s="2">
        <v>3.2</v>
      </c>
      <c r="J1583" t="s">
        <v>109</v>
      </c>
    </row>
    <row r="1584" spans="1:10">
      <c r="A1584" t="s">
        <v>1741</v>
      </c>
      <c r="B1584" t="s">
        <v>108</v>
      </c>
      <c r="C1584" s="1">
        <v>45925</v>
      </c>
      <c r="D1584" t="s">
        <v>210</v>
      </c>
      <c r="E1584" t="s">
        <v>25</v>
      </c>
      <c r="F1584" s="3">
        <v>2026</v>
      </c>
      <c r="G1584" s="3">
        <v>2</v>
      </c>
      <c r="H1584" t="s">
        <v>1276</v>
      </c>
      <c r="I1584" s="2">
        <v>3.5</v>
      </c>
      <c r="J1584" t="s">
        <v>109</v>
      </c>
    </row>
    <row r="1585" spans="1:10">
      <c r="A1585" t="s">
        <v>1742</v>
      </c>
      <c r="B1585" t="s">
        <v>108</v>
      </c>
      <c r="C1585" s="1">
        <v>45925</v>
      </c>
      <c r="D1585" t="s">
        <v>212</v>
      </c>
      <c r="E1585" t="s">
        <v>26</v>
      </c>
      <c r="F1585" s="3">
        <v>2026</v>
      </c>
      <c r="G1585" s="3">
        <v>2</v>
      </c>
      <c r="H1585" t="s">
        <v>1276</v>
      </c>
      <c r="I1585" s="2">
        <v>3.1</v>
      </c>
      <c r="J1585" t="s">
        <v>109</v>
      </c>
    </row>
    <row r="1586" spans="1:10">
      <c r="A1586" t="s">
        <v>1743</v>
      </c>
      <c r="B1586" t="s">
        <v>108</v>
      </c>
      <c r="C1586" s="1">
        <v>45925</v>
      </c>
      <c r="D1586" t="s">
        <v>22</v>
      </c>
      <c r="E1586" t="s">
        <v>22</v>
      </c>
      <c r="F1586" s="3">
        <v>2026</v>
      </c>
      <c r="G1586" s="3">
        <v>3</v>
      </c>
      <c r="H1586" t="s">
        <v>21</v>
      </c>
      <c r="I1586" s="2">
        <v>3</v>
      </c>
      <c r="J1586" t="s">
        <v>109</v>
      </c>
    </row>
    <row r="1587" spans="1:10">
      <c r="A1587" t="s">
        <v>1744</v>
      </c>
      <c r="B1587" t="s">
        <v>108</v>
      </c>
      <c r="C1587" s="1">
        <v>45925</v>
      </c>
      <c r="D1587" t="s">
        <v>134</v>
      </c>
      <c r="E1587" t="s">
        <v>24</v>
      </c>
      <c r="F1587" s="3">
        <v>2026</v>
      </c>
      <c r="G1587" s="3">
        <v>3</v>
      </c>
      <c r="H1587" t="s">
        <v>21</v>
      </c>
      <c r="I1587" s="2">
        <v>3</v>
      </c>
      <c r="J1587" t="s">
        <v>109</v>
      </c>
    </row>
    <row r="1588" spans="1:10">
      <c r="A1588" t="s">
        <v>1745</v>
      </c>
      <c r="B1588" t="s">
        <v>108</v>
      </c>
      <c r="C1588" s="1">
        <v>45925</v>
      </c>
      <c r="D1588" t="s">
        <v>210</v>
      </c>
      <c r="E1588" t="s">
        <v>25</v>
      </c>
      <c r="F1588" s="3">
        <v>2026</v>
      </c>
      <c r="G1588" s="3">
        <v>3</v>
      </c>
      <c r="H1588" t="s">
        <v>21</v>
      </c>
      <c r="I1588" s="2">
        <v>2.9</v>
      </c>
      <c r="J1588" t="s">
        <v>109</v>
      </c>
    </row>
    <row r="1589" spans="1:10">
      <c r="A1589" t="s">
        <v>1746</v>
      </c>
      <c r="B1589" t="s">
        <v>108</v>
      </c>
      <c r="C1589" s="1">
        <v>45925</v>
      </c>
      <c r="D1589" t="s">
        <v>212</v>
      </c>
      <c r="E1589" t="s">
        <v>26</v>
      </c>
      <c r="F1589" s="3">
        <v>2026</v>
      </c>
      <c r="G1589" s="3">
        <v>3</v>
      </c>
      <c r="H1589" t="s">
        <v>21</v>
      </c>
      <c r="I1589" s="2">
        <v>3.2</v>
      </c>
      <c r="J1589" t="s">
        <v>109</v>
      </c>
    </row>
    <row r="1590" spans="1:10">
      <c r="A1590" t="s">
        <v>1747</v>
      </c>
      <c r="B1590" t="s">
        <v>108</v>
      </c>
      <c r="C1590" s="1">
        <v>45925</v>
      </c>
      <c r="D1590" t="s">
        <v>22</v>
      </c>
      <c r="E1590" t="s">
        <v>22</v>
      </c>
      <c r="F1590" s="3">
        <v>2026</v>
      </c>
      <c r="G1590" s="3">
        <v>4</v>
      </c>
      <c r="H1590" t="s">
        <v>1469</v>
      </c>
      <c r="I1590" s="2">
        <v>3</v>
      </c>
      <c r="J1590" t="s">
        <v>109</v>
      </c>
    </row>
    <row r="1591" spans="1:10">
      <c r="A1591" t="s">
        <v>1748</v>
      </c>
      <c r="B1591" t="s">
        <v>108</v>
      </c>
      <c r="C1591" s="1">
        <v>45925</v>
      </c>
      <c r="D1591" t="s">
        <v>134</v>
      </c>
      <c r="E1591" t="s">
        <v>24</v>
      </c>
      <c r="F1591" s="3">
        <v>2026</v>
      </c>
      <c r="G1591" s="3">
        <v>4</v>
      </c>
      <c r="H1591" t="s">
        <v>1469</v>
      </c>
      <c r="I1591" s="2">
        <v>3</v>
      </c>
      <c r="J1591" t="s">
        <v>109</v>
      </c>
    </row>
    <row r="1592" spans="1:10">
      <c r="A1592" t="s">
        <v>1749</v>
      </c>
      <c r="B1592" t="s">
        <v>108</v>
      </c>
      <c r="C1592" s="1">
        <v>45925</v>
      </c>
      <c r="D1592" t="s">
        <v>210</v>
      </c>
      <c r="E1592" t="s">
        <v>25</v>
      </c>
      <c r="F1592" s="3">
        <v>2026</v>
      </c>
      <c r="G1592" s="3">
        <v>4</v>
      </c>
      <c r="H1592" t="s">
        <v>1469</v>
      </c>
      <c r="I1592" s="2">
        <v>3</v>
      </c>
      <c r="J1592" t="s">
        <v>109</v>
      </c>
    </row>
    <row r="1593" spans="1:10">
      <c r="A1593" t="s">
        <v>1750</v>
      </c>
      <c r="B1593" t="s">
        <v>108</v>
      </c>
      <c r="C1593" s="1">
        <v>45925</v>
      </c>
      <c r="D1593" t="s">
        <v>212</v>
      </c>
      <c r="E1593" t="s">
        <v>26</v>
      </c>
      <c r="F1593" s="3">
        <v>2026</v>
      </c>
      <c r="G1593" s="3">
        <v>4</v>
      </c>
      <c r="H1593" t="s">
        <v>1469</v>
      </c>
      <c r="I1593" s="2">
        <v>3</v>
      </c>
      <c r="J1593" t="s">
        <v>109</v>
      </c>
    </row>
    <row r="1594" spans="1:10">
      <c r="A1594" t="s">
        <v>1751</v>
      </c>
      <c r="B1594" t="s">
        <v>108</v>
      </c>
      <c r="C1594" s="1">
        <v>45925</v>
      </c>
      <c r="D1594" t="s">
        <v>22</v>
      </c>
      <c r="E1594" t="s">
        <v>22</v>
      </c>
      <c r="F1594" s="3">
        <v>2027</v>
      </c>
      <c r="G1594" s="3">
        <v>1</v>
      </c>
      <c r="H1594" t="s">
        <v>1566</v>
      </c>
      <c r="I1594" s="2">
        <v>3</v>
      </c>
      <c r="J1594" t="s">
        <v>109</v>
      </c>
    </row>
    <row r="1595" spans="1:10">
      <c r="A1595" t="s">
        <v>1752</v>
      </c>
      <c r="B1595" t="s">
        <v>108</v>
      </c>
      <c r="C1595" s="1">
        <v>45925</v>
      </c>
      <c r="D1595" t="s">
        <v>134</v>
      </c>
      <c r="E1595" t="s">
        <v>24</v>
      </c>
      <c r="F1595" s="3">
        <v>2027</v>
      </c>
      <c r="G1595" s="3">
        <v>1</v>
      </c>
      <c r="H1595" t="s">
        <v>1566</v>
      </c>
      <c r="I1595" s="2">
        <v>3</v>
      </c>
      <c r="J1595" t="s">
        <v>109</v>
      </c>
    </row>
    <row r="1596" spans="1:10">
      <c r="A1596" t="s">
        <v>1753</v>
      </c>
      <c r="B1596" t="s">
        <v>108</v>
      </c>
      <c r="C1596" s="1">
        <v>45925</v>
      </c>
      <c r="D1596" t="s">
        <v>210</v>
      </c>
      <c r="E1596" t="s">
        <v>25</v>
      </c>
      <c r="F1596" s="3">
        <v>2027</v>
      </c>
      <c r="G1596" s="3">
        <v>1</v>
      </c>
      <c r="H1596" t="s">
        <v>1566</v>
      </c>
      <c r="I1596" s="2">
        <v>2.5</v>
      </c>
      <c r="J1596" t="s">
        <v>109</v>
      </c>
    </row>
    <row r="1597" spans="1:10">
      <c r="A1597" t="s">
        <v>1754</v>
      </c>
      <c r="B1597" t="s">
        <v>108</v>
      </c>
      <c r="C1597" s="1">
        <v>45925</v>
      </c>
      <c r="D1597" t="s">
        <v>212</v>
      </c>
      <c r="E1597" t="s">
        <v>26</v>
      </c>
      <c r="F1597" s="3">
        <v>2027</v>
      </c>
      <c r="G1597" s="3">
        <v>1</v>
      </c>
      <c r="H1597" t="s">
        <v>1566</v>
      </c>
      <c r="I1597" s="2">
        <v>2.7</v>
      </c>
      <c r="J1597" t="s">
        <v>109</v>
      </c>
    </row>
    <row r="1598" spans="1:10">
      <c r="A1598" t="s">
        <v>1755</v>
      </c>
      <c r="B1598" t="s">
        <v>108</v>
      </c>
      <c r="C1598" s="1">
        <v>45925</v>
      </c>
      <c r="D1598" t="s">
        <v>22</v>
      </c>
      <c r="E1598" t="s">
        <v>22</v>
      </c>
      <c r="F1598" s="3">
        <v>2027</v>
      </c>
      <c r="G1598" s="3">
        <v>2</v>
      </c>
      <c r="H1598" t="s">
        <v>1663</v>
      </c>
      <c r="I1598" s="2">
        <v>3</v>
      </c>
      <c r="J1598" t="s">
        <v>109</v>
      </c>
    </row>
    <row r="1599" spans="1:10">
      <c r="A1599" t="s">
        <v>1756</v>
      </c>
      <c r="B1599" t="s">
        <v>108</v>
      </c>
      <c r="C1599" s="1">
        <v>45925</v>
      </c>
      <c r="D1599" t="s">
        <v>134</v>
      </c>
      <c r="E1599" t="s">
        <v>24</v>
      </c>
      <c r="F1599" s="3">
        <v>2027</v>
      </c>
      <c r="G1599" s="3">
        <v>2</v>
      </c>
      <c r="H1599" t="s">
        <v>1663</v>
      </c>
      <c r="I1599" s="2">
        <v>3</v>
      </c>
      <c r="J1599" t="s">
        <v>109</v>
      </c>
    </row>
    <row r="1600" spans="1:10">
      <c r="A1600" t="s">
        <v>1757</v>
      </c>
      <c r="B1600" t="s">
        <v>108</v>
      </c>
      <c r="C1600" s="1">
        <v>45925</v>
      </c>
      <c r="D1600" t="s">
        <v>210</v>
      </c>
      <c r="E1600" t="s">
        <v>25</v>
      </c>
      <c r="F1600" s="3">
        <v>2027</v>
      </c>
      <c r="G1600" s="3">
        <v>2</v>
      </c>
      <c r="H1600" t="s">
        <v>1663</v>
      </c>
      <c r="I1600" s="2">
        <v>3.4</v>
      </c>
      <c r="J1600" t="s">
        <v>109</v>
      </c>
    </row>
    <row r="1601" spans="1:10">
      <c r="A1601" t="s">
        <v>1758</v>
      </c>
      <c r="B1601" t="s">
        <v>108</v>
      </c>
      <c r="C1601" s="1">
        <v>45925</v>
      </c>
      <c r="D1601" t="s">
        <v>212</v>
      </c>
      <c r="E1601" t="s">
        <v>26</v>
      </c>
      <c r="F1601" s="3">
        <v>2027</v>
      </c>
      <c r="G1601" s="3">
        <v>2</v>
      </c>
      <c r="H1601" t="s">
        <v>1663</v>
      </c>
      <c r="I1601" s="2">
        <v>3</v>
      </c>
      <c r="J1601" t="s">
        <v>109</v>
      </c>
    </row>
    <row r="1602" spans="1:10">
      <c r="A1602" t="s">
        <v>1759</v>
      </c>
      <c r="B1602" t="s">
        <v>108</v>
      </c>
      <c r="C1602" s="1">
        <v>45925</v>
      </c>
      <c r="D1602" t="s">
        <v>22</v>
      </c>
      <c r="E1602" t="s">
        <v>22</v>
      </c>
      <c r="F1602" s="3">
        <v>2027</v>
      </c>
      <c r="G1602" s="3">
        <v>3</v>
      </c>
      <c r="H1602" t="s">
        <v>1760</v>
      </c>
      <c r="I1602" s="2">
        <v>3</v>
      </c>
      <c r="J1602" t="s">
        <v>109</v>
      </c>
    </row>
    <row r="1603" spans="1:10">
      <c r="A1603" t="s">
        <v>1761</v>
      </c>
      <c r="B1603" t="s">
        <v>108</v>
      </c>
      <c r="C1603" s="1">
        <v>45925</v>
      </c>
      <c r="D1603" t="s">
        <v>134</v>
      </c>
      <c r="E1603" t="s">
        <v>24</v>
      </c>
      <c r="F1603" s="3">
        <v>2027</v>
      </c>
      <c r="G1603" s="3">
        <v>3</v>
      </c>
      <c r="H1603" t="s">
        <v>1760</v>
      </c>
      <c r="I1603" s="2">
        <v>3</v>
      </c>
      <c r="J1603" t="s">
        <v>109</v>
      </c>
    </row>
    <row r="1604" spans="1:10">
      <c r="A1604" t="s">
        <v>1762</v>
      </c>
      <c r="B1604" t="s">
        <v>108</v>
      </c>
      <c r="C1604" s="1">
        <v>45925</v>
      </c>
      <c r="D1604" t="s">
        <v>210</v>
      </c>
      <c r="E1604" t="s">
        <v>25</v>
      </c>
      <c r="F1604" s="3">
        <v>2027</v>
      </c>
      <c r="G1604" s="3">
        <v>3</v>
      </c>
      <c r="H1604" t="s">
        <v>1760</v>
      </c>
      <c r="I1604" s="2">
        <v>2.9</v>
      </c>
      <c r="J1604" t="s">
        <v>109</v>
      </c>
    </row>
    <row r="1605" spans="1:10">
      <c r="A1605" t="s">
        <v>1763</v>
      </c>
      <c r="B1605" t="s">
        <v>108</v>
      </c>
      <c r="C1605" s="1">
        <v>45925</v>
      </c>
      <c r="D1605" t="s">
        <v>212</v>
      </c>
      <c r="E1605" t="s">
        <v>26</v>
      </c>
      <c r="F1605" s="3">
        <v>2027</v>
      </c>
      <c r="G1605" s="3">
        <v>3</v>
      </c>
      <c r="H1605" t="s">
        <v>1760</v>
      </c>
      <c r="I1605" s="2">
        <v>3</v>
      </c>
      <c r="J1605" t="s">
        <v>109</v>
      </c>
    </row>
    <row r="1606" spans="1:10">
      <c r="A1606" t="s">
        <v>1764</v>
      </c>
      <c r="B1606" t="s">
        <v>110</v>
      </c>
      <c r="C1606" s="1">
        <v>45967</v>
      </c>
      <c r="D1606" t="s">
        <v>22</v>
      </c>
      <c r="E1606" t="s">
        <v>22</v>
      </c>
      <c r="F1606" s="3">
        <v>2024</v>
      </c>
      <c r="G1606" s="3">
        <v>4</v>
      </c>
      <c r="H1606" t="s">
        <v>670</v>
      </c>
      <c r="I1606" s="2">
        <v>4.5</v>
      </c>
      <c r="J1606" t="s">
        <v>111</v>
      </c>
    </row>
    <row r="1607" spans="1:10">
      <c r="A1607" t="s">
        <v>1765</v>
      </c>
      <c r="B1607" t="s">
        <v>110</v>
      </c>
      <c r="C1607" s="1">
        <v>45967</v>
      </c>
      <c r="D1607" t="s">
        <v>134</v>
      </c>
      <c r="E1607" t="s">
        <v>24</v>
      </c>
      <c r="F1607" s="3">
        <v>2024</v>
      </c>
      <c r="G1607" s="3">
        <v>4</v>
      </c>
      <c r="H1607" t="s">
        <v>670</v>
      </c>
      <c r="I1607" s="2">
        <v>3.7</v>
      </c>
      <c r="J1607" t="s">
        <v>111</v>
      </c>
    </row>
    <row r="1608" spans="1:10">
      <c r="A1608" t="s">
        <v>1766</v>
      </c>
      <c r="B1608" t="s">
        <v>110</v>
      </c>
      <c r="C1608" s="1">
        <v>45967</v>
      </c>
      <c r="D1608" t="s">
        <v>210</v>
      </c>
      <c r="E1608" t="s">
        <v>25</v>
      </c>
      <c r="F1608" s="3">
        <v>2024</v>
      </c>
      <c r="G1608" s="3">
        <v>4</v>
      </c>
      <c r="H1608" t="s">
        <v>670</v>
      </c>
      <c r="I1608" s="2">
        <v>3.3</v>
      </c>
      <c r="J1608" t="s">
        <v>111</v>
      </c>
    </row>
    <row r="1609" spans="1:10">
      <c r="A1609" t="s">
        <v>1767</v>
      </c>
      <c r="B1609" t="s">
        <v>110</v>
      </c>
      <c r="C1609" s="1">
        <v>45967</v>
      </c>
      <c r="D1609" t="s">
        <v>212</v>
      </c>
      <c r="E1609" t="s">
        <v>26</v>
      </c>
      <c r="F1609" s="3">
        <v>2024</v>
      </c>
      <c r="G1609" s="3">
        <v>4</v>
      </c>
      <c r="H1609" t="s">
        <v>670</v>
      </c>
      <c r="I1609" s="2">
        <v>3.6</v>
      </c>
      <c r="J1609" t="s">
        <v>111</v>
      </c>
    </row>
    <row r="1610" spans="1:10">
      <c r="A1610" t="s">
        <v>1768</v>
      </c>
      <c r="B1610" t="s">
        <v>110</v>
      </c>
      <c r="C1610" s="1">
        <v>45967</v>
      </c>
      <c r="D1610" t="s">
        <v>22</v>
      </c>
      <c r="E1610" t="s">
        <v>22</v>
      </c>
      <c r="F1610" s="3">
        <v>2025</v>
      </c>
      <c r="G1610" s="3">
        <v>1</v>
      </c>
      <c r="H1610" t="s">
        <v>771</v>
      </c>
      <c r="I1610" s="2">
        <v>3.7</v>
      </c>
      <c r="J1610" t="s">
        <v>111</v>
      </c>
    </row>
    <row r="1611" spans="1:10">
      <c r="A1611" t="s">
        <v>1769</v>
      </c>
      <c r="B1611" t="s">
        <v>110</v>
      </c>
      <c r="C1611" s="1">
        <v>45967</v>
      </c>
      <c r="D1611" t="s">
        <v>134</v>
      </c>
      <c r="E1611" t="s">
        <v>24</v>
      </c>
      <c r="F1611" s="3">
        <v>2025</v>
      </c>
      <c r="G1611" s="3">
        <v>1</v>
      </c>
      <c r="H1611" t="s">
        <v>771</v>
      </c>
      <c r="I1611" s="2">
        <v>3.6</v>
      </c>
      <c r="J1611" t="s">
        <v>111</v>
      </c>
    </row>
    <row r="1612" spans="1:10">
      <c r="A1612" t="s">
        <v>1770</v>
      </c>
      <c r="B1612" t="s">
        <v>110</v>
      </c>
      <c r="C1612" s="1">
        <v>45967</v>
      </c>
      <c r="D1612" t="s">
        <v>210</v>
      </c>
      <c r="E1612" t="s">
        <v>25</v>
      </c>
      <c r="F1612" s="3">
        <v>2025</v>
      </c>
      <c r="G1612" s="3">
        <v>1</v>
      </c>
      <c r="H1612" t="s">
        <v>771</v>
      </c>
      <c r="I1612" s="2">
        <v>2.7</v>
      </c>
      <c r="J1612" t="s">
        <v>111</v>
      </c>
    </row>
    <row r="1613" spans="1:10">
      <c r="A1613" t="s">
        <v>1771</v>
      </c>
      <c r="B1613" t="s">
        <v>110</v>
      </c>
      <c r="C1613" s="1">
        <v>45967</v>
      </c>
      <c r="D1613" t="s">
        <v>212</v>
      </c>
      <c r="E1613" t="s">
        <v>26</v>
      </c>
      <c r="F1613" s="3">
        <v>2025</v>
      </c>
      <c r="G1613" s="3">
        <v>1</v>
      </c>
      <c r="H1613" t="s">
        <v>771</v>
      </c>
      <c r="I1613" s="2">
        <v>4.3</v>
      </c>
      <c r="J1613" t="s">
        <v>111</v>
      </c>
    </row>
    <row r="1614" spans="1:10">
      <c r="A1614" t="s">
        <v>1772</v>
      </c>
      <c r="B1614" t="s">
        <v>110</v>
      </c>
      <c r="C1614" s="1">
        <v>45967</v>
      </c>
      <c r="D1614" t="s">
        <v>22</v>
      </c>
      <c r="E1614" t="s">
        <v>22</v>
      </c>
      <c r="F1614" s="3">
        <v>2025</v>
      </c>
      <c r="G1614" s="3">
        <v>2</v>
      </c>
      <c r="H1614" t="s">
        <v>876</v>
      </c>
      <c r="I1614" s="2">
        <v>4.2</v>
      </c>
      <c r="J1614" t="s">
        <v>111</v>
      </c>
    </row>
    <row r="1615" spans="1:10">
      <c r="A1615" t="s">
        <v>1773</v>
      </c>
      <c r="B1615" t="s">
        <v>110</v>
      </c>
      <c r="C1615" s="1">
        <v>45967</v>
      </c>
      <c r="D1615" t="s">
        <v>134</v>
      </c>
      <c r="E1615" t="s">
        <v>24</v>
      </c>
      <c r="F1615" s="3">
        <v>2025</v>
      </c>
      <c r="G1615" s="3">
        <v>2</v>
      </c>
      <c r="H1615" t="s">
        <v>876</v>
      </c>
      <c r="I1615" s="2">
        <v>4.0999999999999996</v>
      </c>
      <c r="J1615" t="s">
        <v>111</v>
      </c>
    </row>
    <row r="1616" spans="1:10">
      <c r="A1616" t="s">
        <v>1774</v>
      </c>
      <c r="B1616" t="s">
        <v>110</v>
      </c>
      <c r="C1616" s="1">
        <v>45967</v>
      </c>
      <c r="D1616" t="s">
        <v>210</v>
      </c>
      <c r="E1616" t="s">
        <v>25</v>
      </c>
      <c r="F1616" s="3">
        <v>2025</v>
      </c>
      <c r="G1616" s="3">
        <v>2</v>
      </c>
      <c r="H1616" t="s">
        <v>876</v>
      </c>
      <c r="I1616" s="2">
        <v>5.6</v>
      </c>
      <c r="J1616" t="s">
        <v>111</v>
      </c>
    </row>
    <row r="1617" spans="1:10">
      <c r="A1617" t="s">
        <v>1775</v>
      </c>
      <c r="B1617" t="s">
        <v>110</v>
      </c>
      <c r="C1617" s="1">
        <v>45967</v>
      </c>
      <c r="D1617" t="s">
        <v>212</v>
      </c>
      <c r="E1617" t="s">
        <v>26</v>
      </c>
      <c r="F1617" s="3">
        <v>2025</v>
      </c>
      <c r="G1617" s="3">
        <v>2</v>
      </c>
      <c r="H1617" t="s">
        <v>876</v>
      </c>
      <c r="I1617" s="2">
        <v>4.9000000000000004</v>
      </c>
      <c r="J1617" t="s">
        <v>111</v>
      </c>
    </row>
    <row r="1618" spans="1:10">
      <c r="A1618" t="s">
        <v>1776</v>
      </c>
      <c r="B1618" t="s">
        <v>110</v>
      </c>
      <c r="C1618" s="1">
        <v>45967</v>
      </c>
      <c r="D1618" t="s">
        <v>22</v>
      </c>
      <c r="E1618" t="s">
        <v>22</v>
      </c>
      <c r="F1618" s="3">
        <v>2025</v>
      </c>
      <c r="G1618" s="3">
        <v>3</v>
      </c>
      <c r="H1618" t="s">
        <v>981</v>
      </c>
      <c r="I1618" s="2">
        <v>3.6</v>
      </c>
      <c r="J1618" t="s">
        <v>111</v>
      </c>
    </row>
    <row r="1619" spans="1:10">
      <c r="A1619" t="s">
        <v>1777</v>
      </c>
      <c r="B1619" t="s">
        <v>110</v>
      </c>
      <c r="C1619" s="1">
        <v>45967</v>
      </c>
      <c r="D1619" t="s">
        <v>134</v>
      </c>
      <c r="E1619" t="s">
        <v>24</v>
      </c>
      <c r="F1619" s="3">
        <v>2025</v>
      </c>
      <c r="G1619" s="3">
        <v>3</v>
      </c>
      <c r="H1619" t="s">
        <v>981</v>
      </c>
      <c r="I1619" s="2">
        <v>4.2</v>
      </c>
      <c r="J1619" t="s">
        <v>111</v>
      </c>
    </row>
    <row r="1620" spans="1:10">
      <c r="A1620" t="s">
        <v>1778</v>
      </c>
      <c r="B1620" t="s">
        <v>110</v>
      </c>
      <c r="C1620" s="1">
        <v>45967</v>
      </c>
      <c r="D1620" t="s">
        <v>210</v>
      </c>
      <c r="E1620" t="s">
        <v>25</v>
      </c>
      <c r="F1620" s="3">
        <v>2025</v>
      </c>
      <c r="G1620" s="3">
        <v>3</v>
      </c>
      <c r="H1620" t="s">
        <v>981</v>
      </c>
      <c r="I1620" s="2">
        <v>2.8</v>
      </c>
      <c r="J1620" t="s">
        <v>111</v>
      </c>
    </row>
    <row r="1621" spans="1:10">
      <c r="A1621" t="s">
        <v>1779</v>
      </c>
      <c r="B1621" t="s">
        <v>110</v>
      </c>
      <c r="C1621" s="1">
        <v>45967</v>
      </c>
      <c r="D1621" t="s">
        <v>212</v>
      </c>
      <c r="E1621" t="s">
        <v>26</v>
      </c>
      <c r="F1621" s="3">
        <v>2025</v>
      </c>
      <c r="G1621" s="3">
        <v>3</v>
      </c>
      <c r="H1621" t="s">
        <v>981</v>
      </c>
      <c r="I1621" s="2">
        <v>4.3</v>
      </c>
      <c r="J1621" t="s">
        <v>111</v>
      </c>
    </row>
    <row r="1622" spans="1:10">
      <c r="A1622" t="s">
        <v>1780</v>
      </c>
      <c r="B1622" t="s">
        <v>110</v>
      </c>
      <c r="C1622" s="1">
        <v>45967</v>
      </c>
      <c r="D1622" t="s">
        <v>22</v>
      </c>
      <c r="E1622" t="s">
        <v>22</v>
      </c>
      <c r="F1622" s="3">
        <v>2025</v>
      </c>
      <c r="G1622" s="3">
        <v>4</v>
      </c>
      <c r="H1622" t="s">
        <v>1086</v>
      </c>
      <c r="I1622" s="2">
        <v>3.5</v>
      </c>
      <c r="J1622" t="s">
        <v>111</v>
      </c>
    </row>
    <row r="1623" spans="1:10">
      <c r="A1623" t="s">
        <v>1781</v>
      </c>
      <c r="B1623" t="s">
        <v>110</v>
      </c>
      <c r="C1623" s="1">
        <v>45967</v>
      </c>
      <c r="D1623" t="s">
        <v>134</v>
      </c>
      <c r="E1623" t="s">
        <v>24</v>
      </c>
      <c r="F1623" s="3">
        <v>2025</v>
      </c>
      <c r="G1623" s="3">
        <v>4</v>
      </c>
      <c r="H1623" t="s">
        <v>1086</v>
      </c>
      <c r="I1623" s="2">
        <v>4.0999999999999996</v>
      </c>
      <c r="J1623" t="s">
        <v>111</v>
      </c>
    </row>
    <row r="1624" spans="1:10">
      <c r="A1624" t="s">
        <v>1782</v>
      </c>
      <c r="B1624" t="s">
        <v>110</v>
      </c>
      <c r="C1624" s="1">
        <v>45967</v>
      </c>
      <c r="D1624" t="s">
        <v>210</v>
      </c>
      <c r="E1624" t="s">
        <v>25</v>
      </c>
      <c r="F1624" s="3">
        <v>2025</v>
      </c>
      <c r="G1624" s="3">
        <v>4</v>
      </c>
      <c r="H1624" t="s">
        <v>1086</v>
      </c>
      <c r="I1624" s="2">
        <v>2.8</v>
      </c>
      <c r="J1624" t="s">
        <v>111</v>
      </c>
    </row>
    <row r="1625" spans="1:10">
      <c r="A1625" t="s">
        <v>1783</v>
      </c>
      <c r="B1625" t="s">
        <v>110</v>
      </c>
      <c r="C1625" s="1">
        <v>45967</v>
      </c>
      <c r="D1625" t="s">
        <v>212</v>
      </c>
      <c r="E1625" t="s">
        <v>26</v>
      </c>
      <c r="F1625" s="3">
        <v>2025</v>
      </c>
      <c r="G1625" s="3">
        <v>4</v>
      </c>
      <c r="H1625" t="s">
        <v>1086</v>
      </c>
      <c r="I1625" s="2">
        <v>3.1</v>
      </c>
      <c r="J1625" t="s">
        <v>111</v>
      </c>
    </row>
    <row r="1626" spans="1:10">
      <c r="A1626" t="s">
        <v>1784</v>
      </c>
      <c r="B1626" t="s">
        <v>110</v>
      </c>
      <c r="C1626" s="1">
        <v>45967</v>
      </c>
      <c r="D1626" t="s">
        <v>22</v>
      </c>
      <c r="E1626" t="s">
        <v>22</v>
      </c>
      <c r="F1626" s="3">
        <v>2026</v>
      </c>
      <c r="G1626" s="3">
        <v>1</v>
      </c>
      <c r="H1626" t="s">
        <v>1183</v>
      </c>
      <c r="I1626" s="2">
        <v>3.5</v>
      </c>
      <c r="J1626" t="s">
        <v>111</v>
      </c>
    </row>
    <row r="1627" spans="1:10">
      <c r="A1627" t="s">
        <v>1785</v>
      </c>
      <c r="B1627" t="s">
        <v>110</v>
      </c>
      <c r="C1627" s="1">
        <v>45967</v>
      </c>
      <c r="D1627" t="s">
        <v>134</v>
      </c>
      <c r="E1627" t="s">
        <v>24</v>
      </c>
      <c r="F1627" s="3">
        <v>2026</v>
      </c>
      <c r="G1627" s="3">
        <v>1</v>
      </c>
      <c r="H1627" t="s">
        <v>1183</v>
      </c>
      <c r="I1627" s="2">
        <v>3.8</v>
      </c>
      <c r="J1627" t="s">
        <v>111</v>
      </c>
    </row>
    <row r="1628" spans="1:10">
      <c r="A1628" t="s">
        <v>1786</v>
      </c>
      <c r="B1628" t="s">
        <v>110</v>
      </c>
      <c r="C1628" s="1">
        <v>45967</v>
      </c>
      <c r="D1628" t="s">
        <v>210</v>
      </c>
      <c r="E1628" t="s">
        <v>25</v>
      </c>
      <c r="F1628" s="3">
        <v>2026</v>
      </c>
      <c r="G1628" s="3">
        <v>1</v>
      </c>
      <c r="H1628" t="s">
        <v>1183</v>
      </c>
      <c r="I1628" s="2">
        <v>2.9</v>
      </c>
      <c r="J1628" t="s">
        <v>111</v>
      </c>
    </row>
    <row r="1629" spans="1:10">
      <c r="A1629" t="s">
        <v>1787</v>
      </c>
      <c r="B1629" t="s">
        <v>110</v>
      </c>
      <c r="C1629" s="1">
        <v>45967</v>
      </c>
      <c r="D1629" t="s">
        <v>212</v>
      </c>
      <c r="E1629" t="s">
        <v>26</v>
      </c>
      <c r="F1629" s="3">
        <v>2026</v>
      </c>
      <c r="G1629" s="3">
        <v>1</v>
      </c>
      <c r="H1629" t="s">
        <v>1183</v>
      </c>
      <c r="I1629" s="2">
        <v>3</v>
      </c>
      <c r="J1629" t="s">
        <v>111</v>
      </c>
    </row>
    <row r="1630" spans="1:10">
      <c r="A1630" t="s">
        <v>1788</v>
      </c>
      <c r="B1630" t="s">
        <v>110</v>
      </c>
      <c r="C1630" s="1">
        <v>45967</v>
      </c>
      <c r="D1630" t="s">
        <v>22</v>
      </c>
      <c r="E1630" t="s">
        <v>22</v>
      </c>
      <c r="F1630" s="3">
        <v>2026</v>
      </c>
      <c r="G1630" s="3">
        <v>2</v>
      </c>
      <c r="H1630" t="s">
        <v>1276</v>
      </c>
      <c r="I1630" s="2">
        <v>3.2</v>
      </c>
      <c r="J1630" t="s">
        <v>111</v>
      </c>
    </row>
    <row r="1631" spans="1:10">
      <c r="A1631" t="s">
        <v>1789</v>
      </c>
      <c r="B1631" t="s">
        <v>110</v>
      </c>
      <c r="C1631" s="1">
        <v>45967</v>
      </c>
      <c r="D1631" t="s">
        <v>134</v>
      </c>
      <c r="E1631" t="s">
        <v>24</v>
      </c>
      <c r="F1631" s="3">
        <v>2026</v>
      </c>
      <c r="G1631" s="3">
        <v>2</v>
      </c>
      <c r="H1631" t="s">
        <v>1276</v>
      </c>
      <c r="I1631" s="2">
        <v>3.3</v>
      </c>
      <c r="J1631" t="s">
        <v>111</v>
      </c>
    </row>
    <row r="1632" spans="1:10">
      <c r="A1632" t="s">
        <v>1790</v>
      </c>
      <c r="B1632" t="s">
        <v>110</v>
      </c>
      <c r="C1632" s="1">
        <v>45967</v>
      </c>
      <c r="D1632" t="s">
        <v>210</v>
      </c>
      <c r="E1632" t="s">
        <v>25</v>
      </c>
      <c r="F1632" s="3">
        <v>2026</v>
      </c>
      <c r="G1632" s="3">
        <v>2</v>
      </c>
      <c r="H1632" t="s">
        <v>1276</v>
      </c>
      <c r="I1632" s="2">
        <v>3.6</v>
      </c>
      <c r="J1632" t="s">
        <v>111</v>
      </c>
    </row>
    <row r="1633" spans="1:10">
      <c r="A1633" t="s">
        <v>1791</v>
      </c>
      <c r="B1633" t="s">
        <v>110</v>
      </c>
      <c r="C1633" s="1">
        <v>45967</v>
      </c>
      <c r="D1633" t="s">
        <v>212</v>
      </c>
      <c r="E1633" t="s">
        <v>26</v>
      </c>
      <c r="F1633" s="3">
        <v>2026</v>
      </c>
      <c r="G1633" s="3">
        <v>2</v>
      </c>
      <c r="H1633" t="s">
        <v>1276</v>
      </c>
      <c r="I1633" s="2">
        <v>2.9</v>
      </c>
      <c r="J1633" t="s">
        <v>111</v>
      </c>
    </row>
    <row r="1634" spans="1:10">
      <c r="A1634" t="s">
        <v>1792</v>
      </c>
      <c r="B1634" t="s">
        <v>110</v>
      </c>
      <c r="C1634" s="1">
        <v>45967</v>
      </c>
      <c r="D1634" t="s">
        <v>22</v>
      </c>
      <c r="E1634" t="s">
        <v>22</v>
      </c>
      <c r="F1634" s="3">
        <v>2026</v>
      </c>
      <c r="G1634" s="3">
        <v>3</v>
      </c>
      <c r="H1634" t="s">
        <v>21</v>
      </c>
      <c r="I1634" s="2">
        <v>3</v>
      </c>
      <c r="J1634" t="s">
        <v>111</v>
      </c>
    </row>
    <row r="1635" spans="1:10">
      <c r="A1635" t="s">
        <v>1793</v>
      </c>
      <c r="B1635" t="s">
        <v>110</v>
      </c>
      <c r="C1635" s="1">
        <v>45967</v>
      </c>
      <c r="D1635" t="s">
        <v>134</v>
      </c>
      <c r="E1635" t="s">
        <v>24</v>
      </c>
      <c r="F1635" s="3">
        <v>2026</v>
      </c>
      <c r="G1635" s="3">
        <v>3</v>
      </c>
      <c r="H1635" t="s">
        <v>21</v>
      </c>
      <c r="I1635" s="2">
        <v>3</v>
      </c>
      <c r="J1635" t="s">
        <v>111</v>
      </c>
    </row>
    <row r="1636" spans="1:10">
      <c r="A1636" t="s">
        <v>1794</v>
      </c>
      <c r="B1636" t="s">
        <v>110</v>
      </c>
      <c r="C1636" s="1">
        <v>45967</v>
      </c>
      <c r="D1636" t="s">
        <v>210</v>
      </c>
      <c r="E1636" t="s">
        <v>25</v>
      </c>
      <c r="F1636" s="3">
        <v>2026</v>
      </c>
      <c r="G1636" s="3">
        <v>3</v>
      </c>
      <c r="H1636" t="s">
        <v>21</v>
      </c>
      <c r="I1636" s="2">
        <v>2.7</v>
      </c>
      <c r="J1636" t="s">
        <v>111</v>
      </c>
    </row>
    <row r="1637" spans="1:10">
      <c r="A1637" t="s">
        <v>1795</v>
      </c>
      <c r="B1637" t="s">
        <v>110</v>
      </c>
      <c r="C1637" s="1">
        <v>45967</v>
      </c>
      <c r="D1637" t="s">
        <v>212</v>
      </c>
      <c r="E1637" t="s">
        <v>26</v>
      </c>
      <c r="F1637" s="3">
        <v>2026</v>
      </c>
      <c r="G1637" s="3">
        <v>3</v>
      </c>
      <c r="H1637" t="s">
        <v>21</v>
      </c>
      <c r="I1637" s="2">
        <v>3.1</v>
      </c>
      <c r="J1637" t="s">
        <v>111</v>
      </c>
    </row>
    <row r="1638" spans="1:10">
      <c r="A1638" t="s">
        <v>1796</v>
      </c>
      <c r="B1638" t="s">
        <v>110</v>
      </c>
      <c r="C1638" s="1">
        <v>45967</v>
      </c>
      <c r="D1638" t="s">
        <v>22</v>
      </c>
      <c r="E1638" t="s">
        <v>22</v>
      </c>
      <c r="F1638" s="3">
        <v>2026</v>
      </c>
      <c r="G1638" s="3">
        <v>4</v>
      </c>
      <c r="H1638" t="s">
        <v>1469</v>
      </c>
      <c r="I1638" s="2">
        <v>3</v>
      </c>
      <c r="J1638" t="s">
        <v>111</v>
      </c>
    </row>
    <row r="1639" spans="1:10">
      <c r="A1639" t="s">
        <v>1797</v>
      </c>
      <c r="B1639" t="s">
        <v>110</v>
      </c>
      <c r="C1639" s="1">
        <v>45967</v>
      </c>
      <c r="D1639" t="s">
        <v>134</v>
      </c>
      <c r="E1639" t="s">
        <v>24</v>
      </c>
      <c r="F1639" s="3">
        <v>2026</v>
      </c>
      <c r="G1639" s="3">
        <v>4</v>
      </c>
      <c r="H1639" t="s">
        <v>1469</v>
      </c>
      <c r="I1639" s="2">
        <v>3</v>
      </c>
      <c r="J1639" t="s">
        <v>111</v>
      </c>
    </row>
    <row r="1640" spans="1:10">
      <c r="A1640" t="s">
        <v>1798</v>
      </c>
      <c r="B1640" t="s">
        <v>110</v>
      </c>
      <c r="C1640" s="1">
        <v>45967</v>
      </c>
      <c r="D1640" t="s">
        <v>210</v>
      </c>
      <c r="E1640" t="s">
        <v>25</v>
      </c>
      <c r="F1640" s="3">
        <v>2026</v>
      </c>
      <c r="G1640" s="3">
        <v>4</v>
      </c>
      <c r="H1640" t="s">
        <v>1469</v>
      </c>
      <c r="I1640" s="2">
        <v>2.7</v>
      </c>
      <c r="J1640" t="s">
        <v>111</v>
      </c>
    </row>
    <row r="1641" spans="1:10">
      <c r="A1641" t="s">
        <v>1799</v>
      </c>
      <c r="B1641" t="s">
        <v>110</v>
      </c>
      <c r="C1641" s="1">
        <v>45967</v>
      </c>
      <c r="D1641" t="s">
        <v>212</v>
      </c>
      <c r="E1641" t="s">
        <v>26</v>
      </c>
      <c r="F1641" s="3">
        <v>2026</v>
      </c>
      <c r="G1641" s="3">
        <v>4</v>
      </c>
      <c r="H1641" t="s">
        <v>1469</v>
      </c>
      <c r="I1641" s="2">
        <v>3</v>
      </c>
      <c r="J1641" t="s">
        <v>111</v>
      </c>
    </row>
    <row r="1642" spans="1:10">
      <c r="A1642" t="s">
        <v>1800</v>
      </c>
      <c r="B1642" t="s">
        <v>110</v>
      </c>
      <c r="C1642" s="1">
        <v>45967</v>
      </c>
      <c r="D1642" t="s">
        <v>22</v>
      </c>
      <c r="E1642" t="s">
        <v>22</v>
      </c>
      <c r="F1642" s="3">
        <v>2027</v>
      </c>
      <c r="G1642" s="3">
        <v>1</v>
      </c>
      <c r="H1642" t="s">
        <v>1566</v>
      </c>
      <c r="I1642" s="2">
        <v>3</v>
      </c>
      <c r="J1642" t="s">
        <v>111</v>
      </c>
    </row>
    <row r="1643" spans="1:10">
      <c r="A1643" t="s">
        <v>1801</v>
      </c>
      <c r="B1643" t="s">
        <v>110</v>
      </c>
      <c r="C1643" s="1">
        <v>45967</v>
      </c>
      <c r="D1643" t="s">
        <v>134</v>
      </c>
      <c r="E1643" t="s">
        <v>24</v>
      </c>
      <c r="F1643" s="3">
        <v>2027</v>
      </c>
      <c r="G1643" s="3">
        <v>1</v>
      </c>
      <c r="H1643" t="s">
        <v>1566</v>
      </c>
      <c r="I1643" s="2">
        <v>3</v>
      </c>
      <c r="J1643" t="s">
        <v>111</v>
      </c>
    </row>
    <row r="1644" spans="1:10">
      <c r="A1644" t="s">
        <v>1802</v>
      </c>
      <c r="B1644" t="s">
        <v>110</v>
      </c>
      <c r="C1644" s="1">
        <v>45967</v>
      </c>
      <c r="D1644" t="s">
        <v>210</v>
      </c>
      <c r="E1644" t="s">
        <v>25</v>
      </c>
      <c r="F1644" s="3">
        <v>2027</v>
      </c>
      <c r="G1644" s="3">
        <v>1</v>
      </c>
      <c r="H1644" t="s">
        <v>1566</v>
      </c>
      <c r="I1644" s="2">
        <v>2.9</v>
      </c>
      <c r="J1644" t="s">
        <v>111</v>
      </c>
    </row>
    <row r="1645" spans="1:10">
      <c r="A1645" t="s">
        <v>1803</v>
      </c>
      <c r="B1645" t="s">
        <v>110</v>
      </c>
      <c r="C1645" s="1">
        <v>45967</v>
      </c>
      <c r="D1645" t="s">
        <v>212</v>
      </c>
      <c r="E1645" t="s">
        <v>26</v>
      </c>
      <c r="F1645" s="3">
        <v>2027</v>
      </c>
      <c r="G1645" s="3">
        <v>1</v>
      </c>
      <c r="H1645" t="s">
        <v>1566</v>
      </c>
      <c r="I1645" s="2">
        <v>3</v>
      </c>
      <c r="J1645" t="s">
        <v>111</v>
      </c>
    </row>
    <row r="1646" spans="1:10">
      <c r="A1646" t="s">
        <v>1804</v>
      </c>
      <c r="B1646" t="s">
        <v>110</v>
      </c>
      <c r="C1646" s="1">
        <v>45967</v>
      </c>
      <c r="D1646" t="s">
        <v>22</v>
      </c>
      <c r="E1646" t="s">
        <v>22</v>
      </c>
      <c r="F1646" s="3">
        <v>2027</v>
      </c>
      <c r="G1646" s="3">
        <v>2</v>
      </c>
      <c r="H1646" t="s">
        <v>1663</v>
      </c>
      <c r="I1646" s="2">
        <v>3</v>
      </c>
      <c r="J1646" t="s">
        <v>111</v>
      </c>
    </row>
    <row r="1647" spans="1:10">
      <c r="A1647" t="s">
        <v>1805</v>
      </c>
      <c r="B1647" t="s">
        <v>110</v>
      </c>
      <c r="C1647" s="1">
        <v>45967</v>
      </c>
      <c r="D1647" t="s">
        <v>134</v>
      </c>
      <c r="E1647" t="s">
        <v>24</v>
      </c>
      <c r="F1647" s="3">
        <v>2027</v>
      </c>
      <c r="G1647" s="3">
        <v>2</v>
      </c>
      <c r="H1647" t="s">
        <v>1663</v>
      </c>
      <c r="I1647" s="2">
        <v>3</v>
      </c>
      <c r="J1647" t="s">
        <v>111</v>
      </c>
    </row>
    <row r="1648" spans="1:10">
      <c r="A1648" t="s">
        <v>1806</v>
      </c>
      <c r="B1648" t="s">
        <v>110</v>
      </c>
      <c r="C1648" s="1">
        <v>45967</v>
      </c>
      <c r="D1648" t="s">
        <v>210</v>
      </c>
      <c r="E1648" t="s">
        <v>25</v>
      </c>
      <c r="F1648" s="3">
        <v>2027</v>
      </c>
      <c r="G1648" s="3">
        <v>2</v>
      </c>
      <c r="H1648" t="s">
        <v>1663</v>
      </c>
      <c r="I1648" s="2">
        <v>3.5</v>
      </c>
      <c r="J1648" t="s">
        <v>111</v>
      </c>
    </row>
    <row r="1649" spans="1:10">
      <c r="A1649" t="s">
        <v>1807</v>
      </c>
      <c r="B1649" t="s">
        <v>110</v>
      </c>
      <c r="C1649" s="1">
        <v>45967</v>
      </c>
      <c r="D1649" t="s">
        <v>212</v>
      </c>
      <c r="E1649" t="s">
        <v>26</v>
      </c>
      <c r="F1649" s="3">
        <v>2027</v>
      </c>
      <c r="G1649" s="3">
        <v>2</v>
      </c>
      <c r="H1649" t="s">
        <v>1663</v>
      </c>
      <c r="I1649" s="2">
        <v>2.9</v>
      </c>
      <c r="J1649" t="s">
        <v>111</v>
      </c>
    </row>
    <row r="1650" spans="1:10">
      <c r="A1650" t="s">
        <v>1808</v>
      </c>
      <c r="B1650" t="s">
        <v>110</v>
      </c>
      <c r="C1650" s="1">
        <v>45967</v>
      </c>
      <c r="D1650" t="s">
        <v>22</v>
      </c>
      <c r="E1650" t="s">
        <v>22</v>
      </c>
      <c r="F1650" s="3">
        <v>2027</v>
      </c>
      <c r="G1650" s="3">
        <v>3</v>
      </c>
      <c r="H1650" t="s">
        <v>1760</v>
      </c>
      <c r="I1650" s="2">
        <v>3</v>
      </c>
      <c r="J1650" t="s">
        <v>111</v>
      </c>
    </row>
    <row r="1651" spans="1:10">
      <c r="A1651" t="s">
        <v>1809</v>
      </c>
      <c r="B1651" t="s">
        <v>110</v>
      </c>
      <c r="C1651" s="1">
        <v>45967</v>
      </c>
      <c r="D1651" t="s">
        <v>134</v>
      </c>
      <c r="E1651" t="s">
        <v>24</v>
      </c>
      <c r="F1651" s="3">
        <v>2027</v>
      </c>
      <c r="G1651" s="3">
        <v>3</v>
      </c>
      <c r="H1651" t="s">
        <v>1760</v>
      </c>
      <c r="I1651" s="2">
        <v>3</v>
      </c>
      <c r="J1651" t="s">
        <v>111</v>
      </c>
    </row>
    <row r="1652" spans="1:10">
      <c r="A1652" t="s">
        <v>1810</v>
      </c>
      <c r="B1652" t="s">
        <v>110</v>
      </c>
      <c r="C1652" s="1">
        <v>45967</v>
      </c>
      <c r="D1652" t="s">
        <v>210</v>
      </c>
      <c r="E1652" t="s">
        <v>25</v>
      </c>
      <c r="F1652" s="3">
        <v>2027</v>
      </c>
      <c r="G1652" s="3">
        <v>3</v>
      </c>
      <c r="H1652" t="s">
        <v>1760</v>
      </c>
      <c r="I1652" s="2">
        <v>2.8</v>
      </c>
      <c r="J1652" t="s">
        <v>111</v>
      </c>
    </row>
    <row r="1653" spans="1:10">
      <c r="A1653" t="s">
        <v>1811</v>
      </c>
      <c r="B1653" t="s">
        <v>110</v>
      </c>
      <c r="C1653" s="1">
        <v>45967</v>
      </c>
      <c r="D1653" t="s">
        <v>212</v>
      </c>
      <c r="E1653" t="s">
        <v>26</v>
      </c>
      <c r="F1653" s="3">
        <v>2027</v>
      </c>
      <c r="G1653" s="3">
        <v>3</v>
      </c>
      <c r="H1653" t="s">
        <v>1760</v>
      </c>
      <c r="I1653" s="2">
        <v>3</v>
      </c>
      <c r="J1653" t="s">
        <v>111</v>
      </c>
    </row>
    <row r="1654" spans="1:10">
      <c r="A1654" t="s">
        <v>1812</v>
      </c>
      <c r="B1654" t="s">
        <v>112</v>
      </c>
      <c r="C1654" s="1">
        <v>46009</v>
      </c>
      <c r="D1654" t="s">
        <v>22</v>
      </c>
      <c r="E1654" t="s">
        <v>22</v>
      </c>
      <c r="F1654" s="3">
        <v>2025</v>
      </c>
      <c r="G1654" s="3">
        <v>1</v>
      </c>
      <c r="H1654" t="s">
        <v>771</v>
      </c>
      <c r="I1654" s="2">
        <v>3.7</v>
      </c>
      <c r="J1654" t="s">
        <v>113</v>
      </c>
    </row>
    <row r="1655" spans="1:10">
      <c r="A1655" t="s">
        <v>1813</v>
      </c>
      <c r="B1655" t="s">
        <v>112</v>
      </c>
      <c r="C1655" s="1">
        <v>46009</v>
      </c>
      <c r="D1655" t="s">
        <v>134</v>
      </c>
      <c r="E1655" t="s">
        <v>24</v>
      </c>
      <c r="F1655" s="3">
        <v>2025</v>
      </c>
      <c r="G1655" s="3">
        <v>1</v>
      </c>
      <c r="H1655" t="s">
        <v>771</v>
      </c>
      <c r="I1655" s="2">
        <v>3.6</v>
      </c>
      <c r="J1655" t="s">
        <v>113</v>
      </c>
    </row>
    <row r="1656" spans="1:10">
      <c r="A1656" t="s">
        <v>1814</v>
      </c>
      <c r="B1656" t="s">
        <v>112</v>
      </c>
      <c r="C1656" s="1">
        <v>46009</v>
      </c>
      <c r="D1656" t="s">
        <v>210</v>
      </c>
      <c r="E1656" t="s">
        <v>25</v>
      </c>
      <c r="F1656" s="3">
        <v>2025</v>
      </c>
      <c r="G1656" s="3">
        <v>1</v>
      </c>
      <c r="H1656" t="s">
        <v>771</v>
      </c>
      <c r="I1656" s="2">
        <v>2.6</v>
      </c>
      <c r="J1656" t="s">
        <v>113</v>
      </c>
    </row>
    <row r="1657" spans="1:10">
      <c r="A1657" t="s">
        <v>1815</v>
      </c>
      <c r="B1657" t="s">
        <v>112</v>
      </c>
      <c r="C1657" s="1">
        <v>46009</v>
      </c>
      <c r="D1657" t="s">
        <v>212</v>
      </c>
      <c r="E1657" t="s">
        <v>26</v>
      </c>
      <c r="F1657" s="3">
        <v>2025</v>
      </c>
      <c r="G1657" s="3">
        <v>1</v>
      </c>
      <c r="H1657" t="s">
        <v>771</v>
      </c>
      <c r="I1657" s="2">
        <v>4.3</v>
      </c>
      <c r="J1657" t="s">
        <v>113</v>
      </c>
    </row>
    <row r="1658" spans="1:10">
      <c r="A1658" t="s">
        <v>1816</v>
      </c>
      <c r="B1658" t="s">
        <v>112</v>
      </c>
      <c r="C1658" s="1">
        <v>46009</v>
      </c>
      <c r="D1658" t="s">
        <v>22</v>
      </c>
      <c r="E1658" t="s">
        <v>22</v>
      </c>
      <c r="F1658" s="3">
        <v>2025</v>
      </c>
      <c r="G1658" s="3">
        <v>2</v>
      </c>
      <c r="H1658" t="s">
        <v>876</v>
      </c>
      <c r="I1658" s="2">
        <v>4.2</v>
      </c>
      <c r="J1658" t="s">
        <v>113</v>
      </c>
    </row>
    <row r="1659" spans="1:10">
      <c r="A1659" t="s">
        <v>1817</v>
      </c>
      <c r="B1659" t="s">
        <v>112</v>
      </c>
      <c r="C1659" s="1">
        <v>46009</v>
      </c>
      <c r="D1659" t="s">
        <v>134</v>
      </c>
      <c r="E1659" t="s">
        <v>24</v>
      </c>
      <c r="F1659" s="3">
        <v>2025</v>
      </c>
      <c r="G1659" s="3">
        <v>2</v>
      </c>
      <c r="H1659" t="s">
        <v>876</v>
      </c>
      <c r="I1659" s="2">
        <v>4.0999999999999996</v>
      </c>
      <c r="J1659" t="s">
        <v>113</v>
      </c>
    </row>
    <row r="1660" spans="1:10">
      <c r="A1660" t="s">
        <v>1818</v>
      </c>
      <c r="B1660" t="s">
        <v>112</v>
      </c>
      <c r="C1660" s="1">
        <v>46009</v>
      </c>
      <c r="D1660" t="s">
        <v>210</v>
      </c>
      <c r="E1660" t="s">
        <v>25</v>
      </c>
      <c r="F1660" s="3">
        <v>2025</v>
      </c>
      <c r="G1660" s="3">
        <v>2</v>
      </c>
      <c r="H1660" t="s">
        <v>876</v>
      </c>
      <c r="I1660" s="2">
        <v>5.6</v>
      </c>
      <c r="J1660" t="s">
        <v>113</v>
      </c>
    </row>
    <row r="1661" spans="1:10">
      <c r="A1661" t="s">
        <v>1819</v>
      </c>
      <c r="B1661" t="s">
        <v>112</v>
      </c>
      <c r="C1661" s="1">
        <v>46009</v>
      </c>
      <c r="D1661" t="s">
        <v>212</v>
      </c>
      <c r="E1661" t="s">
        <v>26</v>
      </c>
      <c r="F1661" s="3">
        <v>2025</v>
      </c>
      <c r="G1661" s="3">
        <v>2</v>
      </c>
      <c r="H1661" t="s">
        <v>876</v>
      </c>
      <c r="I1661" s="2">
        <v>4.9000000000000004</v>
      </c>
      <c r="J1661" t="s">
        <v>113</v>
      </c>
    </row>
    <row r="1662" spans="1:10">
      <c r="A1662" t="s">
        <v>1820</v>
      </c>
      <c r="B1662" t="s">
        <v>112</v>
      </c>
      <c r="C1662" s="1">
        <v>46009</v>
      </c>
      <c r="D1662" t="s">
        <v>22</v>
      </c>
      <c r="E1662" t="s">
        <v>22</v>
      </c>
      <c r="F1662" s="3">
        <v>2025</v>
      </c>
      <c r="G1662" s="3">
        <v>3</v>
      </c>
      <c r="H1662" t="s">
        <v>981</v>
      </c>
      <c r="I1662" s="2">
        <v>3.6</v>
      </c>
      <c r="J1662" t="s">
        <v>113</v>
      </c>
    </row>
    <row r="1663" spans="1:10">
      <c r="A1663" t="s">
        <v>1821</v>
      </c>
      <c r="B1663" t="s">
        <v>112</v>
      </c>
      <c r="C1663" s="1">
        <v>46009</v>
      </c>
      <c r="D1663" t="s">
        <v>134</v>
      </c>
      <c r="E1663" t="s">
        <v>24</v>
      </c>
      <c r="F1663" s="3">
        <v>2025</v>
      </c>
      <c r="G1663" s="3">
        <v>3</v>
      </c>
      <c r="H1663" t="s">
        <v>981</v>
      </c>
      <c r="I1663" s="2">
        <v>4.2</v>
      </c>
      <c r="J1663" t="s">
        <v>113</v>
      </c>
    </row>
    <row r="1664" spans="1:10">
      <c r="A1664" t="s">
        <v>1822</v>
      </c>
      <c r="B1664" t="s">
        <v>112</v>
      </c>
      <c r="C1664" s="1">
        <v>46009</v>
      </c>
      <c r="D1664" t="s">
        <v>210</v>
      </c>
      <c r="E1664" t="s">
        <v>25</v>
      </c>
      <c r="F1664" s="3">
        <v>2025</v>
      </c>
      <c r="G1664" s="3">
        <v>3</v>
      </c>
      <c r="H1664" t="s">
        <v>981</v>
      </c>
      <c r="I1664" s="2">
        <v>2.9</v>
      </c>
      <c r="J1664" t="s">
        <v>113</v>
      </c>
    </row>
    <row r="1665" spans="1:10">
      <c r="A1665" t="s">
        <v>1823</v>
      </c>
      <c r="B1665" t="s">
        <v>112</v>
      </c>
      <c r="C1665" s="1">
        <v>46009</v>
      </c>
      <c r="D1665" t="s">
        <v>212</v>
      </c>
      <c r="E1665" t="s">
        <v>26</v>
      </c>
      <c r="F1665" s="3">
        <v>2025</v>
      </c>
      <c r="G1665" s="3">
        <v>3</v>
      </c>
      <c r="H1665" t="s">
        <v>981</v>
      </c>
      <c r="I1665" s="2">
        <v>4.3</v>
      </c>
      <c r="J1665" t="s">
        <v>113</v>
      </c>
    </row>
    <row r="1666" spans="1:10">
      <c r="A1666" t="s">
        <v>1824</v>
      </c>
      <c r="B1666" t="s">
        <v>112</v>
      </c>
      <c r="C1666" s="1">
        <v>46009</v>
      </c>
      <c r="D1666" t="s">
        <v>22</v>
      </c>
      <c r="E1666" t="s">
        <v>22</v>
      </c>
      <c r="F1666" s="3">
        <v>2025</v>
      </c>
      <c r="G1666" s="3">
        <v>4</v>
      </c>
      <c r="H1666" t="s">
        <v>1086</v>
      </c>
      <c r="I1666" s="2">
        <v>3.7</v>
      </c>
      <c r="J1666" t="s">
        <v>113</v>
      </c>
    </row>
    <row r="1667" spans="1:10">
      <c r="A1667" t="s">
        <v>1825</v>
      </c>
      <c r="B1667" t="s">
        <v>112</v>
      </c>
      <c r="C1667" s="1">
        <v>46009</v>
      </c>
      <c r="D1667" t="s">
        <v>134</v>
      </c>
      <c r="E1667" t="s">
        <v>24</v>
      </c>
      <c r="F1667" s="3">
        <v>2025</v>
      </c>
      <c r="G1667" s="3">
        <v>4</v>
      </c>
      <c r="H1667" t="s">
        <v>1086</v>
      </c>
      <c r="I1667" s="2">
        <v>4.3</v>
      </c>
      <c r="J1667" t="s">
        <v>113</v>
      </c>
    </row>
    <row r="1668" spans="1:10">
      <c r="A1668" t="s">
        <v>1826</v>
      </c>
      <c r="B1668" t="s">
        <v>112</v>
      </c>
      <c r="C1668" s="1">
        <v>46009</v>
      </c>
      <c r="D1668" t="s">
        <v>210</v>
      </c>
      <c r="E1668" t="s">
        <v>25</v>
      </c>
      <c r="F1668" s="3">
        <v>2025</v>
      </c>
      <c r="G1668" s="3">
        <v>4</v>
      </c>
      <c r="H1668" t="s">
        <v>1086</v>
      </c>
      <c r="I1668" s="2">
        <v>3.4</v>
      </c>
      <c r="J1668" t="s">
        <v>113</v>
      </c>
    </row>
    <row r="1669" spans="1:10">
      <c r="A1669" t="s">
        <v>1827</v>
      </c>
      <c r="B1669" t="s">
        <v>112</v>
      </c>
      <c r="C1669" s="1">
        <v>46009</v>
      </c>
      <c r="D1669" t="s">
        <v>212</v>
      </c>
      <c r="E1669" t="s">
        <v>26</v>
      </c>
      <c r="F1669" s="3">
        <v>2025</v>
      </c>
      <c r="G1669" s="3">
        <v>4</v>
      </c>
      <c r="H1669" t="s">
        <v>1086</v>
      </c>
      <c r="I1669" s="2">
        <v>3.6</v>
      </c>
      <c r="J1669" t="s">
        <v>113</v>
      </c>
    </row>
    <row r="1670" spans="1:10">
      <c r="A1670" t="s">
        <v>1828</v>
      </c>
      <c r="B1670" t="s">
        <v>112</v>
      </c>
      <c r="C1670" s="1">
        <v>46009</v>
      </c>
      <c r="D1670" t="s">
        <v>22</v>
      </c>
      <c r="E1670" t="s">
        <v>22</v>
      </c>
      <c r="F1670" s="3">
        <v>2026</v>
      </c>
      <c r="G1670" s="3">
        <v>1</v>
      </c>
      <c r="H1670" t="s">
        <v>1183</v>
      </c>
      <c r="I1670" s="2">
        <v>3.7</v>
      </c>
      <c r="J1670" t="s">
        <v>113</v>
      </c>
    </row>
    <row r="1671" spans="1:10">
      <c r="A1671" t="s">
        <v>1829</v>
      </c>
      <c r="B1671" t="s">
        <v>112</v>
      </c>
      <c r="C1671" s="1">
        <v>46009</v>
      </c>
      <c r="D1671" t="s">
        <v>134</v>
      </c>
      <c r="E1671" t="s">
        <v>24</v>
      </c>
      <c r="F1671" s="3">
        <v>2026</v>
      </c>
      <c r="G1671" s="3">
        <v>1</v>
      </c>
      <c r="H1671" t="s">
        <v>1183</v>
      </c>
      <c r="I1671" s="2">
        <v>4</v>
      </c>
      <c r="J1671" t="s">
        <v>113</v>
      </c>
    </row>
    <row r="1672" spans="1:10">
      <c r="A1672" t="s">
        <v>1830</v>
      </c>
      <c r="B1672" t="s">
        <v>112</v>
      </c>
      <c r="C1672" s="1">
        <v>46009</v>
      </c>
      <c r="D1672" t="s">
        <v>210</v>
      </c>
      <c r="E1672" t="s">
        <v>25</v>
      </c>
      <c r="F1672" s="3">
        <v>2026</v>
      </c>
      <c r="G1672" s="3">
        <v>1</v>
      </c>
      <c r="H1672" t="s">
        <v>1183</v>
      </c>
      <c r="I1672" s="2">
        <v>3</v>
      </c>
      <c r="J1672" t="s">
        <v>113</v>
      </c>
    </row>
    <row r="1673" spans="1:10">
      <c r="A1673" t="s">
        <v>1831</v>
      </c>
      <c r="B1673" t="s">
        <v>112</v>
      </c>
      <c r="C1673" s="1">
        <v>46009</v>
      </c>
      <c r="D1673" t="s">
        <v>212</v>
      </c>
      <c r="E1673" t="s">
        <v>26</v>
      </c>
      <c r="F1673" s="3">
        <v>2026</v>
      </c>
      <c r="G1673" s="3">
        <v>1</v>
      </c>
      <c r="H1673" t="s">
        <v>1183</v>
      </c>
      <c r="I1673" s="2">
        <v>3.1</v>
      </c>
      <c r="J1673" t="s">
        <v>113</v>
      </c>
    </row>
    <row r="1674" spans="1:10">
      <c r="A1674" t="s">
        <v>1832</v>
      </c>
      <c r="B1674" t="s">
        <v>112</v>
      </c>
      <c r="C1674" s="1">
        <v>46009</v>
      </c>
      <c r="D1674" t="s">
        <v>22</v>
      </c>
      <c r="E1674" t="s">
        <v>22</v>
      </c>
      <c r="F1674" s="3">
        <v>2026</v>
      </c>
      <c r="G1674" s="3">
        <v>2</v>
      </c>
      <c r="H1674" t="s">
        <v>1276</v>
      </c>
      <c r="I1674" s="2">
        <v>3.3</v>
      </c>
      <c r="J1674" t="s">
        <v>113</v>
      </c>
    </row>
    <row r="1675" spans="1:10">
      <c r="A1675" t="s">
        <v>1833</v>
      </c>
      <c r="B1675" t="s">
        <v>112</v>
      </c>
      <c r="C1675" s="1">
        <v>46009</v>
      </c>
      <c r="D1675" t="s">
        <v>134</v>
      </c>
      <c r="E1675" t="s">
        <v>24</v>
      </c>
      <c r="F1675" s="3">
        <v>2026</v>
      </c>
      <c r="G1675" s="3">
        <v>2</v>
      </c>
      <c r="H1675" t="s">
        <v>1276</v>
      </c>
      <c r="I1675" s="2">
        <v>3.4</v>
      </c>
      <c r="J1675" t="s">
        <v>113</v>
      </c>
    </row>
    <row r="1676" spans="1:10">
      <c r="A1676" t="s">
        <v>1834</v>
      </c>
      <c r="B1676" t="s">
        <v>112</v>
      </c>
      <c r="C1676" s="1">
        <v>46009</v>
      </c>
      <c r="D1676" t="s">
        <v>210</v>
      </c>
      <c r="E1676" t="s">
        <v>25</v>
      </c>
      <c r="F1676" s="3">
        <v>2026</v>
      </c>
      <c r="G1676" s="3">
        <v>2</v>
      </c>
      <c r="H1676" t="s">
        <v>1276</v>
      </c>
      <c r="I1676" s="2">
        <v>3.2</v>
      </c>
      <c r="J1676" t="s">
        <v>113</v>
      </c>
    </row>
    <row r="1677" spans="1:10">
      <c r="A1677" t="s">
        <v>1835</v>
      </c>
      <c r="B1677" t="s">
        <v>112</v>
      </c>
      <c r="C1677" s="1">
        <v>46009</v>
      </c>
      <c r="D1677" t="s">
        <v>212</v>
      </c>
      <c r="E1677" t="s">
        <v>26</v>
      </c>
      <c r="F1677" s="3">
        <v>2026</v>
      </c>
      <c r="G1677" s="3">
        <v>2</v>
      </c>
      <c r="H1677" t="s">
        <v>1276</v>
      </c>
      <c r="I1677" s="2">
        <v>2.6</v>
      </c>
      <c r="J1677" t="s">
        <v>113</v>
      </c>
    </row>
    <row r="1678" spans="1:10">
      <c r="A1678" t="s">
        <v>1836</v>
      </c>
      <c r="B1678" t="s">
        <v>112</v>
      </c>
      <c r="C1678" s="1">
        <v>46009</v>
      </c>
      <c r="D1678" t="s">
        <v>22</v>
      </c>
      <c r="E1678" t="s">
        <v>22</v>
      </c>
      <c r="F1678" s="3">
        <v>2026</v>
      </c>
      <c r="G1678" s="3">
        <v>3</v>
      </c>
      <c r="H1678" t="s">
        <v>21</v>
      </c>
      <c r="I1678" s="2">
        <v>3</v>
      </c>
      <c r="J1678" t="s">
        <v>113</v>
      </c>
    </row>
    <row r="1679" spans="1:10">
      <c r="A1679" t="s">
        <v>1837</v>
      </c>
      <c r="B1679" t="s">
        <v>112</v>
      </c>
      <c r="C1679" s="1">
        <v>46009</v>
      </c>
      <c r="D1679" t="s">
        <v>134</v>
      </c>
      <c r="E1679" t="s">
        <v>24</v>
      </c>
      <c r="F1679" s="3">
        <v>2026</v>
      </c>
      <c r="G1679" s="3">
        <v>3</v>
      </c>
      <c r="H1679" t="s">
        <v>21</v>
      </c>
      <c r="I1679" s="2">
        <v>3</v>
      </c>
      <c r="J1679" t="s">
        <v>113</v>
      </c>
    </row>
    <row r="1680" spans="1:10">
      <c r="A1680" t="s">
        <v>1838</v>
      </c>
      <c r="B1680" t="s">
        <v>112</v>
      </c>
      <c r="C1680" s="1">
        <v>46009</v>
      </c>
      <c r="D1680" t="s">
        <v>210</v>
      </c>
      <c r="E1680" t="s">
        <v>25</v>
      </c>
      <c r="F1680" s="3">
        <v>2026</v>
      </c>
      <c r="G1680" s="3">
        <v>3</v>
      </c>
      <c r="H1680" t="s">
        <v>21</v>
      </c>
      <c r="I1680" s="2">
        <v>2.5</v>
      </c>
      <c r="J1680" t="s">
        <v>113</v>
      </c>
    </row>
    <row r="1681" spans="1:10">
      <c r="A1681" t="s">
        <v>1839</v>
      </c>
      <c r="B1681" t="s">
        <v>112</v>
      </c>
      <c r="C1681" s="1">
        <v>46009</v>
      </c>
      <c r="D1681" t="s">
        <v>212</v>
      </c>
      <c r="E1681" t="s">
        <v>26</v>
      </c>
      <c r="F1681" s="3">
        <v>2026</v>
      </c>
      <c r="G1681" s="3">
        <v>3</v>
      </c>
      <c r="H1681" t="s">
        <v>21</v>
      </c>
      <c r="I1681" s="2">
        <v>2.9</v>
      </c>
      <c r="J1681" t="s">
        <v>113</v>
      </c>
    </row>
    <row r="1682" spans="1:10">
      <c r="A1682" t="s">
        <v>1840</v>
      </c>
      <c r="B1682" t="s">
        <v>112</v>
      </c>
      <c r="C1682" s="1">
        <v>46009</v>
      </c>
      <c r="D1682" t="s">
        <v>22</v>
      </c>
      <c r="E1682" t="s">
        <v>22</v>
      </c>
      <c r="F1682" s="3">
        <v>2026</v>
      </c>
      <c r="G1682" s="3">
        <v>4</v>
      </c>
      <c r="H1682" t="s">
        <v>1469</v>
      </c>
      <c r="I1682" s="2">
        <v>3</v>
      </c>
      <c r="J1682" t="s">
        <v>113</v>
      </c>
    </row>
    <row r="1683" spans="1:10">
      <c r="A1683" t="s">
        <v>1841</v>
      </c>
      <c r="B1683" t="s">
        <v>112</v>
      </c>
      <c r="C1683" s="1">
        <v>46009</v>
      </c>
      <c r="D1683" t="s">
        <v>134</v>
      </c>
      <c r="E1683" t="s">
        <v>24</v>
      </c>
      <c r="F1683" s="3">
        <v>2026</v>
      </c>
      <c r="G1683" s="3">
        <v>4</v>
      </c>
      <c r="H1683" t="s">
        <v>1469</v>
      </c>
      <c r="I1683" s="2">
        <v>3</v>
      </c>
      <c r="J1683" t="s">
        <v>113</v>
      </c>
    </row>
    <row r="1684" spans="1:10">
      <c r="A1684" t="s">
        <v>1842</v>
      </c>
      <c r="B1684" t="s">
        <v>112</v>
      </c>
      <c r="C1684" s="1">
        <v>46009</v>
      </c>
      <c r="D1684" t="s">
        <v>210</v>
      </c>
      <c r="E1684" t="s">
        <v>25</v>
      </c>
      <c r="F1684" s="3">
        <v>2026</v>
      </c>
      <c r="G1684" s="3">
        <v>4</v>
      </c>
      <c r="H1684" t="s">
        <v>1469</v>
      </c>
      <c r="I1684" s="2">
        <v>3.2</v>
      </c>
      <c r="J1684" t="s">
        <v>113</v>
      </c>
    </row>
    <row r="1685" spans="1:10">
      <c r="A1685" t="s">
        <v>1843</v>
      </c>
      <c r="B1685" t="s">
        <v>112</v>
      </c>
      <c r="C1685" s="1">
        <v>46009</v>
      </c>
      <c r="D1685" t="s">
        <v>212</v>
      </c>
      <c r="E1685" t="s">
        <v>26</v>
      </c>
      <c r="F1685" s="3">
        <v>2026</v>
      </c>
      <c r="G1685" s="3">
        <v>4</v>
      </c>
      <c r="H1685" t="s">
        <v>1469</v>
      </c>
      <c r="I1685" s="2">
        <v>3.3</v>
      </c>
      <c r="J1685" t="s">
        <v>113</v>
      </c>
    </row>
    <row r="1686" spans="1:10">
      <c r="A1686" t="s">
        <v>1844</v>
      </c>
      <c r="B1686" t="s">
        <v>112</v>
      </c>
      <c r="C1686" s="1">
        <v>46009</v>
      </c>
      <c r="D1686" t="s">
        <v>22</v>
      </c>
      <c r="E1686" t="s">
        <v>22</v>
      </c>
      <c r="F1686" s="3">
        <v>2027</v>
      </c>
      <c r="G1686" s="3">
        <v>1</v>
      </c>
      <c r="H1686" t="s">
        <v>1566</v>
      </c>
      <c r="I1686" s="2">
        <v>3</v>
      </c>
      <c r="J1686" t="s">
        <v>113</v>
      </c>
    </row>
    <row r="1687" spans="1:10">
      <c r="A1687" t="s">
        <v>1845</v>
      </c>
      <c r="B1687" t="s">
        <v>112</v>
      </c>
      <c r="C1687" s="1">
        <v>46009</v>
      </c>
      <c r="D1687" t="s">
        <v>134</v>
      </c>
      <c r="E1687" t="s">
        <v>24</v>
      </c>
      <c r="F1687" s="3">
        <v>2027</v>
      </c>
      <c r="G1687" s="3">
        <v>1</v>
      </c>
      <c r="H1687" t="s">
        <v>1566</v>
      </c>
      <c r="I1687" s="2">
        <v>3</v>
      </c>
      <c r="J1687" t="s">
        <v>113</v>
      </c>
    </row>
    <row r="1688" spans="1:10">
      <c r="A1688" t="s">
        <v>1846</v>
      </c>
      <c r="B1688" t="s">
        <v>112</v>
      </c>
      <c r="C1688" s="1">
        <v>46009</v>
      </c>
      <c r="D1688" t="s">
        <v>210</v>
      </c>
      <c r="E1688" t="s">
        <v>25</v>
      </c>
      <c r="F1688" s="3">
        <v>2027</v>
      </c>
      <c r="G1688" s="3">
        <v>1</v>
      </c>
      <c r="H1688" t="s">
        <v>1566</v>
      </c>
      <c r="I1688" s="2">
        <v>3</v>
      </c>
      <c r="J1688" t="s">
        <v>113</v>
      </c>
    </row>
    <row r="1689" spans="1:10">
      <c r="A1689" t="s">
        <v>1847</v>
      </c>
      <c r="B1689" t="s">
        <v>112</v>
      </c>
      <c r="C1689" s="1">
        <v>46009</v>
      </c>
      <c r="D1689" t="s">
        <v>212</v>
      </c>
      <c r="E1689" t="s">
        <v>26</v>
      </c>
      <c r="F1689" s="3">
        <v>2027</v>
      </c>
      <c r="G1689" s="3">
        <v>1</v>
      </c>
      <c r="H1689" t="s">
        <v>1566</v>
      </c>
      <c r="I1689" s="2">
        <v>3.1</v>
      </c>
      <c r="J1689" t="s">
        <v>113</v>
      </c>
    </row>
    <row r="1690" spans="1:10">
      <c r="A1690" t="s">
        <v>1848</v>
      </c>
      <c r="B1690" t="s">
        <v>112</v>
      </c>
      <c r="C1690" s="1">
        <v>46009</v>
      </c>
      <c r="D1690" t="s">
        <v>22</v>
      </c>
      <c r="E1690" t="s">
        <v>22</v>
      </c>
      <c r="F1690" s="3">
        <v>2027</v>
      </c>
      <c r="G1690" s="3">
        <v>2</v>
      </c>
      <c r="H1690" t="s">
        <v>1663</v>
      </c>
      <c r="I1690" s="2">
        <v>3</v>
      </c>
      <c r="J1690" t="s">
        <v>113</v>
      </c>
    </row>
    <row r="1691" spans="1:10">
      <c r="A1691" t="s">
        <v>1849</v>
      </c>
      <c r="B1691" t="s">
        <v>112</v>
      </c>
      <c r="C1691" s="1">
        <v>46009</v>
      </c>
      <c r="D1691" t="s">
        <v>134</v>
      </c>
      <c r="E1691" t="s">
        <v>24</v>
      </c>
      <c r="F1691" s="3">
        <v>2027</v>
      </c>
      <c r="G1691" s="3">
        <v>2</v>
      </c>
      <c r="H1691" t="s">
        <v>1663</v>
      </c>
      <c r="I1691" s="2">
        <v>3</v>
      </c>
      <c r="J1691" t="s">
        <v>113</v>
      </c>
    </row>
    <row r="1692" spans="1:10">
      <c r="A1692" t="s">
        <v>1850</v>
      </c>
      <c r="B1692" t="s">
        <v>112</v>
      </c>
      <c r="C1692" s="1">
        <v>46009</v>
      </c>
      <c r="D1692" t="s">
        <v>210</v>
      </c>
      <c r="E1692" t="s">
        <v>25</v>
      </c>
      <c r="F1692" s="3">
        <v>2027</v>
      </c>
      <c r="G1692" s="3">
        <v>2</v>
      </c>
      <c r="H1692" t="s">
        <v>1663</v>
      </c>
      <c r="I1692" s="2">
        <v>3.2</v>
      </c>
      <c r="J1692" t="s">
        <v>113</v>
      </c>
    </row>
    <row r="1693" spans="1:10">
      <c r="A1693" t="s">
        <v>1851</v>
      </c>
      <c r="B1693" t="s">
        <v>112</v>
      </c>
      <c r="C1693" s="1">
        <v>46009</v>
      </c>
      <c r="D1693" t="s">
        <v>212</v>
      </c>
      <c r="E1693" t="s">
        <v>26</v>
      </c>
      <c r="F1693" s="3">
        <v>2027</v>
      </c>
      <c r="G1693" s="3">
        <v>2</v>
      </c>
      <c r="H1693" t="s">
        <v>1663</v>
      </c>
      <c r="I1693" s="2">
        <v>2.7</v>
      </c>
      <c r="J1693" t="s">
        <v>113</v>
      </c>
    </row>
    <row r="1694" spans="1:10">
      <c r="A1694" t="s">
        <v>1852</v>
      </c>
      <c r="B1694" t="s">
        <v>112</v>
      </c>
      <c r="C1694" s="1">
        <v>46009</v>
      </c>
      <c r="D1694" t="s">
        <v>22</v>
      </c>
      <c r="E1694" t="s">
        <v>22</v>
      </c>
      <c r="F1694" s="3">
        <v>2027</v>
      </c>
      <c r="G1694" s="3">
        <v>3</v>
      </c>
      <c r="H1694" t="s">
        <v>1760</v>
      </c>
      <c r="I1694" s="2">
        <v>3</v>
      </c>
      <c r="J1694" t="s">
        <v>113</v>
      </c>
    </row>
    <row r="1695" spans="1:10">
      <c r="A1695" t="s">
        <v>1853</v>
      </c>
      <c r="B1695" t="s">
        <v>112</v>
      </c>
      <c r="C1695" s="1">
        <v>46009</v>
      </c>
      <c r="D1695" t="s">
        <v>134</v>
      </c>
      <c r="E1695" t="s">
        <v>24</v>
      </c>
      <c r="F1695" s="3">
        <v>2027</v>
      </c>
      <c r="G1695" s="3">
        <v>3</v>
      </c>
      <c r="H1695" t="s">
        <v>1760</v>
      </c>
      <c r="I1695" s="2">
        <v>3</v>
      </c>
      <c r="J1695" t="s">
        <v>113</v>
      </c>
    </row>
    <row r="1696" spans="1:10">
      <c r="A1696" t="s">
        <v>1854</v>
      </c>
      <c r="B1696" t="s">
        <v>112</v>
      </c>
      <c r="C1696" s="1">
        <v>46009</v>
      </c>
      <c r="D1696" t="s">
        <v>210</v>
      </c>
      <c r="E1696" t="s">
        <v>25</v>
      </c>
      <c r="F1696" s="3">
        <v>2027</v>
      </c>
      <c r="G1696" s="3">
        <v>3</v>
      </c>
      <c r="H1696" t="s">
        <v>1760</v>
      </c>
      <c r="I1696" s="2">
        <v>2.6</v>
      </c>
      <c r="J1696" t="s">
        <v>113</v>
      </c>
    </row>
    <row r="1697" spans="1:10">
      <c r="A1697" t="s">
        <v>1855</v>
      </c>
      <c r="B1697" t="s">
        <v>112</v>
      </c>
      <c r="C1697" s="1">
        <v>46009</v>
      </c>
      <c r="D1697" t="s">
        <v>212</v>
      </c>
      <c r="E1697" t="s">
        <v>26</v>
      </c>
      <c r="F1697" s="3">
        <v>2027</v>
      </c>
      <c r="G1697" s="3">
        <v>3</v>
      </c>
      <c r="H1697" t="s">
        <v>1760</v>
      </c>
      <c r="I1697" s="2">
        <v>2.8</v>
      </c>
      <c r="J1697" t="s">
        <v>113</v>
      </c>
    </row>
    <row r="1698" spans="1:10">
      <c r="A1698" t="s">
        <v>1856</v>
      </c>
      <c r="B1698" t="s">
        <v>112</v>
      </c>
      <c r="C1698" s="1">
        <v>46009</v>
      </c>
      <c r="D1698" t="s">
        <v>22</v>
      </c>
      <c r="E1698" t="s">
        <v>22</v>
      </c>
      <c r="F1698" s="3">
        <v>2027</v>
      </c>
      <c r="G1698" s="3">
        <v>4</v>
      </c>
      <c r="H1698" t="s">
        <v>1857</v>
      </c>
      <c r="I1698" s="2">
        <v>3</v>
      </c>
      <c r="J1698" t="s">
        <v>113</v>
      </c>
    </row>
    <row r="1699" spans="1:10">
      <c r="A1699" t="s">
        <v>1858</v>
      </c>
      <c r="B1699" t="s">
        <v>112</v>
      </c>
      <c r="C1699" s="1">
        <v>46009</v>
      </c>
      <c r="D1699" t="s">
        <v>134</v>
      </c>
      <c r="E1699" t="s">
        <v>24</v>
      </c>
      <c r="F1699" s="3">
        <v>2027</v>
      </c>
      <c r="G1699" s="3">
        <v>4</v>
      </c>
      <c r="H1699" t="s">
        <v>1857</v>
      </c>
      <c r="I1699" s="2">
        <v>3</v>
      </c>
      <c r="J1699" t="s">
        <v>113</v>
      </c>
    </row>
    <row r="1700" spans="1:10">
      <c r="A1700" t="s">
        <v>1859</v>
      </c>
      <c r="B1700" t="s">
        <v>112</v>
      </c>
      <c r="C1700" s="1">
        <v>46009</v>
      </c>
      <c r="D1700" t="s">
        <v>210</v>
      </c>
      <c r="E1700" t="s">
        <v>25</v>
      </c>
      <c r="F1700" s="3">
        <v>2027</v>
      </c>
      <c r="G1700" s="3">
        <v>4</v>
      </c>
      <c r="H1700" t="s">
        <v>1857</v>
      </c>
      <c r="I1700" s="2">
        <v>3.1</v>
      </c>
      <c r="J1700" t="s">
        <v>113</v>
      </c>
    </row>
    <row r="1701" spans="1:10">
      <c r="A1701" t="s">
        <v>1860</v>
      </c>
      <c r="B1701" t="s">
        <v>112</v>
      </c>
      <c r="C1701" s="1">
        <v>46009</v>
      </c>
      <c r="D1701" t="s">
        <v>212</v>
      </c>
      <c r="E1701" t="s">
        <v>26</v>
      </c>
      <c r="F1701" s="3">
        <v>2027</v>
      </c>
      <c r="G1701" s="3">
        <v>4</v>
      </c>
      <c r="H1701" t="s">
        <v>1857</v>
      </c>
      <c r="I1701" s="2">
        <v>3.2</v>
      </c>
      <c r="J1701" t="s">
        <v>113</v>
      </c>
    </row>
    <row r="1702" spans="1:10">
      <c r="A1702" t="s">
        <v>1861</v>
      </c>
      <c r="B1702" t="s">
        <v>114</v>
      </c>
      <c r="C1702" s="1">
        <v>46058</v>
      </c>
      <c r="D1702" t="s">
        <v>22</v>
      </c>
      <c r="E1702" t="s">
        <v>22</v>
      </c>
      <c r="F1702" s="3">
        <v>2025</v>
      </c>
      <c r="G1702" s="3">
        <v>1</v>
      </c>
      <c r="H1702" t="s">
        <v>771</v>
      </c>
      <c r="I1702" s="2">
        <v>3.7</v>
      </c>
      <c r="J1702" t="s">
        <v>115</v>
      </c>
    </row>
    <row r="1703" spans="1:10">
      <c r="A1703" t="s">
        <v>1862</v>
      </c>
      <c r="B1703" t="s">
        <v>114</v>
      </c>
      <c r="C1703" s="1">
        <v>46058</v>
      </c>
      <c r="D1703" t="s">
        <v>134</v>
      </c>
      <c r="E1703" t="s">
        <v>24</v>
      </c>
      <c r="F1703" s="3">
        <v>2025</v>
      </c>
      <c r="G1703" s="3">
        <v>1</v>
      </c>
      <c r="H1703" t="s">
        <v>771</v>
      </c>
      <c r="I1703" s="2">
        <v>3.6</v>
      </c>
      <c r="J1703" t="s">
        <v>115</v>
      </c>
    </row>
    <row r="1704" spans="1:10">
      <c r="A1704" t="s">
        <v>1863</v>
      </c>
      <c r="B1704" t="s">
        <v>114</v>
      </c>
      <c r="C1704" s="1">
        <v>46058</v>
      </c>
      <c r="D1704" t="s">
        <v>210</v>
      </c>
      <c r="E1704" t="s">
        <v>25</v>
      </c>
      <c r="F1704" s="3">
        <v>2025</v>
      </c>
      <c r="G1704" s="3">
        <v>1</v>
      </c>
      <c r="H1704" t="s">
        <v>771</v>
      </c>
      <c r="I1704" s="2">
        <v>2.8</v>
      </c>
      <c r="J1704" t="s">
        <v>115</v>
      </c>
    </row>
    <row r="1705" spans="1:10">
      <c r="A1705" t="s">
        <v>1864</v>
      </c>
      <c r="B1705" t="s">
        <v>114</v>
      </c>
      <c r="C1705" s="1">
        <v>46058</v>
      </c>
      <c r="D1705" t="s">
        <v>212</v>
      </c>
      <c r="E1705" t="s">
        <v>26</v>
      </c>
      <c r="F1705" s="3">
        <v>2025</v>
      </c>
      <c r="G1705" s="3">
        <v>1</v>
      </c>
      <c r="H1705" t="s">
        <v>771</v>
      </c>
      <c r="I1705" s="2">
        <v>4.3</v>
      </c>
      <c r="J1705" t="s">
        <v>115</v>
      </c>
    </row>
    <row r="1706" spans="1:10">
      <c r="A1706" t="s">
        <v>1865</v>
      </c>
      <c r="B1706" t="s">
        <v>114</v>
      </c>
      <c r="C1706" s="1">
        <v>46058</v>
      </c>
      <c r="D1706" t="s">
        <v>22</v>
      </c>
      <c r="E1706" t="s">
        <v>22</v>
      </c>
      <c r="F1706" s="3">
        <v>2025</v>
      </c>
      <c r="G1706" s="3">
        <v>2</v>
      </c>
      <c r="H1706" t="s">
        <v>876</v>
      </c>
      <c r="I1706" s="2">
        <v>4.2</v>
      </c>
      <c r="J1706" t="s">
        <v>115</v>
      </c>
    </row>
    <row r="1707" spans="1:10">
      <c r="A1707" t="s">
        <v>1866</v>
      </c>
      <c r="B1707" t="s">
        <v>114</v>
      </c>
      <c r="C1707" s="1">
        <v>46058</v>
      </c>
      <c r="D1707" t="s">
        <v>134</v>
      </c>
      <c r="E1707" t="s">
        <v>24</v>
      </c>
      <c r="F1707" s="3">
        <v>2025</v>
      </c>
      <c r="G1707" s="3">
        <v>2</v>
      </c>
      <c r="H1707" t="s">
        <v>876</v>
      </c>
      <c r="I1707" s="2">
        <v>4.0999999999999996</v>
      </c>
      <c r="J1707" t="s">
        <v>115</v>
      </c>
    </row>
    <row r="1708" spans="1:10">
      <c r="A1708" t="s">
        <v>1867</v>
      </c>
      <c r="B1708" t="s">
        <v>114</v>
      </c>
      <c r="C1708" s="1">
        <v>46058</v>
      </c>
      <c r="D1708" t="s">
        <v>210</v>
      </c>
      <c r="E1708" t="s">
        <v>25</v>
      </c>
      <c r="F1708" s="3">
        <v>2025</v>
      </c>
      <c r="G1708" s="3">
        <v>2</v>
      </c>
      <c r="H1708" t="s">
        <v>876</v>
      </c>
      <c r="I1708" s="2">
        <v>5.5</v>
      </c>
      <c r="J1708" t="s">
        <v>115</v>
      </c>
    </row>
    <row r="1709" spans="1:10">
      <c r="A1709" t="s">
        <v>1868</v>
      </c>
      <c r="B1709" t="s">
        <v>114</v>
      </c>
      <c r="C1709" s="1">
        <v>46058</v>
      </c>
      <c r="D1709" t="s">
        <v>212</v>
      </c>
      <c r="E1709" t="s">
        <v>26</v>
      </c>
      <c r="F1709" s="3">
        <v>2025</v>
      </c>
      <c r="G1709" s="3">
        <v>2</v>
      </c>
      <c r="H1709" t="s">
        <v>876</v>
      </c>
      <c r="I1709" s="2">
        <v>4.9000000000000004</v>
      </c>
      <c r="J1709" t="s">
        <v>115</v>
      </c>
    </row>
    <row r="1710" spans="1:10">
      <c r="A1710" t="s">
        <v>1869</v>
      </c>
      <c r="B1710" t="s">
        <v>114</v>
      </c>
      <c r="C1710" s="1">
        <v>46058</v>
      </c>
      <c r="D1710" t="s">
        <v>22</v>
      </c>
      <c r="E1710" t="s">
        <v>22</v>
      </c>
      <c r="F1710" s="3">
        <v>2025</v>
      </c>
      <c r="G1710" s="3">
        <v>3</v>
      </c>
      <c r="H1710" t="s">
        <v>981</v>
      </c>
      <c r="I1710" s="2">
        <v>3.6</v>
      </c>
      <c r="J1710" t="s">
        <v>115</v>
      </c>
    </row>
    <row r="1711" spans="1:10">
      <c r="A1711" t="s">
        <v>1870</v>
      </c>
      <c r="B1711" t="s">
        <v>114</v>
      </c>
      <c r="C1711" s="1">
        <v>46058</v>
      </c>
      <c r="D1711" t="s">
        <v>134</v>
      </c>
      <c r="E1711" t="s">
        <v>24</v>
      </c>
      <c r="F1711" s="3">
        <v>2025</v>
      </c>
      <c r="G1711" s="3">
        <v>3</v>
      </c>
      <c r="H1711" t="s">
        <v>981</v>
      </c>
      <c r="I1711" s="2">
        <v>4.2</v>
      </c>
      <c r="J1711" t="s">
        <v>115</v>
      </c>
    </row>
    <row r="1712" spans="1:10">
      <c r="A1712" t="s">
        <v>1871</v>
      </c>
      <c r="B1712" t="s">
        <v>114</v>
      </c>
      <c r="C1712" s="1">
        <v>46058</v>
      </c>
      <c r="D1712" t="s">
        <v>210</v>
      </c>
      <c r="E1712" t="s">
        <v>25</v>
      </c>
      <c r="F1712" s="3">
        <v>2025</v>
      </c>
      <c r="G1712" s="3">
        <v>3</v>
      </c>
      <c r="H1712" t="s">
        <v>981</v>
      </c>
      <c r="I1712" s="2">
        <v>2.9</v>
      </c>
      <c r="J1712" t="s">
        <v>115</v>
      </c>
    </row>
    <row r="1713" spans="1:10">
      <c r="A1713" t="s">
        <v>1872</v>
      </c>
      <c r="B1713" t="s">
        <v>114</v>
      </c>
      <c r="C1713" s="1">
        <v>46058</v>
      </c>
      <c r="D1713" t="s">
        <v>212</v>
      </c>
      <c r="E1713" t="s">
        <v>26</v>
      </c>
      <c r="F1713" s="3">
        <v>2025</v>
      </c>
      <c r="G1713" s="3">
        <v>3</v>
      </c>
      <c r="H1713" t="s">
        <v>981</v>
      </c>
      <c r="I1713" s="2">
        <v>4.3</v>
      </c>
      <c r="J1713" t="s">
        <v>115</v>
      </c>
    </row>
    <row r="1714" spans="1:10">
      <c r="A1714" t="s">
        <v>1873</v>
      </c>
      <c r="B1714" t="s">
        <v>114</v>
      </c>
      <c r="C1714" s="1">
        <v>46058</v>
      </c>
      <c r="D1714" t="s">
        <v>22</v>
      </c>
      <c r="E1714" t="s">
        <v>22</v>
      </c>
      <c r="F1714" s="3">
        <v>2025</v>
      </c>
      <c r="G1714" s="3">
        <v>4</v>
      </c>
      <c r="H1714" t="s">
        <v>1086</v>
      </c>
      <c r="I1714" s="2">
        <v>3.7</v>
      </c>
      <c r="J1714" t="s">
        <v>115</v>
      </c>
    </row>
    <row r="1715" spans="1:10">
      <c r="A1715" t="s">
        <v>1874</v>
      </c>
      <c r="B1715" t="s">
        <v>114</v>
      </c>
      <c r="C1715" s="1">
        <v>46058</v>
      </c>
      <c r="D1715" t="s">
        <v>134</v>
      </c>
      <c r="E1715" t="s">
        <v>24</v>
      </c>
      <c r="F1715" s="3">
        <v>2025</v>
      </c>
      <c r="G1715" s="3">
        <v>4</v>
      </c>
      <c r="H1715" t="s">
        <v>1086</v>
      </c>
      <c r="I1715" s="2">
        <v>4.3</v>
      </c>
      <c r="J1715" t="s">
        <v>115</v>
      </c>
    </row>
    <row r="1716" spans="1:10">
      <c r="A1716" t="s">
        <v>1875</v>
      </c>
      <c r="B1716" t="s">
        <v>114</v>
      </c>
      <c r="C1716" s="1">
        <v>46058</v>
      </c>
      <c r="D1716" t="s">
        <v>210</v>
      </c>
      <c r="E1716" t="s">
        <v>25</v>
      </c>
      <c r="F1716" s="3">
        <v>2025</v>
      </c>
      <c r="G1716" s="3">
        <v>4</v>
      </c>
      <c r="H1716" t="s">
        <v>1086</v>
      </c>
      <c r="I1716" s="2">
        <v>3.5</v>
      </c>
      <c r="J1716" t="s">
        <v>115</v>
      </c>
    </row>
    <row r="1717" spans="1:10">
      <c r="A1717" t="s">
        <v>1876</v>
      </c>
      <c r="B1717" t="s">
        <v>114</v>
      </c>
      <c r="C1717" s="1">
        <v>46058</v>
      </c>
      <c r="D1717" t="s">
        <v>212</v>
      </c>
      <c r="E1717" t="s">
        <v>26</v>
      </c>
      <c r="F1717" s="3">
        <v>2025</v>
      </c>
      <c r="G1717" s="3">
        <v>4</v>
      </c>
      <c r="H1717" t="s">
        <v>1086</v>
      </c>
      <c r="I1717" s="2">
        <v>3.9</v>
      </c>
      <c r="J1717" t="s">
        <v>115</v>
      </c>
    </row>
    <row r="1718" spans="1:10">
      <c r="A1718" t="s">
        <v>1877</v>
      </c>
      <c r="B1718" t="s">
        <v>114</v>
      </c>
      <c r="C1718" s="1">
        <v>46058</v>
      </c>
      <c r="D1718" t="s">
        <v>22</v>
      </c>
      <c r="E1718" t="s">
        <v>22</v>
      </c>
      <c r="F1718" s="3">
        <v>2026</v>
      </c>
      <c r="G1718" s="3">
        <v>1</v>
      </c>
      <c r="H1718" t="s">
        <v>1183</v>
      </c>
      <c r="I1718" s="2">
        <v>4</v>
      </c>
      <c r="J1718" t="s">
        <v>115</v>
      </c>
    </row>
    <row r="1719" spans="1:10">
      <c r="A1719" t="s">
        <v>1878</v>
      </c>
      <c r="B1719" t="s">
        <v>114</v>
      </c>
      <c r="C1719" s="1">
        <v>46058</v>
      </c>
      <c r="D1719" t="s">
        <v>134</v>
      </c>
      <c r="E1719" t="s">
        <v>24</v>
      </c>
      <c r="F1719" s="3">
        <v>2026</v>
      </c>
      <c r="G1719" s="3">
        <v>1</v>
      </c>
      <c r="H1719" t="s">
        <v>1183</v>
      </c>
      <c r="I1719" s="2">
        <v>4.4000000000000004</v>
      </c>
      <c r="J1719" t="s">
        <v>115</v>
      </c>
    </row>
    <row r="1720" spans="1:10">
      <c r="A1720" t="s">
        <v>1879</v>
      </c>
      <c r="B1720" t="s">
        <v>114</v>
      </c>
      <c r="C1720" s="1">
        <v>46058</v>
      </c>
      <c r="D1720" t="s">
        <v>210</v>
      </c>
      <c r="E1720" t="s">
        <v>25</v>
      </c>
      <c r="F1720" s="3">
        <v>2026</v>
      </c>
      <c r="G1720" s="3">
        <v>1</v>
      </c>
      <c r="H1720" t="s">
        <v>1183</v>
      </c>
      <c r="I1720" s="2">
        <v>4.0999999999999996</v>
      </c>
      <c r="J1720" t="s">
        <v>115</v>
      </c>
    </row>
    <row r="1721" spans="1:10">
      <c r="A1721" t="s">
        <v>1880</v>
      </c>
      <c r="B1721" t="s">
        <v>114</v>
      </c>
      <c r="C1721" s="1">
        <v>46058</v>
      </c>
      <c r="D1721" t="s">
        <v>212</v>
      </c>
      <c r="E1721" t="s">
        <v>26</v>
      </c>
      <c r="F1721" s="3">
        <v>2026</v>
      </c>
      <c r="G1721" s="3">
        <v>1</v>
      </c>
      <c r="H1721" t="s">
        <v>1183</v>
      </c>
      <c r="I1721" s="2">
        <v>4.2</v>
      </c>
      <c r="J1721" t="s">
        <v>115</v>
      </c>
    </row>
    <row r="1722" spans="1:10">
      <c r="A1722" t="s">
        <v>1881</v>
      </c>
      <c r="B1722" t="s">
        <v>114</v>
      </c>
      <c r="C1722" s="1">
        <v>46058</v>
      </c>
      <c r="D1722" t="s">
        <v>22</v>
      </c>
      <c r="E1722" t="s">
        <v>22</v>
      </c>
      <c r="F1722" s="3">
        <v>2026</v>
      </c>
      <c r="G1722" s="3">
        <v>2</v>
      </c>
      <c r="H1722" t="s">
        <v>1276</v>
      </c>
      <c r="I1722" s="2">
        <v>3.8</v>
      </c>
      <c r="J1722" t="s">
        <v>115</v>
      </c>
    </row>
    <row r="1723" spans="1:10">
      <c r="A1723" t="s">
        <v>1882</v>
      </c>
      <c r="B1723" t="s">
        <v>114</v>
      </c>
      <c r="C1723" s="1">
        <v>46058</v>
      </c>
      <c r="D1723" t="s">
        <v>134</v>
      </c>
      <c r="E1723" t="s">
        <v>24</v>
      </c>
      <c r="F1723" s="3">
        <v>2026</v>
      </c>
      <c r="G1723" s="3">
        <v>2</v>
      </c>
      <c r="H1723" t="s">
        <v>1276</v>
      </c>
      <c r="I1723" s="2">
        <v>4</v>
      </c>
      <c r="J1723" t="s">
        <v>115</v>
      </c>
    </row>
    <row r="1724" spans="1:10">
      <c r="A1724" t="s">
        <v>1883</v>
      </c>
      <c r="B1724" t="s">
        <v>114</v>
      </c>
      <c r="C1724" s="1">
        <v>46058</v>
      </c>
      <c r="D1724" t="s">
        <v>210</v>
      </c>
      <c r="E1724" t="s">
        <v>25</v>
      </c>
      <c r="F1724" s="3">
        <v>2026</v>
      </c>
      <c r="G1724" s="3">
        <v>2</v>
      </c>
      <c r="H1724" t="s">
        <v>1276</v>
      </c>
      <c r="I1724" s="2">
        <v>4</v>
      </c>
      <c r="J1724" t="s">
        <v>115</v>
      </c>
    </row>
    <row r="1725" spans="1:10">
      <c r="A1725" t="s">
        <v>1884</v>
      </c>
      <c r="B1725" t="s">
        <v>114</v>
      </c>
      <c r="C1725" s="1">
        <v>46058</v>
      </c>
      <c r="D1725" t="s">
        <v>212</v>
      </c>
      <c r="E1725" t="s">
        <v>26</v>
      </c>
      <c r="F1725" s="3">
        <v>2026</v>
      </c>
      <c r="G1725" s="3">
        <v>2</v>
      </c>
      <c r="H1725" t="s">
        <v>1276</v>
      </c>
      <c r="I1725" s="2">
        <v>3.3</v>
      </c>
      <c r="J1725" t="s">
        <v>115</v>
      </c>
    </row>
    <row r="1726" spans="1:10">
      <c r="A1726" t="s">
        <v>1885</v>
      </c>
      <c r="B1726" t="s">
        <v>114</v>
      </c>
      <c r="C1726" s="1">
        <v>46058</v>
      </c>
      <c r="D1726" t="s">
        <v>22</v>
      </c>
      <c r="E1726" t="s">
        <v>22</v>
      </c>
      <c r="F1726" s="3">
        <v>2026</v>
      </c>
      <c r="G1726" s="3">
        <v>3</v>
      </c>
      <c r="H1726" t="s">
        <v>21</v>
      </c>
      <c r="I1726" s="2">
        <v>3.6</v>
      </c>
      <c r="J1726" t="s">
        <v>115</v>
      </c>
    </row>
    <row r="1727" spans="1:10">
      <c r="A1727" t="s">
        <v>1886</v>
      </c>
      <c r="B1727" t="s">
        <v>114</v>
      </c>
      <c r="C1727" s="1">
        <v>46058</v>
      </c>
      <c r="D1727" t="s">
        <v>134</v>
      </c>
      <c r="E1727" t="s">
        <v>24</v>
      </c>
      <c r="F1727" s="3">
        <v>2026</v>
      </c>
      <c r="G1727" s="3">
        <v>3</v>
      </c>
      <c r="H1727" t="s">
        <v>21</v>
      </c>
      <c r="I1727" s="2">
        <v>3.6</v>
      </c>
      <c r="J1727" t="s">
        <v>115</v>
      </c>
    </row>
    <row r="1728" spans="1:10">
      <c r="A1728" t="s">
        <v>1887</v>
      </c>
      <c r="B1728" t="s">
        <v>114</v>
      </c>
      <c r="C1728" s="1">
        <v>46058</v>
      </c>
      <c r="D1728" t="s">
        <v>210</v>
      </c>
      <c r="E1728" t="s">
        <v>25</v>
      </c>
      <c r="F1728" s="3">
        <v>2026</v>
      </c>
      <c r="G1728" s="3">
        <v>3</v>
      </c>
      <c r="H1728" t="s">
        <v>21</v>
      </c>
      <c r="I1728" s="2">
        <v>2.7</v>
      </c>
      <c r="J1728" t="s">
        <v>115</v>
      </c>
    </row>
    <row r="1729" spans="1:10">
      <c r="A1729" t="s">
        <v>1888</v>
      </c>
      <c r="B1729" t="s">
        <v>114</v>
      </c>
      <c r="C1729" s="1">
        <v>46058</v>
      </c>
      <c r="D1729" t="s">
        <v>212</v>
      </c>
      <c r="E1729" t="s">
        <v>26</v>
      </c>
      <c r="F1729" s="3">
        <v>2026</v>
      </c>
      <c r="G1729" s="3">
        <v>3</v>
      </c>
      <c r="H1729" t="s">
        <v>21</v>
      </c>
      <c r="I1729" s="2">
        <v>3</v>
      </c>
      <c r="J1729" t="s">
        <v>115</v>
      </c>
    </row>
    <row r="1730" spans="1:10">
      <c r="A1730" t="s">
        <v>1889</v>
      </c>
      <c r="B1730" t="s">
        <v>114</v>
      </c>
      <c r="C1730" s="1">
        <v>46058</v>
      </c>
      <c r="D1730" t="s">
        <v>22</v>
      </c>
      <c r="E1730" t="s">
        <v>22</v>
      </c>
      <c r="F1730" s="3">
        <v>2026</v>
      </c>
      <c r="G1730" s="3">
        <v>4</v>
      </c>
      <c r="H1730" t="s">
        <v>1469</v>
      </c>
      <c r="I1730" s="2">
        <v>3.5</v>
      </c>
      <c r="J1730" t="s">
        <v>115</v>
      </c>
    </row>
    <row r="1731" spans="1:10">
      <c r="A1731" t="s">
        <v>1890</v>
      </c>
      <c r="B1731" t="s">
        <v>114</v>
      </c>
      <c r="C1731" s="1">
        <v>46058</v>
      </c>
      <c r="D1731" t="s">
        <v>134</v>
      </c>
      <c r="E1731" t="s">
        <v>24</v>
      </c>
      <c r="F1731" s="3">
        <v>2026</v>
      </c>
      <c r="G1731" s="3">
        <v>4</v>
      </c>
      <c r="H1731" t="s">
        <v>1469</v>
      </c>
      <c r="I1731" s="2">
        <v>3.4</v>
      </c>
      <c r="J1731" t="s">
        <v>115</v>
      </c>
    </row>
    <row r="1732" spans="1:10">
      <c r="A1732" t="s">
        <v>1891</v>
      </c>
      <c r="B1732" t="s">
        <v>114</v>
      </c>
      <c r="C1732" s="1">
        <v>46058</v>
      </c>
      <c r="D1732" t="s">
        <v>210</v>
      </c>
      <c r="E1732" t="s">
        <v>25</v>
      </c>
      <c r="F1732" s="3">
        <v>2026</v>
      </c>
      <c r="G1732" s="3">
        <v>4</v>
      </c>
      <c r="H1732" t="s">
        <v>1469</v>
      </c>
      <c r="I1732" s="2">
        <v>3.1</v>
      </c>
      <c r="J1732" t="s">
        <v>115</v>
      </c>
    </row>
    <row r="1733" spans="1:10">
      <c r="A1733" t="s">
        <v>1892</v>
      </c>
      <c r="B1733" t="s">
        <v>114</v>
      </c>
      <c r="C1733" s="1">
        <v>46058</v>
      </c>
      <c r="D1733" t="s">
        <v>212</v>
      </c>
      <c r="E1733" t="s">
        <v>26</v>
      </c>
      <c r="F1733" s="3">
        <v>2026</v>
      </c>
      <c r="G1733" s="3">
        <v>4</v>
      </c>
      <c r="H1733" t="s">
        <v>1469</v>
      </c>
      <c r="I1733" s="2">
        <v>3.1</v>
      </c>
      <c r="J1733" t="s">
        <v>115</v>
      </c>
    </row>
    <row r="1734" spans="1:10">
      <c r="A1734" t="s">
        <v>1893</v>
      </c>
      <c r="B1734" t="s">
        <v>114</v>
      </c>
      <c r="C1734" s="1">
        <v>46058</v>
      </c>
      <c r="D1734" t="s">
        <v>22</v>
      </c>
      <c r="E1734" t="s">
        <v>22</v>
      </c>
      <c r="F1734" s="3">
        <v>2027</v>
      </c>
      <c r="G1734" s="3">
        <v>1</v>
      </c>
      <c r="H1734" t="s">
        <v>1566</v>
      </c>
      <c r="I1734" s="2">
        <v>3.2</v>
      </c>
      <c r="J1734" t="s">
        <v>115</v>
      </c>
    </row>
    <row r="1735" spans="1:10">
      <c r="A1735" t="s">
        <v>1894</v>
      </c>
      <c r="B1735" t="s">
        <v>114</v>
      </c>
      <c r="C1735" s="1">
        <v>46058</v>
      </c>
      <c r="D1735" t="s">
        <v>134</v>
      </c>
      <c r="E1735" t="s">
        <v>24</v>
      </c>
      <c r="F1735" s="3">
        <v>2027</v>
      </c>
      <c r="G1735" s="3">
        <v>1</v>
      </c>
      <c r="H1735" t="s">
        <v>1566</v>
      </c>
      <c r="I1735" s="2">
        <v>3.1</v>
      </c>
      <c r="J1735" t="s">
        <v>115</v>
      </c>
    </row>
    <row r="1736" spans="1:10">
      <c r="A1736" t="s">
        <v>1895</v>
      </c>
      <c r="B1736" t="s">
        <v>114</v>
      </c>
      <c r="C1736" s="1">
        <v>46058</v>
      </c>
      <c r="D1736" t="s">
        <v>210</v>
      </c>
      <c r="E1736" t="s">
        <v>25</v>
      </c>
      <c r="F1736" s="3">
        <v>2027</v>
      </c>
      <c r="G1736" s="3">
        <v>1</v>
      </c>
      <c r="H1736" t="s">
        <v>1566</v>
      </c>
      <c r="I1736" s="2">
        <v>2.9</v>
      </c>
      <c r="J1736" t="s">
        <v>115</v>
      </c>
    </row>
    <row r="1737" spans="1:10">
      <c r="A1737" t="s">
        <v>1896</v>
      </c>
      <c r="B1737" t="s">
        <v>114</v>
      </c>
      <c r="C1737" s="1">
        <v>46058</v>
      </c>
      <c r="D1737" t="s">
        <v>212</v>
      </c>
      <c r="E1737" t="s">
        <v>26</v>
      </c>
      <c r="F1737" s="3">
        <v>2027</v>
      </c>
      <c r="G1737" s="3">
        <v>1</v>
      </c>
      <c r="H1737" t="s">
        <v>1566</v>
      </c>
      <c r="I1737" s="2">
        <v>3.1</v>
      </c>
      <c r="J1737" t="s">
        <v>115</v>
      </c>
    </row>
    <row r="1738" spans="1:10">
      <c r="A1738" t="s">
        <v>1897</v>
      </c>
      <c r="B1738" t="s">
        <v>114</v>
      </c>
      <c r="C1738" s="1">
        <v>46058</v>
      </c>
      <c r="D1738" t="s">
        <v>22</v>
      </c>
      <c r="E1738" t="s">
        <v>22</v>
      </c>
      <c r="F1738" s="3">
        <v>2027</v>
      </c>
      <c r="G1738" s="3">
        <v>2</v>
      </c>
      <c r="H1738" t="s">
        <v>1663</v>
      </c>
      <c r="I1738" s="2">
        <v>3</v>
      </c>
      <c r="J1738" t="s">
        <v>115</v>
      </c>
    </row>
    <row r="1739" spans="1:10">
      <c r="A1739" t="s">
        <v>1898</v>
      </c>
      <c r="B1739" t="s">
        <v>114</v>
      </c>
      <c r="C1739" s="1">
        <v>46058</v>
      </c>
      <c r="D1739" t="s">
        <v>134</v>
      </c>
      <c r="E1739" t="s">
        <v>24</v>
      </c>
      <c r="F1739" s="3">
        <v>2027</v>
      </c>
      <c r="G1739" s="3">
        <v>2</v>
      </c>
      <c r="H1739" t="s">
        <v>1663</v>
      </c>
      <c r="I1739" s="2">
        <v>3</v>
      </c>
      <c r="J1739" t="s">
        <v>115</v>
      </c>
    </row>
    <row r="1740" spans="1:10">
      <c r="A1740" t="s">
        <v>1899</v>
      </c>
      <c r="B1740" t="s">
        <v>114</v>
      </c>
      <c r="C1740" s="1">
        <v>46058</v>
      </c>
      <c r="D1740" t="s">
        <v>210</v>
      </c>
      <c r="E1740" t="s">
        <v>25</v>
      </c>
      <c r="F1740" s="3">
        <v>2027</v>
      </c>
      <c r="G1740" s="3">
        <v>2</v>
      </c>
      <c r="H1740" t="s">
        <v>1663</v>
      </c>
      <c r="I1740" s="2">
        <v>3.3</v>
      </c>
      <c r="J1740" t="s">
        <v>115</v>
      </c>
    </row>
    <row r="1741" spans="1:10">
      <c r="A1741" t="s">
        <v>1900</v>
      </c>
      <c r="B1741" t="s">
        <v>114</v>
      </c>
      <c r="C1741" s="1">
        <v>46058</v>
      </c>
      <c r="D1741" t="s">
        <v>212</v>
      </c>
      <c r="E1741" t="s">
        <v>26</v>
      </c>
      <c r="F1741" s="3">
        <v>2027</v>
      </c>
      <c r="G1741" s="3">
        <v>2</v>
      </c>
      <c r="H1741" t="s">
        <v>1663</v>
      </c>
      <c r="I1741" s="2">
        <v>2.9</v>
      </c>
      <c r="J1741" t="s">
        <v>115</v>
      </c>
    </row>
    <row r="1742" spans="1:10">
      <c r="A1742" t="s">
        <v>1901</v>
      </c>
      <c r="B1742" t="s">
        <v>114</v>
      </c>
      <c r="C1742" s="1">
        <v>46058</v>
      </c>
      <c r="D1742" t="s">
        <v>22</v>
      </c>
      <c r="E1742" t="s">
        <v>22</v>
      </c>
      <c r="F1742" s="3">
        <v>2027</v>
      </c>
      <c r="G1742" s="3">
        <v>3</v>
      </c>
      <c r="H1742" t="s">
        <v>1760</v>
      </c>
      <c r="I1742" s="2">
        <v>3</v>
      </c>
      <c r="J1742" t="s">
        <v>115</v>
      </c>
    </row>
    <row r="1743" spans="1:10">
      <c r="A1743" t="s">
        <v>1902</v>
      </c>
      <c r="B1743" t="s">
        <v>114</v>
      </c>
      <c r="C1743" s="1">
        <v>46058</v>
      </c>
      <c r="D1743" t="s">
        <v>134</v>
      </c>
      <c r="E1743" t="s">
        <v>24</v>
      </c>
      <c r="F1743" s="3">
        <v>2027</v>
      </c>
      <c r="G1743" s="3">
        <v>3</v>
      </c>
      <c r="H1743" t="s">
        <v>1760</v>
      </c>
      <c r="I1743" s="2">
        <v>3</v>
      </c>
      <c r="J1743" t="s">
        <v>115</v>
      </c>
    </row>
    <row r="1744" spans="1:10">
      <c r="A1744" t="s">
        <v>1903</v>
      </c>
      <c r="B1744" t="s">
        <v>114</v>
      </c>
      <c r="C1744" s="1">
        <v>46058</v>
      </c>
      <c r="D1744" t="s">
        <v>210</v>
      </c>
      <c r="E1744" t="s">
        <v>25</v>
      </c>
      <c r="F1744" s="3">
        <v>2027</v>
      </c>
      <c r="G1744" s="3">
        <v>3</v>
      </c>
      <c r="H1744" t="s">
        <v>1760</v>
      </c>
      <c r="I1744" s="2">
        <v>2.6</v>
      </c>
      <c r="J1744" t="s">
        <v>115</v>
      </c>
    </row>
    <row r="1745" spans="1:10">
      <c r="A1745" t="s">
        <v>1904</v>
      </c>
      <c r="B1745" t="s">
        <v>114</v>
      </c>
      <c r="C1745" s="1">
        <v>46058</v>
      </c>
      <c r="D1745" t="s">
        <v>212</v>
      </c>
      <c r="E1745" t="s">
        <v>26</v>
      </c>
      <c r="F1745" s="3">
        <v>2027</v>
      </c>
      <c r="G1745" s="3">
        <v>3</v>
      </c>
      <c r="H1745" t="s">
        <v>1760</v>
      </c>
      <c r="I1745" s="2">
        <v>2.8</v>
      </c>
      <c r="J1745" t="s">
        <v>115</v>
      </c>
    </row>
    <row r="1746" spans="1:10">
      <c r="A1746" t="s">
        <v>1905</v>
      </c>
      <c r="B1746" t="s">
        <v>114</v>
      </c>
      <c r="C1746" s="1">
        <v>46058</v>
      </c>
      <c r="D1746" t="s">
        <v>22</v>
      </c>
      <c r="E1746" t="s">
        <v>22</v>
      </c>
      <c r="F1746" s="3">
        <v>2027</v>
      </c>
      <c r="G1746" s="3">
        <v>4</v>
      </c>
      <c r="H1746" t="s">
        <v>1857</v>
      </c>
      <c r="I1746" s="2">
        <v>3</v>
      </c>
      <c r="J1746" t="s">
        <v>115</v>
      </c>
    </row>
    <row r="1747" spans="1:10">
      <c r="A1747" t="s">
        <v>1906</v>
      </c>
      <c r="B1747" t="s">
        <v>114</v>
      </c>
      <c r="C1747" s="1">
        <v>46058</v>
      </c>
      <c r="D1747" t="s">
        <v>134</v>
      </c>
      <c r="E1747" t="s">
        <v>24</v>
      </c>
      <c r="F1747" s="3">
        <v>2027</v>
      </c>
      <c r="G1747" s="3">
        <v>4</v>
      </c>
      <c r="H1747" t="s">
        <v>1857</v>
      </c>
      <c r="I1747" s="2">
        <v>3</v>
      </c>
      <c r="J1747" t="s">
        <v>115</v>
      </c>
    </row>
    <row r="1748" spans="1:10">
      <c r="A1748" t="s">
        <v>1907</v>
      </c>
      <c r="B1748" t="s">
        <v>114</v>
      </c>
      <c r="C1748" s="1">
        <v>46058</v>
      </c>
      <c r="D1748" t="s">
        <v>210</v>
      </c>
      <c r="E1748" t="s">
        <v>25</v>
      </c>
      <c r="F1748" s="3">
        <v>2027</v>
      </c>
      <c r="G1748" s="3">
        <v>4</v>
      </c>
      <c r="H1748" t="s">
        <v>1857</v>
      </c>
      <c r="I1748" s="2">
        <v>3.1</v>
      </c>
      <c r="J1748" t="s">
        <v>115</v>
      </c>
    </row>
    <row r="1749" spans="1:10">
      <c r="A1749" t="s">
        <v>1908</v>
      </c>
      <c r="B1749" t="s">
        <v>114</v>
      </c>
      <c r="C1749" s="1">
        <v>46058</v>
      </c>
      <c r="D1749" t="s">
        <v>212</v>
      </c>
      <c r="E1749" t="s">
        <v>26</v>
      </c>
      <c r="F1749" s="3">
        <v>2027</v>
      </c>
      <c r="G1749" s="3">
        <v>4</v>
      </c>
      <c r="H1749" t="s">
        <v>1857</v>
      </c>
      <c r="I1749" s="2">
        <v>3</v>
      </c>
      <c r="J1749" t="s">
        <v>115</v>
      </c>
    </row>
    <row r="1750" spans="1:10">
      <c r="A1750" t="s">
        <v>1909</v>
      </c>
      <c r="B1750" t="s">
        <v>116</v>
      </c>
      <c r="C1750" s="1">
        <v>46107</v>
      </c>
      <c r="D1750" t="s">
        <v>22</v>
      </c>
      <c r="E1750" t="s">
        <v>22</v>
      </c>
      <c r="F1750" s="3">
        <v>2025</v>
      </c>
      <c r="G1750" s="3">
        <v>2</v>
      </c>
      <c r="H1750" t="s">
        <v>876</v>
      </c>
      <c r="I1750" s="2">
        <v>4.2</v>
      </c>
      <c r="J1750" t="s">
        <v>117</v>
      </c>
    </row>
    <row r="1751" spans="1:10">
      <c r="A1751" t="s">
        <v>1910</v>
      </c>
      <c r="B1751" t="s">
        <v>116</v>
      </c>
      <c r="C1751" s="1">
        <v>46107</v>
      </c>
      <c r="D1751" t="s">
        <v>134</v>
      </c>
      <c r="E1751" t="s">
        <v>24</v>
      </c>
      <c r="F1751" s="3">
        <v>2025</v>
      </c>
      <c r="G1751" s="3">
        <v>2</v>
      </c>
      <c r="H1751" t="s">
        <v>876</v>
      </c>
      <c r="I1751" s="2">
        <v>4.0999999999999996</v>
      </c>
      <c r="J1751" t="s">
        <v>117</v>
      </c>
    </row>
    <row r="1752" spans="1:10">
      <c r="A1752" t="s">
        <v>1911</v>
      </c>
      <c r="B1752" t="s">
        <v>116</v>
      </c>
      <c r="C1752" s="1">
        <v>46107</v>
      </c>
      <c r="D1752" t="s">
        <v>210</v>
      </c>
      <c r="E1752" t="s">
        <v>25</v>
      </c>
      <c r="F1752" s="3">
        <v>2025</v>
      </c>
      <c r="G1752" s="3">
        <v>2</v>
      </c>
      <c r="H1752" t="s">
        <v>876</v>
      </c>
      <c r="I1752" s="2">
        <v>5.2</v>
      </c>
      <c r="J1752" t="s">
        <v>117</v>
      </c>
    </row>
    <row r="1753" spans="1:10">
      <c r="A1753" t="s">
        <v>1912</v>
      </c>
      <c r="B1753" t="s">
        <v>116</v>
      </c>
      <c r="C1753" s="1">
        <v>46107</v>
      </c>
      <c r="D1753" t="s">
        <v>212</v>
      </c>
      <c r="E1753" t="s">
        <v>26</v>
      </c>
      <c r="F1753" s="3">
        <v>2025</v>
      </c>
      <c r="G1753" s="3">
        <v>2</v>
      </c>
      <c r="H1753" t="s">
        <v>876</v>
      </c>
      <c r="I1753" s="2">
        <v>4.9000000000000004</v>
      </c>
      <c r="J1753" t="s">
        <v>117</v>
      </c>
    </row>
    <row r="1754" spans="1:10">
      <c r="A1754" t="s">
        <v>1913</v>
      </c>
      <c r="B1754" t="s">
        <v>116</v>
      </c>
      <c r="C1754" s="1">
        <v>46107</v>
      </c>
      <c r="D1754" t="s">
        <v>22</v>
      </c>
      <c r="E1754" t="s">
        <v>22</v>
      </c>
      <c r="F1754" s="3">
        <v>2025</v>
      </c>
      <c r="G1754" s="3">
        <v>3</v>
      </c>
      <c r="H1754" t="s">
        <v>981</v>
      </c>
      <c r="I1754" s="2">
        <v>3.6</v>
      </c>
      <c r="J1754" t="s">
        <v>117</v>
      </c>
    </row>
    <row r="1755" spans="1:10">
      <c r="A1755" t="s">
        <v>1914</v>
      </c>
      <c r="B1755" t="s">
        <v>116</v>
      </c>
      <c r="C1755" s="1">
        <v>46107</v>
      </c>
      <c r="D1755" t="s">
        <v>134</v>
      </c>
      <c r="E1755" t="s">
        <v>24</v>
      </c>
      <c r="F1755" s="3">
        <v>2025</v>
      </c>
      <c r="G1755" s="3">
        <v>3</v>
      </c>
      <c r="H1755" t="s">
        <v>981</v>
      </c>
      <c r="I1755" s="2">
        <v>4.2</v>
      </c>
      <c r="J1755" t="s">
        <v>117</v>
      </c>
    </row>
    <row r="1756" spans="1:10">
      <c r="A1756" t="s">
        <v>1915</v>
      </c>
      <c r="B1756" t="s">
        <v>116</v>
      </c>
      <c r="C1756" s="1">
        <v>46107</v>
      </c>
      <c r="D1756" t="s">
        <v>210</v>
      </c>
      <c r="E1756" t="s">
        <v>25</v>
      </c>
      <c r="F1756" s="3">
        <v>2025</v>
      </c>
      <c r="G1756" s="3">
        <v>3</v>
      </c>
      <c r="H1756" t="s">
        <v>981</v>
      </c>
      <c r="I1756" s="2">
        <v>3</v>
      </c>
      <c r="J1756" t="s">
        <v>117</v>
      </c>
    </row>
    <row r="1757" spans="1:10">
      <c r="A1757" t="s">
        <v>1916</v>
      </c>
      <c r="B1757" t="s">
        <v>116</v>
      </c>
      <c r="C1757" s="1">
        <v>46107</v>
      </c>
      <c r="D1757" t="s">
        <v>212</v>
      </c>
      <c r="E1757" t="s">
        <v>26</v>
      </c>
      <c r="F1757" s="3">
        <v>2025</v>
      </c>
      <c r="G1757" s="3">
        <v>3</v>
      </c>
      <c r="H1757" t="s">
        <v>981</v>
      </c>
      <c r="I1757" s="2">
        <v>4.3</v>
      </c>
      <c r="J1757" t="s">
        <v>117</v>
      </c>
    </row>
    <row r="1758" spans="1:10">
      <c r="A1758" t="s">
        <v>1917</v>
      </c>
      <c r="B1758" t="s">
        <v>116</v>
      </c>
      <c r="C1758" s="1">
        <v>46107</v>
      </c>
      <c r="D1758" t="s">
        <v>22</v>
      </c>
      <c r="E1758" t="s">
        <v>22</v>
      </c>
      <c r="F1758" s="3">
        <v>2025</v>
      </c>
      <c r="G1758" s="3">
        <v>4</v>
      </c>
      <c r="H1758" t="s">
        <v>1086</v>
      </c>
      <c r="I1758" s="2">
        <v>3.7</v>
      </c>
      <c r="J1758" t="s">
        <v>117</v>
      </c>
    </row>
    <row r="1759" spans="1:10">
      <c r="A1759" t="s">
        <v>1918</v>
      </c>
      <c r="B1759" t="s">
        <v>116</v>
      </c>
      <c r="C1759" s="1">
        <v>46107</v>
      </c>
      <c r="D1759" t="s">
        <v>134</v>
      </c>
      <c r="E1759" t="s">
        <v>24</v>
      </c>
      <c r="F1759" s="3">
        <v>2025</v>
      </c>
      <c r="G1759" s="3">
        <v>4</v>
      </c>
      <c r="H1759" t="s">
        <v>1086</v>
      </c>
      <c r="I1759" s="2">
        <v>4.3</v>
      </c>
      <c r="J1759" t="s">
        <v>117</v>
      </c>
    </row>
    <row r="1760" spans="1:10">
      <c r="A1760" t="s">
        <v>1919</v>
      </c>
      <c r="B1760" t="s">
        <v>116</v>
      </c>
      <c r="C1760" s="1">
        <v>46107</v>
      </c>
      <c r="D1760" t="s">
        <v>210</v>
      </c>
      <c r="E1760" t="s">
        <v>25</v>
      </c>
      <c r="F1760" s="3">
        <v>2025</v>
      </c>
      <c r="G1760" s="3">
        <v>4</v>
      </c>
      <c r="H1760" t="s">
        <v>1086</v>
      </c>
      <c r="I1760" s="2">
        <v>3.7</v>
      </c>
      <c r="J1760" t="s">
        <v>117</v>
      </c>
    </row>
    <row r="1761" spans="1:10">
      <c r="A1761" t="s">
        <v>1920</v>
      </c>
      <c r="B1761" t="s">
        <v>116</v>
      </c>
      <c r="C1761" s="1">
        <v>46107</v>
      </c>
      <c r="D1761" t="s">
        <v>212</v>
      </c>
      <c r="E1761" t="s">
        <v>26</v>
      </c>
      <c r="F1761" s="3">
        <v>2025</v>
      </c>
      <c r="G1761" s="3">
        <v>4</v>
      </c>
      <c r="H1761" t="s">
        <v>1086</v>
      </c>
      <c r="I1761" s="2">
        <v>4</v>
      </c>
      <c r="J1761" t="s">
        <v>117</v>
      </c>
    </row>
    <row r="1762" spans="1:10">
      <c r="A1762" t="s">
        <v>1921</v>
      </c>
      <c r="B1762" t="s">
        <v>116</v>
      </c>
      <c r="C1762" s="1">
        <v>46107</v>
      </c>
      <c r="D1762" t="s">
        <v>22</v>
      </c>
      <c r="E1762" t="s">
        <v>22</v>
      </c>
      <c r="F1762" s="3">
        <v>2026</v>
      </c>
      <c r="G1762" s="3">
        <v>1</v>
      </c>
      <c r="H1762" t="s">
        <v>1183</v>
      </c>
      <c r="I1762" s="2">
        <v>4.0999999999999996</v>
      </c>
      <c r="J1762" t="s">
        <v>117</v>
      </c>
    </row>
    <row r="1763" spans="1:10">
      <c r="A1763" t="s">
        <v>1922</v>
      </c>
      <c r="B1763" t="s">
        <v>116</v>
      </c>
      <c r="C1763" s="1">
        <v>46107</v>
      </c>
      <c r="D1763" t="s">
        <v>134</v>
      </c>
      <c r="E1763" t="s">
        <v>24</v>
      </c>
      <c r="F1763" s="3">
        <v>2026</v>
      </c>
      <c r="G1763" s="3">
        <v>1</v>
      </c>
      <c r="H1763" t="s">
        <v>1183</v>
      </c>
      <c r="I1763" s="2">
        <v>4.5</v>
      </c>
      <c r="J1763" t="s">
        <v>117</v>
      </c>
    </row>
    <row r="1764" spans="1:10">
      <c r="A1764" t="s">
        <v>1923</v>
      </c>
      <c r="B1764" t="s">
        <v>116</v>
      </c>
      <c r="C1764" s="1">
        <v>46107</v>
      </c>
      <c r="D1764" t="s">
        <v>210</v>
      </c>
      <c r="E1764" t="s">
        <v>25</v>
      </c>
      <c r="F1764" s="3">
        <v>2026</v>
      </c>
      <c r="G1764" s="3">
        <v>1</v>
      </c>
      <c r="H1764" t="s">
        <v>1183</v>
      </c>
      <c r="I1764" s="2">
        <v>4.8</v>
      </c>
      <c r="J1764" t="s">
        <v>117</v>
      </c>
    </row>
    <row r="1765" spans="1:10">
      <c r="A1765" t="s">
        <v>1924</v>
      </c>
      <c r="B1765" t="s">
        <v>116</v>
      </c>
      <c r="C1765" s="1">
        <v>46107</v>
      </c>
      <c r="D1765" t="s">
        <v>212</v>
      </c>
      <c r="E1765" t="s">
        <v>26</v>
      </c>
      <c r="F1765" s="3">
        <v>2026</v>
      </c>
      <c r="G1765" s="3">
        <v>1</v>
      </c>
      <c r="H1765" t="s">
        <v>1183</v>
      </c>
      <c r="I1765" s="2">
        <v>4.5999999999999996</v>
      </c>
      <c r="J1765" t="s">
        <v>117</v>
      </c>
    </row>
    <row r="1766" spans="1:10">
      <c r="A1766" t="s">
        <v>1925</v>
      </c>
      <c r="B1766" t="s">
        <v>116</v>
      </c>
      <c r="C1766" s="1">
        <v>46107</v>
      </c>
      <c r="D1766" t="s">
        <v>22</v>
      </c>
      <c r="E1766" t="s">
        <v>22</v>
      </c>
      <c r="F1766" s="3">
        <v>2026</v>
      </c>
      <c r="G1766" s="3">
        <v>2</v>
      </c>
      <c r="H1766" t="s">
        <v>1276</v>
      </c>
      <c r="I1766" s="2">
        <v>4</v>
      </c>
      <c r="J1766" t="s">
        <v>117</v>
      </c>
    </row>
    <row r="1767" spans="1:10">
      <c r="A1767" t="s">
        <v>1926</v>
      </c>
      <c r="B1767" t="s">
        <v>116</v>
      </c>
      <c r="C1767" s="1">
        <v>46107</v>
      </c>
      <c r="D1767" t="s">
        <v>134</v>
      </c>
      <c r="E1767" t="s">
        <v>24</v>
      </c>
      <c r="F1767" s="3">
        <v>2026</v>
      </c>
      <c r="G1767" s="3">
        <v>2</v>
      </c>
      <c r="H1767" t="s">
        <v>1276</v>
      </c>
      <c r="I1767" s="2">
        <v>4.0999999999999996</v>
      </c>
      <c r="J1767" t="s">
        <v>117</v>
      </c>
    </row>
    <row r="1768" spans="1:10">
      <c r="A1768" t="s">
        <v>1927</v>
      </c>
      <c r="B1768" t="s">
        <v>116</v>
      </c>
      <c r="C1768" s="1">
        <v>46107</v>
      </c>
      <c r="D1768" t="s">
        <v>210</v>
      </c>
      <c r="E1768" t="s">
        <v>25</v>
      </c>
      <c r="F1768" s="3">
        <v>2026</v>
      </c>
      <c r="G1768" s="3">
        <v>2</v>
      </c>
      <c r="H1768" t="s">
        <v>1276</v>
      </c>
      <c r="I1768" s="2">
        <v>4.2</v>
      </c>
      <c r="J1768" t="s">
        <v>117</v>
      </c>
    </row>
    <row r="1769" spans="1:10">
      <c r="A1769" t="s">
        <v>1928</v>
      </c>
      <c r="B1769" t="s">
        <v>116</v>
      </c>
      <c r="C1769" s="1">
        <v>46107</v>
      </c>
      <c r="D1769" t="s">
        <v>212</v>
      </c>
      <c r="E1769" t="s">
        <v>26</v>
      </c>
      <c r="F1769" s="3">
        <v>2026</v>
      </c>
      <c r="G1769" s="3">
        <v>2</v>
      </c>
      <c r="H1769" t="s">
        <v>1276</v>
      </c>
      <c r="I1769" s="2">
        <v>3.3</v>
      </c>
      <c r="J1769" t="s">
        <v>117</v>
      </c>
    </row>
    <row r="1770" spans="1:10">
      <c r="A1770" t="s">
        <v>1929</v>
      </c>
      <c r="B1770" t="s">
        <v>116</v>
      </c>
      <c r="C1770" s="1">
        <v>46107</v>
      </c>
      <c r="D1770" t="s">
        <v>22</v>
      </c>
      <c r="E1770" t="s">
        <v>22</v>
      </c>
      <c r="F1770" s="3">
        <v>2026</v>
      </c>
      <c r="G1770" s="3">
        <v>3</v>
      </c>
      <c r="H1770" t="s">
        <v>21</v>
      </c>
      <c r="I1770" s="2">
        <v>3.7</v>
      </c>
      <c r="J1770" t="s">
        <v>117</v>
      </c>
    </row>
    <row r="1771" spans="1:10">
      <c r="A1771" t="s">
        <v>1930</v>
      </c>
      <c r="B1771" t="s">
        <v>116</v>
      </c>
      <c r="C1771" s="1">
        <v>46107</v>
      </c>
      <c r="D1771" t="s">
        <v>134</v>
      </c>
      <c r="E1771" t="s">
        <v>24</v>
      </c>
      <c r="F1771" s="3">
        <v>2026</v>
      </c>
      <c r="G1771" s="3">
        <v>3</v>
      </c>
      <c r="H1771" t="s">
        <v>21</v>
      </c>
      <c r="I1771" s="2">
        <v>3.7</v>
      </c>
      <c r="J1771" t="s">
        <v>117</v>
      </c>
    </row>
    <row r="1772" spans="1:10">
      <c r="A1772" t="s">
        <v>1931</v>
      </c>
      <c r="B1772" t="s">
        <v>116</v>
      </c>
      <c r="C1772" s="1">
        <v>46107</v>
      </c>
      <c r="D1772" t="s">
        <v>210</v>
      </c>
      <c r="E1772" t="s">
        <v>25</v>
      </c>
      <c r="F1772" s="3">
        <v>2026</v>
      </c>
      <c r="G1772" s="3">
        <v>3</v>
      </c>
      <c r="H1772" t="s">
        <v>21</v>
      </c>
      <c r="I1772" s="2">
        <v>2.6</v>
      </c>
      <c r="J1772" t="s">
        <v>117</v>
      </c>
    </row>
    <row r="1773" spans="1:10">
      <c r="A1773" t="s">
        <v>1932</v>
      </c>
      <c r="B1773" t="s">
        <v>116</v>
      </c>
      <c r="C1773" s="1">
        <v>46107</v>
      </c>
      <c r="D1773" t="s">
        <v>212</v>
      </c>
      <c r="E1773" t="s">
        <v>26</v>
      </c>
      <c r="F1773" s="3">
        <v>2026</v>
      </c>
      <c r="G1773" s="3">
        <v>3</v>
      </c>
      <c r="H1773" t="s">
        <v>21</v>
      </c>
      <c r="I1773" s="2">
        <v>2.9</v>
      </c>
      <c r="J1773" t="s">
        <v>117</v>
      </c>
    </row>
    <row r="1774" spans="1:10">
      <c r="A1774" t="s">
        <v>1933</v>
      </c>
      <c r="B1774" t="s">
        <v>116</v>
      </c>
      <c r="C1774" s="1">
        <v>46107</v>
      </c>
      <c r="D1774" t="s">
        <v>22</v>
      </c>
      <c r="E1774" t="s">
        <v>22</v>
      </c>
      <c r="F1774" s="3">
        <v>2026</v>
      </c>
      <c r="G1774" s="3">
        <v>4</v>
      </c>
      <c r="H1774" t="s">
        <v>1469</v>
      </c>
      <c r="I1774" s="2">
        <v>3.5</v>
      </c>
      <c r="J1774" t="s">
        <v>117</v>
      </c>
    </row>
    <row r="1775" spans="1:10">
      <c r="A1775" t="s">
        <v>1934</v>
      </c>
      <c r="B1775" t="s">
        <v>116</v>
      </c>
      <c r="C1775" s="1">
        <v>46107</v>
      </c>
      <c r="D1775" t="s">
        <v>134</v>
      </c>
      <c r="E1775" t="s">
        <v>24</v>
      </c>
      <c r="F1775" s="3">
        <v>2026</v>
      </c>
      <c r="G1775" s="3">
        <v>4</v>
      </c>
      <c r="H1775" t="s">
        <v>1469</v>
      </c>
      <c r="I1775" s="2">
        <v>3.4</v>
      </c>
      <c r="J1775" t="s">
        <v>117</v>
      </c>
    </row>
    <row r="1776" spans="1:10">
      <c r="A1776" t="s">
        <v>1935</v>
      </c>
      <c r="B1776" t="s">
        <v>116</v>
      </c>
      <c r="C1776" s="1">
        <v>46107</v>
      </c>
      <c r="D1776" t="s">
        <v>210</v>
      </c>
      <c r="E1776" t="s">
        <v>25</v>
      </c>
      <c r="F1776" s="3">
        <v>2026</v>
      </c>
      <c r="G1776" s="3">
        <v>4</v>
      </c>
      <c r="H1776" t="s">
        <v>1469</v>
      </c>
      <c r="I1776" s="2">
        <v>3</v>
      </c>
      <c r="J1776" t="s">
        <v>117</v>
      </c>
    </row>
    <row r="1777" spans="1:10">
      <c r="A1777" t="s">
        <v>1936</v>
      </c>
      <c r="B1777" t="s">
        <v>116</v>
      </c>
      <c r="C1777" s="1">
        <v>46107</v>
      </c>
      <c r="D1777" t="s">
        <v>212</v>
      </c>
      <c r="E1777" t="s">
        <v>26</v>
      </c>
      <c r="F1777" s="3">
        <v>2026</v>
      </c>
      <c r="G1777" s="3">
        <v>4</v>
      </c>
      <c r="H1777" t="s">
        <v>1469</v>
      </c>
      <c r="I1777" s="2">
        <v>3.1</v>
      </c>
      <c r="J1777" t="s">
        <v>117</v>
      </c>
    </row>
    <row r="1778" spans="1:10">
      <c r="A1778" t="s">
        <v>1937</v>
      </c>
      <c r="B1778" t="s">
        <v>116</v>
      </c>
      <c r="C1778" s="1">
        <v>46107</v>
      </c>
      <c r="D1778" t="s">
        <v>22</v>
      </c>
      <c r="E1778" t="s">
        <v>22</v>
      </c>
      <c r="F1778" s="3">
        <v>2027</v>
      </c>
      <c r="G1778" s="3">
        <v>1</v>
      </c>
      <c r="H1778" t="s">
        <v>1566</v>
      </c>
      <c r="I1778" s="2">
        <v>3.2</v>
      </c>
      <c r="J1778" t="s">
        <v>117</v>
      </c>
    </row>
    <row r="1779" spans="1:10">
      <c r="A1779" t="s">
        <v>1938</v>
      </c>
      <c r="B1779" t="s">
        <v>116</v>
      </c>
      <c r="C1779" s="1">
        <v>46107</v>
      </c>
      <c r="D1779" t="s">
        <v>134</v>
      </c>
      <c r="E1779" t="s">
        <v>24</v>
      </c>
      <c r="F1779" s="3">
        <v>2027</v>
      </c>
      <c r="G1779" s="3">
        <v>1</v>
      </c>
      <c r="H1779" t="s">
        <v>1566</v>
      </c>
      <c r="I1779" s="2">
        <v>3.1</v>
      </c>
      <c r="J1779" t="s">
        <v>117</v>
      </c>
    </row>
    <row r="1780" spans="1:10">
      <c r="A1780" t="s">
        <v>1939</v>
      </c>
      <c r="B1780" t="s">
        <v>116</v>
      </c>
      <c r="C1780" s="1">
        <v>46107</v>
      </c>
      <c r="D1780" t="s">
        <v>210</v>
      </c>
      <c r="E1780" t="s">
        <v>25</v>
      </c>
      <c r="F1780" s="3">
        <v>2027</v>
      </c>
      <c r="G1780" s="3">
        <v>1</v>
      </c>
      <c r="H1780" t="s">
        <v>1566</v>
      </c>
      <c r="I1780" s="2">
        <v>3.1</v>
      </c>
      <c r="J1780" t="s">
        <v>117</v>
      </c>
    </row>
    <row r="1781" spans="1:10">
      <c r="A1781" t="s">
        <v>1940</v>
      </c>
      <c r="B1781" t="s">
        <v>116</v>
      </c>
      <c r="C1781" s="1">
        <v>46107</v>
      </c>
      <c r="D1781" t="s">
        <v>212</v>
      </c>
      <c r="E1781" t="s">
        <v>26</v>
      </c>
      <c r="F1781" s="3">
        <v>2027</v>
      </c>
      <c r="G1781" s="3">
        <v>1</v>
      </c>
      <c r="H1781" t="s">
        <v>1566</v>
      </c>
      <c r="I1781" s="2">
        <v>3</v>
      </c>
      <c r="J1781" t="s">
        <v>117</v>
      </c>
    </row>
    <row r="1782" spans="1:10">
      <c r="A1782" t="s">
        <v>1941</v>
      </c>
      <c r="B1782" t="s">
        <v>116</v>
      </c>
      <c r="C1782" s="1">
        <v>46107</v>
      </c>
      <c r="D1782" t="s">
        <v>22</v>
      </c>
      <c r="E1782" t="s">
        <v>22</v>
      </c>
      <c r="F1782" s="3">
        <v>2027</v>
      </c>
      <c r="G1782" s="3">
        <v>2</v>
      </c>
      <c r="H1782" t="s">
        <v>1663</v>
      </c>
      <c r="I1782" s="2">
        <v>3</v>
      </c>
      <c r="J1782" t="s">
        <v>117</v>
      </c>
    </row>
    <row r="1783" spans="1:10">
      <c r="A1783" t="s">
        <v>1942</v>
      </c>
      <c r="B1783" t="s">
        <v>116</v>
      </c>
      <c r="C1783" s="1">
        <v>46107</v>
      </c>
      <c r="D1783" t="s">
        <v>134</v>
      </c>
      <c r="E1783" t="s">
        <v>24</v>
      </c>
      <c r="F1783" s="3">
        <v>2027</v>
      </c>
      <c r="G1783" s="3">
        <v>2</v>
      </c>
      <c r="H1783" t="s">
        <v>1663</v>
      </c>
      <c r="I1783" s="2">
        <v>3</v>
      </c>
      <c r="J1783" t="s">
        <v>117</v>
      </c>
    </row>
    <row r="1784" spans="1:10">
      <c r="A1784" t="s">
        <v>1943</v>
      </c>
      <c r="B1784" t="s">
        <v>116</v>
      </c>
      <c r="C1784" s="1">
        <v>46107</v>
      </c>
      <c r="D1784" t="s">
        <v>210</v>
      </c>
      <c r="E1784" t="s">
        <v>25</v>
      </c>
      <c r="F1784" s="3">
        <v>2027</v>
      </c>
      <c r="G1784" s="3">
        <v>2</v>
      </c>
      <c r="H1784" t="s">
        <v>1663</v>
      </c>
      <c r="I1784" s="2">
        <v>3.2</v>
      </c>
      <c r="J1784" t="s">
        <v>117</v>
      </c>
    </row>
    <row r="1785" spans="1:10">
      <c r="A1785" t="s">
        <v>1944</v>
      </c>
      <c r="B1785" t="s">
        <v>116</v>
      </c>
      <c r="C1785" s="1">
        <v>46107</v>
      </c>
      <c r="D1785" t="s">
        <v>212</v>
      </c>
      <c r="E1785" t="s">
        <v>26</v>
      </c>
      <c r="F1785" s="3">
        <v>2027</v>
      </c>
      <c r="G1785" s="3">
        <v>2</v>
      </c>
      <c r="H1785" t="s">
        <v>1663</v>
      </c>
      <c r="I1785" s="2">
        <v>3.1</v>
      </c>
      <c r="J1785" t="s">
        <v>117</v>
      </c>
    </row>
    <row r="1786" spans="1:10">
      <c r="A1786" t="s">
        <v>1945</v>
      </c>
      <c r="B1786" t="s">
        <v>116</v>
      </c>
      <c r="C1786" s="1">
        <v>46107</v>
      </c>
      <c r="D1786" t="s">
        <v>22</v>
      </c>
      <c r="E1786" t="s">
        <v>22</v>
      </c>
      <c r="F1786" s="3">
        <v>2027</v>
      </c>
      <c r="G1786" s="3">
        <v>3</v>
      </c>
      <c r="H1786" t="s">
        <v>1760</v>
      </c>
      <c r="I1786" s="2">
        <v>3</v>
      </c>
      <c r="J1786" t="s">
        <v>117</v>
      </c>
    </row>
    <row r="1787" spans="1:10">
      <c r="A1787" t="s">
        <v>1946</v>
      </c>
      <c r="B1787" t="s">
        <v>116</v>
      </c>
      <c r="C1787" s="1">
        <v>46107</v>
      </c>
      <c r="D1787" t="s">
        <v>134</v>
      </c>
      <c r="E1787" t="s">
        <v>24</v>
      </c>
      <c r="F1787" s="3">
        <v>2027</v>
      </c>
      <c r="G1787" s="3">
        <v>3</v>
      </c>
      <c r="H1787" t="s">
        <v>1760</v>
      </c>
      <c r="I1787" s="2">
        <v>3</v>
      </c>
      <c r="J1787" t="s">
        <v>117</v>
      </c>
    </row>
    <row r="1788" spans="1:10">
      <c r="A1788" t="s">
        <v>1947</v>
      </c>
      <c r="B1788" t="s">
        <v>116</v>
      </c>
      <c r="C1788" s="1">
        <v>46107</v>
      </c>
      <c r="D1788" t="s">
        <v>210</v>
      </c>
      <c r="E1788" t="s">
        <v>25</v>
      </c>
      <c r="F1788" s="3">
        <v>2027</v>
      </c>
      <c r="G1788" s="3">
        <v>3</v>
      </c>
      <c r="H1788" t="s">
        <v>1760</v>
      </c>
      <c r="I1788" s="2">
        <v>2.6</v>
      </c>
      <c r="J1788" t="s">
        <v>117</v>
      </c>
    </row>
    <row r="1789" spans="1:10">
      <c r="A1789" t="s">
        <v>1948</v>
      </c>
      <c r="B1789" t="s">
        <v>116</v>
      </c>
      <c r="C1789" s="1">
        <v>46107</v>
      </c>
      <c r="D1789" t="s">
        <v>212</v>
      </c>
      <c r="E1789" t="s">
        <v>26</v>
      </c>
      <c r="F1789" s="3">
        <v>2027</v>
      </c>
      <c r="G1789" s="3">
        <v>3</v>
      </c>
      <c r="H1789" t="s">
        <v>1760</v>
      </c>
      <c r="I1789" s="2">
        <v>2.8</v>
      </c>
      <c r="J1789" t="s">
        <v>117</v>
      </c>
    </row>
    <row r="1790" spans="1:10">
      <c r="A1790" t="s">
        <v>1949</v>
      </c>
      <c r="B1790" t="s">
        <v>116</v>
      </c>
      <c r="C1790" s="1">
        <v>46107</v>
      </c>
      <c r="D1790" t="s">
        <v>22</v>
      </c>
      <c r="E1790" t="s">
        <v>22</v>
      </c>
      <c r="F1790" s="3">
        <v>2027</v>
      </c>
      <c r="G1790" s="3">
        <v>4</v>
      </c>
      <c r="H1790" t="s">
        <v>1857</v>
      </c>
      <c r="I1790" s="2">
        <v>3</v>
      </c>
      <c r="J1790" t="s">
        <v>117</v>
      </c>
    </row>
    <row r="1791" spans="1:10">
      <c r="A1791" t="s">
        <v>1950</v>
      </c>
      <c r="B1791" t="s">
        <v>116</v>
      </c>
      <c r="C1791" s="1">
        <v>46107</v>
      </c>
      <c r="D1791" t="s">
        <v>134</v>
      </c>
      <c r="E1791" t="s">
        <v>24</v>
      </c>
      <c r="F1791" s="3">
        <v>2027</v>
      </c>
      <c r="G1791" s="3">
        <v>4</v>
      </c>
      <c r="H1791" t="s">
        <v>1857</v>
      </c>
      <c r="I1791" s="2">
        <v>3</v>
      </c>
      <c r="J1791" t="s">
        <v>117</v>
      </c>
    </row>
    <row r="1792" spans="1:10">
      <c r="A1792" t="s">
        <v>1951</v>
      </c>
      <c r="B1792" t="s">
        <v>116</v>
      </c>
      <c r="C1792" s="1">
        <v>46107</v>
      </c>
      <c r="D1792" t="s">
        <v>210</v>
      </c>
      <c r="E1792" t="s">
        <v>25</v>
      </c>
      <c r="F1792" s="3">
        <v>2027</v>
      </c>
      <c r="G1792" s="3">
        <v>4</v>
      </c>
      <c r="H1792" t="s">
        <v>1857</v>
      </c>
      <c r="I1792" s="2">
        <v>3.1</v>
      </c>
      <c r="J1792" t="s">
        <v>117</v>
      </c>
    </row>
    <row r="1793" spans="1:10">
      <c r="A1793" t="s">
        <v>1952</v>
      </c>
      <c r="B1793" t="s">
        <v>116</v>
      </c>
      <c r="C1793" s="1">
        <v>46107</v>
      </c>
      <c r="D1793" t="s">
        <v>212</v>
      </c>
      <c r="E1793" t="s">
        <v>26</v>
      </c>
      <c r="F1793" s="3">
        <v>2027</v>
      </c>
      <c r="G1793" s="3">
        <v>4</v>
      </c>
      <c r="H1793" t="s">
        <v>1857</v>
      </c>
      <c r="I1793" s="2">
        <v>3</v>
      </c>
      <c r="J1793" t="s">
        <v>117</v>
      </c>
    </row>
    <row r="1794" spans="1:10">
      <c r="A1794" t="s">
        <v>1953</v>
      </c>
      <c r="B1794" t="s">
        <v>116</v>
      </c>
      <c r="C1794" s="1">
        <v>46107</v>
      </c>
      <c r="D1794" t="s">
        <v>22</v>
      </c>
      <c r="E1794" t="s">
        <v>22</v>
      </c>
      <c r="F1794" s="3">
        <v>2028</v>
      </c>
      <c r="G1794" s="3">
        <v>1</v>
      </c>
      <c r="H1794" t="s">
        <v>1954</v>
      </c>
      <c r="I1794" s="2">
        <v>3</v>
      </c>
      <c r="J1794" t="s">
        <v>117</v>
      </c>
    </row>
    <row r="1795" spans="1:10">
      <c r="A1795" t="s">
        <v>1955</v>
      </c>
      <c r="B1795" t="s">
        <v>116</v>
      </c>
      <c r="C1795" s="1">
        <v>46107</v>
      </c>
      <c r="D1795" t="s">
        <v>134</v>
      </c>
      <c r="E1795" t="s">
        <v>24</v>
      </c>
      <c r="F1795" s="3">
        <v>2028</v>
      </c>
      <c r="G1795" s="3">
        <v>1</v>
      </c>
      <c r="H1795" t="s">
        <v>1954</v>
      </c>
      <c r="I1795" s="2">
        <v>3</v>
      </c>
      <c r="J1795" t="s">
        <v>117</v>
      </c>
    </row>
    <row r="1796" spans="1:10">
      <c r="A1796" t="s">
        <v>1956</v>
      </c>
      <c r="B1796" t="s">
        <v>116</v>
      </c>
      <c r="C1796" s="1">
        <v>46107</v>
      </c>
      <c r="D1796" t="s">
        <v>210</v>
      </c>
      <c r="E1796" t="s">
        <v>25</v>
      </c>
      <c r="F1796" s="3">
        <v>2028</v>
      </c>
      <c r="G1796" s="3">
        <v>1</v>
      </c>
      <c r="H1796" t="s">
        <v>1954</v>
      </c>
      <c r="I1796" s="2">
        <v>3</v>
      </c>
      <c r="J1796" t="s">
        <v>117</v>
      </c>
    </row>
    <row r="1797" spans="1:10">
      <c r="A1797" t="s">
        <v>1957</v>
      </c>
      <c r="B1797" t="s">
        <v>116</v>
      </c>
      <c r="C1797" s="1">
        <v>46107</v>
      </c>
      <c r="D1797" t="s">
        <v>212</v>
      </c>
      <c r="E1797" t="s">
        <v>26</v>
      </c>
      <c r="F1797" s="3">
        <v>2028</v>
      </c>
      <c r="G1797" s="3">
        <v>1</v>
      </c>
      <c r="H1797" t="s">
        <v>1954</v>
      </c>
      <c r="I1797" s="2">
        <v>3</v>
      </c>
      <c r="J1797" t="s">
        <v>117</v>
      </c>
    </row>
    <row r="1798" spans="1:10">
      <c r="A1798" t="s">
        <v>1958</v>
      </c>
      <c r="B1798" t="s">
        <v>118</v>
      </c>
      <c r="C1798" s="1">
        <v>46149</v>
      </c>
      <c r="D1798" t="s">
        <v>22</v>
      </c>
      <c r="E1798" t="s">
        <v>22</v>
      </c>
      <c r="F1798" s="3">
        <v>2025</v>
      </c>
      <c r="G1798" s="3">
        <v>2</v>
      </c>
      <c r="H1798" t="s">
        <v>876</v>
      </c>
      <c r="I1798" s="2">
        <v>4.2</v>
      </c>
      <c r="J1798" t="s">
        <v>119</v>
      </c>
    </row>
    <row r="1799" spans="1:10">
      <c r="A1799" t="s">
        <v>1959</v>
      </c>
      <c r="B1799" t="s">
        <v>118</v>
      </c>
      <c r="C1799" s="1">
        <v>46149</v>
      </c>
      <c r="D1799" t="s">
        <v>134</v>
      </c>
      <c r="E1799" t="s">
        <v>24</v>
      </c>
      <c r="F1799" s="3">
        <v>2025</v>
      </c>
      <c r="G1799" s="3">
        <v>2</v>
      </c>
      <c r="H1799" t="s">
        <v>876</v>
      </c>
      <c r="I1799" s="2">
        <v>4.0999999999999996</v>
      </c>
      <c r="J1799" t="s">
        <v>119</v>
      </c>
    </row>
    <row r="1800" spans="1:10">
      <c r="A1800" t="s">
        <v>1960</v>
      </c>
      <c r="B1800" t="s">
        <v>118</v>
      </c>
      <c r="C1800" s="1">
        <v>46149</v>
      </c>
      <c r="D1800" t="s">
        <v>210</v>
      </c>
      <c r="E1800" t="s">
        <v>25</v>
      </c>
      <c r="F1800" s="3">
        <v>2025</v>
      </c>
      <c r="G1800" s="3">
        <v>2</v>
      </c>
      <c r="H1800" t="s">
        <v>876</v>
      </c>
      <c r="I1800" s="2">
        <v>5.3</v>
      </c>
      <c r="J1800" t="s">
        <v>119</v>
      </c>
    </row>
    <row r="1801" spans="1:10">
      <c r="A1801" t="s">
        <v>1961</v>
      </c>
      <c r="B1801" t="s">
        <v>118</v>
      </c>
      <c r="C1801" s="1">
        <v>46149</v>
      </c>
      <c r="D1801" t="s">
        <v>212</v>
      </c>
      <c r="E1801" t="s">
        <v>26</v>
      </c>
      <c r="F1801" s="3">
        <v>2025</v>
      </c>
      <c r="G1801" s="3">
        <v>2</v>
      </c>
      <c r="H1801" t="s">
        <v>876</v>
      </c>
      <c r="I1801" s="2">
        <v>4.9000000000000004</v>
      </c>
      <c r="J1801" t="s">
        <v>119</v>
      </c>
    </row>
    <row r="1802" spans="1:10">
      <c r="A1802" t="s">
        <v>1962</v>
      </c>
      <c r="B1802" t="s">
        <v>118</v>
      </c>
      <c r="C1802" s="1">
        <v>46149</v>
      </c>
      <c r="D1802" t="s">
        <v>22</v>
      </c>
      <c r="E1802" t="s">
        <v>22</v>
      </c>
      <c r="F1802" s="3">
        <v>2025</v>
      </c>
      <c r="G1802" s="3">
        <v>3</v>
      </c>
      <c r="H1802" t="s">
        <v>981</v>
      </c>
      <c r="I1802" s="2">
        <v>3.6</v>
      </c>
      <c r="J1802" t="s">
        <v>119</v>
      </c>
    </row>
    <row r="1803" spans="1:10">
      <c r="A1803" t="s">
        <v>1963</v>
      </c>
      <c r="B1803" t="s">
        <v>118</v>
      </c>
      <c r="C1803" s="1">
        <v>46149</v>
      </c>
      <c r="D1803" t="s">
        <v>134</v>
      </c>
      <c r="E1803" t="s">
        <v>24</v>
      </c>
      <c r="F1803" s="3">
        <v>2025</v>
      </c>
      <c r="G1803" s="3">
        <v>3</v>
      </c>
      <c r="H1803" t="s">
        <v>981</v>
      </c>
      <c r="I1803" s="2">
        <v>4.2</v>
      </c>
      <c r="J1803" t="s">
        <v>119</v>
      </c>
    </row>
    <row r="1804" spans="1:10">
      <c r="A1804" t="s">
        <v>1964</v>
      </c>
      <c r="B1804" t="s">
        <v>118</v>
      </c>
      <c r="C1804" s="1">
        <v>46149</v>
      </c>
      <c r="D1804" t="s">
        <v>210</v>
      </c>
      <c r="E1804" t="s">
        <v>25</v>
      </c>
      <c r="F1804" s="3">
        <v>2025</v>
      </c>
      <c r="G1804" s="3">
        <v>3</v>
      </c>
      <c r="H1804" t="s">
        <v>981</v>
      </c>
      <c r="I1804" s="2">
        <v>3</v>
      </c>
      <c r="J1804" t="s">
        <v>119</v>
      </c>
    </row>
    <row r="1805" spans="1:10">
      <c r="A1805" t="s">
        <v>1965</v>
      </c>
      <c r="B1805" t="s">
        <v>118</v>
      </c>
      <c r="C1805" s="1">
        <v>46149</v>
      </c>
      <c r="D1805" t="s">
        <v>212</v>
      </c>
      <c r="E1805" t="s">
        <v>26</v>
      </c>
      <c r="F1805" s="3">
        <v>2025</v>
      </c>
      <c r="G1805" s="3">
        <v>3</v>
      </c>
      <c r="H1805" t="s">
        <v>981</v>
      </c>
      <c r="I1805" s="2">
        <v>4.3</v>
      </c>
      <c r="J1805" t="s">
        <v>119</v>
      </c>
    </row>
    <row r="1806" spans="1:10">
      <c r="A1806" t="s">
        <v>1966</v>
      </c>
      <c r="B1806" t="s">
        <v>118</v>
      </c>
      <c r="C1806" s="1">
        <v>46149</v>
      </c>
      <c r="D1806" t="s">
        <v>22</v>
      </c>
      <c r="E1806" t="s">
        <v>22</v>
      </c>
      <c r="F1806" s="3">
        <v>2025</v>
      </c>
      <c r="G1806" s="3">
        <v>4</v>
      </c>
      <c r="H1806" t="s">
        <v>1086</v>
      </c>
      <c r="I1806" s="2">
        <v>3.7</v>
      </c>
      <c r="J1806" t="s">
        <v>119</v>
      </c>
    </row>
    <row r="1807" spans="1:10">
      <c r="A1807" t="s">
        <v>1967</v>
      </c>
      <c r="B1807" t="s">
        <v>118</v>
      </c>
      <c r="C1807" s="1">
        <v>46149</v>
      </c>
      <c r="D1807" t="s">
        <v>134</v>
      </c>
      <c r="E1807" t="s">
        <v>24</v>
      </c>
      <c r="F1807" s="3">
        <v>2025</v>
      </c>
      <c r="G1807" s="3">
        <v>4</v>
      </c>
      <c r="H1807" t="s">
        <v>1086</v>
      </c>
      <c r="I1807" s="2">
        <v>4.3</v>
      </c>
      <c r="J1807" t="s">
        <v>119</v>
      </c>
    </row>
    <row r="1808" spans="1:10">
      <c r="A1808" t="s">
        <v>1968</v>
      </c>
      <c r="B1808" t="s">
        <v>118</v>
      </c>
      <c r="C1808" s="1">
        <v>46149</v>
      </c>
      <c r="D1808" t="s">
        <v>210</v>
      </c>
      <c r="E1808" t="s">
        <v>25</v>
      </c>
      <c r="F1808" s="3">
        <v>2025</v>
      </c>
      <c r="G1808" s="3">
        <v>4</v>
      </c>
      <c r="H1808" t="s">
        <v>1086</v>
      </c>
      <c r="I1808" s="2">
        <v>3.6</v>
      </c>
      <c r="J1808" t="s">
        <v>119</v>
      </c>
    </row>
    <row r="1809" spans="1:10">
      <c r="A1809" t="s">
        <v>1969</v>
      </c>
      <c r="B1809" t="s">
        <v>118</v>
      </c>
      <c r="C1809" s="1">
        <v>46149</v>
      </c>
      <c r="D1809" t="s">
        <v>212</v>
      </c>
      <c r="E1809" t="s">
        <v>26</v>
      </c>
      <c r="F1809" s="3">
        <v>2025</v>
      </c>
      <c r="G1809" s="3">
        <v>4</v>
      </c>
      <c r="H1809" t="s">
        <v>1086</v>
      </c>
      <c r="I1809" s="2">
        <v>4</v>
      </c>
      <c r="J1809" t="s">
        <v>119</v>
      </c>
    </row>
    <row r="1810" spans="1:10">
      <c r="A1810" t="s">
        <v>1970</v>
      </c>
      <c r="B1810" t="s">
        <v>118</v>
      </c>
      <c r="C1810" s="1">
        <v>46149</v>
      </c>
      <c r="D1810" t="s">
        <v>22</v>
      </c>
      <c r="E1810" t="s">
        <v>22</v>
      </c>
      <c r="F1810" s="3">
        <v>2026</v>
      </c>
      <c r="G1810" s="3">
        <v>1</v>
      </c>
      <c r="H1810" t="s">
        <v>1183</v>
      </c>
      <c r="I1810" s="2">
        <v>4.0999999999999996</v>
      </c>
      <c r="J1810" t="s">
        <v>119</v>
      </c>
    </row>
    <row r="1811" spans="1:10">
      <c r="A1811" t="s">
        <v>1971</v>
      </c>
      <c r="B1811" t="s">
        <v>118</v>
      </c>
      <c r="C1811" s="1">
        <v>46149</v>
      </c>
      <c r="D1811" t="s">
        <v>134</v>
      </c>
      <c r="E1811" t="s">
        <v>24</v>
      </c>
      <c r="F1811" s="3">
        <v>2026</v>
      </c>
      <c r="G1811" s="3">
        <v>1</v>
      </c>
      <c r="H1811" t="s">
        <v>1183</v>
      </c>
      <c r="I1811" s="2">
        <v>4.5</v>
      </c>
      <c r="J1811" t="s">
        <v>119</v>
      </c>
    </row>
    <row r="1812" spans="1:10">
      <c r="A1812" t="s">
        <v>1972</v>
      </c>
      <c r="B1812" t="s">
        <v>118</v>
      </c>
      <c r="C1812" s="1">
        <v>46149</v>
      </c>
      <c r="D1812" t="s">
        <v>210</v>
      </c>
      <c r="E1812" t="s">
        <v>25</v>
      </c>
      <c r="F1812" s="3">
        <v>2026</v>
      </c>
      <c r="G1812" s="3">
        <v>1</v>
      </c>
      <c r="H1812" t="s">
        <v>1183</v>
      </c>
      <c r="I1812" s="2">
        <v>4.7</v>
      </c>
      <c r="J1812" t="s">
        <v>119</v>
      </c>
    </row>
    <row r="1813" spans="1:10">
      <c r="A1813" t="s">
        <v>1973</v>
      </c>
      <c r="B1813" t="s">
        <v>118</v>
      </c>
      <c r="C1813" s="1">
        <v>46149</v>
      </c>
      <c r="D1813" t="s">
        <v>212</v>
      </c>
      <c r="E1813" t="s">
        <v>26</v>
      </c>
      <c r="F1813" s="3">
        <v>2026</v>
      </c>
      <c r="G1813" s="3">
        <v>1</v>
      </c>
      <c r="H1813" t="s">
        <v>1183</v>
      </c>
      <c r="I1813" s="2">
        <v>4.5999999999999996</v>
      </c>
      <c r="J1813" t="s">
        <v>119</v>
      </c>
    </row>
    <row r="1814" spans="1:10">
      <c r="A1814" t="s">
        <v>1974</v>
      </c>
      <c r="B1814" t="s">
        <v>118</v>
      </c>
      <c r="C1814" s="1">
        <v>46149</v>
      </c>
      <c r="D1814" t="s">
        <v>22</v>
      </c>
      <c r="E1814" t="s">
        <v>22</v>
      </c>
      <c r="F1814" s="3">
        <v>2026</v>
      </c>
      <c r="G1814" s="3">
        <v>2</v>
      </c>
      <c r="H1814" t="s">
        <v>1276</v>
      </c>
      <c r="I1814" s="2">
        <v>4.0999999999999996</v>
      </c>
      <c r="J1814" t="s">
        <v>119</v>
      </c>
    </row>
    <row r="1815" spans="1:10">
      <c r="A1815" t="s">
        <v>1975</v>
      </c>
      <c r="B1815" t="s">
        <v>118</v>
      </c>
      <c r="C1815" s="1">
        <v>46149</v>
      </c>
      <c r="D1815" t="s">
        <v>134</v>
      </c>
      <c r="E1815" t="s">
        <v>24</v>
      </c>
      <c r="F1815" s="3">
        <v>2026</v>
      </c>
      <c r="G1815" s="3">
        <v>2</v>
      </c>
      <c r="H1815" t="s">
        <v>1276</v>
      </c>
      <c r="I1815" s="2">
        <v>4.0999999999999996</v>
      </c>
      <c r="J1815" t="s">
        <v>119</v>
      </c>
    </row>
    <row r="1816" spans="1:10">
      <c r="A1816" t="s">
        <v>1976</v>
      </c>
      <c r="B1816" t="s">
        <v>118</v>
      </c>
      <c r="C1816" s="1">
        <v>46149</v>
      </c>
      <c r="D1816" t="s">
        <v>210</v>
      </c>
      <c r="E1816" t="s">
        <v>25</v>
      </c>
      <c r="F1816" s="3">
        <v>2026</v>
      </c>
      <c r="G1816" s="3">
        <v>2</v>
      </c>
      <c r="H1816" t="s">
        <v>1276</v>
      </c>
      <c r="I1816" s="2">
        <v>4.5999999999999996</v>
      </c>
      <c r="J1816" t="s">
        <v>119</v>
      </c>
    </row>
    <row r="1817" spans="1:10">
      <c r="A1817" t="s">
        <v>1977</v>
      </c>
      <c r="B1817" t="s">
        <v>118</v>
      </c>
      <c r="C1817" s="1">
        <v>46149</v>
      </c>
      <c r="D1817" t="s">
        <v>212</v>
      </c>
      <c r="E1817" t="s">
        <v>26</v>
      </c>
      <c r="F1817" s="3">
        <v>2026</v>
      </c>
      <c r="G1817" s="3">
        <v>2</v>
      </c>
      <c r="H1817" t="s">
        <v>1276</v>
      </c>
      <c r="I1817" s="2">
        <v>3.4</v>
      </c>
      <c r="J1817" t="s">
        <v>119</v>
      </c>
    </row>
    <row r="1818" spans="1:10">
      <c r="A1818" t="s">
        <v>1978</v>
      </c>
      <c r="B1818" t="s">
        <v>118</v>
      </c>
      <c r="C1818" s="1">
        <v>46149</v>
      </c>
      <c r="D1818" t="s">
        <v>22</v>
      </c>
      <c r="E1818" t="s">
        <v>22</v>
      </c>
      <c r="F1818" s="3">
        <v>2026</v>
      </c>
      <c r="G1818" s="3">
        <v>3</v>
      </c>
      <c r="H1818" t="s">
        <v>21</v>
      </c>
      <c r="I1818" s="2">
        <v>3.8</v>
      </c>
      <c r="J1818" t="s">
        <v>119</v>
      </c>
    </row>
    <row r="1819" spans="1:10">
      <c r="A1819" t="s">
        <v>1979</v>
      </c>
      <c r="B1819" t="s">
        <v>118</v>
      </c>
      <c r="C1819" s="1">
        <v>46149</v>
      </c>
      <c r="D1819" t="s">
        <v>134</v>
      </c>
      <c r="E1819" t="s">
        <v>24</v>
      </c>
      <c r="F1819" s="3">
        <v>2026</v>
      </c>
      <c r="G1819" s="3">
        <v>3</v>
      </c>
      <c r="H1819" t="s">
        <v>21</v>
      </c>
      <c r="I1819" s="2">
        <v>3.7</v>
      </c>
      <c r="J1819" t="s">
        <v>119</v>
      </c>
    </row>
    <row r="1820" spans="1:10">
      <c r="A1820" t="s">
        <v>1980</v>
      </c>
      <c r="B1820" t="s">
        <v>118</v>
      </c>
      <c r="C1820" s="1">
        <v>46149</v>
      </c>
      <c r="D1820" t="s">
        <v>210</v>
      </c>
      <c r="E1820" t="s">
        <v>25</v>
      </c>
      <c r="F1820" s="3">
        <v>2026</v>
      </c>
      <c r="G1820" s="3">
        <v>3</v>
      </c>
      <c r="H1820" t="s">
        <v>21</v>
      </c>
      <c r="I1820" s="2">
        <v>2.5</v>
      </c>
      <c r="J1820" t="s">
        <v>119</v>
      </c>
    </row>
    <row r="1821" spans="1:10">
      <c r="A1821" t="s">
        <v>1981</v>
      </c>
      <c r="B1821" t="s">
        <v>118</v>
      </c>
      <c r="C1821" s="1">
        <v>46149</v>
      </c>
      <c r="D1821" t="s">
        <v>212</v>
      </c>
      <c r="E1821" t="s">
        <v>26</v>
      </c>
      <c r="F1821" s="3">
        <v>2026</v>
      </c>
      <c r="G1821" s="3">
        <v>3</v>
      </c>
      <c r="H1821" t="s">
        <v>21</v>
      </c>
      <c r="I1821" s="2">
        <v>2.9</v>
      </c>
      <c r="J1821" t="s">
        <v>119</v>
      </c>
    </row>
    <row r="1822" spans="1:10">
      <c r="A1822" t="s">
        <v>1982</v>
      </c>
      <c r="B1822" t="s">
        <v>118</v>
      </c>
      <c r="C1822" s="1">
        <v>46149</v>
      </c>
      <c r="D1822" t="s">
        <v>22</v>
      </c>
      <c r="E1822" t="s">
        <v>22</v>
      </c>
      <c r="F1822" s="3">
        <v>2026</v>
      </c>
      <c r="G1822" s="3">
        <v>4</v>
      </c>
      <c r="H1822" t="s">
        <v>1469</v>
      </c>
      <c r="I1822" s="2">
        <v>3.5</v>
      </c>
      <c r="J1822" t="s">
        <v>119</v>
      </c>
    </row>
    <row r="1823" spans="1:10">
      <c r="A1823" t="s">
        <v>1983</v>
      </c>
      <c r="B1823" t="s">
        <v>118</v>
      </c>
      <c r="C1823" s="1">
        <v>46149</v>
      </c>
      <c r="D1823" t="s">
        <v>134</v>
      </c>
      <c r="E1823" t="s">
        <v>24</v>
      </c>
      <c r="F1823" s="3">
        <v>2026</v>
      </c>
      <c r="G1823" s="3">
        <v>4</v>
      </c>
      <c r="H1823" t="s">
        <v>1469</v>
      </c>
      <c r="I1823" s="2">
        <v>3.4</v>
      </c>
      <c r="J1823" t="s">
        <v>119</v>
      </c>
    </row>
    <row r="1824" spans="1:10">
      <c r="A1824" t="s">
        <v>1984</v>
      </c>
      <c r="B1824" t="s">
        <v>118</v>
      </c>
      <c r="C1824" s="1">
        <v>46149</v>
      </c>
      <c r="D1824" t="s">
        <v>210</v>
      </c>
      <c r="E1824" t="s">
        <v>25</v>
      </c>
      <c r="F1824" s="3">
        <v>2026</v>
      </c>
      <c r="G1824" s="3">
        <v>4</v>
      </c>
      <c r="H1824" t="s">
        <v>1469</v>
      </c>
      <c r="I1824" s="2">
        <v>2.9</v>
      </c>
      <c r="J1824" t="s">
        <v>119</v>
      </c>
    </row>
    <row r="1825" spans="1:10">
      <c r="A1825" t="s">
        <v>1985</v>
      </c>
      <c r="B1825" t="s">
        <v>118</v>
      </c>
      <c r="C1825" s="1">
        <v>46149</v>
      </c>
      <c r="D1825" t="s">
        <v>212</v>
      </c>
      <c r="E1825" t="s">
        <v>26</v>
      </c>
      <c r="F1825" s="3">
        <v>2026</v>
      </c>
      <c r="G1825" s="3">
        <v>4</v>
      </c>
      <c r="H1825" t="s">
        <v>1469</v>
      </c>
      <c r="I1825" s="2">
        <v>3</v>
      </c>
      <c r="J1825" t="s">
        <v>119</v>
      </c>
    </row>
    <row r="1826" spans="1:10">
      <c r="A1826" t="s">
        <v>1986</v>
      </c>
      <c r="B1826" t="s">
        <v>118</v>
      </c>
      <c r="C1826" s="1">
        <v>46149</v>
      </c>
      <c r="D1826" t="s">
        <v>22</v>
      </c>
      <c r="E1826" t="s">
        <v>22</v>
      </c>
      <c r="F1826" s="3">
        <v>2027</v>
      </c>
      <c r="G1826" s="3">
        <v>1</v>
      </c>
      <c r="H1826" t="s">
        <v>1566</v>
      </c>
      <c r="I1826" s="2">
        <v>3.2</v>
      </c>
      <c r="J1826" t="s">
        <v>119</v>
      </c>
    </row>
    <row r="1827" spans="1:10">
      <c r="A1827" t="s">
        <v>1987</v>
      </c>
      <c r="B1827" t="s">
        <v>118</v>
      </c>
      <c r="C1827" s="1">
        <v>46149</v>
      </c>
      <c r="D1827" t="s">
        <v>134</v>
      </c>
      <c r="E1827" t="s">
        <v>24</v>
      </c>
      <c r="F1827" s="3">
        <v>2027</v>
      </c>
      <c r="G1827" s="3">
        <v>1</v>
      </c>
      <c r="H1827" t="s">
        <v>1566</v>
      </c>
      <c r="I1827" s="2">
        <v>3.1</v>
      </c>
      <c r="J1827" t="s">
        <v>119</v>
      </c>
    </row>
    <row r="1828" spans="1:10">
      <c r="A1828" t="s">
        <v>1988</v>
      </c>
      <c r="B1828" t="s">
        <v>118</v>
      </c>
      <c r="C1828" s="1">
        <v>46149</v>
      </c>
      <c r="D1828" t="s">
        <v>210</v>
      </c>
      <c r="E1828" t="s">
        <v>25</v>
      </c>
      <c r="F1828" s="3">
        <v>2027</v>
      </c>
      <c r="G1828" s="3">
        <v>1</v>
      </c>
      <c r="H1828" t="s">
        <v>1566</v>
      </c>
      <c r="I1828" s="2">
        <v>3</v>
      </c>
      <c r="J1828" t="s">
        <v>119</v>
      </c>
    </row>
    <row r="1829" spans="1:10">
      <c r="A1829" t="s">
        <v>1989</v>
      </c>
      <c r="B1829" t="s">
        <v>118</v>
      </c>
      <c r="C1829" s="1">
        <v>46149</v>
      </c>
      <c r="D1829" t="s">
        <v>212</v>
      </c>
      <c r="E1829" t="s">
        <v>26</v>
      </c>
      <c r="F1829" s="3">
        <v>2027</v>
      </c>
      <c r="G1829" s="3">
        <v>1</v>
      </c>
      <c r="H1829" t="s">
        <v>1566</v>
      </c>
      <c r="I1829" s="2">
        <v>3</v>
      </c>
      <c r="J1829" t="s">
        <v>119</v>
      </c>
    </row>
    <row r="1830" spans="1:10">
      <c r="A1830" t="s">
        <v>1990</v>
      </c>
      <c r="B1830" t="s">
        <v>118</v>
      </c>
      <c r="C1830" s="1">
        <v>46149</v>
      </c>
      <c r="D1830" t="s">
        <v>22</v>
      </c>
      <c r="E1830" t="s">
        <v>22</v>
      </c>
      <c r="F1830" s="3">
        <v>2027</v>
      </c>
      <c r="G1830" s="3">
        <v>2</v>
      </c>
      <c r="H1830" t="s">
        <v>1663</v>
      </c>
      <c r="I1830" s="2">
        <v>3</v>
      </c>
      <c r="J1830" t="s">
        <v>119</v>
      </c>
    </row>
    <row r="1831" spans="1:10">
      <c r="A1831" t="s">
        <v>1991</v>
      </c>
      <c r="B1831" t="s">
        <v>118</v>
      </c>
      <c r="C1831" s="1">
        <v>46149</v>
      </c>
      <c r="D1831" t="s">
        <v>134</v>
      </c>
      <c r="E1831" t="s">
        <v>24</v>
      </c>
      <c r="F1831" s="3">
        <v>2027</v>
      </c>
      <c r="G1831" s="3">
        <v>2</v>
      </c>
      <c r="H1831" t="s">
        <v>1663</v>
      </c>
      <c r="I1831" s="2">
        <v>3</v>
      </c>
      <c r="J1831" t="s">
        <v>119</v>
      </c>
    </row>
    <row r="1832" spans="1:10">
      <c r="A1832" t="s">
        <v>1992</v>
      </c>
      <c r="B1832" t="s">
        <v>118</v>
      </c>
      <c r="C1832" s="1">
        <v>46149</v>
      </c>
      <c r="D1832" t="s">
        <v>210</v>
      </c>
      <c r="E1832" t="s">
        <v>25</v>
      </c>
      <c r="F1832" s="3">
        <v>2027</v>
      </c>
      <c r="G1832" s="3">
        <v>2</v>
      </c>
      <c r="H1832" t="s">
        <v>1663</v>
      </c>
      <c r="I1832" s="2">
        <v>3.6</v>
      </c>
      <c r="J1832" t="s">
        <v>119</v>
      </c>
    </row>
    <row r="1833" spans="1:10">
      <c r="A1833" t="s">
        <v>1993</v>
      </c>
      <c r="B1833" t="s">
        <v>118</v>
      </c>
      <c r="C1833" s="1">
        <v>46149</v>
      </c>
      <c r="D1833" t="s">
        <v>212</v>
      </c>
      <c r="E1833" t="s">
        <v>26</v>
      </c>
      <c r="F1833" s="3">
        <v>2027</v>
      </c>
      <c r="G1833" s="3">
        <v>2</v>
      </c>
      <c r="H1833" t="s">
        <v>1663</v>
      </c>
      <c r="I1833" s="2">
        <v>3.2</v>
      </c>
      <c r="J1833" t="s">
        <v>119</v>
      </c>
    </row>
    <row r="1834" spans="1:10">
      <c r="A1834" t="s">
        <v>1994</v>
      </c>
      <c r="B1834" t="s">
        <v>118</v>
      </c>
      <c r="C1834" s="1">
        <v>46149</v>
      </c>
      <c r="D1834" t="s">
        <v>22</v>
      </c>
      <c r="E1834" t="s">
        <v>22</v>
      </c>
      <c r="F1834" s="3">
        <v>2027</v>
      </c>
      <c r="G1834" s="3">
        <v>3</v>
      </c>
      <c r="H1834" t="s">
        <v>1760</v>
      </c>
      <c r="I1834" s="2">
        <v>3</v>
      </c>
      <c r="J1834" t="s">
        <v>119</v>
      </c>
    </row>
    <row r="1835" spans="1:10">
      <c r="A1835" t="s">
        <v>1995</v>
      </c>
      <c r="B1835" t="s">
        <v>118</v>
      </c>
      <c r="C1835" s="1">
        <v>46149</v>
      </c>
      <c r="D1835" t="s">
        <v>134</v>
      </c>
      <c r="E1835" t="s">
        <v>24</v>
      </c>
      <c r="F1835" s="3">
        <v>2027</v>
      </c>
      <c r="G1835" s="3">
        <v>3</v>
      </c>
      <c r="H1835" t="s">
        <v>1760</v>
      </c>
      <c r="I1835" s="2">
        <v>3</v>
      </c>
      <c r="J1835" t="s">
        <v>119</v>
      </c>
    </row>
    <row r="1836" spans="1:10">
      <c r="A1836" t="s">
        <v>1996</v>
      </c>
      <c r="B1836" t="s">
        <v>118</v>
      </c>
      <c r="C1836" s="1">
        <v>46149</v>
      </c>
      <c r="D1836" t="s">
        <v>210</v>
      </c>
      <c r="E1836" t="s">
        <v>25</v>
      </c>
      <c r="F1836" s="3">
        <v>2027</v>
      </c>
      <c r="G1836" s="3">
        <v>3</v>
      </c>
      <c r="H1836" t="s">
        <v>1760</v>
      </c>
      <c r="I1836" s="2">
        <v>2.4</v>
      </c>
      <c r="J1836" t="s">
        <v>119</v>
      </c>
    </row>
    <row r="1837" spans="1:10">
      <c r="A1837" t="s">
        <v>1997</v>
      </c>
      <c r="B1837" t="s">
        <v>118</v>
      </c>
      <c r="C1837" s="1">
        <v>46149</v>
      </c>
      <c r="D1837" t="s">
        <v>212</v>
      </c>
      <c r="E1837" t="s">
        <v>26</v>
      </c>
      <c r="F1837" s="3">
        <v>2027</v>
      </c>
      <c r="G1837" s="3">
        <v>3</v>
      </c>
      <c r="H1837" t="s">
        <v>1760</v>
      </c>
      <c r="I1837" s="2">
        <v>2.7</v>
      </c>
      <c r="J1837" t="s">
        <v>119</v>
      </c>
    </row>
    <row r="1838" spans="1:10">
      <c r="A1838" t="s">
        <v>1998</v>
      </c>
      <c r="B1838" t="s">
        <v>118</v>
      </c>
      <c r="C1838" s="1">
        <v>46149</v>
      </c>
      <c r="D1838" t="s">
        <v>22</v>
      </c>
      <c r="E1838" t="s">
        <v>22</v>
      </c>
      <c r="F1838" s="3">
        <v>2027</v>
      </c>
      <c r="G1838" s="3">
        <v>4</v>
      </c>
      <c r="H1838" t="s">
        <v>1857</v>
      </c>
      <c r="I1838" s="2">
        <v>3</v>
      </c>
      <c r="J1838" t="s">
        <v>119</v>
      </c>
    </row>
    <row r="1839" spans="1:10">
      <c r="A1839" t="s">
        <v>1999</v>
      </c>
      <c r="B1839" t="s">
        <v>118</v>
      </c>
      <c r="C1839" s="1">
        <v>46149</v>
      </c>
      <c r="D1839" t="s">
        <v>134</v>
      </c>
      <c r="E1839" t="s">
        <v>24</v>
      </c>
      <c r="F1839" s="3">
        <v>2027</v>
      </c>
      <c r="G1839" s="3">
        <v>4</v>
      </c>
      <c r="H1839" t="s">
        <v>1857</v>
      </c>
      <c r="I1839" s="2">
        <v>3</v>
      </c>
      <c r="J1839" t="s">
        <v>119</v>
      </c>
    </row>
    <row r="1840" spans="1:10">
      <c r="A1840" t="s">
        <v>2000</v>
      </c>
      <c r="B1840" t="s">
        <v>118</v>
      </c>
      <c r="C1840" s="1">
        <v>46149</v>
      </c>
      <c r="D1840" t="s">
        <v>210</v>
      </c>
      <c r="E1840" t="s">
        <v>25</v>
      </c>
      <c r="F1840" s="3">
        <v>2027</v>
      </c>
      <c r="G1840" s="3">
        <v>4</v>
      </c>
      <c r="H1840" t="s">
        <v>1857</v>
      </c>
      <c r="I1840" s="2">
        <v>2.9</v>
      </c>
      <c r="J1840" t="s">
        <v>119</v>
      </c>
    </row>
    <row r="1841" spans="1:10">
      <c r="A1841" t="s">
        <v>2001</v>
      </c>
      <c r="B1841" t="s">
        <v>118</v>
      </c>
      <c r="C1841" s="1">
        <v>46149</v>
      </c>
      <c r="D1841" t="s">
        <v>212</v>
      </c>
      <c r="E1841" t="s">
        <v>26</v>
      </c>
      <c r="F1841" s="3">
        <v>2027</v>
      </c>
      <c r="G1841" s="3">
        <v>4</v>
      </c>
      <c r="H1841" t="s">
        <v>1857</v>
      </c>
      <c r="I1841" s="2">
        <v>3</v>
      </c>
      <c r="J1841" t="s">
        <v>119</v>
      </c>
    </row>
    <row r="1842" spans="1:10">
      <c r="A1842" t="s">
        <v>2002</v>
      </c>
      <c r="B1842" t="s">
        <v>118</v>
      </c>
      <c r="C1842" s="1">
        <v>46149</v>
      </c>
      <c r="D1842" t="s">
        <v>22</v>
      </c>
      <c r="E1842" t="s">
        <v>22</v>
      </c>
      <c r="F1842" s="3">
        <v>2028</v>
      </c>
      <c r="G1842" s="3">
        <v>1</v>
      </c>
      <c r="H1842" t="s">
        <v>1954</v>
      </c>
      <c r="I1842" s="2">
        <v>3</v>
      </c>
      <c r="J1842" t="s">
        <v>119</v>
      </c>
    </row>
    <row r="1843" spans="1:10">
      <c r="A1843" t="s">
        <v>2003</v>
      </c>
      <c r="B1843" t="s">
        <v>118</v>
      </c>
      <c r="C1843" s="1">
        <v>46149</v>
      </c>
      <c r="D1843" t="s">
        <v>134</v>
      </c>
      <c r="E1843" t="s">
        <v>24</v>
      </c>
      <c r="F1843" s="3">
        <v>2028</v>
      </c>
      <c r="G1843" s="3">
        <v>1</v>
      </c>
      <c r="H1843" t="s">
        <v>1954</v>
      </c>
      <c r="I1843" s="2">
        <v>3</v>
      </c>
      <c r="J1843" t="s">
        <v>119</v>
      </c>
    </row>
    <row r="1844" spans="1:10">
      <c r="A1844" t="s">
        <v>2004</v>
      </c>
      <c r="B1844" t="s">
        <v>118</v>
      </c>
      <c r="C1844" s="1">
        <v>46149</v>
      </c>
      <c r="D1844" t="s">
        <v>210</v>
      </c>
      <c r="E1844" t="s">
        <v>25</v>
      </c>
      <c r="F1844" s="3">
        <v>2028</v>
      </c>
      <c r="G1844" s="3">
        <v>1</v>
      </c>
      <c r="H1844" t="s">
        <v>1954</v>
      </c>
      <c r="I1844" s="2">
        <v>2.9</v>
      </c>
      <c r="J1844" t="s">
        <v>119</v>
      </c>
    </row>
    <row r="1845" spans="1:10">
      <c r="A1845" t="s">
        <v>2005</v>
      </c>
      <c r="B1845" t="s">
        <v>118</v>
      </c>
      <c r="C1845" s="1">
        <v>46149</v>
      </c>
      <c r="D1845" t="s">
        <v>212</v>
      </c>
      <c r="E1845" t="s">
        <v>26</v>
      </c>
      <c r="F1845" s="3">
        <v>2028</v>
      </c>
      <c r="G1845" s="3">
        <v>1</v>
      </c>
      <c r="H1845" t="s">
        <v>1954</v>
      </c>
      <c r="I1845" s="2">
        <v>3</v>
      </c>
      <c r="J1845" t="s">
        <v>119</v>
      </c>
    </row>
    <row r="1846" spans="1:10">
      <c r="A1846" t="s">
        <v>2006</v>
      </c>
      <c r="B1846" t="s">
        <v>120</v>
      </c>
      <c r="C1846" s="1">
        <v>46198</v>
      </c>
      <c r="D1846" t="s">
        <v>22</v>
      </c>
      <c r="E1846" t="s">
        <v>22</v>
      </c>
      <c r="F1846" s="3">
        <v>2025</v>
      </c>
      <c r="G1846" s="3">
        <v>3</v>
      </c>
      <c r="H1846" t="s">
        <v>981</v>
      </c>
      <c r="I1846" s="2">
        <v>3.6</v>
      </c>
      <c r="J1846" t="s">
        <v>121</v>
      </c>
    </row>
    <row r="1847" spans="1:10">
      <c r="A1847" t="s">
        <v>2007</v>
      </c>
      <c r="B1847" t="s">
        <v>120</v>
      </c>
      <c r="C1847" s="1">
        <v>46198</v>
      </c>
      <c r="D1847" t="s">
        <v>134</v>
      </c>
      <c r="E1847" t="s">
        <v>24</v>
      </c>
      <c r="F1847" s="3">
        <v>2025</v>
      </c>
      <c r="G1847" s="3">
        <v>3</v>
      </c>
      <c r="H1847" t="s">
        <v>981</v>
      </c>
      <c r="I1847" s="2">
        <v>4.2</v>
      </c>
      <c r="J1847" t="s">
        <v>121</v>
      </c>
    </row>
    <row r="1848" spans="1:10">
      <c r="A1848" t="s">
        <v>2008</v>
      </c>
      <c r="B1848" t="s">
        <v>120</v>
      </c>
      <c r="C1848" s="1">
        <v>46198</v>
      </c>
      <c r="D1848" t="s">
        <v>210</v>
      </c>
      <c r="E1848" t="s">
        <v>25</v>
      </c>
      <c r="F1848" s="3">
        <v>2025</v>
      </c>
      <c r="G1848" s="3">
        <v>3</v>
      </c>
      <c r="H1848" t="s">
        <v>981</v>
      </c>
      <c r="I1848" s="2">
        <v>3.5</v>
      </c>
      <c r="J1848" t="s">
        <v>121</v>
      </c>
    </row>
    <row r="1849" spans="1:10">
      <c r="A1849" t="s">
        <v>2009</v>
      </c>
      <c r="B1849" t="s">
        <v>120</v>
      </c>
      <c r="C1849" s="1">
        <v>46198</v>
      </c>
      <c r="D1849" t="s">
        <v>212</v>
      </c>
      <c r="E1849" t="s">
        <v>26</v>
      </c>
      <c r="F1849" s="3">
        <v>2025</v>
      </c>
      <c r="G1849" s="3">
        <v>3</v>
      </c>
      <c r="H1849" t="s">
        <v>981</v>
      </c>
      <c r="I1849" s="2">
        <v>4.3</v>
      </c>
      <c r="J1849" t="s">
        <v>121</v>
      </c>
    </row>
    <row r="1850" spans="1:10">
      <c r="A1850" t="s">
        <v>2010</v>
      </c>
      <c r="B1850" t="s">
        <v>120</v>
      </c>
      <c r="C1850" s="1">
        <v>46198</v>
      </c>
      <c r="D1850" t="s">
        <v>22</v>
      </c>
      <c r="E1850" t="s">
        <v>22</v>
      </c>
      <c r="F1850" s="3">
        <v>2025</v>
      </c>
      <c r="G1850" s="3">
        <v>4</v>
      </c>
      <c r="H1850" t="s">
        <v>1086</v>
      </c>
      <c r="I1850" s="2">
        <v>3.7</v>
      </c>
      <c r="J1850" t="s">
        <v>121</v>
      </c>
    </row>
    <row r="1851" spans="1:10">
      <c r="A1851" t="s">
        <v>2011</v>
      </c>
      <c r="B1851" t="s">
        <v>120</v>
      </c>
      <c r="C1851" s="1">
        <v>46198</v>
      </c>
      <c r="D1851" t="s">
        <v>134</v>
      </c>
      <c r="E1851" t="s">
        <v>24</v>
      </c>
      <c r="F1851" s="3">
        <v>2025</v>
      </c>
      <c r="G1851" s="3">
        <v>4</v>
      </c>
      <c r="H1851" t="s">
        <v>1086</v>
      </c>
      <c r="I1851" s="2">
        <v>4.3</v>
      </c>
      <c r="J1851" t="s">
        <v>121</v>
      </c>
    </row>
    <row r="1852" spans="1:10">
      <c r="A1852" t="s">
        <v>2012</v>
      </c>
      <c r="B1852" t="s">
        <v>120</v>
      </c>
      <c r="C1852" s="1">
        <v>46198</v>
      </c>
      <c r="D1852" t="s">
        <v>210</v>
      </c>
      <c r="E1852" t="s">
        <v>25</v>
      </c>
      <c r="F1852" s="3">
        <v>2025</v>
      </c>
      <c r="G1852" s="3">
        <v>4</v>
      </c>
      <c r="H1852" t="s">
        <v>1086</v>
      </c>
      <c r="I1852" s="2">
        <v>3.5</v>
      </c>
      <c r="J1852" t="s">
        <v>121</v>
      </c>
    </row>
    <row r="1853" spans="1:10">
      <c r="A1853" t="s">
        <v>2013</v>
      </c>
      <c r="B1853" t="s">
        <v>120</v>
      </c>
      <c r="C1853" s="1">
        <v>46198</v>
      </c>
      <c r="D1853" t="s">
        <v>212</v>
      </c>
      <c r="E1853" t="s">
        <v>26</v>
      </c>
      <c r="F1853" s="3">
        <v>2025</v>
      </c>
      <c r="G1853" s="3">
        <v>4</v>
      </c>
      <c r="H1853" t="s">
        <v>1086</v>
      </c>
      <c r="I1853" s="2">
        <v>4</v>
      </c>
      <c r="J1853" t="s">
        <v>121</v>
      </c>
    </row>
    <row r="1854" spans="1:10">
      <c r="A1854" t="s">
        <v>2014</v>
      </c>
      <c r="B1854" t="s">
        <v>120</v>
      </c>
      <c r="C1854" s="1">
        <v>46198</v>
      </c>
      <c r="D1854" t="s">
        <v>22</v>
      </c>
      <c r="E1854" t="s">
        <v>22</v>
      </c>
      <c r="F1854" s="3">
        <v>2026</v>
      </c>
      <c r="G1854" s="3">
        <v>1</v>
      </c>
      <c r="H1854" t="s">
        <v>1183</v>
      </c>
      <c r="I1854" s="2">
        <v>4.0999999999999996</v>
      </c>
      <c r="J1854" t="s">
        <v>121</v>
      </c>
    </row>
    <row r="1855" spans="1:10">
      <c r="A1855" t="s">
        <v>2015</v>
      </c>
      <c r="B1855" t="s">
        <v>120</v>
      </c>
      <c r="C1855" s="1">
        <v>46198</v>
      </c>
      <c r="D1855" t="s">
        <v>134</v>
      </c>
      <c r="E1855" t="s">
        <v>24</v>
      </c>
      <c r="F1855" s="3">
        <v>2026</v>
      </c>
      <c r="G1855" s="3">
        <v>1</v>
      </c>
      <c r="H1855" t="s">
        <v>1183</v>
      </c>
      <c r="I1855" s="2">
        <v>4.5</v>
      </c>
      <c r="J1855" t="s">
        <v>121</v>
      </c>
    </row>
    <row r="1856" spans="1:10">
      <c r="A1856" t="s">
        <v>2016</v>
      </c>
      <c r="B1856" t="s">
        <v>120</v>
      </c>
      <c r="C1856" s="1">
        <v>46198</v>
      </c>
      <c r="D1856" t="s">
        <v>210</v>
      </c>
      <c r="E1856" t="s">
        <v>25</v>
      </c>
      <c r="F1856" s="3">
        <v>2026</v>
      </c>
      <c r="G1856" s="3">
        <v>1</v>
      </c>
      <c r="H1856" t="s">
        <v>1183</v>
      </c>
      <c r="I1856" s="2">
        <v>4.5999999999999996</v>
      </c>
      <c r="J1856" t="s">
        <v>121</v>
      </c>
    </row>
    <row r="1857" spans="1:10">
      <c r="A1857" t="s">
        <v>2017</v>
      </c>
      <c r="B1857" t="s">
        <v>120</v>
      </c>
      <c r="C1857" s="1">
        <v>46198</v>
      </c>
      <c r="D1857" t="s">
        <v>212</v>
      </c>
      <c r="E1857" t="s">
        <v>26</v>
      </c>
      <c r="F1857" s="3">
        <v>2026</v>
      </c>
      <c r="G1857" s="3">
        <v>1</v>
      </c>
      <c r="H1857" t="s">
        <v>1183</v>
      </c>
      <c r="I1857" s="2">
        <v>4.5999999999999996</v>
      </c>
      <c r="J1857" t="s">
        <v>121</v>
      </c>
    </row>
    <row r="1858" spans="1:10">
      <c r="A1858" t="s">
        <v>2018</v>
      </c>
      <c r="B1858" t="s">
        <v>120</v>
      </c>
      <c r="C1858" s="1">
        <v>46198</v>
      </c>
      <c r="D1858" t="s">
        <v>22</v>
      </c>
      <c r="E1858" t="s">
        <v>22</v>
      </c>
      <c r="F1858" s="3">
        <v>2026</v>
      </c>
      <c r="G1858" s="3">
        <v>2</v>
      </c>
      <c r="H1858" t="s">
        <v>1276</v>
      </c>
      <c r="I1858" s="2">
        <v>4</v>
      </c>
      <c r="J1858" t="s">
        <v>121</v>
      </c>
    </row>
    <row r="1859" spans="1:10">
      <c r="A1859" t="s">
        <v>2019</v>
      </c>
      <c r="B1859" t="s">
        <v>120</v>
      </c>
      <c r="C1859" s="1">
        <v>46198</v>
      </c>
      <c r="D1859" t="s">
        <v>134</v>
      </c>
      <c r="E1859" t="s">
        <v>24</v>
      </c>
      <c r="F1859" s="3">
        <v>2026</v>
      </c>
      <c r="G1859" s="3">
        <v>2</v>
      </c>
      <c r="H1859" t="s">
        <v>1276</v>
      </c>
      <c r="I1859" s="2">
        <v>4.2</v>
      </c>
      <c r="J1859" t="s">
        <v>121</v>
      </c>
    </row>
    <row r="1860" spans="1:10">
      <c r="A1860" t="s">
        <v>2020</v>
      </c>
      <c r="B1860" t="s">
        <v>120</v>
      </c>
      <c r="C1860" s="1">
        <v>46198</v>
      </c>
      <c r="D1860" t="s">
        <v>210</v>
      </c>
      <c r="E1860" t="s">
        <v>25</v>
      </c>
      <c r="F1860" s="3">
        <v>2026</v>
      </c>
      <c r="G1860" s="3">
        <v>2</v>
      </c>
      <c r="H1860" t="s">
        <v>1276</v>
      </c>
      <c r="I1860" s="2">
        <v>4.0999999999999996</v>
      </c>
      <c r="J1860" t="s">
        <v>121</v>
      </c>
    </row>
    <row r="1861" spans="1:10">
      <c r="A1861" t="s">
        <v>2021</v>
      </c>
      <c r="B1861" t="s">
        <v>120</v>
      </c>
      <c r="C1861" s="1">
        <v>46198</v>
      </c>
      <c r="D1861" t="s">
        <v>212</v>
      </c>
      <c r="E1861" t="s">
        <v>26</v>
      </c>
      <c r="F1861" s="3">
        <v>2026</v>
      </c>
      <c r="G1861" s="3">
        <v>2</v>
      </c>
      <c r="H1861" t="s">
        <v>1276</v>
      </c>
      <c r="I1861" s="2">
        <v>3.7</v>
      </c>
      <c r="J1861" t="s">
        <v>121</v>
      </c>
    </row>
    <row r="1862" spans="1:10">
      <c r="A1862" t="s">
        <v>2022</v>
      </c>
      <c r="B1862" t="s">
        <v>120</v>
      </c>
      <c r="C1862" s="1">
        <v>46198</v>
      </c>
      <c r="D1862" t="s">
        <v>22</v>
      </c>
      <c r="E1862" t="s">
        <v>22</v>
      </c>
      <c r="F1862" s="3">
        <v>2026</v>
      </c>
      <c r="G1862" s="3">
        <v>3</v>
      </c>
      <c r="H1862" t="s">
        <v>21</v>
      </c>
      <c r="I1862" s="2">
        <v>3.8</v>
      </c>
      <c r="J1862" t="s">
        <v>121</v>
      </c>
    </row>
    <row r="1863" spans="1:10">
      <c r="A1863" t="s">
        <v>2023</v>
      </c>
      <c r="B1863" t="s">
        <v>120</v>
      </c>
      <c r="C1863" s="1">
        <v>46198</v>
      </c>
      <c r="D1863" t="s">
        <v>134</v>
      </c>
      <c r="E1863" t="s">
        <v>24</v>
      </c>
      <c r="F1863" s="3">
        <v>2026</v>
      </c>
      <c r="G1863" s="3">
        <v>3</v>
      </c>
      <c r="H1863" t="s">
        <v>21</v>
      </c>
      <c r="I1863" s="2">
        <v>3.8</v>
      </c>
      <c r="J1863" t="s">
        <v>121</v>
      </c>
    </row>
    <row r="1864" spans="1:10">
      <c r="A1864" t="s">
        <v>2024</v>
      </c>
      <c r="B1864" t="s">
        <v>120</v>
      </c>
      <c r="C1864" s="1">
        <v>46198</v>
      </c>
      <c r="D1864" t="s">
        <v>210</v>
      </c>
      <c r="E1864" t="s">
        <v>25</v>
      </c>
      <c r="F1864" s="3">
        <v>2026</v>
      </c>
      <c r="G1864" s="3">
        <v>3</v>
      </c>
      <c r="H1864" t="s">
        <v>21</v>
      </c>
      <c r="I1864" s="2">
        <v>2.8</v>
      </c>
      <c r="J1864" t="s">
        <v>121</v>
      </c>
    </row>
    <row r="1865" spans="1:10">
      <c r="A1865" t="s">
        <v>2025</v>
      </c>
      <c r="B1865" t="s">
        <v>120</v>
      </c>
      <c r="C1865" s="1">
        <v>46198</v>
      </c>
      <c r="D1865" t="s">
        <v>212</v>
      </c>
      <c r="E1865" t="s">
        <v>26</v>
      </c>
      <c r="F1865" s="3">
        <v>2026</v>
      </c>
      <c r="G1865" s="3">
        <v>3</v>
      </c>
      <c r="H1865" t="s">
        <v>21</v>
      </c>
      <c r="I1865" s="2">
        <v>3</v>
      </c>
      <c r="J1865" t="s">
        <v>121</v>
      </c>
    </row>
    <row r="1866" spans="1:10">
      <c r="A1866" t="s">
        <v>2026</v>
      </c>
      <c r="B1866" t="s">
        <v>120</v>
      </c>
      <c r="C1866" s="1">
        <v>46198</v>
      </c>
      <c r="D1866" t="s">
        <v>22</v>
      </c>
      <c r="E1866" t="s">
        <v>22</v>
      </c>
      <c r="F1866" s="3">
        <v>2026</v>
      </c>
      <c r="G1866" s="3">
        <v>4</v>
      </c>
      <c r="H1866" t="s">
        <v>1469</v>
      </c>
      <c r="I1866" s="2">
        <v>3.5</v>
      </c>
      <c r="J1866" t="s">
        <v>121</v>
      </c>
    </row>
    <row r="1867" spans="1:10">
      <c r="A1867" t="s">
        <v>2027</v>
      </c>
      <c r="B1867" t="s">
        <v>120</v>
      </c>
      <c r="C1867" s="1">
        <v>46198</v>
      </c>
      <c r="D1867" t="s">
        <v>134</v>
      </c>
      <c r="E1867" t="s">
        <v>24</v>
      </c>
      <c r="F1867" s="3">
        <v>2026</v>
      </c>
      <c r="G1867" s="3">
        <v>4</v>
      </c>
      <c r="H1867" t="s">
        <v>1469</v>
      </c>
      <c r="I1867" s="2">
        <v>3.5</v>
      </c>
      <c r="J1867" t="s">
        <v>121</v>
      </c>
    </row>
    <row r="1868" spans="1:10">
      <c r="A1868" t="s">
        <v>2028</v>
      </c>
      <c r="B1868" t="s">
        <v>120</v>
      </c>
      <c r="C1868" s="1">
        <v>46198</v>
      </c>
      <c r="D1868" t="s">
        <v>210</v>
      </c>
      <c r="E1868" t="s">
        <v>25</v>
      </c>
      <c r="F1868" s="3">
        <v>2026</v>
      </c>
      <c r="G1868" s="3">
        <v>4</v>
      </c>
      <c r="H1868" t="s">
        <v>1469</v>
      </c>
      <c r="I1868" s="2">
        <v>2.9</v>
      </c>
      <c r="J1868" t="s">
        <v>121</v>
      </c>
    </row>
    <row r="1869" spans="1:10">
      <c r="A1869" t="s">
        <v>2029</v>
      </c>
      <c r="B1869" t="s">
        <v>120</v>
      </c>
      <c r="C1869" s="1">
        <v>46198</v>
      </c>
      <c r="D1869" t="s">
        <v>212</v>
      </c>
      <c r="E1869" t="s">
        <v>26</v>
      </c>
      <c r="F1869" s="3">
        <v>2026</v>
      </c>
      <c r="G1869" s="3">
        <v>4</v>
      </c>
      <c r="H1869" t="s">
        <v>1469</v>
      </c>
      <c r="I1869" s="2">
        <v>2.9</v>
      </c>
      <c r="J1869" t="s">
        <v>121</v>
      </c>
    </row>
    <row r="1870" spans="1:10">
      <c r="A1870" t="s">
        <v>2030</v>
      </c>
      <c r="B1870" t="s">
        <v>120</v>
      </c>
      <c r="C1870" s="1">
        <v>46198</v>
      </c>
      <c r="D1870" t="s">
        <v>22</v>
      </c>
      <c r="E1870" t="s">
        <v>22</v>
      </c>
      <c r="F1870" s="3">
        <v>2027</v>
      </c>
      <c r="G1870" s="3">
        <v>1</v>
      </c>
      <c r="H1870" t="s">
        <v>1566</v>
      </c>
      <c r="I1870" s="2">
        <v>3.2</v>
      </c>
      <c r="J1870" t="s">
        <v>121</v>
      </c>
    </row>
    <row r="1871" spans="1:10">
      <c r="A1871" t="s">
        <v>2031</v>
      </c>
      <c r="B1871" t="s">
        <v>120</v>
      </c>
      <c r="C1871" s="1">
        <v>46198</v>
      </c>
      <c r="D1871" t="s">
        <v>134</v>
      </c>
      <c r="E1871" t="s">
        <v>24</v>
      </c>
      <c r="F1871" s="3">
        <v>2027</v>
      </c>
      <c r="G1871" s="3">
        <v>1</v>
      </c>
      <c r="H1871" t="s">
        <v>1566</v>
      </c>
      <c r="I1871" s="2">
        <v>3.1</v>
      </c>
      <c r="J1871" t="s">
        <v>121</v>
      </c>
    </row>
    <row r="1872" spans="1:10">
      <c r="A1872" t="s">
        <v>2032</v>
      </c>
      <c r="B1872" t="s">
        <v>120</v>
      </c>
      <c r="C1872" s="1">
        <v>46198</v>
      </c>
      <c r="D1872" t="s">
        <v>210</v>
      </c>
      <c r="E1872" t="s">
        <v>25</v>
      </c>
      <c r="F1872" s="3">
        <v>2027</v>
      </c>
      <c r="G1872" s="3">
        <v>1</v>
      </c>
      <c r="H1872" t="s">
        <v>1566</v>
      </c>
      <c r="I1872" s="2">
        <v>3</v>
      </c>
      <c r="J1872" t="s">
        <v>121</v>
      </c>
    </row>
    <row r="1873" spans="1:10">
      <c r="A1873" t="s">
        <v>2033</v>
      </c>
      <c r="B1873" t="s">
        <v>120</v>
      </c>
      <c r="C1873" s="1">
        <v>46198</v>
      </c>
      <c r="D1873" t="s">
        <v>212</v>
      </c>
      <c r="E1873" t="s">
        <v>26</v>
      </c>
      <c r="F1873" s="3">
        <v>2027</v>
      </c>
      <c r="G1873" s="3">
        <v>1</v>
      </c>
      <c r="H1873" t="s">
        <v>1566</v>
      </c>
      <c r="I1873" s="2">
        <v>3</v>
      </c>
      <c r="J1873" t="s">
        <v>121</v>
      </c>
    </row>
    <row r="1874" spans="1:10">
      <c r="A1874" t="s">
        <v>2034</v>
      </c>
      <c r="B1874" t="s">
        <v>120</v>
      </c>
      <c r="C1874" s="1">
        <v>46198</v>
      </c>
      <c r="D1874" t="s">
        <v>22</v>
      </c>
      <c r="E1874" t="s">
        <v>22</v>
      </c>
      <c r="F1874" s="3">
        <v>2027</v>
      </c>
      <c r="G1874" s="3">
        <v>2</v>
      </c>
      <c r="H1874" t="s">
        <v>1663</v>
      </c>
      <c r="I1874" s="2">
        <v>3</v>
      </c>
      <c r="J1874" t="s">
        <v>121</v>
      </c>
    </row>
    <row r="1875" spans="1:10">
      <c r="A1875" t="s">
        <v>2035</v>
      </c>
      <c r="B1875" t="s">
        <v>120</v>
      </c>
      <c r="C1875" s="1">
        <v>46198</v>
      </c>
      <c r="D1875" t="s">
        <v>134</v>
      </c>
      <c r="E1875" t="s">
        <v>24</v>
      </c>
      <c r="F1875" s="3">
        <v>2027</v>
      </c>
      <c r="G1875" s="3">
        <v>2</v>
      </c>
      <c r="H1875" t="s">
        <v>1663</v>
      </c>
      <c r="I1875" s="2">
        <v>3</v>
      </c>
      <c r="J1875" t="s">
        <v>121</v>
      </c>
    </row>
    <row r="1876" spans="1:10">
      <c r="A1876" t="s">
        <v>2036</v>
      </c>
      <c r="B1876" t="s">
        <v>120</v>
      </c>
      <c r="C1876" s="1">
        <v>46198</v>
      </c>
      <c r="D1876" t="s">
        <v>210</v>
      </c>
      <c r="E1876" t="s">
        <v>25</v>
      </c>
      <c r="F1876" s="3">
        <v>2027</v>
      </c>
      <c r="G1876" s="3">
        <v>2</v>
      </c>
      <c r="H1876" t="s">
        <v>1663</v>
      </c>
      <c r="I1876" s="2">
        <v>3.2</v>
      </c>
      <c r="J1876" t="s">
        <v>121</v>
      </c>
    </row>
    <row r="1877" spans="1:10">
      <c r="A1877" t="s">
        <v>2037</v>
      </c>
      <c r="B1877" t="s">
        <v>120</v>
      </c>
      <c r="C1877" s="1">
        <v>46198</v>
      </c>
      <c r="D1877" t="s">
        <v>212</v>
      </c>
      <c r="E1877" t="s">
        <v>26</v>
      </c>
      <c r="F1877" s="3">
        <v>2027</v>
      </c>
      <c r="G1877" s="3">
        <v>2</v>
      </c>
      <c r="H1877" t="s">
        <v>1663</v>
      </c>
      <c r="I1877" s="2">
        <v>3.2</v>
      </c>
      <c r="J1877" t="s">
        <v>121</v>
      </c>
    </row>
    <row r="1878" spans="1:10">
      <c r="A1878" t="s">
        <v>2038</v>
      </c>
      <c r="B1878" t="s">
        <v>120</v>
      </c>
      <c r="C1878" s="1">
        <v>46198</v>
      </c>
      <c r="D1878" t="s">
        <v>22</v>
      </c>
      <c r="E1878" t="s">
        <v>22</v>
      </c>
      <c r="F1878" s="3">
        <v>2027</v>
      </c>
      <c r="G1878" s="3">
        <v>3</v>
      </c>
      <c r="H1878" t="s">
        <v>1760</v>
      </c>
      <c r="I1878" s="2">
        <v>3</v>
      </c>
      <c r="J1878" t="s">
        <v>121</v>
      </c>
    </row>
    <row r="1879" spans="1:10">
      <c r="A1879" t="s">
        <v>2039</v>
      </c>
      <c r="B1879" t="s">
        <v>120</v>
      </c>
      <c r="C1879" s="1">
        <v>46198</v>
      </c>
      <c r="D1879" t="s">
        <v>134</v>
      </c>
      <c r="E1879" t="s">
        <v>24</v>
      </c>
      <c r="F1879" s="3">
        <v>2027</v>
      </c>
      <c r="G1879" s="3">
        <v>3</v>
      </c>
      <c r="H1879" t="s">
        <v>1760</v>
      </c>
      <c r="I1879" s="2">
        <v>3</v>
      </c>
      <c r="J1879" t="s">
        <v>121</v>
      </c>
    </row>
    <row r="1880" spans="1:10">
      <c r="A1880" t="s">
        <v>2040</v>
      </c>
      <c r="B1880" t="s">
        <v>120</v>
      </c>
      <c r="C1880" s="1">
        <v>46198</v>
      </c>
      <c r="D1880" t="s">
        <v>210</v>
      </c>
      <c r="E1880" t="s">
        <v>25</v>
      </c>
      <c r="F1880" s="3">
        <v>2027</v>
      </c>
      <c r="G1880" s="3">
        <v>3</v>
      </c>
      <c r="H1880" t="s">
        <v>1760</v>
      </c>
      <c r="I1880" s="2">
        <v>2.9</v>
      </c>
      <c r="J1880" t="s">
        <v>121</v>
      </c>
    </row>
    <row r="1881" spans="1:10">
      <c r="A1881" t="s">
        <v>2041</v>
      </c>
      <c r="B1881" t="s">
        <v>120</v>
      </c>
      <c r="C1881" s="1">
        <v>46198</v>
      </c>
      <c r="D1881" t="s">
        <v>212</v>
      </c>
      <c r="E1881" t="s">
        <v>26</v>
      </c>
      <c r="F1881" s="3">
        <v>2027</v>
      </c>
      <c r="G1881" s="3">
        <v>3</v>
      </c>
      <c r="H1881" t="s">
        <v>1760</v>
      </c>
      <c r="I1881" s="2">
        <v>2.7</v>
      </c>
      <c r="J1881" t="s">
        <v>121</v>
      </c>
    </row>
    <row r="1882" spans="1:10">
      <c r="A1882" t="s">
        <v>2042</v>
      </c>
      <c r="B1882" t="s">
        <v>120</v>
      </c>
      <c r="C1882" s="1">
        <v>46198</v>
      </c>
      <c r="D1882" t="s">
        <v>22</v>
      </c>
      <c r="E1882" t="s">
        <v>22</v>
      </c>
      <c r="F1882" s="3">
        <v>2027</v>
      </c>
      <c r="G1882" s="3">
        <v>4</v>
      </c>
      <c r="H1882" t="s">
        <v>1857</v>
      </c>
      <c r="I1882" s="2">
        <v>3</v>
      </c>
      <c r="J1882" t="s">
        <v>121</v>
      </c>
    </row>
    <row r="1883" spans="1:10">
      <c r="A1883" t="s">
        <v>2043</v>
      </c>
      <c r="B1883" t="s">
        <v>120</v>
      </c>
      <c r="C1883" s="1">
        <v>46198</v>
      </c>
      <c r="D1883" t="s">
        <v>134</v>
      </c>
      <c r="E1883" t="s">
        <v>24</v>
      </c>
      <c r="F1883" s="3">
        <v>2027</v>
      </c>
      <c r="G1883" s="3">
        <v>4</v>
      </c>
      <c r="H1883" t="s">
        <v>1857</v>
      </c>
      <c r="I1883" s="2">
        <v>3</v>
      </c>
      <c r="J1883" t="s">
        <v>121</v>
      </c>
    </row>
    <row r="1884" spans="1:10">
      <c r="A1884" t="s">
        <v>2044</v>
      </c>
      <c r="B1884" t="s">
        <v>120</v>
      </c>
      <c r="C1884" s="1">
        <v>46198</v>
      </c>
      <c r="D1884" t="s">
        <v>210</v>
      </c>
      <c r="E1884" t="s">
        <v>25</v>
      </c>
      <c r="F1884" s="3">
        <v>2027</v>
      </c>
      <c r="G1884" s="3">
        <v>4</v>
      </c>
      <c r="H1884" t="s">
        <v>1857</v>
      </c>
      <c r="I1884" s="2">
        <v>3</v>
      </c>
      <c r="J1884" t="s">
        <v>121</v>
      </c>
    </row>
    <row r="1885" spans="1:10">
      <c r="A1885" t="s">
        <v>2045</v>
      </c>
      <c r="B1885" t="s">
        <v>120</v>
      </c>
      <c r="C1885" s="1">
        <v>46198</v>
      </c>
      <c r="D1885" t="s">
        <v>212</v>
      </c>
      <c r="E1885" t="s">
        <v>26</v>
      </c>
      <c r="F1885" s="3">
        <v>2027</v>
      </c>
      <c r="G1885" s="3">
        <v>4</v>
      </c>
      <c r="H1885" t="s">
        <v>1857</v>
      </c>
      <c r="I1885" s="2">
        <v>2.9</v>
      </c>
      <c r="J1885" t="s">
        <v>121</v>
      </c>
    </row>
    <row r="1886" spans="1:10">
      <c r="A1886" t="s">
        <v>2046</v>
      </c>
      <c r="B1886" t="s">
        <v>120</v>
      </c>
      <c r="C1886" s="1">
        <v>46198</v>
      </c>
      <c r="D1886" t="s">
        <v>22</v>
      </c>
      <c r="E1886" t="s">
        <v>22</v>
      </c>
      <c r="F1886" s="3">
        <v>2028</v>
      </c>
      <c r="G1886" s="3">
        <v>1</v>
      </c>
      <c r="H1886" t="s">
        <v>1954</v>
      </c>
      <c r="I1886" s="2">
        <v>3</v>
      </c>
      <c r="J1886" t="s">
        <v>121</v>
      </c>
    </row>
    <row r="1887" spans="1:10">
      <c r="A1887" t="s">
        <v>2047</v>
      </c>
      <c r="B1887" t="s">
        <v>120</v>
      </c>
      <c r="C1887" s="1">
        <v>46198</v>
      </c>
      <c r="D1887" t="s">
        <v>134</v>
      </c>
      <c r="E1887" t="s">
        <v>24</v>
      </c>
      <c r="F1887" s="3">
        <v>2028</v>
      </c>
      <c r="G1887" s="3">
        <v>1</v>
      </c>
      <c r="H1887" t="s">
        <v>1954</v>
      </c>
      <c r="I1887" s="2">
        <v>3</v>
      </c>
      <c r="J1887" t="s">
        <v>121</v>
      </c>
    </row>
    <row r="1888" spans="1:10">
      <c r="A1888" t="s">
        <v>2048</v>
      </c>
      <c r="B1888" t="s">
        <v>120</v>
      </c>
      <c r="C1888" s="1">
        <v>46198</v>
      </c>
      <c r="D1888" t="s">
        <v>210</v>
      </c>
      <c r="E1888" t="s">
        <v>25</v>
      </c>
      <c r="F1888" s="3">
        <v>2028</v>
      </c>
      <c r="G1888" s="3">
        <v>1</v>
      </c>
      <c r="H1888" t="s">
        <v>1954</v>
      </c>
      <c r="I1888" s="2">
        <v>2.9</v>
      </c>
      <c r="J1888" t="s">
        <v>121</v>
      </c>
    </row>
    <row r="1889" spans="1:10">
      <c r="A1889" t="s">
        <v>2049</v>
      </c>
      <c r="B1889" t="s">
        <v>120</v>
      </c>
      <c r="C1889" s="1">
        <v>46198</v>
      </c>
      <c r="D1889" t="s">
        <v>212</v>
      </c>
      <c r="E1889" t="s">
        <v>26</v>
      </c>
      <c r="F1889" s="3">
        <v>2028</v>
      </c>
      <c r="G1889" s="3">
        <v>1</v>
      </c>
      <c r="H1889" t="s">
        <v>1954</v>
      </c>
      <c r="I1889" s="2">
        <v>3</v>
      </c>
      <c r="J1889" t="s">
        <v>121</v>
      </c>
    </row>
    <row r="1890" spans="1:10">
      <c r="A1890" t="s">
        <v>2050</v>
      </c>
      <c r="B1890" t="s">
        <v>120</v>
      </c>
      <c r="C1890" s="1">
        <v>46198</v>
      </c>
      <c r="D1890" t="s">
        <v>22</v>
      </c>
      <c r="E1890" t="s">
        <v>22</v>
      </c>
      <c r="F1890" s="3">
        <v>2028</v>
      </c>
      <c r="G1890" s="3">
        <v>2</v>
      </c>
      <c r="H1890" t="s">
        <v>2051</v>
      </c>
      <c r="I1890" s="2">
        <v>3</v>
      </c>
      <c r="J1890" t="s">
        <v>121</v>
      </c>
    </row>
    <row r="1891" spans="1:10">
      <c r="A1891" t="s">
        <v>2052</v>
      </c>
      <c r="B1891" t="s">
        <v>120</v>
      </c>
      <c r="C1891" s="1">
        <v>46198</v>
      </c>
      <c r="D1891" t="s">
        <v>134</v>
      </c>
      <c r="E1891" t="s">
        <v>24</v>
      </c>
      <c r="F1891" s="3">
        <v>2028</v>
      </c>
      <c r="G1891" s="3">
        <v>2</v>
      </c>
      <c r="H1891" t="s">
        <v>2051</v>
      </c>
      <c r="I1891" s="2">
        <v>3</v>
      </c>
      <c r="J1891" t="s">
        <v>121</v>
      </c>
    </row>
    <row r="1892" spans="1:10">
      <c r="A1892" t="s">
        <v>2053</v>
      </c>
      <c r="B1892" t="s">
        <v>120</v>
      </c>
      <c r="C1892" s="1">
        <v>46198</v>
      </c>
      <c r="D1892" t="s">
        <v>210</v>
      </c>
      <c r="E1892" t="s">
        <v>25</v>
      </c>
      <c r="F1892" s="3">
        <v>2028</v>
      </c>
      <c r="G1892" s="3">
        <v>2</v>
      </c>
      <c r="H1892" t="s">
        <v>2051</v>
      </c>
      <c r="I1892" s="2">
        <v>3.1</v>
      </c>
      <c r="J1892" t="s">
        <v>121</v>
      </c>
    </row>
    <row r="1893" spans="1:10">
      <c r="A1893" t="s">
        <v>2054</v>
      </c>
      <c r="B1893" t="s">
        <v>120</v>
      </c>
      <c r="C1893" s="1">
        <v>46198</v>
      </c>
      <c r="D1893" t="s">
        <v>212</v>
      </c>
      <c r="E1893" t="s">
        <v>26</v>
      </c>
      <c r="F1893" s="3">
        <v>2028</v>
      </c>
      <c r="G1893" s="3">
        <v>2</v>
      </c>
      <c r="H1893" t="s">
        <v>2051</v>
      </c>
      <c r="I1893" s="2">
        <v>3.1</v>
      </c>
      <c r="J1893" t="s">
        <v>121</v>
      </c>
    </row>
    <row r="1894" spans="1:10">
      <c r="A1894" t="s">
        <v>2055</v>
      </c>
      <c r="B1894" t="s">
        <v>122</v>
      </c>
      <c r="C1894" s="1">
        <v>46240</v>
      </c>
      <c r="D1894" t="s">
        <v>22</v>
      </c>
      <c r="E1894" t="s">
        <v>22</v>
      </c>
      <c r="F1894" s="3">
        <v>2025</v>
      </c>
      <c r="G1894" s="3">
        <v>3</v>
      </c>
      <c r="H1894" t="s">
        <v>981</v>
      </c>
      <c r="I1894" s="2">
        <v>3.6</v>
      </c>
      <c r="J1894" t="s">
        <v>123</v>
      </c>
    </row>
    <row r="1895" spans="1:10">
      <c r="A1895" t="s">
        <v>2056</v>
      </c>
      <c r="B1895" t="s">
        <v>122</v>
      </c>
      <c r="C1895" s="1">
        <v>46240</v>
      </c>
      <c r="D1895" t="s">
        <v>134</v>
      </c>
      <c r="E1895" t="s">
        <v>24</v>
      </c>
      <c r="F1895" s="3">
        <v>2025</v>
      </c>
      <c r="G1895" s="3">
        <v>3</v>
      </c>
      <c r="H1895" t="s">
        <v>981</v>
      </c>
      <c r="I1895" s="2">
        <v>4.2</v>
      </c>
      <c r="J1895" t="s">
        <v>123</v>
      </c>
    </row>
    <row r="1896" spans="1:10">
      <c r="A1896" t="s">
        <v>2057</v>
      </c>
      <c r="B1896" t="s">
        <v>122</v>
      </c>
      <c r="C1896" s="1">
        <v>46240</v>
      </c>
      <c r="D1896" t="s">
        <v>210</v>
      </c>
      <c r="E1896" t="s">
        <v>25</v>
      </c>
      <c r="F1896" s="3">
        <v>2025</v>
      </c>
      <c r="G1896" s="3">
        <v>3</v>
      </c>
      <c r="H1896" t="s">
        <v>981</v>
      </c>
      <c r="I1896" s="2">
        <v>3.6</v>
      </c>
      <c r="J1896" t="s">
        <v>123</v>
      </c>
    </row>
    <row r="1897" spans="1:10">
      <c r="A1897" t="s">
        <v>2058</v>
      </c>
      <c r="B1897" t="s">
        <v>122</v>
      </c>
      <c r="C1897" s="1">
        <v>46240</v>
      </c>
      <c r="D1897" t="s">
        <v>212</v>
      </c>
      <c r="E1897" t="s">
        <v>26</v>
      </c>
      <c r="F1897" s="3">
        <v>2025</v>
      </c>
      <c r="G1897" s="3">
        <v>3</v>
      </c>
      <c r="H1897" t="s">
        <v>981</v>
      </c>
      <c r="I1897" s="2">
        <v>4.4000000000000004</v>
      </c>
      <c r="J1897" t="s">
        <v>123</v>
      </c>
    </row>
    <row r="1898" spans="1:10">
      <c r="A1898" t="s">
        <v>2059</v>
      </c>
      <c r="B1898" t="s">
        <v>122</v>
      </c>
      <c r="C1898" s="1">
        <v>46240</v>
      </c>
      <c r="D1898" t="s">
        <v>22</v>
      </c>
      <c r="E1898" t="s">
        <v>22</v>
      </c>
      <c r="F1898" s="3">
        <v>2025</v>
      </c>
      <c r="G1898" s="3">
        <v>4</v>
      </c>
      <c r="H1898" t="s">
        <v>1086</v>
      </c>
      <c r="I1898" s="2">
        <v>3.7</v>
      </c>
      <c r="J1898" t="s">
        <v>123</v>
      </c>
    </row>
    <row r="1899" spans="1:10">
      <c r="A1899" t="s">
        <v>2060</v>
      </c>
      <c r="B1899" t="s">
        <v>122</v>
      </c>
      <c r="C1899" s="1">
        <v>46240</v>
      </c>
      <c r="D1899" t="s">
        <v>134</v>
      </c>
      <c r="E1899" t="s">
        <v>24</v>
      </c>
      <c r="F1899" s="3">
        <v>2025</v>
      </c>
      <c r="G1899" s="3">
        <v>4</v>
      </c>
      <c r="H1899" t="s">
        <v>1086</v>
      </c>
      <c r="I1899" s="2">
        <v>4.3</v>
      </c>
      <c r="J1899" t="s">
        <v>123</v>
      </c>
    </row>
    <row r="1900" spans="1:10">
      <c r="A1900" t="s">
        <v>2061</v>
      </c>
      <c r="B1900" t="s">
        <v>122</v>
      </c>
      <c r="C1900" s="1">
        <v>46240</v>
      </c>
      <c r="D1900" t="s">
        <v>210</v>
      </c>
      <c r="E1900" t="s">
        <v>25</v>
      </c>
      <c r="F1900" s="3">
        <v>2025</v>
      </c>
      <c r="G1900" s="3">
        <v>4</v>
      </c>
      <c r="H1900" t="s">
        <v>1086</v>
      </c>
      <c r="I1900" s="2">
        <v>3.4</v>
      </c>
      <c r="J1900" t="s">
        <v>123</v>
      </c>
    </row>
    <row r="1901" spans="1:10">
      <c r="A1901" t="s">
        <v>2062</v>
      </c>
      <c r="B1901" t="s">
        <v>122</v>
      </c>
      <c r="C1901" s="1">
        <v>46240</v>
      </c>
      <c r="D1901" t="s">
        <v>212</v>
      </c>
      <c r="E1901" t="s">
        <v>26</v>
      </c>
      <c r="F1901" s="3">
        <v>2025</v>
      </c>
      <c r="G1901" s="3">
        <v>4</v>
      </c>
      <c r="H1901" t="s">
        <v>1086</v>
      </c>
      <c r="I1901" s="2">
        <v>4</v>
      </c>
      <c r="J1901" t="s">
        <v>123</v>
      </c>
    </row>
    <row r="1902" spans="1:10">
      <c r="A1902" t="s">
        <v>2063</v>
      </c>
      <c r="B1902" t="s">
        <v>122</v>
      </c>
      <c r="C1902" s="1">
        <v>46240</v>
      </c>
      <c r="D1902" t="s">
        <v>22</v>
      </c>
      <c r="E1902" t="s">
        <v>22</v>
      </c>
      <c r="F1902" s="3">
        <v>2026</v>
      </c>
      <c r="G1902" s="3">
        <v>1</v>
      </c>
      <c r="H1902" t="s">
        <v>1183</v>
      </c>
      <c r="I1902" s="2">
        <v>4.0999999999999996</v>
      </c>
      <c r="J1902" t="s">
        <v>123</v>
      </c>
    </row>
    <row r="1903" spans="1:10">
      <c r="A1903" t="s">
        <v>2064</v>
      </c>
      <c r="B1903" t="s">
        <v>122</v>
      </c>
      <c r="C1903" s="1">
        <v>46240</v>
      </c>
      <c r="D1903" t="s">
        <v>134</v>
      </c>
      <c r="E1903" t="s">
        <v>24</v>
      </c>
      <c r="F1903" s="3">
        <v>2026</v>
      </c>
      <c r="G1903" s="3">
        <v>1</v>
      </c>
      <c r="H1903" t="s">
        <v>1183</v>
      </c>
      <c r="I1903" s="2">
        <v>4.5</v>
      </c>
      <c r="J1903" t="s">
        <v>123</v>
      </c>
    </row>
    <row r="1904" spans="1:10">
      <c r="A1904" t="s">
        <v>2065</v>
      </c>
      <c r="B1904" t="s">
        <v>122</v>
      </c>
      <c r="C1904" s="1">
        <v>46240</v>
      </c>
      <c r="D1904" t="s">
        <v>210</v>
      </c>
      <c r="E1904" t="s">
        <v>25</v>
      </c>
      <c r="F1904" s="3">
        <v>2026</v>
      </c>
      <c r="G1904" s="3">
        <v>1</v>
      </c>
      <c r="H1904" t="s">
        <v>1183</v>
      </c>
      <c r="I1904" s="2">
        <v>4.5</v>
      </c>
      <c r="J1904" t="s">
        <v>123</v>
      </c>
    </row>
    <row r="1905" spans="1:10">
      <c r="A1905" t="s">
        <v>2066</v>
      </c>
      <c r="B1905" t="s">
        <v>122</v>
      </c>
      <c r="C1905" s="1">
        <v>46240</v>
      </c>
      <c r="D1905" t="s">
        <v>212</v>
      </c>
      <c r="E1905" t="s">
        <v>26</v>
      </c>
      <c r="F1905" s="3">
        <v>2026</v>
      </c>
      <c r="G1905" s="3">
        <v>1</v>
      </c>
      <c r="H1905" t="s">
        <v>1183</v>
      </c>
      <c r="I1905" s="2">
        <v>4.5999999999999996</v>
      </c>
      <c r="J1905" t="s">
        <v>123</v>
      </c>
    </row>
    <row r="1906" spans="1:10">
      <c r="A1906" t="s">
        <v>2067</v>
      </c>
      <c r="B1906" t="s">
        <v>122</v>
      </c>
      <c r="C1906" s="1">
        <v>46240</v>
      </c>
      <c r="D1906" t="s">
        <v>22</v>
      </c>
      <c r="E1906" t="s">
        <v>22</v>
      </c>
      <c r="F1906" s="3">
        <v>2026</v>
      </c>
      <c r="G1906" s="3">
        <v>2</v>
      </c>
      <c r="H1906" t="s">
        <v>1276</v>
      </c>
      <c r="I1906" s="2">
        <v>3.9</v>
      </c>
      <c r="J1906" t="s">
        <v>123</v>
      </c>
    </row>
    <row r="1907" spans="1:10">
      <c r="A1907" t="s">
        <v>2068</v>
      </c>
      <c r="B1907" t="s">
        <v>122</v>
      </c>
      <c r="C1907" s="1">
        <v>46240</v>
      </c>
      <c r="D1907" t="s">
        <v>134</v>
      </c>
      <c r="E1907" t="s">
        <v>24</v>
      </c>
      <c r="F1907" s="3">
        <v>2026</v>
      </c>
      <c r="G1907" s="3">
        <v>2</v>
      </c>
      <c r="H1907" t="s">
        <v>1276</v>
      </c>
      <c r="I1907" s="2">
        <v>4.2</v>
      </c>
      <c r="J1907" t="s">
        <v>123</v>
      </c>
    </row>
    <row r="1908" spans="1:10">
      <c r="A1908" t="s">
        <v>2069</v>
      </c>
      <c r="B1908" t="s">
        <v>122</v>
      </c>
      <c r="C1908" s="1">
        <v>46240</v>
      </c>
      <c r="D1908" t="s">
        <v>210</v>
      </c>
      <c r="E1908" t="s">
        <v>25</v>
      </c>
      <c r="F1908" s="3">
        <v>2026</v>
      </c>
      <c r="G1908" s="3">
        <v>2</v>
      </c>
      <c r="H1908" t="s">
        <v>1276</v>
      </c>
      <c r="I1908" s="2">
        <v>4.0999999999999996</v>
      </c>
      <c r="J1908" t="s">
        <v>123</v>
      </c>
    </row>
    <row r="1909" spans="1:10">
      <c r="A1909" t="s">
        <v>2070</v>
      </c>
      <c r="B1909" t="s">
        <v>122</v>
      </c>
      <c r="C1909" s="1">
        <v>46240</v>
      </c>
      <c r="D1909" t="s">
        <v>212</v>
      </c>
      <c r="E1909" t="s">
        <v>26</v>
      </c>
      <c r="F1909" s="3">
        <v>2026</v>
      </c>
      <c r="G1909" s="3">
        <v>2</v>
      </c>
      <c r="H1909" t="s">
        <v>1276</v>
      </c>
      <c r="I1909" s="2">
        <v>3.7</v>
      </c>
      <c r="J1909" t="s">
        <v>123</v>
      </c>
    </row>
    <row r="1910" spans="1:10">
      <c r="A1910" t="s">
        <v>2071</v>
      </c>
      <c r="B1910" t="s">
        <v>122</v>
      </c>
      <c r="C1910" s="1">
        <v>46240</v>
      </c>
      <c r="D1910" t="s">
        <v>22</v>
      </c>
      <c r="E1910" t="s">
        <v>22</v>
      </c>
      <c r="F1910" s="3">
        <v>2026</v>
      </c>
      <c r="G1910" s="3">
        <v>3</v>
      </c>
      <c r="H1910" t="s">
        <v>21</v>
      </c>
      <c r="I1910" s="2">
        <v>3.5</v>
      </c>
      <c r="J1910" t="s">
        <v>123</v>
      </c>
    </row>
    <row r="1911" spans="1:10">
      <c r="A1911" t="s">
        <v>2072</v>
      </c>
      <c r="B1911" t="s">
        <v>122</v>
      </c>
      <c r="C1911" s="1">
        <v>46240</v>
      </c>
      <c r="D1911" t="s">
        <v>134</v>
      </c>
      <c r="E1911" t="s">
        <v>24</v>
      </c>
      <c r="F1911" s="3">
        <v>2026</v>
      </c>
      <c r="G1911" s="3">
        <v>3</v>
      </c>
      <c r="H1911" t="s">
        <v>21</v>
      </c>
      <c r="I1911" s="2">
        <v>3.8</v>
      </c>
      <c r="J1911" t="s">
        <v>123</v>
      </c>
    </row>
    <row r="1912" spans="1:10">
      <c r="A1912" t="s">
        <v>2073</v>
      </c>
      <c r="B1912" t="s">
        <v>122</v>
      </c>
      <c r="C1912" s="1">
        <v>46240</v>
      </c>
      <c r="D1912" t="s">
        <v>210</v>
      </c>
      <c r="E1912" t="s">
        <v>25</v>
      </c>
      <c r="F1912" s="3">
        <v>2026</v>
      </c>
      <c r="G1912" s="3">
        <v>3</v>
      </c>
      <c r="H1912" t="s">
        <v>21</v>
      </c>
      <c r="I1912" s="2">
        <v>2.5</v>
      </c>
      <c r="J1912" t="s">
        <v>123</v>
      </c>
    </row>
    <row r="1913" spans="1:10">
      <c r="A1913" t="s">
        <v>2074</v>
      </c>
      <c r="B1913" t="s">
        <v>122</v>
      </c>
      <c r="C1913" s="1">
        <v>46240</v>
      </c>
      <c r="D1913" t="s">
        <v>212</v>
      </c>
      <c r="E1913" t="s">
        <v>26</v>
      </c>
      <c r="F1913" s="3">
        <v>2026</v>
      </c>
      <c r="G1913" s="3">
        <v>3</v>
      </c>
      <c r="H1913" t="s">
        <v>21</v>
      </c>
      <c r="I1913" s="2">
        <v>3.3</v>
      </c>
      <c r="J1913" t="s">
        <v>123</v>
      </c>
    </row>
    <row r="1914" spans="1:10">
      <c r="A1914" t="s">
        <v>2075</v>
      </c>
      <c r="B1914" t="s">
        <v>122</v>
      </c>
      <c r="C1914" s="1">
        <v>46240</v>
      </c>
      <c r="D1914" t="s">
        <v>22</v>
      </c>
      <c r="E1914" t="s">
        <v>22</v>
      </c>
      <c r="F1914" s="3">
        <v>2026</v>
      </c>
      <c r="G1914" s="3">
        <v>4</v>
      </c>
      <c r="H1914" t="s">
        <v>1469</v>
      </c>
      <c r="I1914" s="2">
        <v>3.5</v>
      </c>
      <c r="J1914" t="s">
        <v>123</v>
      </c>
    </row>
    <row r="1915" spans="1:10">
      <c r="A1915" t="s">
        <v>2076</v>
      </c>
      <c r="B1915" t="s">
        <v>122</v>
      </c>
      <c r="C1915" s="1">
        <v>46240</v>
      </c>
      <c r="D1915" t="s">
        <v>134</v>
      </c>
      <c r="E1915" t="s">
        <v>24</v>
      </c>
      <c r="F1915" s="3">
        <v>2026</v>
      </c>
      <c r="G1915" s="3">
        <v>4</v>
      </c>
      <c r="H1915" t="s">
        <v>1469</v>
      </c>
      <c r="I1915" s="2">
        <v>3.5</v>
      </c>
      <c r="J1915" t="s">
        <v>123</v>
      </c>
    </row>
    <row r="1916" spans="1:10">
      <c r="A1916" t="s">
        <v>2077</v>
      </c>
      <c r="B1916" t="s">
        <v>122</v>
      </c>
      <c r="C1916" s="1">
        <v>46240</v>
      </c>
      <c r="D1916" t="s">
        <v>210</v>
      </c>
      <c r="E1916" t="s">
        <v>25</v>
      </c>
      <c r="F1916" s="3">
        <v>2026</v>
      </c>
      <c r="G1916" s="3">
        <v>4</v>
      </c>
      <c r="H1916" t="s">
        <v>1469</v>
      </c>
      <c r="I1916" s="2">
        <v>3.5</v>
      </c>
      <c r="J1916" t="s">
        <v>123</v>
      </c>
    </row>
    <row r="1917" spans="1:10">
      <c r="A1917" t="s">
        <v>2078</v>
      </c>
      <c r="B1917" t="s">
        <v>122</v>
      </c>
      <c r="C1917" s="1">
        <v>46240</v>
      </c>
      <c r="D1917" t="s">
        <v>212</v>
      </c>
      <c r="E1917" t="s">
        <v>26</v>
      </c>
      <c r="F1917" s="3">
        <v>2026</v>
      </c>
      <c r="G1917" s="3">
        <v>4</v>
      </c>
      <c r="H1917" t="s">
        <v>1469</v>
      </c>
      <c r="I1917" s="2">
        <v>3.1</v>
      </c>
      <c r="J1917" t="s">
        <v>123</v>
      </c>
    </row>
    <row r="1918" spans="1:10">
      <c r="A1918" t="s">
        <v>2079</v>
      </c>
      <c r="B1918" t="s">
        <v>122</v>
      </c>
      <c r="C1918" s="1">
        <v>46240</v>
      </c>
      <c r="D1918" t="s">
        <v>22</v>
      </c>
      <c r="E1918" t="s">
        <v>22</v>
      </c>
      <c r="F1918" s="3">
        <v>2027</v>
      </c>
      <c r="G1918" s="3">
        <v>1</v>
      </c>
      <c r="H1918" t="s">
        <v>1566</v>
      </c>
      <c r="I1918" s="2">
        <v>3.4</v>
      </c>
      <c r="J1918" t="s">
        <v>123</v>
      </c>
    </row>
    <row r="1919" spans="1:10">
      <c r="A1919" t="s">
        <v>2080</v>
      </c>
      <c r="B1919" t="s">
        <v>122</v>
      </c>
      <c r="C1919" s="1">
        <v>46240</v>
      </c>
      <c r="D1919" t="s">
        <v>134</v>
      </c>
      <c r="E1919" t="s">
        <v>24</v>
      </c>
      <c r="F1919" s="3">
        <v>2027</v>
      </c>
      <c r="G1919" s="3">
        <v>1</v>
      </c>
      <c r="H1919" t="s">
        <v>1566</v>
      </c>
      <c r="I1919" s="2">
        <v>3.4</v>
      </c>
      <c r="J1919" t="s">
        <v>123</v>
      </c>
    </row>
    <row r="1920" spans="1:10">
      <c r="A1920" t="s">
        <v>2081</v>
      </c>
      <c r="B1920" t="s">
        <v>122</v>
      </c>
      <c r="C1920" s="1">
        <v>46240</v>
      </c>
      <c r="D1920" t="s">
        <v>210</v>
      </c>
      <c r="E1920" t="s">
        <v>25</v>
      </c>
      <c r="F1920" s="3">
        <v>2027</v>
      </c>
      <c r="G1920" s="3">
        <v>1</v>
      </c>
      <c r="H1920" t="s">
        <v>1566</v>
      </c>
      <c r="I1920" s="2">
        <v>3.3</v>
      </c>
      <c r="J1920" t="s">
        <v>123</v>
      </c>
    </row>
    <row r="1921" spans="1:10">
      <c r="A1921" t="s">
        <v>2082</v>
      </c>
      <c r="B1921" t="s">
        <v>122</v>
      </c>
      <c r="C1921" s="1">
        <v>46240</v>
      </c>
      <c r="D1921" t="s">
        <v>212</v>
      </c>
      <c r="E1921" t="s">
        <v>26</v>
      </c>
      <c r="F1921" s="3">
        <v>2027</v>
      </c>
      <c r="G1921" s="3">
        <v>1</v>
      </c>
      <c r="H1921" t="s">
        <v>1566</v>
      </c>
      <c r="I1921" s="2">
        <v>3.1</v>
      </c>
      <c r="J1921" t="s">
        <v>123</v>
      </c>
    </row>
    <row r="1922" spans="1:10">
      <c r="A1922" t="s">
        <v>2083</v>
      </c>
      <c r="B1922" t="s">
        <v>122</v>
      </c>
      <c r="C1922" s="1">
        <v>46240</v>
      </c>
      <c r="D1922" t="s">
        <v>22</v>
      </c>
      <c r="E1922" t="s">
        <v>22</v>
      </c>
      <c r="F1922" s="3">
        <v>2027</v>
      </c>
      <c r="G1922" s="3">
        <v>2</v>
      </c>
      <c r="H1922" t="s">
        <v>1663</v>
      </c>
      <c r="I1922" s="2">
        <v>3.3</v>
      </c>
      <c r="J1922" t="s">
        <v>123</v>
      </c>
    </row>
    <row r="1923" spans="1:10">
      <c r="A1923" t="s">
        <v>2084</v>
      </c>
      <c r="B1923" t="s">
        <v>122</v>
      </c>
      <c r="C1923" s="1">
        <v>46240</v>
      </c>
      <c r="D1923" t="s">
        <v>134</v>
      </c>
      <c r="E1923" t="s">
        <v>24</v>
      </c>
      <c r="F1923" s="3">
        <v>2027</v>
      </c>
      <c r="G1923" s="3">
        <v>2</v>
      </c>
      <c r="H1923" t="s">
        <v>1663</v>
      </c>
      <c r="I1923" s="2">
        <v>3.3</v>
      </c>
      <c r="J1923" t="s">
        <v>123</v>
      </c>
    </row>
    <row r="1924" spans="1:10">
      <c r="A1924" t="s">
        <v>2085</v>
      </c>
      <c r="B1924" t="s">
        <v>122</v>
      </c>
      <c r="C1924" s="1">
        <v>46240</v>
      </c>
      <c r="D1924" t="s">
        <v>210</v>
      </c>
      <c r="E1924" t="s">
        <v>25</v>
      </c>
      <c r="F1924" s="3">
        <v>2027</v>
      </c>
      <c r="G1924" s="3">
        <v>2</v>
      </c>
      <c r="H1924" t="s">
        <v>1663</v>
      </c>
      <c r="I1924" s="2">
        <v>3.1</v>
      </c>
      <c r="J1924" t="s">
        <v>123</v>
      </c>
    </row>
    <row r="1925" spans="1:10">
      <c r="A1925" t="s">
        <v>2086</v>
      </c>
      <c r="B1925" t="s">
        <v>122</v>
      </c>
      <c r="C1925" s="1">
        <v>46240</v>
      </c>
      <c r="D1925" t="s">
        <v>212</v>
      </c>
      <c r="E1925" t="s">
        <v>26</v>
      </c>
      <c r="F1925" s="3">
        <v>2027</v>
      </c>
      <c r="G1925" s="3">
        <v>2</v>
      </c>
      <c r="H1925" t="s">
        <v>1663</v>
      </c>
      <c r="I1925" s="2">
        <v>3.2</v>
      </c>
      <c r="J1925" t="s">
        <v>123</v>
      </c>
    </row>
    <row r="1926" spans="1:10">
      <c r="A1926" t="s">
        <v>2087</v>
      </c>
      <c r="B1926" t="s">
        <v>122</v>
      </c>
      <c r="C1926" s="1">
        <v>46240</v>
      </c>
      <c r="D1926" t="s">
        <v>22</v>
      </c>
      <c r="E1926" t="s">
        <v>22</v>
      </c>
      <c r="F1926" s="3">
        <v>2027</v>
      </c>
      <c r="G1926" s="3">
        <v>3</v>
      </c>
      <c r="H1926" t="s">
        <v>1760</v>
      </c>
      <c r="I1926" s="2">
        <v>3.2</v>
      </c>
      <c r="J1926" t="s">
        <v>123</v>
      </c>
    </row>
    <row r="1927" spans="1:10">
      <c r="A1927" t="s">
        <v>2088</v>
      </c>
      <c r="B1927" t="s">
        <v>122</v>
      </c>
      <c r="C1927" s="1">
        <v>46240</v>
      </c>
      <c r="D1927" t="s">
        <v>134</v>
      </c>
      <c r="E1927" t="s">
        <v>24</v>
      </c>
      <c r="F1927" s="3">
        <v>2027</v>
      </c>
      <c r="G1927" s="3">
        <v>3</v>
      </c>
      <c r="H1927" t="s">
        <v>1760</v>
      </c>
      <c r="I1927" s="2">
        <v>3.2</v>
      </c>
      <c r="J1927" t="s">
        <v>123</v>
      </c>
    </row>
    <row r="1928" spans="1:10">
      <c r="A1928" t="s">
        <v>2089</v>
      </c>
      <c r="B1928" t="s">
        <v>122</v>
      </c>
      <c r="C1928" s="1">
        <v>46240</v>
      </c>
      <c r="D1928" t="s">
        <v>210</v>
      </c>
      <c r="E1928" t="s">
        <v>25</v>
      </c>
      <c r="F1928" s="3">
        <v>2027</v>
      </c>
      <c r="G1928" s="3">
        <v>3</v>
      </c>
      <c r="H1928" t="s">
        <v>1760</v>
      </c>
      <c r="I1928" s="2">
        <v>2.6</v>
      </c>
      <c r="J1928" t="s">
        <v>123</v>
      </c>
    </row>
    <row r="1929" spans="1:10">
      <c r="A1929" t="s">
        <v>2090</v>
      </c>
      <c r="B1929" t="s">
        <v>122</v>
      </c>
      <c r="C1929" s="1">
        <v>46240</v>
      </c>
      <c r="D1929" t="s">
        <v>212</v>
      </c>
      <c r="E1929" t="s">
        <v>26</v>
      </c>
      <c r="F1929" s="3">
        <v>2027</v>
      </c>
      <c r="G1929" s="3">
        <v>3</v>
      </c>
      <c r="H1929" t="s">
        <v>1760</v>
      </c>
      <c r="I1929" s="2">
        <v>2.9</v>
      </c>
      <c r="J1929" t="s">
        <v>123</v>
      </c>
    </row>
    <row r="1930" spans="1:10">
      <c r="A1930" t="s">
        <v>2091</v>
      </c>
      <c r="B1930" t="s">
        <v>122</v>
      </c>
      <c r="C1930" s="1">
        <v>46240</v>
      </c>
      <c r="D1930" t="s">
        <v>22</v>
      </c>
      <c r="E1930" t="s">
        <v>22</v>
      </c>
      <c r="F1930" s="3">
        <v>2027</v>
      </c>
      <c r="G1930" s="3">
        <v>4</v>
      </c>
      <c r="H1930" t="s">
        <v>1857</v>
      </c>
      <c r="I1930" s="2">
        <v>3</v>
      </c>
      <c r="J1930" t="s">
        <v>123</v>
      </c>
    </row>
    <row r="1931" spans="1:10">
      <c r="A1931" t="s">
        <v>2092</v>
      </c>
      <c r="B1931" t="s">
        <v>122</v>
      </c>
      <c r="C1931" s="1">
        <v>46240</v>
      </c>
      <c r="D1931" t="s">
        <v>134</v>
      </c>
      <c r="E1931" t="s">
        <v>24</v>
      </c>
      <c r="F1931" s="3">
        <v>2027</v>
      </c>
      <c r="G1931" s="3">
        <v>4</v>
      </c>
      <c r="H1931" t="s">
        <v>1857</v>
      </c>
      <c r="I1931" s="2">
        <v>3</v>
      </c>
      <c r="J1931" t="s">
        <v>123</v>
      </c>
    </row>
    <row r="1932" spans="1:10">
      <c r="A1932" t="s">
        <v>2093</v>
      </c>
      <c r="B1932" t="s">
        <v>122</v>
      </c>
      <c r="C1932" s="1">
        <v>46240</v>
      </c>
      <c r="D1932" t="s">
        <v>210</v>
      </c>
      <c r="E1932" t="s">
        <v>25</v>
      </c>
      <c r="F1932" s="3">
        <v>2027</v>
      </c>
      <c r="G1932" s="3">
        <v>4</v>
      </c>
      <c r="H1932" t="s">
        <v>1857</v>
      </c>
      <c r="I1932" s="2">
        <v>3.3</v>
      </c>
      <c r="J1932" t="s">
        <v>123</v>
      </c>
    </row>
    <row r="1933" spans="1:10">
      <c r="A1933" t="s">
        <v>2094</v>
      </c>
      <c r="B1933" t="s">
        <v>122</v>
      </c>
      <c r="C1933" s="1">
        <v>46240</v>
      </c>
      <c r="D1933" t="s">
        <v>212</v>
      </c>
      <c r="E1933" t="s">
        <v>26</v>
      </c>
      <c r="F1933" s="3">
        <v>2027</v>
      </c>
      <c r="G1933" s="3">
        <v>4</v>
      </c>
      <c r="H1933" t="s">
        <v>1857</v>
      </c>
      <c r="I1933" s="2">
        <v>3</v>
      </c>
      <c r="J1933" t="s">
        <v>123</v>
      </c>
    </row>
    <row r="1934" spans="1:10">
      <c r="A1934" t="s">
        <v>2095</v>
      </c>
      <c r="B1934" t="s">
        <v>122</v>
      </c>
      <c r="C1934" s="1">
        <v>46240</v>
      </c>
      <c r="D1934" t="s">
        <v>22</v>
      </c>
      <c r="E1934" t="s">
        <v>22</v>
      </c>
      <c r="F1934" s="3">
        <v>2028</v>
      </c>
      <c r="G1934" s="3">
        <v>1</v>
      </c>
      <c r="H1934" t="s">
        <v>1954</v>
      </c>
      <c r="I1934" s="2">
        <v>3</v>
      </c>
      <c r="J1934" t="s">
        <v>123</v>
      </c>
    </row>
    <row r="1935" spans="1:10">
      <c r="A1935" t="s">
        <v>2096</v>
      </c>
      <c r="B1935" t="s">
        <v>122</v>
      </c>
      <c r="C1935" s="1">
        <v>46240</v>
      </c>
      <c r="D1935" t="s">
        <v>134</v>
      </c>
      <c r="E1935" t="s">
        <v>24</v>
      </c>
      <c r="F1935" s="3">
        <v>2028</v>
      </c>
      <c r="G1935" s="3">
        <v>1</v>
      </c>
      <c r="H1935" t="s">
        <v>1954</v>
      </c>
      <c r="I1935" s="2">
        <v>3</v>
      </c>
      <c r="J1935" t="s">
        <v>123</v>
      </c>
    </row>
    <row r="1936" spans="1:10">
      <c r="A1936" t="s">
        <v>2097</v>
      </c>
      <c r="B1936" t="s">
        <v>122</v>
      </c>
      <c r="C1936" s="1">
        <v>46240</v>
      </c>
      <c r="D1936" t="s">
        <v>210</v>
      </c>
      <c r="E1936" t="s">
        <v>25</v>
      </c>
      <c r="F1936" s="3">
        <v>2028</v>
      </c>
      <c r="G1936" s="3">
        <v>1</v>
      </c>
      <c r="H1936" t="s">
        <v>1954</v>
      </c>
      <c r="I1936" s="2">
        <v>3.1</v>
      </c>
      <c r="J1936" t="s">
        <v>123</v>
      </c>
    </row>
    <row r="1937" spans="1:10">
      <c r="A1937" t="s">
        <v>2098</v>
      </c>
      <c r="B1937" t="s">
        <v>122</v>
      </c>
      <c r="C1937" s="1">
        <v>46240</v>
      </c>
      <c r="D1937" t="s">
        <v>212</v>
      </c>
      <c r="E1937" t="s">
        <v>26</v>
      </c>
      <c r="F1937" s="3">
        <v>2028</v>
      </c>
      <c r="G1937" s="3">
        <v>1</v>
      </c>
      <c r="H1937" t="s">
        <v>1954</v>
      </c>
      <c r="I1937" s="2">
        <v>3</v>
      </c>
      <c r="J1937" t="s">
        <v>123</v>
      </c>
    </row>
    <row r="1938" spans="1:10">
      <c r="A1938" t="s">
        <v>2099</v>
      </c>
      <c r="B1938" t="s">
        <v>122</v>
      </c>
      <c r="C1938" s="1">
        <v>46240</v>
      </c>
      <c r="D1938" t="s">
        <v>22</v>
      </c>
      <c r="E1938" t="s">
        <v>22</v>
      </c>
      <c r="F1938" s="3">
        <v>2028</v>
      </c>
      <c r="G1938" s="3">
        <v>2</v>
      </c>
      <c r="H1938" t="s">
        <v>2051</v>
      </c>
      <c r="I1938" s="2">
        <v>3</v>
      </c>
      <c r="J1938" t="s">
        <v>123</v>
      </c>
    </row>
    <row r="1939" spans="1:10">
      <c r="A1939" t="s">
        <v>2100</v>
      </c>
      <c r="B1939" t="s">
        <v>122</v>
      </c>
      <c r="C1939" s="1">
        <v>46240</v>
      </c>
      <c r="D1939" t="s">
        <v>134</v>
      </c>
      <c r="E1939" t="s">
        <v>24</v>
      </c>
      <c r="F1939" s="3">
        <v>2028</v>
      </c>
      <c r="G1939" s="3">
        <v>2</v>
      </c>
      <c r="H1939" t="s">
        <v>2051</v>
      </c>
      <c r="I1939" s="2">
        <v>3</v>
      </c>
      <c r="J1939" t="s">
        <v>123</v>
      </c>
    </row>
    <row r="1940" spans="1:10">
      <c r="A1940" t="s">
        <v>2101</v>
      </c>
      <c r="B1940" t="s">
        <v>122</v>
      </c>
      <c r="C1940" s="1">
        <v>46240</v>
      </c>
      <c r="D1940" t="s">
        <v>210</v>
      </c>
      <c r="E1940" t="s">
        <v>25</v>
      </c>
      <c r="F1940" s="3">
        <v>2028</v>
      </c>
      <c r="G1940" s="3">
        <v>2</v>
      </c>
      <c r="H1940" t="s">
        <v>2051</v>
      </c>
      <c r="I1940" s="2">
        <v>3</v>
      </c>
      <c r="J1940" t="s">
        <v>123</v>
      </c>
    </row>
    <row r="1941" spans="1:10">
      <c r="A1941" t="s">
        <v>2102</v>
      </c>
      <c r="B1941" t="s">
        <v>122</v>
      </c>
      <c r="C1941" s="1">
        <v>46240</v>
      </c>
      <c r="D1941" t="s">
        <v>212</v>
      </c>
      <c r="E1941" t="s">
        <v>26</v>
      </c>
      <c r="F1941" s="3">
        <v>2028</v>
      </c>
      <c r="G1941" s="3">
        <v>2</v>
      </c>
      <c r="H1941" t="s">
        <v>2051</v>
      </c>
      <c r="I1941" s="2">
        <v>3.1</v>
      </c>
      <c r="J1941" t="s">
        <v>123</v>
      </c>
    </row>
    <row r="1942" spans="1:10">
      <c r="A1942" t="s">
        <v>2615</v>
      </c>
      <c r="B1942" t="s">
        <v>2186</v>
      </c>
      <c r="C1942" s="71">
        <v>46289</v>
      </c>
      <c r="D1942" t="s">
        <v>22</v>
      </c>
      <c r="E1942" t="s">
        <v>22</v>
      </c>
      <c r="F1942">
        <v>2025</v>
      </c>
      <c r="G1942">
        <v>4</v>
      </c>
      <c r="H1942" t="s">
        <v>1086</v>
      </c>
      <c r="I1942">
        <v>3.7</v>
      </c>
      <c r="J1942" t="s">
        <v>2614</v>
      </c>
    </row>
    <row r="1943" spans="1:10">
      <c r="A1943" t="s">
        <v>2616</v>
      </c>
      <c r="B1943" t="s">
        <v>2186</v>
      </c>
      <c r="C1943" s="71">
        <v>46289</v>
      </c>
      <c r="D1943" t="s">
        <v>134</v>
      </c>
      <c r="E1943" t="s">
        <v>24</v>
      </c>
      <c r="F1943">
        <v>2025</v>
      </c>
      <c r="G1943">
        <v>4</v>
      </c>
      <c r="H1943" t="s">
        <v>1086</v>
      </c>
      <c r="I1943">
        <v>4.3</v>
      </c>
      <c r="J1943" t="s">
        <v>2614</v>
      </c>
    </row>
    <row r="1944" spans="1:10">
      <c r="A1944" t="s">
        <v>2617</v>
      </c>
      <c r="B1944" t="s">
        <v>2186</v>
      </c>
      <c r="C1944" s="71">
        <v>46289</v>
      </c>
      <c r="D1944" t="s">
        <v>210</v>
      </c>
      <c r="E1944" t="s">
        <v>25</v>
      </c>
      <c r="F1944">
        <v>2025</v>
      </c>
      <c r="G1944">
        <v>4</v>
      </c>
      <c r="H1944" t="s">
        <v>1086</v>
      </c>
      <c r="I1944">
        <v>3.3</v>
      </c>
      <c r="J1944" t="s">
        <v>2614</v>
      </c>
    </row>
    <row r="1945" spans="1:10">
      <c r="A1945" t="s">
        <v>2618</v>
      </c>
      <c r="B1945" t="s">
        <v>2186</v>
      </c>
      <c r="C1945" s="71">
        <v>46289</v>
      </c>
      <c r="D1945" t="s">
        <v>212</v>
      </c>
      <c r="E1945" t="s">
        <v>26</v>
      </c>
      <c r="F1945">
        <v>2025</v>
      </c>
      <c r="G1945">
        <v>4</v>
      </c>
      <c r="H1945" t="s">
        <v>1086</v>
      </c>
      <c r="I1945">
        <v>4.0999999999999996</v>
      </c>
      <c r="J1945" t="s">
        <v>2614</v>
      </c>
    </row>
    <row r="1946" spans="1:10">
      <c r="A1946" t="s">
        <v>2619</v>
      </c>
      <c r="B1946" t="s">
        <v>2186</v>
      </c>
      <c r="C1946" s="71">
        <v>46289</v>
      </c>
      <c r="D1946" t="s">
        <v>22</v>
      </c>
      <c r="E1946" t="s">
        <v>22</v>
      </c>
      <c r="F1946">
        <v>2026</v>
      </c>
      <c r="G1946">
        <v>1</v>
      </c>
      <c r="H1946" t="s">
        <v>1183</v>
      </c>
      <c r="I1946">
        <v>4.0999999999999996</v>
      </c>
      <c r="J1946" t="s">
        <v>2614</v>
      </c>
    </row>
    <row r="1947" spans="1:10">
      <c r="A1947" t="s">
        <v>2620</v>
      </c>
      <c r="B1947" t="s">
        <v>2186</v>
      </c>
      <c r="C1947" s="71">
        <v>46289</v>
      </c>
      <c r="D1947" t="s">
        <v>134</v>
      </c>
      <c r="E1947" t="s">
        <v>24</v>
      </c>
      <c r="F1947">
        <v>2026</v>
      </c>
      <c r="G1947">
        <v>1</v>
      </c>
      <c r="H1947" t="s">
        <v>1183</v>
      </c>
      <c r="I1947">
        <v>4.5</v>
      </c>
      <c r="J1947" t="s">
        <v>2614</v>
      </c>
    </row>
    <row r="1948" spans="1:10">
      <c r="A1948" t="s">
        <v>2621</v>
      </c>
      <c r="B1948" t="s">
        <v>2186</v>
      </c>
      <c r="C1948" s="71">
        <v>46289</v>
      </c>
      <c r="D1948" t="s">
        <v>210</v>
      </c>
      <c r="E1948" t="s">
        <v>25</v>
      </c>
      <c r="F1948">
        <v>2026</v>
      </c>
      <c r="G1948">
        <v>1</v>
      </c>
      <c r="H1948" t="s">
        <v>1183</v>
      </c>
      <c r="I1948">
        <v>4.3</v>
      </c>
      <c r="J1948" t="s">
        <v>2614</v>
      </c>
    </row>
    <row r="1949" spans="1:10">
      <c r="A1949" t="s">
        <v>2622</v>
      </c>
      <c r="B1949" t="s">
        <v>2186</v>
      </c>
      <c r="C1949" s="71">
        <v>46289</v>
      </c>
      <c r="D1949" t="s">
        <v>212</v>
      </c>
      <c r="E1949" t="s">
        <v>26</v>
      </c>
      <c r="F1949">
        <v>2026</v>
      </c>
      <c r="G1949">
        <v>1</v>
      </c>
      <c r="H1949" t="s">
        <v>1183</v>
      </c>
      <c r="I1949">
        <v>4.5999999999999996</v>
      </c>
      <c r="J1949" t="s">
        <v>2614</v>
      </c>
    </row>
    <row r="1950" spans="1:10">
      <c r="A1950" t="s">
        <v>2623</v>
      </c>
      <c r="B1950" t="s">
        <v>2186</v>
      </c>
      <c r="C1950" s="71">
        <v>46289</v>
      </c>
      <c r="D1950" t="s">
        <v>22</v>
      </c>
      <c r="E1950" t="s">
        <v>22</v>
      </c>
      <c r="F1950">
        <v>2026</v>
      </c>
      <c r="G1950">
        <v>2</v>
      </c>
      <c r="H1950" t="s">
        <v>1276</v>
      </c>
      <c r="I1950">
        <v>3.9</v>
      </c>
      <c r="J1950" t="s">
        <v>2614</v>
      </c>
    </row>
    <row r="1951" spans="1:10">
      <c r="A1951" t="s">
        <v>2624</v>
      </c>
      <c r="B1951" t="s">
        <v>2186</v>
      </c>
      <c r="C1951" s="71">
        <v>46289</v>
      </c>
      <c r="D1951" t="s">
        <v>134</v>
      </c>
      <c r="E1951" t="s">
        <v>24</v>
      </c>
      <c r="F1951">
        <v>2026</v>
      </c>
      <c r="G1951">
        <v>2</v>
      </c>
      <c r="H1951" t="s">
        <v>1276</v>
      </c>
      <c r="I1951">
        <v>4.2</v>
      </c>
      <c r="J1951" t="s">
        <v>2614</v>
      </c>
    </row>
    <row r="1952" spans="1:10">
      <c r="A1952" t="s">
        <v>2625</v>
      </c>
      <c r="B1952" t="s">
        <v>2186</v>
      </c>
      <c r="C1952" s="71">
        <v>46289</v>
      </c>
      <c r="D1952" t="s">
        <v>210</v>
      </c>
      <c r="E1952" t="s">
        <v>25</v>
      </c>
      <c r="F1952">
        <v>2026</v>
      </c>
      <c r="G1952">
        <v>2</v>
      </c>
      <c r="H1952" t="s">
        <v>1276</v>
      </c>
      <c r="I1952">
        <v>4.2</v>
      </c>
      <c r="J1952" t="s">
        <v>2614</v>
      </c>
    </row>
    <row r="1953" spans="1:10">
      <c r="A1953" t="s">
        <v>2626</v>
      </c>
      <c r="B1953" t="s">
        <v>2186</v>
      </c>
      <c r="C1953" s="71">
        <v>46289</v>
      </c>
      <c r="D1953" t="s">
        <v>212</v>
      </c>
      <c r="E1953" t="s">
        <v>26</v>
      </c>
      <c r="F1953">
        <v>2026</v>
      </c>
      <c r="G1953">
        <v>2</v>
      </c>
      <c r="H1953" t="s">
        <v>1276</v>
      </c>
      <c r="I1953">
        <v>3.7</v>
      </c>
      <c r="J1953" t="s">
        <v>2614</v>
      </c>
    </row>
    <row r="1954" spans="1:10">
      <c r="A1954" t="s">
        <v>2627</v>
      </c>
      <c r="B1954" t="s">
        <v>2186</v>
      </c>
      <c r="C1954" s="71">
        <v>46289</v>
      </c>
      <c r="D1954" t="s">
        <v>22</v>
      </c>
      <c r="E1954" t="s">
        <v>22</v>
      </c>
      <c r="F1954">
        <v>2026</v>
      </c>
      <c r="G1954">
        <v>3</v>
      </c>
      <c r="H1954" t="s">
        <v>21</v>
      </c>
      <c r="I1954">
        <v>3.3</v>
      </c>
      <c r="J1954" t="s">
        <v>2614</v>
      </c>
    </row>
    <row r="1955" spans="1:10">
      <c r="A1955" t="s">
        <v>2628</v>
      </c>
      <c r="B1955" t="s">
        <v>2186</v>
      </c>
      <c r="C1955" s="71">
        <v>46289</v>
      </c>
      <c r="D1955" t="s">
        <v>134</v>
      </c>
      <c r="E1955" t="s">
        <v>24</v>
      </c>
      <c r="F1955">
        <v>2026</v>
      </c>
      <c r="G1955">
        <v>3</v>
      </c>
      <c r="H1955" t="s">
        <v>21</v>
      </c>
      <c r="I1955">
        <v>3.9</v>
      </c>
      <c r="J1955" t="s">
        <v>2614</v>
      </c>
    </row>
    <row r="1956" spans="1:10">
      <c r="A1956" t="s">
        <v>2629</v>
      </c>
      <c r="B1956" t="s">
        <v>2186</v>
      </c>
      <c r="C1956" s="71">
        <v>46289</v>
      </c>
      <c r="D1956" t="s">
        <v>210</v>
      </c>
      <c r="E1956" t="s">
        <v>25</v>
      </c>
      <c r="F1956">
        <v>2026</v>
      </c>
      <c r="G1956">
        <v>3</v>
      </c>
      <c r="H1956" t="s">
        <v>21</v>
      </c>
      <c r="I1956">
        <v>1.8</v>
      </c>
      <c r="J1956" t="s">
        <v>2614</v>
      </c>
    </row>
    <row r="1957" spans="1:10">
      <c r="A1957" t="s">
        <v>2630</v>
      </c>
      <c r="B1957" t="s">
        <v>2186</v>
      </c>
      <c r="C1957" s="71">
        <v>46289</v>
      </c>
      <c r="D1957" t="s">
        <v>212</v>
      </c>
      <c r="E1957" t="s">
        <v>26</v>
      </c>
      <c r="F1957">
        <v>2026</v>
      </c>
      <c r="G1957">
        <v>3</v>
      </c>
      <c r="H1957" t="s">
        <v>21</v>
      </c>
      <c r="I1957">
        <v>3.2</v>
      </c>
      <c r="J1957" t="s">
        <v>2614</v>
      </c>
    </row>
    <row r="1958" spans="1:10">
      <c r="A1958" t="s">
        <v>2631</v>
      </c>
      <c r="B1958" t="s">
        <v>2186</v>
      </c>
      <c r="C1958" s="71">
        <v>46289</v>
      </c>
      <c r="D1958" t="s">
        <v>22</v>
      </c>
      <c r="E1958" t="s">
        <v>22</v>
      </c>
      <c r="F1958">
        <v>2026</v>
      </c>
      <c r="G1958">
        <v>4</v>
      </c>
      <c r="H1958" t="s">
        <v>1469</v>
      </c>
      <c r="I1958">
        <v>3.5</v>
      </c>
      <c r="J1958" t="s">
        <v>2614</v>
      </c>
    </row>
    <row r="1959" spans="1:10">
      <c r="A1959" t="s">
        <v>2632</v>
      </c>
      <c r="B1959" t="s">
        <v>2186</v>
      </c>
      <c r="C1959" s="71">
        <v>46289</v>
      </c>
      <c r="D1959" t="s">
        <v>134</v>
      </c>
      <c r="E1959" t="s">
        <v>24</v>
      </c>
      <c r="F1959">
        <v>2026</v>
      </c>
      <c r="G1959">
        <v>4</v>
      </c>
      <c r="H1959" t="s">
        <v>1469</v>
      </c>
      <c r="I1959">
        <v>3.6</v>
      </c>
      <c r="J1959" t="s">
        <v>2614</v>
      </c>
    </row>
    <row r="1960" spans="1:10">
      <c r="A1960" t="s">
        <v>2633</v>
      </c>
      <c r="B1960" t="s">
        <v>2186</v>
      </c>
      <c r="C1960" s="71">
        <v>46289</v>
      </c>
      <c r="D1960" t="s">
        <v>210</v>
      </c>
      <c r="E1960" t="s">
        <v>25</v>
      </c>
      <c r="F1960">
        <v>2026</v>
      </c>
      <c r="G1960">
        <v>4</v>
      </c>
      <c r="H1960" t="s">
        <v>1469</v>
      </c>
      <c r="I1960">
        <v>4</v>
      </c>
      <c r="J1960" t="s">
        <v>2614</v>
      </c>
    </row>
    <row r="1961" spans="1:10">
      <c r="A1961" t="s">
        <v>2634</v>
      </c>
      <c r="B1961" t="s">
        <v>2186</v>
      </c>
      <c r="C1961" s="71">
        <v>46289</v>
      </c>
      <c r="D1961" t="s">
        <v>212</v>
      </c>
      <c r="E1961" t="s">
        <v>26</v>
      </c>
      <c r="F1961">
        <v>2026</v>
      </c>
      <c r="G1961">
        <v>4</v>
      </c>
      <c r="H1961" t="s">
        <v>1469</v>
      </c>
      <c r="I1961">
        <v>3.2</v>
      </c>
      <c r="J1961" t="s">
        <v>2614</v>
      </c>
    </row>
    <row r="1962" spans="1:10">
      <c r="A1962" t="s">
        <v>2635</v>
      </c>
      <c r="B1962" t="s">
        <v>2186</v>
      </c>
      <c r="C1962" s="71">
        <v>46289</v>
      </c>
      <c r="D1962" t="s">
        <v>22</v>
      </c>
      <c r="E1962" t="s">
        <v>22</v>
      </c>
      <c r="F1962">
        <v>2027</v>
      </c>
      <c r="G1962">
        <v>1</v>
      </c>
      <c r="H1962" t="s">
        <v>1566</v>
      </c>
      <c r="I1962">
        <v>3.4</v>
      </c>
      <c r="J1962" t="s">
        <v>2614</v>
      </c>
    </row>
    <row r="1963" spans="1:10">
      <c r="A1963" t="s">
        <v>2636</v>
      </c>
      <c r="B1963" t="s">
        <v>2186</v>
      </c>
      <c r="C1963" s="71">
        <v>46289</v>
      </c>
      <c r="D1963" t="s">
        <v>134</v>
      </c>
      <c r="E1963" t="s">
        <v>24</v>
      </c>
      <c r="F1963">
        <v>2027</v>
      </c>
      <c r="G1963">
        <v>1</v>
      </c>
      <c r="H1963" t="s">
        <v>1566</v>
      </c>
      <c r="I1963">
        <v>3.4</v>
      </c>
      <c r="J1963" t="s">
        <v>2614</v>
      </c>
    </row>
    <row r="1964" spans="1:10">
      <c r="A1964" t="s">
        <v>2637</v>
      </c>
      <c r="B1964" t="s">
        <v>2186</v>
      </c>
      <c r="C1964" s="71">
        <v>46289</v>
      </c>
      <c r="D1964" t="s">
        <v>210</v>
      </c>
      <c r="E1964" t="s">
        <v>25</v>
      </c>
      <c r="F1964">
        <v>2027</v>
      </c>
      <c r="G1964">
        <v>1</v>
      </c>
      <c r="H1964" t="s">
        <v>1566</v>
      </c>
      <c r="I1964">
        <v>3.6</v>
      </c>
      <c r="J1964" t="s">
        <v>2614</v>
      </c>
    </row>
    <row r="1965" spans="1:10">
      <c r="A1965" t="s">
        <v>2638</v>
      </c>
      <c r="B1965" t="s">
        <v>2186</v>
      </c>
      <c r="C1965" s="71">
        <v>46289</v>
      </c>
      <c r="D1965" t="s">
        <v>212</v>
      </c>
      <c r="E1965" t="s">
        <v>26</v>
      </c>
      <c r="F1965">
        <v>2027</v>
      </c>
      <c r="G1965">
        <v>1</v>
      </c>
      <c r="H1965" t="s">
        <v>1566</v>
      </c>
      <c r="I1965">
        <v>3.4</v>
      </c>
      <c r="J1965" t="s">
        <v>2614</v>
      </c>
    </row>
    <row r="1966" spans="1:10">
      <c r="A1966" t="s">
        <v>2639</v>
      </c>
      <c r="B1966" t="s">
        <v>2186</v>
      </c>
      <c r="C1966" s="71">
        <v>46289</v>
      </c>
      <c r="D1966" t="s">
        <v>22</v>
      </c>
      <c r="E1966" t="s">
        <v>22</v>
      </c>
      <c r="F1966">
        <v>2027</v>
      </c>
      <c r="G1966">
        <v>2</v>
      </c>
      <c r="H1966" t="s">
        <v>1663</v>
      </c>
      <c r="I1966">
        <v>3.3</v>
      </c>
      <c r="J1966" t="s">
        <v>2614</v>
      </c>
    </row>
    <row r="1967" spans="1:10">
      <c r="A1967" t="s">
        <v>2640</v>
      </c>
      <c r="B1967" t="s">
        <v>2186</v>
      </c>
      <c r="C1967" s="71">
        <v>46289</v>
      </c>
      <c r="D1967" t="s">
        <v>134</v>
      </c>
      <c r="E1967" t="s">
        <v>24</v>
      </c>
      <c r="F1967">
        <v>2027</v>
      </c>
      <c r="G1967">
        <v>2</v>
      </c>
      <c r="H1967" t="s">
        <v>1663</v>
      </c>
      <c r="I1967">
        <v>3.3</v>
      </c>
      <c r="J1967" t="s">
        <v>2614</v>
      </c>
    </row>
    <row r="1968" spans="1:10">
      <c r="A1968" t="s">
        <v>2641</v>
      </c>
      <c r="B1968" t="s">
        <v>2186</v>
      </c>
      <c r="C1968" s="71">
        <v>46289</v>
      </c>
      <c r="D1968" t="s">
        <v>210</v>
      </c>
      <c r="E1968" t="s">
        <v>25</v>
      </c>
      <c r="F1968">
        <v>2027</v>
      </c>
      <c r="G1968">
        <v>2</v>
      </c>
      <c r="H1968" t="s">
        <v>1663</v>
      </c>
      <c r="I1968">
        <v>3</v>
      </c>
      <c r="J1968" t="s">
        <v>2614</v>
      </c>
    </row>
    <row r="1969" spans="1:10">
      <c r="A1969" t="s">
        <v>2642</v>
      </c>
      <c r="B1969" t="s">
        <v>2186</v>
      </c>
      <c r="C1969" s="71">
        <v>46289</v>
      </c>
      <c r="D1969" t="s">
        <v>212</v>
      </c>
      <c r="E1969" t="s">
        <v>26</v>
      </c>
      <c r="F1969">
        <v>2027</v>
      </c>
      <c r="G1969">
        <v>2</v>
      </c>
      <c r="H1969" t="s">
        <v>1663</v>
      </c>
      <c r="I1969">
        <v>3.2</v>
      </c>
      <c r="J1969" t="s">
        <v>2614</v>
      </c>
    </row>
    <row r="1970" spans="1:10">
      <c r="A1970" t="s">
        <v>2643</v>
      </c>
      <c r="B1970" t="s">
        <v>2186</v>
      </c>
      <c r="C1970" s="71">
        <v>46289</v>
      </c>
      <c r="D1970" t="s">
        <v>22</v>
      </c>
      <c r="E1970" t="s">
        <v>22</v>
      </c>
      <c r="F1970">
        <v>2027</v>
      </c>
      <c r="G1970">
        <v>3</v>
      </c>
      <c r="H1970" t="s">
        <v>1760</v>
      </c>
      <c r="I1970">
        <v>3.2</v>
      </c>
      <c r="J1970" t="s">
        <v>2614</v>
      </c>
    </row>
    <row r="1971" spans="1:10">
      <c r="A1971" t="s">
        <v>2644</v>
      </c>
      <c r="B1971" t="s">
        <v>2186</v>
      </c>
      <c r="C1971" s="71">
        <v>46289</v>
      </c>
      <c r="D1971" t="s">
        <v>134</v>
      </c>
      <c r="E1971" t="s">
        <v>24</v>
      </c>
      <c r="F1971">
        <v>2027</v>
      </c>
      <c r="G1971">
        <v>3</v>
      </c>
      <c r="H1971" t="s">
        <v>1760</v>
      </c>
      <c r="I1971">
        <v>3.2</v>
      </c>
      <c r="J1971" t="s">
        <v>2614</v>
      </c>
    </row>
    <row r="1972" spans="1:10">
      <c r="A1972" t="s">
        <v>2645</v>
      </c>
      <c r="B1972" t="s">
        <v>2186</v>
      </c>
      <c r="C1972" s="71">
        <v>46289</v>
      </c>
      <c r="D1972" t="s">
        <v>210</v>
      </c>
      <c r="E1972" t="s">
        <v>25</v>
      </c>
      <c r="F1972">
        <v>2027</v>
      </c>
      <c r="G1972">
        <v>3</v>
      </c>
      <c r="H1972" t="s">
        <v>1760</v>
      </c>
      <c r="I1972">
        <v>2.4</v>
      </c>
      <c r="J1972" t="s">
        <v>2614</v>
      </c>
    </row>
    <row r="1973" spans="1:10">
      <c r="A1973" t="s">
        <v>2646</v>
      </c>
      <c r="B1973" t="s">
        <v>2186</v>
      </c>
      <c r="C1973" s="71">
        <v>46289</v>
      </c>
      <c r="D1973" t="s">
        <v>212</v>
      </c>
      <c r="E1973" t="s">
        <v>26</v>
      </c>
      <c r="F1973">
        <v>2027</v>
      </c>
      <c r="G1973">
        <v>3</v>
      </c>
      <c r="H1973" t="s">
        <v>1760</v>
      </c>
      <c r="I1973">
        <v>2.9</v>
      </c>
      <c r="J1973" t="s">
        <v>2614</v>
      </c>
    </row>
    <row r="1974" spans="1:10">
      <c r="A1974" t="s">
        <v>2647</v>
      </c>
      <c r="B1974" t="s">
        <v>2186</v>
      </c>
      <c r="C1974" s="71">
        <v>46289</v>
      </c>
      <c r="D1974" t="s">
        <v>22</v>
      </c>
      <c r="E1974" t="s">
        <v>22</v>
      </c>
      <c r="F1974">
        <v>2027</v>
      </c>
      <c r="G1974">
        <v>4</v>
      </c>
      <c r="H1974" t="s">
        <v>1857</v>
      </c>
      <c r="I1974">
        <v>3</v>
      </c>
      <c r="J1974" t="s">
        <v>2614</v>
      </c>
    </row>
    <row r="1975" spans="1:10">
      <c r="A1975" t="s">
        <v>2648</v>
      </c>
      <c r="B1975" t="s">
        <v>2186</v>
      </c>
      <c r="C1975" s="71">
        <v>46289</v>
      </c>
      <c r="D1975" t="s">
        <v>134</v>
      </c>
      <c r="E1975" t="s">
        <v>24</v>
      </c>
      <c r="F1975">
        <v>2027</v>
      </c>
      <c r="G1975">
        <v>4</v>
      </c>
      <c r="H1975" t="s">
        <v>1857</v>
      </c>
      <c r="I1975">
        <v>3</v>
      </c>
      <c r="J1975" t="s">
        <v>2614</v>
      </c>
    </row>
    <row r="1976" spans="1:10">
      <c r="A1976" t="s">
        <v>2649</v>
      </c>
      <c r="B1976" t="s">
        <v>2186</v>
      </c>
      <c r="C1976" s="71">
        <v>46289</v>
      </c>
      <c r="D1976" t="s">
        <v>210</v>
      </c>
      <c r="E1976" t="s">
        <v>25</v>
      </c>
      <c r="F1976">
        <v>2027</v>
      </c>
      <c r="G1976">
        <v>4</v>
      </c>
      <c r="H1976" t="s">
        <v>1857</v>
      </c>
      <c r="I1976">
        <v>3.3</v>
      </c>
      <c r="J1976" t="s">
        <v>2614</v>
      </c>
    </row>
    <row r="1977" spans="1:10">
      <c r="A1977" t="s">
        <v>2650</v>
      </c>
      <c r="B1977" t="s">
        <v>2186</v>
      </c>
      <c r="C1977" s="71">
        <v>46289</v>
      </c>
      <c r="D1977" t="s">
        <v>212</v>
      </c>
      <c r="E1977" t="s">
        <v>26</v>
      </c>
      <c r="F1977">
        <v>2027</v>
      </c>
      <c r="G1977">
        <v>4</v>
      </c>
      <c r="H1977" t="s">
        <v>1857</v>
      </c>
      <c r="I1977">
        <v>2.7</v>
      </c>
      <c r="J1977" t="s">
        <v>2614</v>
      </c>
    </row>
    <row r="1978" spans="1:10">
      <c r="A1978" t="s">
        <v>2651</v>
      </c>
      <c r="B1978" t="s">
        <v>2186</v>
      </c>
      <c r="C1978" s="71">
        <v>46289</v>
      </c>
      <c r="D1978" t="s">
        <v>22</v>
      </c>
      <c r="E1978" t="s">
        <v>22</v>
      </c>
      <c r="F1978">
        <v>2028</v>
      </c>
      <c r="G1978">
        <v>1</v>
      </c>
      <c r="H1978" t="s">
        <v>1954</v>
      </c>
      <c r="I1978">
        <v>3</v>
      </c>
      <c r="J1978" t="s">
        <v>2614</v>
      </c>
    </row>
    <row r="1979" spans="1:10">
      <c r="A1979" t="s">
        <v>2652</v>
      </c>
      <c r="B1979" t="s">
        <v>2186</v>
      </c>
      <c r="C1979" s="71">
        <v>46289</v>
      </c>
      <c r="D1979" t="s">
        <v>134</v>
      </c>
      <c r="E1979" t="s">
        <v>24</v>
      </c>
      <c r="F1979">
        <v>2028</v>
      </c>
      <c r="G1979">
        <v>1</v>
      </c>
      <c r="H1979" t="s">
        <v>1954</v>
      </c>
      <c r="I1979">
        <v>3</v>
      </c>
      <c r="J1979" t="s">
        <v>2614</v>
      </c>
    </row>
    <row r="1980" spans="1:10">
      <c r="A1980" t="s">
        <v>2653</v>
      </c>
      <c r="B1980" t="s">
        <v>2186</v>
      </c>
      <c r="C1980" s="71">
        <v>46289</v>
      </c>
      <c r="D1980" t="s">
        <v>210</v>
      </c>
      <c r="E1980" t="s">
        <v>25</v>
      </c>
      <c r="F1980">
        <v>2028</v>
      </c>
      <c r="G1980">
        <v>1</v>
      </c>
      <c r="H1980" t="s">
        <v>1954</v>
      </c>
      <c r="I1980">
        <v>3.4</v>
      </c>
      <c r="J1980" t="s">
        <v>2614</v>
      </c>
    </row>
    <row r="1981" spans="1:10">
      <c r="A1981" t="s">
        <v>2654</v>
      </c>
      <c r="B1981" t="s">
        <v>2186</v>
      </c>
      <c r="C1981" s="71">
        <v>46289</v>
      </c>
      <c r="D1981" t="s">
        <v>212</v>
      </c>
      <c r="E1981" t="s">
        <v>26</v>
      </c>
      <c r="F1981">
        <v>2028</v>
      </c>
      <c r="G1981">
        <v>1</v>
      </c>
      <c r="H1981" t="s">
        <v>1954</v>
      </c>
      <c r="I1981">
        <v>3.4</v>
      </c>
      <c r="J1981" t="s">
        <v>2614</v>
      </c>
    </row>
    <row r="1982" spans="1:10">
      <c r="A1982" t="s">
        <v>2655</v>
      </c>
      <c r="B1982" t="s">
        <v>2186</v>
      </c>
      <c r="C1982" s="71">
        <v>46289</v>
      </c>
      <c r="D1982" t="s">
        <v>22</v>
      </c>
      <c r="E1982" t="s">
        <v>22</v>
      </c>
      <c r="F1982">
        <v>2028</v>
      </c>
      <c r="G1982">
        <v>2</v>
      </c>
      <c r="H1982" t="s">
        <v>2051</v>
      </c>
      <c r="I1982">
        <v>3</v>
      </c>
      <c r="J1982" t="s">
        <v>2614</v>
      </c>
    </row>
    <row r="1983" spans="1:10">
      <c r="A1983" t="s">
        <v>2656</v>
      </c>
      <c r="B1983" t="s">
        <v>2186</v>
      </c>
      <c r="C1983" s="71">
        <v>46289</v>
      </c>
      <c r="D1983" t="s">
        <v>134</v>
      </c>
      <c r="E1983" t="s">
        <v>24</v>
      </c>
      <c r="F1983">
        <v>2028</v>
      </c>
      <c r="G1983">
        <v>2</v>
      </c>
      <c r="H1983" t="s">
        <v>2051</v>
      </c>
      <c r="I1983">
        <v>3</v>
      </c>
      <c r="J1983" t="s">
        <v>2614</v>
      </c>
    </row>
    <row r="1984" spans="1:10">
      <c r="A1984" t="s">
        <v>2657</v>
      </c>
      <c r="B1984" t="s">
        <v>2186</v>
      </c>
      <c r="C1984" s="71">
        <v>46289</v>
      </c>
      <c r="D1984" t="s">
        <v>210</v>
      </c>
      <c r="E1984" t="s">
        <v>25</v>
      </c>
      <c r="F1984">
        <v>2028</v>
      </c>
      <c r="G1984">
        <v>2</v>
      </c>
      <c r="H1984" t="s">
        <v>2051</v>
      </c>
      <c r="I1984">
        <v>3</v>
      </c>
      <c r="J1984" t="s">
        <v>2614</v>
      </c>
    </row>
    <row r="1985" spans="1:10">
      <c r="A1985" t="s">
        <v>2658</v>
      </c>
      <c r="B1985" t="s">
        <v>2186</v>
      </c>
      <c r="C1985" s="71">
        <v>46289</v>
      </c>
      <c r="D1985" t="s">
        <v>212</v>
      </c>
      <c r="E1985" t="s">
        <v>26</v>
      </c>
      <c r="F1985">
        <v>2028</v>
      </c>
      <c r="G1985">
        <v>2</v>
      </c>
      <c r="H1985" t="s">
        <v>2051</v>
      </c>
      <c r="I1985">
        <v>3.1</v>
      </c>
      <c r="J1985" t="s">
        <v>2614</v>
      </c>
    </row>
    <row r="1986" spans="1:10">
      <c r="A1986" t="s">
        <v>2659</v>
      </c>
      <c r="B1986" t="s">
        <v>2186</v>
      </c>
      <c r="C1986" s="71">
        <v>46289</v>
      </c>
      <c r="D1986" t="s">
        <v>22</v>
      </c>
      <c r="E1986" t="s">
        <v>22</v>
      </c>
      <c r="F1986">
        <v>2028</v>
      </c>
      <c r="G1986">
        <v>3</v>
      </c>
      <c r="H1986" t="s">
        <v>2660</v>
      </c>
      <c r="I1986">
        <v>3</v>
      </c>
      <c r="J1986" t="s">
        <v>2614</v>
      </c>
    </row>
    <row r="1987" spans="1:10">
      <c r="A1987" t="s">
        <v>2661</v>
      </c>
      <c r="B1987" t="s">
        <v>2186</v>
      </c>
      <c r="C1987" s="71">
        <v>46289</v>
      </c>
      <c r="D1987" t="s">
        <v>134</v>
      </c>
      <c r="E1987" t="s">
        <v>24</v>
      </c>
      <c r="F1987">
        <v>2028</v>
      </c>
      <c r="G1987">
        <v>3</v>
      </c>
      <c r="H1987" t="s">
        <v>2660</v>
      </c>
      <c r="I1987">
        <v>3</v>
      </c>
      <c r="J1987" t="s">
        <v>2614</v>
      </c>
    </row>
    <row r="1988" spans="1:10">
      <c r="A1988" t="s">
        <v>2662</v>
      </c>
      <c r="B1988" t="s">
        <v>2186</v>
      </c>
      <c r="C1988" s="71">
        <v>46289</v>
      </c>
      <c r="D1988" t="s">
        <v>210</v>
      </c>
      <c r="E1988" t="s">
        <v>25</v>
      </c>
      <c r="F1988">
        <v>2028</v>
      </c>
      <c r="G1988">
        <v>3</v>
      </c>
      <c r="H1988" t="s">
        <v>2660</v>
      </c>
      <c r="I1988">
        <v>2.7</v>
      </c>
      <c r="J1988" t="s">
        <v>2614</v>
      </c>
    </row>
    <row r="1989" spans="1:10">
      <c r="A1989" t="s">
        <v>2663</v>
      </c>
      <c r="B1989" t="s">
        <v>2186</v>
      </c>
      <c r="C1989" s="71">
        <v>46289</v>
      </c>
      <c r="D1989" t="s">
        <v>212</v>
      </c>
      <c r="E1989" t="s">
        <v>26</v>
      </c>
      <c r="F1989">
        <v>2028</v>
      </c>
      <c r="G1989">
        <v>3</v>
      </c>
      <c r="H1989" t="s">
        <v>2660</v>
      </c>
      <c r="I1989">
        <v>3</v>
      </c>
      <c r="J1989" t="s">
        <v>2614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961"/>
  <sheetViews>
    <sheetView showGridLines="0" workbookViewId="0"/>
  </sheetViews>
  <sheetFormatPr defaultRowHeight="13.8"/>
  <cols>
    <col min="1" max="2" width="22" customWidth="1"/>
    <col min="3" max="6" width="18" customWidth="1"/>
    <col min="7" max="7" width="45" customWidth="1"/>
    <col min="8" max="9" width="58" customWidth="1"/>
  </cols>
  <sheetData>
    <row r="1" spans="1:9" ht="31.95" customHeight="1">
      <c r="A1" s="10" t="s">
        <v>2103</v>
      </c>
      <c r="B1" s="10" t="s">
        <v>2104</v>
      </c>
      <c r="C1" s="10" t="s">
        <v>125</v>
      </c>
      <c r="D1" s="10" t="s">
        <v>129</v>
      </c>
      <c r="E1" s="10" t="s">
        <v>2105</v>
      </c>
      <c r="F1" s="10" t="s">
        <v>2106</v>
      </c>
      <c r="G1" s="10" t="s">
        <v>2107</v>
      </c>
      <c r="H1" s="10" t="s">
        <v>2108</v>
      </c>
      <c r="I1" s="10" t="s">
        <v>34</v>
      </c>
    </row>
    <row r="2" spans="1:9">
      <c r="A2" t="s">
        <v>39</v>
      </c>
      <c r="B2" t="s">
        <v>2109</v>
      </c>
      <c r="C2" t="s">
        <v>22</v>
      </c>
      <c r="D2" t="s">
        <v>132</v>
      </c>
      <c r="E2" s="2">
        <v>4</v>
      </c>
      <c r="F2" s="2"/>
      <c r="G2" t="s">
        <v>2110</v>
      </c>
      <c r="H2" t="s">
        <v>2111</v>
      </c>
      <c r="I2" t="s">
        <v>42</v>
      </c>
    </row>
    <row r="3" spans="1:9">
      <c r="A3" t="s">
        <v>39</v>
      </c>
      <c r="B3" t="s">
        <v>2109</v>
      </c>
      <c r="C3" t="s">
        <v>134</v>
      </c>
      <c r="D3" t="s">
        <v>132</v>
      </c>
      <c r="E3" s="2">
        <v>3.9</v>
      </c>
      <c r="F3" s="2"/>
      <c r="G3" t="s">
        <v>2110</v>
      </c>
      <c r="H3" t="s">
        <v>2111</v>
      </c>
      <c r="I3" t="s">
        <v>42</v>
      </c>
    </row>
    <row r="4" spans="1:9">
      <c r="A4" t="s">
        <v>39</v>
      </c>
      <c r="B4" t="s">
        <v>2109</v>
      </c>
      <c r="C4" t="s">
        <v>22</v>
      </c>
      <c r="D4" t="s">
        <v>136</v>
      </c>
      <c r="E4" s="2">
        <v>5.8</v>
      </c>
      <c r="F4" s="2"/>
      <c r="G4" t="s">
        <v>2110</v>
      </c>
      <c r="H4" t="s">
        <v>2111</v>
      </c>
      <c r="I4" t="s">
        <v>42</v>
      </c>
    </row>
    <row r="5" spans="1:9">
      <c r="A5" t="s">
        <v>39</v>
      </c>
      <c r="B5" t="s">
        <v>2109</v>
      </c>
      <c r="C5" t="s">
        <v>134</v>
      </c>
      <c r="D5" t="s">
        <v>136</v>
      </c>
      <c r="E5" s="2">
        <v>4.3</v>
      </c>
      <c r="F5" s="2"/>
      <c r="G5" t="s">
        <v>2110</v>
      </c>
      <c r="H5" t="s">
        <v>2111</v>
      </c>
      <c r="I5" t="s">
        <v>42</v>
      </c>
    </row>
    <row r="6" spans="1:9">
      <c r="A6" t="s">
        <v>39</v>
      </c>
      <c r="B6" t="s">
        <v>2109</v>
      </c>
      <c r="C6" t="s">
        <v>22</v>
      </c>
      <c r="D6" t="s">
        <v>139</v>
      </c>
      <c r="E6" s="2">
        <v>4.5</v>
      </c>
      <c r="F6" s="2"/>
      <c r="G6" t="s">
        <v>2110</v>
      </c>
      <c r="H6" t="s">
        <v>2111</v>
      </c>
      <c r="I6" t="s">
        <v>42</v>
      </c>
    </row>
    <row r="7" spans="1:9">
      <c r="A7" t="s">
        <v>39</v>
      </c>
      <c r="B7" t="s">
        <v>2109</v>
      </c>
      <c r="C7" t="s">
        <v>134</v>
      </c>
      <c r="D7" t="s">
        <v>139</v>
      </c>
      <c r="E7" s="2">
        <v>3.9</v>
      </c>
      <c r="F7" s="2"/>
      <c r="G7" t="s">
        <v>2110</v>
      </c>
      <c r="H7" t="s">
        <v>2111</v>
      </c>
      <c r="I7" t="s">
        <v>42</v>
      </c>
    </row>
    <row r="8" spans="1:9">
      <c r="A8" t="s">
        <v>39</v>
      </c>
      <c r="B8" t="s">
        <v>2109</v>
      </c>
      <c r="C8" t="s">
        <v>22</v>
      </c>
      <c r="D8" t="s">
        <v>142</v>
      </c>
      <c r="E8" s="2">
        <v>4.8</v>
      </c>
      <c r="F8" s="2"/>
      <c r="G8" t="s">
        <v>2110</v>
      </c>
      <c r="H8" t="s">
        <v>2111</v>
      </c>
      <c r="I8" t="s">
        <v>42</v>
      </c>
    </row>
    <row r="9" spans="1:9">
      <c r="A9" t="s">
        <v>39</v>
      </c>
      <c r="B9" t="s">
        <v>2109</v>
      </c>
      <c r="C9" t="s">
        <v>134</v>
      </c>
      <c r="D9" t="s">
        <v>142</v>
      </c>
      <c r="E9" s="2">
        <v>3.9</v>
      </c>
      <c r="F9" s="2"/>
      <c r="G9" t="s">
        <v>2110</v>
      </c>
      <c r="H9" t="s">
        <v>2111</v>
      </c>
      <c r="I9" t="s">
        <v>42</v>
      </c>
    </row>
    <row r="10" spans="1:9">
      <c r="A10" t="s">
        <v>39</v>
      </c>
      <c r="B10" t="s">
        <v>2109</v>
      </c>
      <c r="C10" t="s">
        <v>22</v>
      </c>
      <c r="D10" t="s">
        <v>145</v>
      </c>
      <c r="E10" s="2">
        <v>4.3</v>
      </c>
      <c r="F10" s="2"/>
      <c r="G10" t="s">
        <v>2110</v>
      </c>
      <c r="H10" t="s">
        <v>2111</v>
      </c>
      <c r="I10" t="s">
        <v>42</v>
      </c>
    </row>
    <row r="11" spans="1:9">
      <c r="A11" t="s">
        <v>39</v>
      </c>
      <c r="B11" t="s">
        <v>2109</v>
      </c>
      <c r="C11" t="s">
        <v>134</v>
      </c>
      <c r="D11" t="s">
        <v>145</v>
      </c>
      <c r="E11" s="2">
        <v>3.9</v>
      </c>
      <c r="F11" s="2"/>
      <c r="G11" t="s">
        <v>2110</v>
      </c>
      <c r="H11" t="s">
        <v>2111</v>
      </c>
      <c r="I11" t="s">
        <v>42</v>
      </c>
    </row>
    <row r="12" spans="1:9">
      <c r="A12" t="s">
        <v>39</v>
      </c>
      <c r="B12" t="s">
        <v>2109</v>
      </c>
      <c r="C12" t="s">
        <v>22</v>
      </c>
      <c r="D12" t="s">
        <v>148</v>
      </c>
      <c r="E12" s="2">
        <v>3</v>
      </c>
      <c r="F12" s="2"/>
      <c r="G12" t="s">
        <v>2110</v>
      </c>
      <c r="H12" t="s">
        <v>2111</v>
      </c>
      <c r="I12" t="s">
        <v>42</v>
      </c>
    </row>
    <row r="13" spans="1:9">
      <c r="A13" t="s">
        <v>39</v>
      </c>
      <c r="B13" t="s">
        <v>2109</v>
      </c>
      <c r="C13" t="s">
        <v>134</v>
      </c>
      <c r="D13" t="s">
        <v>148</v>
      </c>
      <c r="E13" s="2">
        <v>3.3</v>
      </c>
      <c r="F13" s="2"/>
      <c r="G13" t="s">
        <v>2110</v>
      </c>
      <c r="H13" t="s">
        <v>2111</v>
      </c>
      <c r="I13" t="s">
        <v>42</v>
      </c>
    </row>
    <row r="14" spans="1:9">
      <c r="A14" t="s">
        <v>39</v>
      </c>
      <c r="B14" t="s">
        <v>2109</v>
      </c>
      <c r="C14" t="s">
        <v>22</v>
      </c>
      <c r="D14" t="s">
        <v>151</v>
      </c>
      <c r="E14" s="2">
        <v>3.1</v>
      </c>
      <c r="F14" s="2"/>
      <c r="G14" t="s">
        <v>2110</v>
      </c>
      <c r="H14" t="s">
        <v>2111</v>
      </c>
      <c r="I14" t="s">
        <v>42</v>
      </c>
    </row>
    <row r="15" spans="1:9">
      <c r="A15" t="s">
        <v>39</v>
      </c>
      <c r="B15" t="s">
        <v>2109</v>
      </c>
      <c r="C15" t="s">
        <v>134</v>
      </c>
      <c r="D15" t="s">
        <v>151</v>
      </c>
      <c r="E15" s="2">
        <v>3.2</v>
      </c>
      <c r="F15" s="2"/>
      <c r="G15" t="s">
        <v>2110</v>
      </c>
      <c r="H15" t="s">
        <v>2111</v>
      </c>
      <c r="I15" t="s">
        <v>42</v>
      </c>
    </row>
    <row r="16" spans="1:9">
      <c r="A16" t="s">
        <v>39</v>
      </c>
      <c r="B16" t="s">
        <v>2109</v>
      </c>
      <c r="C16" t="s">
        <v>22</v>
      </c>
      <c r="D16" t="s">
        <v>154</v>
      </c>
      <c r="E16" s="2">
        <v>3.1</v>
      </c>
      <c r="F16" s="2"/>
      <c r="G16" t="s">
        <v>2110</v>
      </c>
      <c r="H16" t="s">
        <v>2111</v>
      </c>
      <c r="I16" t="s">
        <v>42</v>
      </c>
    </row>
    <row r="17" spans="1:9">
      <c r="A17" t="s">
        <v>39</v>
      </c>
      <c r="B17" t="s">
        <v>2109</v>
      </c>
      <c r="C17" t="s">
        <v>134</v>
      </c>
      <c r="D17" t="s">
        <v>154</v>
      </c>
      <c r="E17" s="2">
        <v>3.2</v>
      </c>
      <c r="F17" s="2"/>
      <c r="G17" t="s">
        <v>2110</v>
      </c>
      <c r="H17" t="s">
        <v>2111</v>
      </c>
      <c r="I17" t="s">
        <v>42</v>
      </c>
    </row>
    <row r="18" spans="1:9">
      <c r="A18" t="s">
        <v>39</v>
      </c>
      <c r="B18" t="s">
        <v>2109</v>
      </c>
      <c r="C18" t="s">
        <v>22</v>
      </c>
      <c r="D18" t="s">
        <v>157</v>
      </c>
      <c r="E18" s="2">
        <v>2.9</v>
      </c>
      <c r="F18" s="2"/>
      <c r="G18" t="s">
        <v>2110</v>
      </c>
      <c r="H18" t="s">
        <v>2111</v>
      </c>
      <c r="I18" t="s">
        <v>42</v>
      </c>
    </row>
    <row r="19" spans="1:9">
      <c r="A19" t="s">
        <v>39</v>
      </c>
      <c r="B19" t="s">
        <v>2109</v>
      </c>
      <c r="C19" t="s">
        <v>134</v>
      </c>
      <c r="D19" t="s">
        <v>157</v>
      </c>
      <c r="E19" s="2">
        <v>3.2</v>
      </c>
      <c r="F19" s="2"/>
      <c r="G19" t="s">
        <v>2110</v>
      </c>
      <c r="H19" t="s">
        <v>2111</v>
      </c>
      <c r="I19" t="s">
        <v>42</v>
      </c>
    </row>
    <row r="20" spans="1:9">
      <c r="A20" t="s">
        <v>43</v>
      </c>
      <c r="B20" t="s">
        <v>2112</v>
      </c>
      <c r="C20" t="s">
        <v>22</v>
      </c>
      <c r="D20" t="s">
        <v>132</v>
      </c>
      <c r="E20" s="2">
        <v>4</v>
      </c>
      <c r="F20" s="2"/>
      <c r="G20" t="s">
        <v>2110</v>
      </c>
      <c r="H20" t="s">
        <v>2111</v>
      </c>
      <c r="I20" t="s">
        <v>44</v>
      </c>
    </row>
    <row r="21" spans="1:9">
      <c r="A21" t="s">
        <v>43</v>
      </c>
      <c r="B21" t="s">
        <v>2112</v>
      </c>
      <c r="C21" t="s">
        <v>134</v>
      </c>
      <c r="D21" t="s">
        <v>132</v>
      </c>
      <c r="E21" s="2">
        <v>3.9</v>
      </c>
      <c r="F21" s="2"/>
      <c r="G21" t="s">
        <v>2110</v>
      </c>
      <c r="H21" t="s">
        <v>2111</v>
      </c>
      <c r="I21" t="s">
        <v>44</v>
      </c>
    </row>
    <row r="22" spans="1:9">
      <c r="A22" t="s">
        <v>43</v>
      </c>
      <c r="B22" t="s">
        <v>2112</v>
      </c>
      <c r="C22" t="s">
        <v>22</v>
      </c>
      <c r="D22" t="s">
        <v>136</v>
      </c>
      <c r="E22" s="2">
        <v>6</v>
      </c>
      <c r="F22" s="2"/>
      <c r="G22" t="s">
        <v>2110</v>
      </c>
      <c r="H22" t="s">
        <v>2111</v>
      </c>
      <c r="I22" t="s">
        <v>44</v>
      </c>
    </row>
    <row r="23" spans="1:9">
      <c r="A23" t="s">
        <v>43</v>
      </c>
      <c r="B23" t="s">
        <v>2112</v>
      </c>
      <c r="C23" t="s">
        <v>134</v>
      </c>
      <c r="D23" t="s">
        <v>136</v>
      </c>
      <c r="E23" s="2">
        <v>4.4000000000000004</v>
      </c>
      <c r="F23" s="2"/>
      <c r="G23" t="s">
        <v>2110</v>
      </c>
      <c r="H23" t="s">
        <v>2111</v>
      </c>
      <c r="I23" t="s">
        <v>44</v>
      </c>
    </row>
    <row r="24" spans="1:9">
      <c r="A24" t="s">
        <v>43</v>
      </c>
      <c r="B24" t="s">
        <v>2112</v>
      </c>
      <c r="C24" t="s">
        <v>22</v>
      </c>
      <c r="D24" t="s">
        <v>139</v>
      </c>
      <c r="E24" s="2">
        <v>5.6</v>
      </c>
      <c r="F24" s="2"/>
      <c r="G24" t="s">
        <v>2110</v>
      </c>
      <c r="H24" t="s">
        <v>2111</v>
      </c>
      <c r="I24" t="s">
        <v>44</v>
      </c>
    </row>
    <row r="25" spans="1:9">
      <c r="A25" t="s">
        <v>43</v>
      </c>
      <c r="B25" t="s">
        <v>2112</v>
      </c>
      <c r="C25" t="s">
        <v>134</v>
      </c>
      <c r="D25" t="s">
        <v>139</v>
      </c>
      <c r="E25" s="2">
        <v>4.7</v>
      </c>
      <c r="F25" s="2"/>
      <c r="G25" t="s">
        <v>2110</v>
      </c>
      <c r="H25" t="s">
        <v>2111</v>
      </c>
      <c r="I25" t="s">
        <v>44</v>
      </c>
    </row>
    <row r="26" spans="1:9">
      <c r="A26" t="s">
        <v>43</v>
      </c>
      <c r="B26" t="s">
        <v>2112</v>
      </c>
      <c r="C26" t="s">
        <v>22</v>
      </c>
      <c r="D26" t="s">
        <v>142</v>
      </c>
      <c r="E26" s="2">
        <v>5.7</v>
      </c>
      <c r="F26" s="2"/>
      <c r="G26" t="s">
        <v>2110</v>
      </c>
      <c r="H26" t="s">
        <v>2111</v>
      </c>
      <c r="I26" t="s">
        <v>44</v>
      </c>
    </row>
    <row r="27" spans="1:9">
      <c r="A27" t="s">
        <v>43</v>
      </c>
      <c r="B27" t="s">
        <v>2112</v>
      </c>
      <c r="C27" t="s">
        <v>134</v>
      </c>
      <c r="D27" t="s">
        <v>142</v>
      </c>
      <c r="E27" s="2">
        <v>5</v>
      </c>
      <c r="F27" s="2"/>
      <c r="G27" t="s">
        <v>2110</v>
      </c>
      <c r="H27" t="s">
        <v>2111</v>
      </c>
      <c r="I27" t="s">
        <v>44</v>
      </c>
    </row>
    <row r="28" spans="1:9">
      <c r="A28" t="s">
        <v>43</v>
      </c>
      <c r="B28" t="s">
        <v>2112</v>
      </c>
      <c r="C28" t="s">
        <v>22</v>
      </c>
      <c r="D28" t="s">
        <v>145</v>
      </c>
      <c r="E28" s="2">
        <v>5.2</v>
      </c>
      <c r="F28" s="2"/>
      <c r="G28" t="s">
        <v>2110</v>
      </c>
      <c r="H28" t="s">
        <v>2111</v>
      </c>
      <c r="I28" t="s">
        <v>44</v>
      </c>
    </row>
    <row r="29" spans="1:9">
      <c r="A29" t="s">
        <v>43</v>
      </c>
      <c r="B29" t="s">
        <v>2112</v>
      </c>
      <c r="C29" t="s">
        <v>134</v>
      </c>
      <c r="D29" t="s">
        <v>145</v>
      </c>
      <c r="E29" s="2">
        <v>5.0999999999999996</v>
      </c>
      <c r="F29" s="2"/>
      <c r="G29" t="s">
        <v>2110</v>
      </c>
      <c r="H29" t="s">
        <v>2111</v>
      </c>
      <c r="I29" t="s">
        <v>44</v>
      </c>
    </row>
    <row r="30" spans="1:9">
      <c r="A30" t="s">
        <v>43</v>
      </c>
      <c r="B30" t="s">
        <v>2112</v>
      </c>
      <c r="C30" t="s">
        <v>22</v>
      </c>
      <c r="D30" t="s">
        <v>148</v>
      </c>
      <c r="E30" s="2">
        <v>3.9</v>
      </c>
      <c r="F30" s="2"/>
      <c r="G30" t="s">
        <v>2110</v>
      </c>
      <c r="H30" t="s">
        <v>2111</v>
      </c>
      <c r="I30" t="s">
        <v>44</v>
      </c>
    </row>
    <row r="31" spans="1:9">
      <c r="A31" t="s">
        <v>43</v>
      </c>
      <c r="B31" t="s">
        <v>2112</v>
      </c>
      <c r="C31" t="s">
        <v>134</v>
      </c>
      <c r="D31" t="s">
        <v>148</v>
      </c>
      <c r="E31" s="2">
        <v>4.4000000000000004</v>
      </c>
      <c r="F31" s="2"/>
      <c r="G31" t="s">
        <v>2110</v>
      </c>
      <c r="H31" t="s">
        <v>2111</v>
      </c>
      <c r="I31" t="s">
        <v>44</v>
      </c>
    </row>
    <row r="32" spans="1:9">
      <c r="A32" t="s">
        <v>43</v>
      </c>
      <c r="B32" t="s">
        <v>2112</v>
      </c>
      <c r="C32" t="s">
        <v>22</v>
      </c>
      <c r="D32" t="s">
        <v>151</v>
      </c>
      <c r="E32" s="2">
        <v>3.2</v>
      </c>
      <c r="F32" s="2"/>
      <c r="G32" t="s">
        <v>2110</v>
      </c>
      <c r="H32" t="s">
        <v>2111</v>
      </c>
      <c r="I32" t="s">
        <v>44</v>
      </c>
    </row>
    <row r="33" spans="1:9">
      <c r="A33" t="s">
        <v>43</v>
      </c>
      <c r="B33" t="s">
        <v>2112</v>
      </c>
      <c r="C33" t="s">
        <v>134</v>
      </c>
      <c r="D33" t="s">
        <v>151</v>
      </c>
      <c r="E33" s="2">
        <v>3.6</v>
      </c>
      <c r="F33" s="2"/>
      <c r="G33" t="s">
        <v>2110</v>
      </c>
      <c r="H33" t="s">
        <v>2111</v>
      </c>
      <c r="I33" t="s">
        <v>44</v>
      </c>
    </row>
    <row r="34" spans="1:9">
      <c r="A34" t="s">
        <v>43</v>
      </c>
      <c r="B34" t="s">
        <v>2112</v>
      </c>
      <c r="C34" t="s">
        <v>22</v>
      </c>
      <c r="D34" t="s">
        <v>154</v>
      </c>
      <c r="E34" s="2">
        <v>3.4</v>
      </c>
      <c r="F34" s="2"/>
      <c r="G34" t="s">
        <v>2110</v>
      </c>
      <c r="H34" t="s">
        <v>2111</v>
      </c>
      <c r="I34" t="s">
        <v>44</v>
      </c>
    </row>
    <row r="35" spans="1:9">
      <c r="A35" t="s">
        <v>43</v>
      </c>
      <c r="B35" t="s">
        <v>2112</v>
      </c>
      <c r="C35" t="s">
        <v>134</v>
      </c>
      <c r="D35" t="s">
        <v>154</v>
      </c>
      <c r="E35" s="2">
        <v>3.3</v>
      </c>
      <c r="F35" s="2"/>
      <c r="G35" t="s">
        <v>2110</v>
      </c>
      <c r="H35" t="s">
        <v>2111</v>
      </c>
      <c r="I35" t="s">
        <v>44</v>
      </c>
    </row>
    <row r="36" spans="1:9">
      <c r="A36" t="s">
        <v>43</v>
      </c>
      <c r="B36" t="s">
        <v>2112</v>
      </c>
      <c r="C36" t="s">
        <v>22</v>
      </c>
      <c r="D36" t="s">
        <v>157</v>
      </c>
      <c r="E36" s="2">
        <v>3.1</v>
      </c>
      <c r="F36" s="2"/>
      <c r="G36" t="s">
        <v>2110</v>
      </c>
      <c r="H36" t="s">
        <v>2111</v>
      </c>
      <c r="I36" t="s">
        <v>44</v>
      </c>
    </row>
    <row r="37" spans="1:9">
      <c r="A37" t="s">
        <v>43</v>
      </c>
      <c r="B37" t="s">
        <v>2112</v>
      </c>
      <c r="C37" t="s">
        <v>134</v>
      </c>
      <c r="D37" t="s">
        <v>157</v>
      </c>
      <c r="E37" s="2">
        <v>3.1</v>
      </c>
      <c r="F37" s="2"/>
      <c r="G37" t="s">
        <v>2110</v>
      </c>
      <c r="H37" t="s">
        <v>2111</v>
      </c>
      <c r="I37" t="s">
        <v>44</v>
      </c>
    </row>
    <row r="38" spans="1:9">
      <c r="A38" t="s">
        <v>43</v>
      </c>
      <c r="B38" t="s">
        <v>2112</v>
      </c>
      <c r="C38" t="s">
        <v>22</v>
      </c>
      <c r="D38" t="s">
        <v>160</v>
      </c>
      <c r="E38" s="2">
        <v>3.1</v>
      </c>
      <c r="F38" s="2"/>
      <c r="G38" t="s">
        <v>2110</v>
      </c>
      <c r="H38" t="s">
        <v>2111</v>
      </c>
      <c r="I38" t="s">
        <v>44</v>
      </c>
    </row>
    <row r="39" spans="1:9">
      <c r="A39" t="s">
        <v>43</v>
      </c>
      <c r="B39" t="s">
        <v>2112</v>
      </c>
      <c r="C39" t="s">
        <v>134</v>
      </c>
      <c r="D39" t="s">
        <v>160</v>
      </c>
      <c r="E39" s="2">
        <v>3</v>
      </c>
      <c r="F39" s="2"/>
      <c r="G39" t="s">
        <v>2110</v>
      </c>
      <c r="H39" t="s">
        <v>2111</v>
      </c>
      <c r="I39" t="s">
        <v>44</v>
      </c>
    </row>
    <row r="40" spans="1:9">
      <c r="A40" t="s">
        <v>45</v>
      </c>
      <c r="B40" t="s">
        <v>43</v>
      </c>
      <c r="C40" t="s">
        <v>22</v>
      </c>
      <c r="D40" t="s">
        <v>132</v>
      </c>
      <c r="E40" s="2">
        <v>4</v>
      </c>
      <c r="F40" s="2">
        <v>4</v>
      </c>
      <c r="G40" t="s">
        <v>2113</v>
      </c>
      <c r="I40" t="s">
        <v>46</v>
      </c>
    </row>
    <row r="41" spans="1:9">
      <c r="A41" t="s">
        <v>45</v>
      </c>
      <c r="B41" t="s">
        <v>43</v>
      </c>
      <c r="C41" t="s">
        <v>134</v>
      </c>
      <c r="D41" t="s">
        <v>132</v>
      </c>
      <c r="E41" s="2">
        <v>3.9</v>
      </c>
      <c r="F41" s="2">
        <v>3.9</v>
      </c>
      <c r="G41" t="s">
        <v>2113</v>
      </c>
      <c r="I41" t="s">
        <v>46</v>
      </c>
    </row>
    <row r="42" spans="1:9">
      <c r="A42" t="s">
        <v>45</v>
      </c>
      <c r="B42" t="s">
        <v>43</v>
      </c>
      <c r="C42" t="s">
        <v>22</v>
      </c>
      <c r="D42" t="s">
        <v>136</v>
      </c>
      <c r="E42" s="2">
        <v>6</v>
      </c>
      <c r="F42" s="2">
        <v>6</v>
      </c>
      <c r="G42" t="s">
        <v>2113</v>
      </c>
      <c r="I42" t="s">
        <v>46</v>
      </c>
    </row>
    <row r="43" spans="1:9">
      <c r="A43" t="s">
        <v>45</v>
      </c>
      <c r="B43" t="s">
        <v>43</v>
      </c>
      <c r="C43" t="s">
        <v>134</v>
      </c>
      <c r="D43" t="s">
        <v>136</v>
      </c>
      <c r="E43" s="2">
        <v>4.4000000000000004</v>
      </c>
      <c r="F43" s="2">
        <v>4.4000000000000004</v>
      </c>
      <c r="G43" t="s">
        <v>2113</v>
      </c>
      <c r="I43" t="s">
        <v>46</v>
      </c>
    </row>
    <row r="44" spans="1:9">
      <c r="A44" t="s">
        <v>45</v>
      </c>
      <c r="B44" t="s">
        <v>43</v>
      </c>
      <c r="C44" t="s">
        <v>22</v>
      </c>
      <c r="D44" t="s">
        <v>139</v>
      </c>
      <c r="E44" s="2">
        <v>5.8</v>
      </c>
      <c r="F44" s="2">
        <v>5.8</v>
      </c>
      <c r="G44" t="s">
        <v>2113</v>
      </c>
      <c r="I44" t="s">
        <v>46</v>
      </c>
    </row>
    <row r="45" spans="1:9">
      <c r="A45" t="s">
        <v>45</v>
      </c>
      <c r="B45" t="s">
        <v>43</v>
      </c>
      <c r="C45" t="s">
        <v>134</v>
      </c>
      <c r="D45" t="s">
        <v>139</v>
      </c>
      <c r="E45" s="2">
        <v>4.8</v>
      </c>
      <c r="F45" s="2">
        <v>4.8</v>
      </c>
      <c r="G45" t="s">
        <v>2113</v>
      </c>
      <c r="I45" t="s">
        <v>46</v>
      </c>
    </row>
    <row r="46" spans="1:9">
      <c r="A46" t="s">
        <v>45</v>
      </c>
      <c r="B46" t="s">
        <v>43</v>
      </c>
      <c r="C46" t="s">
        <v>22</v>
      </c>
      <c r="D46" t="s">
        <v>142</v>
      </c>
      <c r="E46" s="2">
        <v>6.2</v>
      </c>
      <c r="F46" s="2">
        <v>6.2</v>
      </c>
      <c r="G46" t="s">
        <v>2113</v>
      </c>
      <c r="I46" t="s">
        <v>46</v>
      </c>
    </row>
    <row r="47" spans="1:9">
      <c r="A47" t="s">
        <v>45</v>
      </c>
      <c r="B47" t="s">
        <v>43</v>
      </c>
      <c r="C47" t="s">
        <v>134</v>
      </c>
      <c r="D47" t="s">
        <v>142</v>
      </c>
      <c r="E47" s="2">
        <v>5.3</v>
      </c>
      <c r="F47" s="2">
        <v>5.3</v>
      </c>
      <c r="G47" t="s">
        <v>2113</v>
      </c>
      <c r="I47" t="s">
        <v>46</v>
      </c>
    </row>
    <row r="48" spans="1:9">
      <c r="A48" t="s">
        <v>45</v>
      </c>
      <c r="B48" t="s">
        <v>43</v>
      </c>
      <c r="C48" t="s">
        <v>22</v>
      </c>
      <c r="D48" t="s">
        <v>145</v>
      </c>
      <c r="E48" s="2">
        <v>5.6</v>
      </c>
      <c r="F48" s="2">
        <v>5.6</v>
      </c>
      <c r="G48" t="s">
        <v>2113</v>
      </c>
      <c r="I48" t="s">
        <v>46</v>
      </c>
    </row>
    <row r="49" spans="1:9">
      <c r="A49" t="s">
        <v>45</v>
      </c>
      <c r="B49" t="s">
        <v>43</v>
      </c>
      <c r="C49" t="s">
        <v>134</v>
      </c>
      <c r="D49" t="s">
        <v>145</v>
      </c>
      <c r="E49" s="2">
        <v>5.4</v>
      </c>
      <c r="F49" s="2">
        <v>5.4</v>
      </c>
      <c r="G49" t="s">
        <v>2113</v>
      </c>
      <c r="I49" t="s">
        <v>46</v>
      </c>
    </row>
    <row r="50" spans="1:9">
      <c r="A50" t="s">
        <v>45</v>
      </c>
      <c r="B50" t="s">
        <v>43</v>
      </c>
      <c r="C50" t="s">
        <v>22</v>
      </c>
      <c r="D50" t="s">
        <v>148</v>
      </c>
      <c r="E50" s="2">
        <v>4.3</v>
      </c>
      <c r="F50" s="2">
        <v>4.3</v>
      </c>
      <c r="G50" t="s">
        <v>2113</v>
      </c>
      <c r="I50" t="s">
        <v>46</v>
      </c>
    </row>
    <row r="51" spans="1:9">
      <c r="A51" t="s">
        <v>45</v>
      </c>
      <c r="B51" t="s">
        <v>43</v>
      </c>
      <c r="C51" t="s">
        <v>134</v>
      </c>
      <c r="D51" t="s">
        <v>148</v>
      </c>
      <c r="E51" s="2">
        <v>4.8</v>
      </c>
      <c r="F51" s="2">
        <v>4.8</v>
      </c>
      <c r="G51" t="s">
        <v>2113</v>
      </c>
      <c r="I51" t="s">
        <v>46</v>
      </c>
    </row>
    <row r="52" spans="1:9">
      <c r="A52" t="s">
        <v>45</v>
      </c>
      <c r="B52" t="s">
        <v>43</v>
      </c>
      <c r="C52" t="s">
        <v>22</v>
      </c>
      <c r="D52" t="s">
        <v>151</v>
      </c>
      <c r="E52" s="2">
        <v>3.5</v>
      </c>
      <c r="F52" s="2">
        <v>3.5</v>
      </c>
      <c r="G52" t="s">
        <v>2113</v>
      </c>
      <c r="I52" t="s">
        <v>46</v>
      </c>
    </row>
    <row r="53" spans="1:9">
      <c r="A53" t="s">
        <v>45</v>
      </c>
      <c r="B53" t="s">
        <v>43</v>
      </c>
      <c r="C53" t="s">
        <v>134</v>
      </c>
      <c r="D53" t="s">
        <v>151</v>
      </c>
      <c r="E53" s="2">
        <v>4</v>
      </c>
      <c r="F53" s="2">
        <v>4</v>
      </c>
      <c r="G53" t="s">
        <v>2113</v>
      </c>
      <c r="I53" t="s">
        <v>46</v>
      </c>
    </row>
    <row r="54" spans="1:9">
      <c r="A54" t="s">
        <v>45</v>
      </c>
      <c r="B54" t="s">
        <v>43</v>
      </c>
      <c r="C54" t="s">
        <v>22</v>
      </c>
      <c r="D54" t="s">
        <v>154</v>
      </c>
      <c r="E54" s="2">
        <v>3.4</v>
      </c>
      <c r="F54" s="2">
        <v>3.4</v>
      </c>
      <c r="G54" t="s">
        <v>2113</v>
      </c>
      <c r="I54" t="s">
        <v>46</v>
      </c>
    </row>
    <row r="55" spans="1:9">
      <c r="A55" t="s">
        <v>45</v>
      </c>
      <c r="B55" t="s">
        <v>43</v>
      </c>
      <c r="C55" t="s">
        <v>134</v>
      </c>
      <c r="D55" t="s">
        <v>154</v>
      </c>
      <c r="E55" s="2">
        <v>3.4</v>
      </c>
      <c r="F55" s="2">
        <v>3.4</v>
      </c>
      <c r="G55" t="s">
        <v>2113</v>
      </c>
      <c r="I55" t="s">
        <v>46</v>
      </c>
    </row>
    <row r="56" spans="1:9">
      <c r="A56" t="s">
        <v>45</v>
      </c>
      <c r="B56" t="s">
        <v>43</v>
      </c>
      <c r="C56" t="s">
        <v>22</v>
      </c>
      <c r="D56" t="s">
        <v>157</v>
      </c>
      <c r="E56" s="2">
        <v>3.3</v>
      </c>
      <c r="F56" s="2">
        <v>3.3</v>
      </c>
      <c r="G56" t="s">
        <v>2113</v>
      </c>
      <c r="I56" t="s">
        <v>46</v>
      </c>
    </row>
    <row r="57" spans="1:9">
      <c r="A57" t="s">
        <v>45</v>
      </c>
      <c r="B57" t="s">
        <v>43</v>
      </c>
      <c r="C57" t="s">
        <v>134</v>
      </c>
      <c r="D57" t="s">
        <v>157</v>
      </c>
      <c r="E57" s="2">
        <v>3.1</v>
      </c>
      <c r="F57" s="2">
        <v>3.1</v>
      </c>
      <c r="G57" t="s">
        <v>2113</v>
      </c>
      <c r="I57" t="s">
        <v>46</v>
      </c>
    </row>
    <row r="58" spans="1:9">
      <c r="A58" t="s">
        <v>45</v>
      </c>
      <c r="B58" t="s">
        <v>43</v>
      </c>
      <c r="C58" t="s">
        <v>22</v>
      </c>
      <c r="D58" t="s">
        <v>160</v>
      </c>
      <c r="E58" s="2">
        <v>3.2</v>
      </c>
      <c r="F58" s="2">
        <v>3.2</v>
      </c>
      <c r="G58" t="s">
        <v>2113</v>
      </c>
      <c r="I58" t="s">
        <v>46</v>
      </c>
    </row>
    <row r="59" spans="1:9">
      <c r="A59" t="s">
        <v>45</v>
      </c>
      <c r="B59" t="s">
        <v>43</v>
      </c>
      <c r="C59" t="s">
        <v>134</v>
      </c>
      <c r="D59" t="s">
        <v>160</v>
      </c>
      <c r="E59" s="2">
        <v>2.9</v>
      </c>
      <c r="F59" s="2">
        <v>2.9</v>
      </c>
      <c r="G59" t="s">
        <v>2113</v>
      </c>
      <c r="I59" t="s">
        <v>46</v>
      </c>
    </row>
    <row r="60" spans="1:9">
      <c r="A60" t="s">
        <v>45</v>
      </c>
      <c r="B60" t="s">
        <v>43</v>
      </c>
      <c r="C60" t="s">
        <v>22</v>
      </c>
      <c r="D60" t="s">
        <v>183</v>
      </c>
      <c r="E60" s="2">
        <v>3.1</v>
      </c>
      <c r="F60" s="2">
        <v>3.1</v>
      </c>
      <c r="G60" t="s">
        <v>2113</v>
      </c>
      <c r="I60" t="s">
        <v>46</v>
      </c>
    </row>
    <row r="61" spans="1:9">
      <c r="A61" t="s">
        <v>45</v>
      </c>
      <c r="B61" t="s">
        <v>43</v>
      </c>
      <c r="C61" t="s">
        <v>134</v>
      </c>
      <c r="D61" t="s">
        <v>183</v>
      </c>
      <c r="E61" s="2">
        <v>2.8</v>
      </c>
      <c r="F61" s="2">
        <v>2.8</v>
      </c>
      <c r="G61" t="s">
        <v>2113</v>
      </c>
      <c r="I61" t="s">
        <v>46</v>
      </c>
    </row>
    <row r="62" spans="1:9">
      <c r="A62" t="s">
        <v>47</v>
      </c>
      <c r="C62" t="s">
        <v>22</v>
      </c>
      <c r="D62" t="s">
        <v>132</v>
      </c>
      <c r="E62" s="2">
        <v>4</v>
      </c>
      <c r="F62" s="2"/>
      <c r="G62" t="s">
        <v>2110</v>
      </c>
      <c r="H62" t="s">
        <v>2111</v>
      </c>
      <c r="I62" t="s">
        <v>49</v>
      </c>
    </row>
    <row r="63" spans="1:9">
      <c r="A63" t="s">
        <v>47</v>
      </c>
      <c r="C63" t="s">
        <v>134</v>
      </c>
      <c r="D63" t="s">
        <v>132</v>
      </c>
      <c r="E63" s="2">
        <v>3.9</v>
      </c>
      <c r="F63" s="2"/>
      <c r="G63" t="s">
        <v>2110</v>
      </c>
      <c r="H63" t="s">
        <v>2111</v>
      </c>
      <c r="I63" t="s">
        <v>49</v>
      </c>
    </row>
    <row r="64" spans="1:9">
      <c r="A64" t="s">
        <v>47</v>
      </c>
      <c r="C64" t="s">
        <v>22</v>
      </c>
      <c r="D64" t="s">
        <v>136</v>
      </c>
      <c r="E64" s="2">
        <v>6</v>
      </c>
      <c r="F64" s="2"/>
      <c r="G64" t="s">
        <v>2110</v>
      </c>
      <c r="H64" t="s">
        <v>2111</v>
      </c>
      <c r="I64" t="s">
        <v>49</v>
      </c>
    </row>
    <row r="65" spans="1:9">
      <c r="A65" t="s">
        <v>47</v>
      </c>
      <c r="C65" t="s">
        <v>134</v>
      </c>
      <c r="D65" t="s">
        <v>136</v>
      </c>
      <c r="E65" s="2">
        <v>4.4000000000000004</v>
      </c>
      <c r="F65" s="2"/>
      <c r="G65" t="s">
        <v>2110</v>
      </c>
      <c r="H65" t="s">
        <v>2111</v>
      </c>
      <c r="I65" t="s">
        <v>49</v>
      </c>
    </row>
    <row r="66" spans="1:9">
      <c r="A66" t="s">
        <v>47</v>
      </c>
      <c r="C66" t="s">
        <v>22</v>
      </c>
      <c r="D66" t="s">
        <v>139</v>
      </c>
      <c r="E66" s="2">
        <v>5.8</v>
      </c>
      <c r="F66" s="2"/>
      <c r="G66" t="s">
        <v>2110</v>
      </c>
      <c r="H66" t="s">
        <v>2111</v>
      </c>
      <c r="I66" t="s">
        <v>49</v>
      </c>
    </row>
    <row r="67" spans="1:9">
      <c r="A67" t="s">
        <v>47</v>
      </c>
      <c r="C67" t="s">
        <v>134</v>
      </c>
      <c r="D67" t="s">
        <v>139</v>
      </c>
      <c r="E67" s="2">
        <v>4.8</v>
      </c>
      <c r="F67" s="2"/>
      <c r="G67" t="s">
        <v>2110</v>
      </c>
      <c r="H67" t="s">
        <v>2111</v>
      </c>
      <c r="I67" t="s">
        <v>49</v>
      </c>
    </row>
    <row r="68" spans="1:9">
      <c r="A68" t="s">
        <v>47</v>
      </c>
      <c r="C68" t="s">
        <v>22</v>
      </c>
      <c r="D68" t="s">
        <v>142</v>
      </c>
      <c r="E68" s="2">
        <v>6.8</v>
      </c>
      <c r="F68" s="2"/>
      <c r="G68" t="s">
        <v>2110</v>
      </c>
      <c r="H68" t="s">
        <v>2111</v>
      </c>
      <c r="I68" t="s">
        <v>49</v>
      </c>
    </row>
    <row r="69" spans="1:9">
      <c r="A69" t="s">
        <v>47</v>
      </c>
      <c r="C69" t="s">
        <v>134</v>
      </c>
      <c r="D69" t="s">
        <v>142</v>
      </c>
      <c r="E69" s="2">
        <v>5.5</v>
      </c>
      <c r="F69" s="2"/>
      <c r="G69" t="s">
        <v>2110</v>
      </c>
      <c r="H69" t="s">
        <v>2111</v>
      </c>
      <c r="I69" t="s">
        <v>49</v>
      </c>
    </row>
    <row r="70" spans="1:9">
      <c r="A70" t="s">
        <v>47</v>
      </c>
      <c r="C70" t="s">
        <v>22</v>
      </c>
      <c r="D70" t="s">
        <v>145</v>
      </c>
      <c r="E70" s="2">
        <v>6.3</v>
      </c>
      <c r="F70" s="2"/>
      <c r="G70" t="s">
        <v>2110</v>
      </c>
      <c r="H70" t="s">
        <v>2111</v>
      </c>
      <c r="I70" t="s">
        <v>49</v>
      </c>
    </row>
    <row r="71" spans="1:9">
      <c r="A71" t="s">
        <v>47</v>
      </c>
      <c r="C71" t="s">
        <v>134</v>
      </c>
      <c r="D71" t="s">
        <v>145</v>
      </c>
      <c r="E71" s="2">
        <v>5.8</v>
      </c>
      <c r="F71" s="2"/>
      <c r="G71" t="s">
        <v>2110</v>
      </c>
      <c r="H71" t="s">
        <v>2111</v>
      </c>
      <c r="I71" t="s">
        <v>49</v>
      </c>
    </row>
    <row r="72" spans="1:9">
      <c r="A72" t="s">
        <v>47</v>
      </c>
      <c r="C72" t="s">
        <v>22</v>
      </c>
      <c r="D72" t="s">
        <v>148</v>
      </c>
      <c r="E72" s="2">
        <v>4.8</v>
      </c>
      <c r="F72" s="2"/>
      <c r="G72" t="s">
        <v>2110</v>
      </c>
      <c r="H72" t="s">
        <v>2111</v>
      </c>
      <c r="I72" t="s">
        <v>49</v>
      </c>
    </row>
    <row r="73" spans="1:9">
      <c r="A73" t="s">
        <v>47</v>
      </c>
      <c r="C73" t="s">
        <v>134</v>
      </c>
      <c r="D73" t="s">
        <v>148</v>
      </c>
      <c r="E73" s="2">
        <v>5.3</v>
      </c>
      <c r="F73" s="2"/>
      <c r="G73" t="s">
        <v>2110</v>
      </c>
      <c r="H73" t="s">
        <v>2111</v>
      </c>
      <c r="I73" t="s">
        <v>49</v>
      </c>
    </row>
    <row r="74" spans="1:9">
      <c r="A74" t="s">
        <v>47</v>
      </c>
      <c r="C74" t="s">
        <v>22</v>
      </c>
      <c r="D74" t="s">
        <v>151</v>
      </c>
      <c r="E74" s="2">
        <v>3.9</v>
      </c>
      <c r="F74" s="2"/>
      <c r="G74" t="s">
        <v>2110</v>
      </c>
      <c r="H74" t="s">
        <v>2111</v>
      </c>
      <c r="I74" t="s">
        <v>49</v>
      </c>
    </row>
    <row r="75" spans="1:9">
      <c r="A75" t="s">
        <v>47</v>
      </c>
      <c r="C75" t="s">
        <v>134</v>
      </c>
      <c r="D75" t="s">
        <v>151</v>
      </c>
      <c r="E75" s="2">
        <v>4.3</v>
      </c>
      <c r="F75" s="2"/>
      <c r="G75" t="s">
        <v>2110</v>
      </c>
      <c r="H75" t="s">
        <v>2111</v>
      </c>
      <c r="I75" t="s">
        <v>49</v>
      </c>
    </row>
    <row r="76" spans="1:9">
      <c r="A76" t="s">
        <v>47</v>
      </c>
      <c r="C76" t="s">
        <v>22</v>
      </c>
      <c r="D76" t="s">
        <v>154</v>
      </c>
      <c r="E76" s="2">
        <v>3.3</v>
      </c>
      <c r="F76" s="2"/>
      <c r="G76" t="s">
        <v>2110</v>
      </c>
      <c r="H76" t="s">
        <v>2111</v>
      </c>
      <c r="I76" t="s">
        <v>49</v>
      </c>
    </row>
    <row r="77" spans="1:9">
      <c r="A77" t="s">
        <v>47</v>
      </c>
      <c r="C77" t="s">
        <v>134</v>
      </c>
      <c r="D77" t="s">
        <v>154</v>
      </c>
      <c r="E77" s="2">
        <v>3.5</v>
      </c>
      <c r="F77" s="2"/>
      <c r="G77" t="s">
        <v>2110</v>
      </c>
      <c r="H77" t="s">
        <v>2111</v>
      </c>
      <c r="I77" t="s">
        <v>49</v>
      </c>
    </row>
    <row r="78" spans="1:9">
      <c r="A78" t="s">
        <v>47</v>
      </c>
      <c r="C78" t="s">
        <v>22</v>
      </c>
      <c r="D78" t="s">
        <v>157</v>
      </c>
      <c r="E78" s="2">
        <v>3.2</v>
      </c>
      <c r="F78" s="2"/>
      <c r="G78" t="s">
        <v>2110</v>
      </c>
      <c r="H78" t="s">
        <v>2111</v>
      </c>
      <c r="I78" t="s">
        <v>49</v>
      </c>
    </row>
    <row r="79" spans="1:9">
      <c r="A79" t="s">
        <v>47</v>
      </c>
      <c r="C79" t="s">
        <v>134</v>
      </c>
      <c r="D79" t="s">
        <v>157</v>
      </c>
      <c r="E79" s="2">
        <v>3</v>
      </c>
      <c r="F79" s="2"/>
      <c r="G79" t="s">
        <v>2110</v>
      </c>
      <c r="H79" t="s">
        <v>2111</v>
      </c>
      <c r="I79" t="s">
        <v>49</v>
      </c>
    </row>
    <row r="80" spans="1:9">
      <c r="A80" t="s">
        <v>47</v>
      </c>
      <c r="C80" t="s">
        <v>22</v>
      </c>
      <c r="D80" t="s">
        <v>160</v>
      </c>
      <c r="E80" s="2">
        <v>3.2</v>
      </c>
      <c r="F80" s="2"/>
      <c r="G80" t="s">
        <v>2110</v>
      </c>
      <c r="H80" t="s">
        <v>2111</v>
      </c>
      <c r="I80" t="s">
        <v>49</v>
      </c>
    </row>
    <row r="81" spans="1:9">
      <c r="A81" t="s">
        <v>47</v>
      </c>
      <c r="C81" t="s">
        <v>134</v>
      </c>
      <c r="D81" t="s">
        <v>160</v>
      </c>
      <c r="E81" s="2">
        <v>2.7</v>
      </c>
      <c r="F81" s="2"/>
      <c r="G81" t="s">
        <v>2110</v>
      </c>
      <c r="H81" t="s">
        <v>2111</v>
      </c>
      <c r="I81" t="s">
        <v>49</v>
      </c>
    </row>
    <row r="82" spans="1:9">
      <c r="A82" t="s">
        <v>47</v>
      </c>
      <c r="C82" t="s">
        <v>22</v>
      </c>
      <c r="D82" t="s">
        <v>183</v>
      </c>
      <c r="E82" s="2">
        <v>3.1</v>
      </c>
      <c r="F82" s="2"/>
      <c r="G82" t="s">
        <v>2110</v>
      </c>
      <c r="H82" t="s">
        <v>2111</v>
      </c>
      <c r="I82" t="s">
        <v>49</v>
      </c>
    </row>
    <row r="83" spans="1:9">
      <c r="A83" t="s">
        <v>47</v>
      </c>
      <c r="C83" t="s">
        <v>134</v>
      </c>
      <c r="D83" t="s">
        <v>183</v>
      </c>
      <c r="E83" s="2">
        <v>2.6</v>
      </c>
      <c r="F83" s="2"/>
      <c r="G83" t="s">
        <v>2110</v>
      </c>
      <c r="H83" t="s">
        <v>2111</v>
      </c>
      <c r="I83" t="s">
        <v>49</v>
      </c>
    </row>
    <row r="84" spans="1:9">
      <c r="A84" t="s">
        <v>50</v>
      </c>
      <c r="B84" t="s">
        <v>47</v>
      </c>
      <c r="C84" t="s">
        <v>22</v>
      </c>
      <c r="D84" t="s">
        <v>132</v>
      </c>
      <c r="E84" s="2">
        <v>4</v>
      </c>
      <c r="F84" s="2">
        <v>4</v>
      </c>
      <c r="G84" t="s">
        <v>2113</v>
      </c>
      <c r="I84" t="s">
        <v>51</v>
      </c>
    </row>
    <row r="85" spans="1:9">
      <c r="A85" t="s">
        <v>50</v>
      </c>
      <c r="B85" t="s">
        <v>47</v>
      </c>
      <c r="C85" t="s">
        <v>134</v>
      </c>
      <c r="D85" t="s">
        <v>132</v>
      </c>
      <c r="E85" s="2">
        <v>3.9</v>
      </c>
      <c r="F85" s="2">
        <v>3.9</v>
      </c>
      <c r="G85" t="s">
        <v>2113</v>
      </c>
      <c r="I85" t="s">
        <v>51</v>
      </c>
    </row>
    <row r="86" spans="1:9">
      <c r="A86" t="s">
        <v>50</v>
      </c>
      <c r="B86" t="s">
        <v>47</v>
      </c>
      <c r="C86" t="s">
        <v>22</v>
      </c>
      <c r="D86" t="s">
        <v>136</v>
      </c>
      <c r="E86" s="2">
        <v>6</v>
      </c>
      <c r="F86" s="2">
        <v>6</v>
      </c>
      <c r="G86" t="s">
        <v>2113</v>
      </c>
      <c r="I86" t="s">
        <v>51</v>
      </c>
    </row>
    <row r="87" spans="1:9">
      <c r="A87" t="s">
        <v>50</v>
      </c>
      <c r="B87" t="s">
        <v>47</v>
      </c>
      <c r="C87" t="s">
        <v>134</v>
      </c>
      <c r="D87" t="s">
        <v>136</v>
      </c>
      <c r="E87" s="2">
        <v>4.4000000000000004</v>
      </c>
      <c r="F87" s="2">
        <v>4.4000000000000004</v>
      </c>
      <c r="G87" t="s">
        <v>2113</v>
      </c>
      <c r="I87" t="s">
        <v>51</v>
      </c>
    </row>
    <row r="88" spans="1:9">
      <c r="A88" t="s">
        <v>50</v>
      </c>
      <c r="B88" t="s">
        <v>47</v>
      </c>
      <c r="C88" t="s">
        <v>22</v>
      </c>
      <c r="D88" t="s">
        <v>139</v>
      </c>
      <c r="E88" s="2">
        <v>5.8</v>
      </c>
      <c r="F88" s="2">
        <v>5.8</v>
      </c>
      <c r="G88" t="s">
        <v>2113</v>
      </c>
      <c r="I88" t="s">
        <v>51</v>
      </c>
    </row>
    <row r="89" spans="1:9">
      <c r="A89" t="s">
        <v>50</v>
      </c>
      <c r="B89" t="s">
        <v>47</v>
      </c>
      <c r="C89" t="s">
        <v>134</v>
      </c>
      <c r="D89" t="s">
        <v>139</v>
      </c>
      <c r="E89" s="2">
        <v>4.8</v>
      </c>
      <c r="F89" s="2">
        <v>4.8</v>
      </c>
      <c r="G89" t="s">
        <v>2113</v>
      </c>
      <c r="I89" t="s">
        <v>51</v>
      </c>
    </row>
    <row r="90" spans="1:9">
      <c r="A90" t="s">
        <v>50</v>
      </c>
      <c r="B90" t="s">
        <v>47</v>
      </c>
      <c r="C90" t="s">
        <v>22</v>
      </c>
      <c r="D90" t="s">
        <v>142</v>
      </c>
      <c r="E90" s="2">
        <v>7.1</v>
      </c>
      <c r="F90" s="2">
        <v>7.1</v>
      </c>
      <c r="G90" t="s">
        <v>2113</v>
      </c>
      <c r="I90" t="s">
        <v>51</v>
      </c>
    </row>
    <row r="91" spans="1:9">
      <c r="A91" t="s">
        <v>50</v>
      </c>
      <c r="B91" t="s">
        <v>47</v>
      </c>
      <c r="C91" t="s">
        <v>134</v>
      </c>
      <c r="D91" t="s">
        <v>142</v>
      </c>
      <c r="E91" s="2">
        <v>5.6</v>
      </c>
      <c r="F91" s="2">
        <v>5.6</v>
      </c>
      <c r="G91" t="s">
        <v>2113</v>
      </c>
      <c r="I91" t="s">
        <v>51</v>
      </c>
    </row>
    <row r="92" spans="1:9">
      <c r="A92" t="s">
        <v>50</v>
      </c>
      <c r="B92" t="s">
        <v>47</v>
      </c>
      <c r="C92" t="s">
        <v>22</v>
      </c>
      <c r="D92" t="s">
        <v>145</v>
      </c>
      <c r="E92" s="2">
        <v>6.7</v>
      </c>
      <c r="F92" s="2">
        <v>6.7</v>
      </c>
      <c r="G92" t="s">
        <v>2113</v>
      </c>
      <c r="I92" t="s">
        <v>51</v>
      </c>
    </row>
    <row r="93" spans="1:9">
      <c r="A93" t="s">
        <v>50</v>
      </c>
      <c r="B93" t="s">
        <v>47</v>
      </c>
      <c r="C93" t="s">
        <v>134</v>
      </c>
      <c r="D93" t="s">
        <v>145</v>
      </c>
      <c r="E93" s="2">
        <v>6.2</v>
      </c>
      <c r="F93" s="2">
        <v>6.2</v>
      </c>
      <c r="G93" t="s">
        <v>2113</v>
      </c>
      <c r="I93" t="s">
        <v>51</v>
      </c>
    </row>
    <row r="94" spans="1:9">
      <c r="A94" t="s">
        <v>50</v>
      </c>
      <c r="B94" t="s">
        <v>47</v>
      </c>
      <c r="C94" t="s">
        <v>22</v>
      </c>
      <c r="D94" t="s">
        <v>148</v>
      </c>
      <c r="E94" s="2">
        <v>5.0999999999999996</v>
      </c>
      <c r="F94" s="2">
        <v>5.0999999999999996</v>
      </c>
      <c r="G94" t="s">
        <v>2113</v>
      </c>
      <c r="I94" t="s">
        <v>51</v>
      </c>
    </row>
    <row r="95" spans="1:9">
      <c r="A95" t="s">
        <v>50</v>
      </c>
      <c r="B95" t="s">
        <v>47</v>
      </c>
      <c r="C95" t="s">
        <v>134</v>
      </c>
      <c r="D95" t="s">
        <v>148</v>
      </c>
      <c r="E95" s="2">
        <v>5.8</v>
      </c>
      <c r="F95" s="2">
        <v>5.8</v>
      </c>
      <c r="G95" t="s">
        <v>2113</v>
      </c>
      <c r="I95" t="s">
        <v>51</v>
      </c>
    </row>
    <row r="96" spans="1:9">
      <c r="A96" t="s">
        <v>50</v>
      </c>
      <c r="B96" t="s">
        <v>47</v>
      </c>
      <c r="C96" t="s">
        <v>22</v>
      </c>
      <c r="D96" t="s">
        <v>151</v>
      </c>
      <c r="E96" s="2">
        <v>4.3</v>
      </c>
      <c r="F96" s="2">
        <v>4.3</v>
      </c>
      <c r="G96" t="s">
        <v>2113</v>
      </c>
      <c r="I96" t="s">
        <v>51</v>
      </c>
    </row>
    <row r="97" spans="1:9">
      <c r="A97" t="s">
        <v>50</v>
      </c>
      <c r="B97" t="s">
        <v>47</v>
      </c>
      <c r="C97" t="s">
        <v>134</v>
      </c>
      <c r="D97" t="s">
        <v>151</v>
      </c>
      <c r="E97" s="2">
        <v>4.9000000000000004</v>
      </c>
      <c r="F97" s="2">
        <v>4.9000000000000004</v>
      </c>
      <c r="G97" t="s">
        <v>2113</v>
      </c>
      <c r="I97" t="s">
        <v>51</v>
      </c>
    </row>
    <row r="98" spans="1:9">
      <c r="A98" t="s">
        <v>50</v>
      </c>
      <c r="B98" t="s">
        <v>47</v>
      </c>
      <c r="C98" t="s">
        <v>22</v>
      </c>
      <c r="D98" t="s">
        <v>154</v>
      </c>
      <c r="E98" s="2">
        <v>3.5</v>
      </c>
      <c r="F98" s="2">
        <v>3.5</v>
      </c>
      <c r="G98" t="s">
        <v>2113</v>
      </c>
      <c r="I98" t="s">
        <v>51</v>
      </c>
    </row>
    <row r="99" spans="1:9">
      <c r="A99" t="s">
        <v>50</v>
      </c>
      <c r="B99" t="s">
        <v>47</v>
      </c>
      <c r="C99" t="s">
        <v>134</v>
      </c>
      <c r="D99" t="s">
        <v>154</v>
      </c>
      <c r="E99" s="2">
        <v>4.0999999999999996</v>
      </c>
      <c r="F99" s="2">
        <v>4.0999999999999996</v>
      </c>
      <c r="G99" t="s">
        <v>2113</v>
      </c>
      <c r="I99" t="s">
        <v>51</v>
      </c>
    </row>
    <row r="100" spans="1:9">
      <c r="A100" t="s">
        <v>50</v>
      </c>
      <c r="B100" t="s">
        <v>47</v>
      </c>
      <c r="C100" t="s">
        <v>22</v>
      </c>
      <c r="D100" t="s">
        <v>157</v>
      </c>
      <c r="E100" s="2">
        <v>3.3</v>
      </c>
      <c r="F100" s="2">
        <v>3.3</v>
      </c>
      <c r="G100" t="s">
        <v>2113</v>
      </c>
      <c r="I100" t="s">
        <v>51</v>
      </c>
    </row>
    <row r="101" spans="1:9">
      <c r="A101" t="s">
        <v>50</v>
      </c>
      <c r="B101" t="s">
        <v>47</v>
      </c>
      <c r="C101" t="s">
        <v>134</v>
      </c>
      <c r="D101" t="s">
        <v>157</v>
      </c>
      <c r="E101" s="2">
        <v>3.3</v>
      </c>
      <c r="F101" s="2">
        <v>3.3</v>
      </c>
      <c r="G101" t="s">
        <v>2113</v>
      </c>
      <c r="I101" t="s">
        <v>51</v>
      </c>
    </row>
    <row r="102" spans="1:9">
      <c r="A102" t="s">
        <v>50</v>
      </c>
      <c r="B102" t="s">
        <v>47</v>
      </c>
      <c r="C102" t="s">
        <v>22</v>
      </c>
      <c r="D102" t="s">
        <v>160</v>
      </c>
      <c r="E102" s="2">
        <v>3.2</v>
      </c>
      <c r="F102" s="2">
        <v>3.2</v>
      </c>
      <c r="G102" t="s">
        <v>2113</v>
      </c>
      <c r="I102" t="s">
        <v>51</v>
      </c>
    </row>
    <row r="103" spans="1:9">
      <c r="A103" t="s">
        <v>50</v>
      </c>
      <c r="B103" t="s">
        <v>47</v>
      </c>
      <c r="C103" t="s">
        <v>134</v>
      </c>
      <c r="D103" t="s">
        <v>160</v>
      </c>
      <c r="E103" s="2">
        <v>2.9</v>
      </c>
      <c r="F103" s="2">
        <v>2.9</v>
      </c>
      <c r="G103" t="s">
        <v>2113</v>
      </c>
      <c r="I103" t="s">
        <v>51</v>
      </c>
    </row>
    <row r="104" spans="1:9">
      <c r="A104" t="s">
        <v>50</v>
      </c>
      <c r="B104" t="s">
        <v>47</v>
      </c>
      <c r="C104" t="s">
        <v>22</v>
      </c>
      <c r="D104" t="s">
        <v>183</v>
      </c>
      <c r="E104" s="2">
        <v>3.1</v>
      </c>
      <c r="F104" s="2">
        <v>3.1</v>
      </c>
      <c r="G104" t="s">
        <v>2113</v>
      </c>
      <c r="I104" t="s">
        <v>51</v>
      </c>
    </row>
    <row r="105" spans="1:9">
      <c r="A105" t="s">
        <v>50</v>
      </c>
      <c r="B105" t="s">
        <v>47</v>
      </c>
      <c r="C105" t="s">
        <v>134</v>
      </c>
      <c r="D105" t="s">
        <v>183</v>
      </c>
      <c r="E105" s="2">
        <v>2.8</v>
      </c>
      <c r="F105" s="2">
        <v>2.8</v>
      </c>
      <c r="G105" t="s">
        <v>2113</v>
      </c>
      <c r="I105" t="s">
        <v>51</v>
      </c>
    </row>
    <row r="106" spans="1:9">
      <c r="A106" t="s">
        <v>50</v>
      </c>
      <c r="B106" t="s">
        <v>47</v>
      </c>
      <c r="C106" t="s">
        <v>22</v>
      </c>
      <c r="D106" t="s">
        <v>254</v>
      </c>
      <c r="E106" s="2">
        <v>3</v>
      </c>
      <c r="F106" s="2">
        <v>3</v>
      </c>
      <c r="G106" t="s">
        <v>2113</v>
      </c>
      <c r="I106" t="s">
        <v>51</v>
      </c>
    </row>
    <row r="107" spans="1:9">
      <c r="A107" t="s">
        <v>50</v>
      </c>
      <c r="B107" t="s">
        <v>47</v>
      </c>
      <c r="C107" t="s">
        <v>134</v>
      </c>
      <c r="D107" t="s">
        <v>254</v>
      </c>
      <c r="E107" s="2">
        <v>2.7</v>
      </c>
      <c r="F107" s="2">
        <v>2.7</v>
      </c>
      <c r="G107" t="s">
        <v>2113</v>
      </c>
      <c r="I107" t="s">
        <v>51</v>
      </c>
    </row>
    <row r="108" spans="1:9">
      <c r="A108" t="s">
        <v>52</v>
      </c>
      <c r="B108" t="s">
        <v>50</v>
      </c>
      <c r="C108" t="s">
        <v>22</v>
      </c>
      <c r="D108" t="s">
        <v>132</v>
      </c>
      <c r="E108" s="2">
        <v>4</v>
      </c>
      <c r="F108" s="2">
        <v>4</v>
      </c>
      <c r="G108" t="s">
        <v>2113</v>
      </c>
      <c r="I108" t="s">
        <v>53</v>
      </c>
    </row>
    <row r="109" spans="1:9">
      <c r="A109" t="s">
        <v>52</v>
      </c>
      <c r="B109" t="s">
        <v>50</v>
      </c>
      <c r="C109" t="s">
        <v>134</v>
      </c>
      <c r="D109" t="s">
        <v>132</v>
      </c>
      <c r="E109" s="2">
        <v>3.9</v>
      </c>
      <c r="F109" s="2">
        <v>3.9</v>
      </c>
      <c r="G109" t="s">
        <v>2113</v>
      </c>
      <c r="I109" t="s">
        <v>53</v>
      </c>
    </row>
    <row r="110" spans="1:9">
      <c r="A110" t="s">
        <v>52</v>
      </c>
      <c r="B110" t="s">
        <v>50</v>
      </c>
      <c r="C110" t="s">
        <v>22</v>
      </c>
      <c r="D110" t="s">
        <v>136</v>
      </c>
      <c r="E110" s="2">
        <v>6</v>
      </c>
      <c r="F110" s="2">
        <v>6</v>
      </c>
      <c r="G110" t="s">
        <v>2113</v>
      </c>
      <c r="I110" t="s">
        <v>53</v>
      </c>
    </row>
    <row r="111" spans="1:9">
      <c r="A111" t="s">
        <v>52</v>
      </c>
      <c r="B111" t="s">
        <v>50</v>
      </c>
      <c r="C111" t="s">
        <v>134</v>
      </c>
      <c r="D111" t="s">
        <v>136</v>
      </c>
      <c r="E111" s="2">
        <v>4.4000000000000004</v>
      </c>
      <c r="F111" s="2">
        <v>4.4000000000000004</v>
      </c>
      <c r="G111" t="s">
        <v>2113</v>
      </c>
      <c r="I111" t="s">
        <v>53</v>
      </c>
    </row>
    <row r="112" spans="1:9">
      <c r="A112" t="s">
        <v>52</v>
      </c>
      <c r="B112" t="s">
        <v>50</v>
      </c>
      <c r="C112" t="s">
        <v>22</v>
      </c>
      <c r="D112" t="s">
        <v>139</v>
      </c>
      <c r="E112" s="2">
        <v>5.8</v>
      </c>
      <c r="F112" s="2">
        <v>5.8</v>
      </c>
      <c r="G112" t="s">
        <v>2113</v>
      </c>
      <c r="I112" t="s">
        <v>53</v>
      </c>
    </row>
    <row r="113" spans="1:9">
      <c r="A113" t="s">
        <v>52</v>
      </c>
      <c r="B113" t="s">
        <v>50</v>
      </c>
      <c r="C113" t="s">
        <v>134</v>
      </c>
      <c r="D113" t="s">
        <v>139</v>
      </c>
      <c r="E113" s="2">
        <v>4.8</v>
      </c>
      <c r="F113" s="2">
        <v>4.8</v>
      </c>
      <c r="G113" t="s">
        <v>2113</v>
      </c>
      <c r="I113" t="s">
        <v>53</v>
      </c>
    </row>
    <row r="114" spans="1:9">
      <c r="A114" t="s">
        <v>52</v>
      </c>
      <c r="B114" t="s">
        <v>50</v>
      </c>
      <c r="C114" t="s">
        <v>22</v>
      </c>
      <c r="D114" t="s">
        <v>142</v>
      </c>
      <c r="E114" s="2">
        <v>7</v>
      </c>
      <c r="F114" s="2">
        <v>7</v>
      </c>
      <c r="G114" t="s">
        <v>2113</v>
      </c>
      <c r="I114" t="s">
        <v>53</v>
      </c>
    </row>
    <row r="115" spans="1:9">
      <c r="A115" t="s">
        <v>52</v>
      </c>
      <c r="B115" t="s">
        <v>50</v>
      </c>
      <c r="C115" t="s">
        <v>134</v>
      </c>
      <c r="D115" t="s">
        <v>142</v>
      </c>
      <c r="E115" s="2">
        <v>5.6</v>
      </c>
      <c r="F115" s="2">
        <v>5.6</v>
      </c>
      <c r="G115" t="s">
        <v>2113</v>
      </c>
      <c r="I115" t="s">
        <v>53</v>
      </c>
    </row>
    <row r="116" spans="1:9">
      <c r="A116" t="s">
        <v>52</v>
      </c>
      <c r="B116" t="s">
        <v>50</v>
      </c>
      <c r="C116" t="s">
        <v>22</v>
      </c>
      <c r="D116" t="s">
        <v>145</v>
      </c>
      <c r="E116" s="2">
        <v>6.9</v>
      </c>
      <c r="F116" s="2">
        <v>6.9</v>
      </c>
      <c r="G116" t="s">
        <v>2113</v>
      </c>
      <c r="I116" t="s">
        <v>53</v>
      </c>
    </row>
    <row r="117" spans="1:9">
      <c r="A117" t="s">
        <v>52</v>
      </c>
      <c r="B117" t="s">
        <v>50</v>
      </c>
      <c r="C117" t="s">
        <v>134</v>
      </c>
      <c r="D117" t="s">
        <v>145</v>
      </c>
      <c r="E117" s="2">
        <v>6.4</v>
      </c>
      <c r="F117" s="2">
        <v>6.4</v>
      </c>
      <c r="G117" t="s">
        <v>2113</v>
      </c>
      <c r="I117" t="s">
        <v>53</v>
      </c>
    </row>
    <row r="118" spans="1:9">
      <c r="A118" t="s">
        <v>52</v>
      </c>
      <c r="B118" t="s">
        <v>50</v>
      </c>
      <c r="C118" t="s">
        <v>22</v>
      </c>
      <c r="D118" t="s">
        <v>148</v>
      </c>
      <c r="E118" s="2">
        <v>5.4</v>
      </c>
      <c r="F118" s="2">
        <v>5.4</v>
      </c>
      <c r="G118" t="s">
        <v>2113</v>
      </c>
      <c r="I118" t="s">
        <v>53</v>
      </c>
    </row>
    <row r="119" spans="1:9">
      <c r="A119" t="s">
        <v>52</v>
      </c>
      <c r="B119" t="s">
        <v>50</v>
      </c>
      <c r="C119" t="s">
        <v>134</v>
      </c>
      <c r="D119" t="s">
        <v>148</v>
      </c>
      <c r="E119" s="2">
        <v>6.1</v>
      </c>
      <c r="F119" s="2">
        <v>6.1</v>
      </c>
      <c r="G119" t="s">
        <v>2113</v>
      </c>
      <c r="I119" t="s">
        <v>53</v>
      </c>
    </row>
    <row r="120" spans="1:9">
      <c r="A120" t="s">
        <v>52</v>
      </c>
      <c r="B120" t="s">
        <v>50</v>
      </c>
      <c r="C120" t="s">
        <v>22</v>
      </c>
      <c r="D120" t="s">
        <v>151</v>
      </c>
      <c r="E120" s="2">
        <v>4.5999999999999996</v>
      </c>
      <c r="F120" s="2">
        <v>4.5999999999999996</v>
      </c>
      <c r="G120" t="s">
        <v>2113</v>
      </c>
      <c r="I120" t="s">
        <v>53</v>
      </c>
    </row>
    <row r="121" spans="1:9">
      <c r="A121" t="s">
        <v>52</v>
      </c>
      <c r="B121" t="s">
        <v>50</v>
      </c>
      <c r="C121" t="s">
        <v>134</v>
      </c>
      <c r="D121" t="s">
        <v>151</v>
      </c>
      <c r="E121" s="2">
        <v>5.0999999999999996</v>
      </c>
      <c r="F121" s="2">
        <v>5.0999999999999996</v>
      </c>
      <c r="G121" t="s">
        <v>2113</v>
      </c>
      <c r="I121" t="s">
        <v>53</v>
      </c>
    </row>
    <row r="122" spans="1:9">
      <c r="A122" t="s">
        <v>52</v>
      </c>
      <c r="B122" t="s">
        <v>50</v>
      </c>
      <c r="C122" t="s">
        <v>22</v>
      </c>
      <c r="D122" t="s">
        <v>154</v>
      </c>
      <c r="E122" s="2">
        <v>4</v>
      </c>
      <c r="F122" s="2">
        <v>4</v>
      </c>
      <c r="G122" t="s">
        <v>2113</v>
      </c>
      <c r="I122" t="s">
        <v>53</v>
      </c>
    </row>
    <row r="123" spans="1:9">
      <c r="A123" t="s">
        <v>52</v>
      </c>
      <c r="B123" t="s">
        <v>50</v>
      </c>
      <c r="C123" t="s">
        <v>134</v>
      </c>
      <c r="D123" t="s">
        <v>154</v>
      </c>
      <c r="E123" s="2">
        <v>4.3</v>
      </c>
      <c r="F123" s="2">
        <v>4.3</v>
      </c>
      <c r="G123" t="s">
        <v>2113</v>
      </c>
      <c r="I123" t="s">
        <v>53</v>
      </c>
    </row>
    <row r="124" spans="1:9">
      <c r="A124" t="s">
        <v>52</v>
      </c>
      <c r="B124" t="s">
        <v>50</v>
      </c>
      <c r="C124" t="s">
        <v>22</v>
      </c>
      <c r="D124" t="s">
        <v>157</v>
      </c>
      <c r="E124" s="2">
        <v>3.4</v>
      </c>
      <c r="F124" s="2">
        <v>3.4</v>
      </c>
      <c r="G124" t="s">
        <v>2113</v>
      </c>
      <c r="I124" t="s">
        <v>53</v>
      </c>
    </row>
    <row r="125" spans="1:9">
      <c r="A125" t="s">
        <v>52</v>
      </c>
      <c r="B125" t="s">
        <v>50</v>
      </c>
      <c r="C125" t="s">
        <v>134</v>
      </c>
      <c r="D125" t="s">
        <v>157</v>
      </c>
      <c r="E125" s="2">
        <v>3.3</v>
      </c>
      <c r="F125" s="2">
        <v>3.3</v>
      </c>
      <c r="G125" t="s">
        <v>2113</v>
      </c>
      <c r="I125" t="s">
        <v>53</v>
      </c>
    </row>
    <row r="126" spans="1:9">
      <c r="A126" t="s">
        <v>52</v>
      </c>
      <c r="B126" t="s">
        <v>50</v>
      </c>
      <c r="C126" t="s">
        <v>22</v>
      </c>
      <c r="D126" t="s">
        <v>160</v>
      </c>
      <c r="E126" s="2">
        <v>3.2</v>
      </c>
      <c r="F126" s="2">
        <v>3.2</v>
      </c>
      <c r="G126" t="s">
        <v>2113</v>
      </c>
      <c r="I126" t="s">
        <v>53</v>
      </c>
    </row>
    <row r="127" spans="1:9">
      <c r="A127" t="s">
        <v>52</v>
      </c>
      <c r="B127" t="s">
        <v>50</v>
      </c>
      <c r="C127" t="s">
        <v>134</v>
      </c>
      <c r="D127" t="s">
        <v>160</v>
      </c>
      <c r="E127" s="2">
        <v>2.9</v>
      </c>
      <c r="F127" s="2">
        <v>2.9</v>
      </c>
      <c r="G127" t="s">
        <v>2113</v>
      </c>
      <c r="I127" t="s">
        <v>53</v>
      </c>
    </row>
    <row r="128" spans="1:9">
      <c r="A128" t="s">
        <v>52</v>
      </c>
      <c r="B128" t="s">
        <v>50</v>
      </c>
      <c r="C128" t="s">
        <v>22</v>
      </c>
      <c r="D128" t="s">
        <v>183</v>
      </c>
      <c r="E128" s="2">
        <v>3.1</v>
      </c>
      <c r="F128" s="2">
        <v>3.1</v>
      </c>
      <c r="G128" t="s">
        <v>2113</v>
      </c>
      <c r="I128" t="s">
        <v>53</v>
      </c>
    </row>
    <row r="129" spans="1:9">
      <c r="A129" t="s">
        <v>52</v>
      </c>
      <c r="B129" t="s">
        <v>50</v>
      </c>
      <c r="C129" t="s">
        <v>134</v>
      </c>
      <c r="D129" t="s">
        <v>183</v>
      </c>
      <c r="E129" s="2">
        <v>2.7</v>
      </c>
      <c r="F129" s="2">
        <v>2.7</v>
      </c>
      <c r="G129" t="s">
        <v>2113</v>
      </c>
      <c r="I129" t="s">
        <v>53</v>
      </c>
    </row>
    <row r="130" spans="1:9">
      <c r="A130" t="s">
        <v>52</v>
      </c>
      <c r="B130" t="s">
        <v>50</v>
      </c>
      <c r="C130" t="s">
        <v>22</v>
      </c>
      <c r="D130" t="s">
        <v>254</v>
      </c>
      <c r="E130" s="2">
        <v>3.1</v>
      </c>
      <c r="F130" s="2">
        <v>3.1</v>
      </c>
      <c r="G130" t="s">
        <v>2113</v>
      </c>
      <c r="I130" t="s">
        <v>53</v>
      </c>
    </row>
    <row r="131" spans="1:9">
      <c r="A131" t="s">
        <v>52</v>
      </c>
      <c r="B131" t="s">
        <v>50</v>
      </c>
      <c r="C131" t="s">
        <v>134</v>
      </c>
      <c r="D131" t="s">
        <v>254</v>
      </c>
      <c r="E131" s="2">
        <v>2.7</v>
      </c>
      <c r="F131" s="2">
        <v>2.7</v>
      </c>
      <c r="G131" t="s">
        <v>2113</v>
      </c>
      <c r="I131" t="s">
        <v>53</v>
      </c>
    </row>
    <row r="132" spans="1:9">
      <c r="A132" t="s">
        <v>54</v>
      </c>
      <c r="B132" t="s">
        <v>52</v>
      </c>
      <c r="C132" t="s">
        <v>22</v>
      </c>
      <c r="D132" t="s">
        <v>132</v>
      </c>
      <c r="E132" s="2">
        <v>4</v>
      </c>
      <c r="F132" s="2">
        <v>4</v>
      </c>
      <c r="G132" t="s">
        <v>2113</v>
      </c>
      <c r="I132" t="s">
        <v>55</v>
      </c>
    </row>
    <row r="133" spans="1:9">
      <c r="A133" t="s">
        <v>54</v>
      </c>
      <c r="B133" t="s">
        <v>52</v>
      </c>
      <c r="C133" t="s">
        <v>134</v>
      </c>
      <c r="D133" t="s">
        <v>132</v>
      </c>
      <c r="E133" s="2">
        <v>3.9</v>
      </c>
      <c r="F133" s="2">
        <v>3.9</v>
      </c>
      <c r="G133" t="s">
        <v>2113</v>
      </c>
      <c r="I133" t="s">
        <v>55</v>
      </c>
    </row>
    <row r="134" spans="1:9">
      <c r="A134" t="s">
        <v>54</v>
      </c>
      <c r="B134" t="s">
        <v>52</v>
      </c>
      <c r="C134" t="s">
        <v>22</v>
      </c>
      <c r="D134" t="s">
        <v>136</v>
      </c>
      <c r="E134" s="2">
        <v>6</v>
      </c>
      <c r="F134" s="2">
        <v>6</v>
      </c>
      <c r="G134" t="s">
        <v>2113</v>
      </c>
      <c r="I134" t="s">
        <v>55</v>
      </c>
    </row>
    <row r="135" spans="1:9">
      <c r="A135" t="s">
        <v>54</v>
      </c>
      <c r="B135" t="s">
        <v>52</v>
      </c>
      <c r="C135" t="s">
        <v>134</v>
      </c>
      <c r="D135" t="s">
        <v>136</v>
      </c>
      <c r="E135" s="2">
        <v>4.4000000000000004</v>
      </c>
      <c r="F135" s="2">
        <v>4.4000000000000004</v>
      </c>
      <c r="G135" t="s">
        <v>2113</v>
      </c>
      <c r="I135" t="s">
        <v>55</v>
      </c>
    </row>
    <row r="136" spans="1:9">
      <c r="A136" t="s">
        <v>54</v>
      </c>
      <c r="B136" t="s">
        <v>52</v>
      </c>
      <c r="C136" t="s">
        <v>22</v>
      </c>
      <c r="D136" t="s">
        <v>139</v>
      </c>
      <c r="E136" s="2">
        <v>5.8</v>
      </c>
      <c r="F136" s="2">
        <v>5.8</v>
      </c>
      <c r="G136" t="s">
        <v>2113</v>
      </c>
      <c r="I136" t="s">
        <v>55</v>
      </c>
    </row>
    <row r="137" spans="1:9">
      <c r="A137" t="s">
        <v>54</v>
      </c>
      <c r="B137" t="s">
        <v>52</v>
      </c>
      <c r="C137" t="s">
        <v>134</v>
      </c>
      <c r="D137" t="s">
        <v>139</v>
      </c>
      <c r="E137" s="2">
        <v>4.8</v>
      </c>
      <c r="F137" s="2">
        <v>4.8</v>
      </c>
      <c r="G137" t="s">
        <v>2113</v>
      </c>
      <c r="I137" t="s">
        <v>55</v>
      </c>
    </row>
    <row r="138" spans="1:9">
      <c r="A138" t="s">
        <v>54</v>
      </c>
      <c r="B138" t="s">
        <v>52</v>
      </c>
      <c r="C138" t="s">
        <v>22</v>
      </c>
      <c r="D138" t="s">
        <v>142</v>
      </c>
      <c r="E138" s="2">
        <v>7</v>
      </c>
      <c r="F138" s="2">
        <v>7</v>
      </c>
      <c r="G138" t="s">
        <v>2113</v>
      </c>
      <c r="I138" t="s">
        <v>55</v>
      </c>
    </row>
    <row r="139" spans="1:9">
      <c r="A139" t="s">
        <v>54</v>
      </c>
      <c r="B139" t="s">
        <v>52</v>
      </c>
      <c r="C139" t="s">
        <v>134</v>
      </c>
      <c r="D139" t="s">
        <v>142</v>
      </c>
      <c r="E139" s="2">
        <v>5.6</v>
      </c>
      <c r="F139" s="2">
        <v>5.6</v>
      </c>
      <c r="G139" t="s">
        <v>2113</v>
      </c>
      <c r="I139" t="s">
        <v>55</v>
      </c>
    </row>
    <row r="140" spans="1:9">
      <c r="A140" t="s">
        <v>54</v>
      </c>
      <c r="B140" t="s">
        <v>52</v>
      </c>
      <c r="C140" t="s">
        <v>22</v>
      </c>
      <c r="D140" t="s">
        <v>145</v>
      </c>
      <c r="E140" s="2">
        <v>7.2</v>
      </c>
      <c r="F140" s="2">
        <v>7.2</v>
      </c>
      <c r="G140" t="s">
        <v>2113</v>
      </c>
      <c r="I140" t="s">
        <v>55</v>
      </c>
    </row>
    <row r="141" spans="1:9">
      <c r="A141" t="s">
        <v>54</v>
      </c>
      <c r="B141" t="s">
        <v>52</v>
      </c>
      <c r="C141" t="s">
        <v>134</v>
      </c>
      <c r="D141" t="s">
        <v>145</v>
      </c>
      <c r="E141" s="2">
        <v>6.5</v>
      </c>
      <c r="F141" s="2">
        <v>6.5</v>
      </c>
      <c r="G141" t="s">
        <v>2113</v>
      </c>
      <c r="I141" t="s">
        <v>55</v>
      </c>
    </row>
    <row r="142" spans="1:9">
      <c r="A142" t="s">
        <v>54</v>
      </c>
      <c r="B142" t="s">
        <v>52</v>
      </c>
      <c r="C142" t="s">
        <v>22</v>
      </c>
      <c r="D142" t="s">
        <v>148</v>
      </c>
      <c r="E142" s="2">
        <v>6.9</v>
      </c>
      <c r="F142" s="2">
        <v>6.9</v>
      </c>
      <c r="G142" t="s">
        <v>2113</v>
      </c>
      <c r="I142" t="s">
        <v>55</v>
      </c>
    </row>
    <row r="143" spans="1:9">
      <c r="A143" t="s">
        <v>54</v>
      </c>
      <c r="B143" t="s">
        <v>52</v>
      </c>
      <c r="C143" t="s">
        <v>134</v>
      </c>
      <c r="D143" t="s">
        <v>148</v>
      </c>
      <c r="E143" s="2">
        <v>6.7</v>
      </c>
      <c r="F143" s="2">
        <v>6.7</v>
      </c>
      <c r="G143" t="s">
        <v>2113</v>
      </c>
      <c r="I143" t="s">
        <v>55</v>
      </c>
    </row>
    <row r="144" spans="1:9">
      <c r="A144" t="s">
        <v>54</v>
      </c>
      <c r="B144" t="s">
        <v>52</v>
      </c>
      <c r="C144" t="s">
        <v>22</v>
      </c>
      <c r="D144" t="s">
        <v>151</v>
      </c>
      <c r="E144" s="2">
        <v>6.1</v>
      </c>
      <c r="F144" s="2">
        <v>6.1</v>
      </c>
      <c r="G144" t="s">
        <v>2113</v>
      </c>
      <c r="I144" t="s">
        <v>55</v>
      </c>
    </row>
    <row r="145" spans="1:9">
      <c r="A145" t="s">
        <v>54</v>
      </c>
      <c r="B145" t="s">
        <v>52</v>
      </c>
      <c r="C145" t="s">
        <v>134</v>
      </c>
      <c r="D145" t="s">
        <v>151</v>
      </c>
      <c r="E145" s="2">
        <v>5.9</v>
      </c>
      <c r="F145" s="2">
        <v>5.9</v>
      </c>
      <c r="G145" t="s">
        <v>2113</v>
      </c>
      <c r="I145" t="s">
        <v>55</v>
      </c>
    </row>
    <row r="146" spans="1:9">
      <c r="A146" t="s">
        <v>54</v>
      </c>
      <c r="B146" t="s">
        <v>52</v>
      </c>
      <c r="C146" t="s">
        <v>22</v>
      </c>
      <c r="D146" t="s">
        <v>154</v>
      </c>
      <c r="E146" s="2">
        <v>5.5</v>
      </c>
      <c r="F146" s="2">
        <v>5.5</v>
      </c>
      <c r="G146" t="s">
        <v>2113</v>
      </c>
      <c r="I146" t="s">
        <v>55</v>
      </c>
    </row>
    <row r="147" spans="1:9">
      <c r="A147" t="s">
        <v>54</v>
      </c>
      <c r="B147" t="s">
        <v>52</v>
      </c>
      <c r="C147" t="s">
        <v>134</v>
      </c>
      <c r="D147" t="s">
        <v>154</v>
      </c>
      <c r="E147" s="2">
        <v>5.2</v>
      </c>
      <c r="F147" s="2">
        <v>5.2</v>
      </c>
      <c r="G147" t="s">
        <v>2113</v>
      </c>
      <c r="I147" t="s">
        <v>55</v>
      </c>
    </row>
    <row r="148" spans="1:9">
      <c r="A148" t="s">
        <v>54</v>
      </c>
      <c r="B148" t="s">
        <v>52</v>
      </c>
      <c r="C148" t="s">
        <v>22</v>
      </c>
      <c r="D148" t="s">
        <v>157</v>
      </c>
      <c r="E148" s="2">
        <v>4.5</v>
      </c>
      <c r="F148" s="2">
        <v>4.5</v>
      </c>
      <c r="G148" t="s">
        <v>2113</v>
      </c>
      <c r="I148" t="s">
        <v>55</v>
      </c>
    </row>
    <row r="149" spans="1:9">
      <c r="A149" t="s">
        <v>54</v>
      </c>
      <c r="B149" t="s">
        <v>52</v>
      </c>
      <c r="C149" t="s">
        <v>134</v>
      </c>
      <c r="D149" t="s">
        <v>157</v>
      </c>
      <c r="E149" s="2">
        <v>4.0999999999999996</v>
      </c>
      <c r="F149" s="2">
        <v>4.0999999999999996</v>
      </c>
      <c r="G149" t="s">
        <v>2113</v>
      </c>
      <c r="I149" t="s">
        <v>55</v>
      </c>
    </row>
    <row r="150" spans="1:9">
      <c r="A150" t="s">
        <v>54</v>
      </c>
      <c r="B150" t="s">
        <v>52</v>
      </c>
      <c r="C150" t="s">
        <v>22</v>
      </c>
      <c r="D150" t="s">
        <v>160</v>
      </c>
      <c r="E150" s="2">
        <v>3.4</v>
      </c>
      <c r="F150" s="2">
        <v>3.4</v>
      </c>
      <c r="G150" t="s">
        <v>2113</v>
      </c>
      <c r="I150" t="s">
        <v>55</v>
      </c>
    </row>
    <row r="151" spans="1:9">
      <c r="A151" t="s">
        <v>54</v>
      </c>
      <c r="B151" t="s">
        <v>52</v>
      </c>
      <c r="C151" t="s">
        <v>134</v>
      </c>
      <c r="D151" t="s">
        <v>160</v>
      </c>
      <c r="E151" s="2">
        <v>3.4</v>
      </c>
      <c r="F151" s="2">
        <v>3.4</v>
      </c>
      <c r="G151" t="s">
        <v>2113</v>
      </c>
      <c r="I151" t="s">
        <v>55</v>
      </c>
    </row>
    <row r="152" spans="1:9">
      <c r="A152" t="s">
        <v>54</v>
      </c>
      <c r="B152" t="s">
        <v>52</v>
      </c>
      <c r="C152" t="s">
        <v>22</v>
      </c>
      <c r="D152" t="s">
        <v>183</v>
      </c>
      <c r="E152" s="2">
        <v>3.2</v>
      </c>
      <c r="F152" s="2">
        <v>3.2</v>
      </c>
      <c r="G152" t="s">
        <v>2113</v>
      </c>
      <c r="I152" t="s">
        <v>55</v>
      </c>
    </row>
    <row r="153" spans="1:9">
      <c r="A153" t="s">
        <v>54</v>
      </c>
      <c r="B153" t="s">
        <v>52</v>
      </c>
      <c r="C153" t="s">
        <v>134</v>
      </c>
      <c r="D153" t="s">
        <v>183</v>
      </c>
      <c r="E153" s="2">
        <v>3.1</v>
      </c>
      <c r="F153" s="2">
        <v>3.1</v>
      </c>
      <c r="G153" t="s">
        <v>2113</v>
      </c>
      <c r="I153" t="s">
        <v>55</v>
      </c>
    </row>
    <row r="154" spans="1:9">
      <c r="A154" t="s">
        <v>54</v>
      </c>
      <c r="B154" t="s">
        <v>52</v>
      </c>
      <c r="C154" t="s">
        <v>22</v>
      </c>
      <c r="D154" t="s">
        <v>254</v>
      </c>
      <c r="E154" s="2">
        <v>3.2</v>
      </c>
      <c r="F154" s="2">
        <v>3.2</v>
      </c>
      <c r="G154" t="s">
        <v>2113</v>
      </c>
      <c r="I154" t="s">
        <v>55</v>
      </c>
    </row>
    <row r="155" spans="1:9">
      <c r="A155" t="s">
        <v>54</v>
      </c>
      <c r="B155" t="s">
        <v>52</v>
      </c>
      <c r="C155" t="s">
        <v>134</v>
      </c>
      <c r="D155" t="s">
        <v>254</v>
      </c>
      <c r="E155" s="2">
        <v>3.1</v>
      </c>
      <c r="F155" s="2">
        <v>3.1</v>
      </c>
      <c r="G155" t="s">
        <v>2113</v>
      </c>
      <c r="I155" t="s">
        <v>55</v>
      </c>
    </row>
    <row r="156" spans="1:9">
      <c r="A156" t="s">
        <v>54</v>
      </c>
      <c r="B156" t="s">
        <v>52</v>
      </c>
      <c r="C156" t="s">
        <v>22</v>
      </c>
      <c r="D156" t="s">
        <v>355</v>
      </c>
      <c r="E156" s="2">
        <v>3.1</v>
      </c>
      <c r="F156" s="2">
        <v>3.1</v>
      </c>
      <c r="G156" t="s">
        <v>2113</v>
      </c>
      <c r="I156" t="s">
        <v>55</v>
      </c>
    </row>
    <row r="157" spans="1:9">
      <c r="A157" t="s">
        <v>54</v>
      </c>
      <c r="B157" t="s">
        <v>52</v>
      </c>
      <c r="C157" t="s">
        <v>134</v>
      </c>
      <c r="D157" t="s">
        <v>355</v>
      </c>
      <c r="E157" s="2">
        <v>3</v>
      </c>
      <c r="F157" s="2">
        <v>3</v>
      </c>
      <c r="G157" t="s">
        <v>2113</v>
      </c>
      <c r="I157" t="s">
        <v>55</v>
      </c>
    </row>
    <row r="158" spans="1:9">
      <c r="A158" t="s">
        <v>56</v>
      </c>
      <c r="B158" t="s">
        <v>54</v>
      </c>
      <c r="C158" t="s">
        <v>22</v>
      </c>
      <c r="D158" t="s">
        <v>136</v>
      </c>
      <c r="E158" s="2">
        <v>6</v>
      </c>
      <c r="F158" s="2">
        <v>6</v>
      </c>
      <c r="G158" t="s">
        <v>2113</v>
      </c>
      <c r="I158" t="s">
        <v>57</v>
      </c>
    </row>
    <row r="159" spans="1:9">
      <c r="A159" t="s">
        <v>56</v>
      </c>
      <c r="B159" t="s">
        <v>54</v>
      </c>
      <c r="C159" t="s">
        <v>134</v>
      </c>
      <c r="D159" t="s">
        <v>136</v>
      </c>
      <c r="E159" s="2">
        <v>4.4000000000000004</v>
      </c>
      <c r="F159" s="2">
        <v>4.4000000000000004</v>
      </c>
      <c r="G159" t="s">
        <v>2113</v>
      </c>
      <c r="I159" t="s">
        <v>57</v>
      </c>
    </row>
    <row r="160" spans="1:9">
      <c r="A160" t="s">
        <v>56</v>
      </c>
      <c r="B160" t="s">
        <v>54</v>
      </c>
      <c r="C160" t="s">
        <v>22</v>
      </c>
      <c r="D160" t="s">
        <v>139</v>
      </c>
      <c r="E160" s="2">
        <v>5.8</v>
      </c>
      <c r="F160" s="2">
        <v>5.8</v>
      </c>
      <c r="G160" t="s">
        <v>2113</v>
      </c>
      <c r="I160" t="s">
        <v>57</v>
      </c>
    </row>
    <row r="161" spans="1:9">
      <c r="A161" t="s">
        <v>56</v>
      </c>
      <c r="B161" t="s">
        <v>54</v>
      </c>
      <c r="C161" t="s">
        <v>134</v>
      </c>
      <c r="D161" t="s">
        <v>139</v>
      </c>
      <c r="E161" s="2">
        <v>4.8</v>
      </c>
      <c r="F161" s="2">
        <v>4.8</v>
      </c>
      <c r="G161" t="s">
        <v>2113</v>
      </c>
      <c r="I161" t="s">
        <v>57</v>
      </c>
    </row>
    <row r="162" spans="1:9">
      <c r="A162" t="s">
        <v>56</v>
      </c>
      <c r="B162" t="s">
        <v>54</v>
      </c>
      <c r="C162" t="s">
        <v>22</v>
      </c>
      <c r="D162" t="s">
        <v>142</v>
      </c>
      <c r="E162" s="2">
        <v>7</v>
      </c>
      <c r="F162" s="2">
        <v>7</v>
      </c>
      <c r="G162" t="s">
        <v>2113</v>
      </c>
      <c r="I162" t="s">
        <v>57</v>
      </c>
    </row>
    <row r="163" spans="1:9">
      <c r="A163" t="s">
        <v>56</v>
      </c>
      <c r="B163" t="s">
        <v>54</v>
      </c>
      <c r="C163" t="s">
        <v>134</v>
      </c>
      <c r="D163" t="s">
        <v>142</v>
      </c>
      <c r="E163" s="2">
        <v>5.6</v>
      </c>
      <c r="F163" s="2">
        <v>5.6</v>
      </c>
      <c r="G163" t="s">
        <v>2113</v>
      </c>
      <c r="I163" t="s">
        <v>57</v>
      </c>
    </row>
    <row r="164" spans="1:9">
      <c r="A164" t="s">
        <v>56</v>
      </c>
      <c r="B164" t="s">
        <v>54</v>
      </c>
      <c r="C164" t="s">
        <v>22</v>
      </c>
      <c r="D164" t="s">
        <v>145</v>
      </c>
      <c r="E164" s="2">
        <v>7.3</v>
      </c>
      <c r="F164" s="2">
        <v>7.3</v>
      </c>
      <c r="G164" t="s">
        <v>2113</v>
      </c>
      <c r="I164" t="s">
        <v>57</v>
      </c>
    </row>
    <row r="165" spans="1:9">
      <c r="A165" t="s">
        <v>56</v>
      </c>
      <c r="B165" t="s">
        <v>54</v>
      </c>
      <c r="C165" t="s">
        <v>134</v>
      </c>
      <c r="D165" t="s">
        <v>145</v>
      </c>
      <c r="E165" s="2">
        <v>6.5</v>
      </c>
      <c r="F165" s="2">
        <v>6.5</v>
      </c>
      <c r="G165" t="s">
        <v>2113</v>
      </c>
      <c r="I165" t="s">
        <v>57</v>
      </c>
    </row>
    <row r="166" spans="1:9">
      <c r="A166" t="s">
        <v>56</v>
      </c>
      <c r="B166" t="s">
        <v>54</v>
      </c>
      <c r="C166" t="s">
        <v>22</v>
      </c>
      <c r="D166" t="s">
        <v>148</v>
      </c>
      <c r="E166" s="2">
        <v>7.6</v>
      </c>
      <c r="F166" s="2">
        <v>7.6</v>
      </c>
      <c r="G166" t="s">
        <v>2113</v>
      </c>
      <c r="I166" t="s">
        <v>57</v>
      </c>
    </row>
    <row r="167" spans="1:9">
      <c r="A167" t="s">
        <v>56</v>
      </c>
      <c r="B167" t="s">
        <v>54</v>
      </c>
      <c r="C167" t="s">
        <v>134</v>
      </c>
      <c r="D167" t="s">
        <v>148</v>
      </c>
      <c r="E167" s="2">
        <v>7.2</v>
      </c>
      <c r="F167" s="2">
        <v>7.2</v>
      </c>
      <c r="G167" t="s">
        <v>2113</v>
      </c>
      <c r="I167" t="s">
        <v>57</v>
      </c>
    </row>
    <row r="168" spans="1:9">
      <c r="A168" t="s">
        <v>56</v>
      </c>
      <c r="B168" t="s">
        <v>54</v>
      </c>
      <c r="C168" t="s">
        <v>22</v>
      </c>
      <c r="D168" t="s">
        <v>151</v>
      </c>
      <c r="E168" s="2">
        <v>7</v>
      </c>
      <c r="F168" s="2">
        <v>7</v>
      </c>
      <c r="G168" t="s">
        <v>2113</v>
      </c>
      <c r="I168" t="s">
        <v>57</v>
      </c>
    </row>
    <row r="169" spans="1:9">
      <c r="A169" t="s">
        <v>56</v>
      </c>
      <c r="B169" t="s">
        <v>54</v>
      </c>
      <c r="C169" t="s">
        <v>134</v>
      </c>
      <c r="D169" t="s">
        <v>151</v>
      </c>
      <c r="E169" s="2">
        <v>6.6</v>
      </c>
      <c r="F169" s="2">
        <v>6.6</v>
      </c>
      <c r="G169" t="s">
        <v>2113</v>
      </c>
      <c r="I169" t="s">
        <v>57</v>
      </c>
    </row>
    <row r="170" spans="1:9">
      <c r="A170" t="s">
        <v>56</v>
      </c>
      <c r="B170" t="s">
        <v>54</v>
      </c>
      <c r="C170" t="s">
        <v>22</v>
      </c>
      <c r="D170" t="s">
        <v>154</v>
      </c>
      <c r="E170" s="2">
        <v>6.4</v>
      </c>
      <c r="F170" s="2">
        <v>6.4</v>
      </c>
      <c r="G170" t="s">
        <v>2113</v>
      </c>
      <c r="I170" t="s">
        <v>57</v>
      </c>
    </row>
    <row r="171" spans="1:9">
      <c r="A171" t="s">
        <v>56</v>
      </c>
      <c r="B171" t="s">
        <v>54</v>
      </c>
      <c r="C171" t="s">
        <v>134</v>
      </c>
      <c r="D171" t="s">
        <v>154</v>
      </c>
      <c r="E171" s="2">
        <v>5.9</v>
      </c>
      <c r="F171" s="2">
        <v>5.9</v>
      </c>
      <c r="G171" t="s">
        <v>2113</v>
      </c>
      <c r="I171" t="s">
        <v>57</v>
      </c>
    </row>
    <row r="172" spans="1:9">
      <c r="A172" t="s">
        <v>56</v>
      </c>
      <c r="B172" t="s">
        <v>54</v>
      </c>
      <c r="C172" t="s">
        <v>22</v>
      </c>
      <c r="D172" t="s">
        <v>157</v>
      </c>
      <c r="E172" s="2">
        <v>5.3</v>
      </c>
      <c r="F172" s="2">
        <v>5.3</v>
      </c>
      <c r="G172" t="s">
        <v>2113</v>
      </c>
      <c r="I172" t="s">
        <v>57</v>
      </c>
    </row>
    <row r="173" spans="1:9">
      <c r="A173" t="s">
        <v>56</v>
      </c>
      <c r="B173" t="s">
        <v>54</v>
      </c>
      <c r="C173" t="s">
        <v>134</v>
      </c>
      <c r="D173" t="s">
        <v>157</v>
      </c>
      <c r="E173" s="2">
        <v>4.8</v>
      </c>
      <c r="F173" s="2">
        <v>4.8</v>
      </c>
      <c r="G173" t="s">
        <v>2113</v>
      </c>
      <c r="I173" t="s">
        <v>57</v>
      </c>
    </row>
    <row r="174" spans="1:9">
      <c r="A174" t="s">
        <v>56</v>
      </c>
      <c r="B174" t="s">
        <v>54</v>
      </c>
      <c r="C174" t="s">
        <v>22</v>
      </c>
      <c r="D174" t="s">
        <v>160</v>
      </c>
      <c r="E174" s="2">
        <v>3.5</v>
      </c>
      <c r="F174" s="2">
        <v>3.5</v>
      </c>
      <c r="G174" t="s">
        <v>2113</v>
      </c>
      <c r="I174" t="s">
        <v>57</v>
      </c>
    </row>
    <row r="175" spans="1:9">
      <c r="A175" t="s">
        <v>56</v>
      </c>
      <c r="B175" t="s">
        <v>54</v>
      </c>
      <c r="C175" t="s">
        <v>134</v>
      </c>
      <c r="D175" t="s">
        <v>160</v>
      </c>
      <c r="E175" s="2">
        <v>3.6</v>
      </c>
      <c r="F175" s="2">
        <v>3.6</v>
      </c>
      <c r="G175" t="s">
        <v>2113</v>
      </c>
      <c r="I175" t="s">
        <v>57</v>
      </c>
    </row>
    <row r="176" spans="1:9">
      <c r="A176" t="s">
        <v>56</v>
      </c>
      <c r="B176" t="s">
        <v>54</v>
      </c>
      <c r="C176" t="s">
        <v>22</v>
      </c>
      <c r="D176" t="s">
        <v>183</v>
      </c>
      <c r="E176" s="2">
        <v>3.2</v>
      </c>
      <c r="F176" s="2">
        <v>3.2</v>
      </c>
      <c r="G176" t="s">
        <v>2113</v>
      </c>
      <c r="I176" t="s">
        <v>57</v>
      </c>
    </row>
    <row r="177" spans="1:9">
      <c r="A177" t="s">
        <v>56</v>
      </c>
      <c r="B177" t="s">
        <v>54</v>
      </c>
      <c r="C177" t="s">
        <v>134</v>
      </c>
      <c r="D177" t="s">
        <v>183</v>
      </c>
      <c r="E177" s="2">
        <v>3.3</v>
      </c>
      <c r="F177" s="2">
        <v>3.3</v>
      </c>
      <c r="G177" t="s">
        <v>2113</v>
      </c>
      <c r="I177" t="s">
        <v>57</v>
      </c>
    </row>
    <row r="178" spans="1:9">
      <c r="A178" t="s">
        <v>56</v>
      </c>
      <c r="B178" t="s">
        <v>54</v>
      </c>
      <c r="C178" t="s">
        <v>22</v>
      </c>
      <c r="D178" t="s">
        <v>254</v>
      </c>
      <c r="E178" s="2">
        <v>3.2</v>
      </c>
      <c r="F178" s="2">
        <v>3.2</v>
      </c>
      <c r="G178" t="s">
        <v>2113</v>
      </c>
      <c r="I178" t="s">
        <v>57</v>
      </c>
    </row>
    <row r="179" spans="1:9">
      <c r="A179" t="s">
        <v>56</v>
      </c>
      <c r="B179" t="s">
        <v>54</v>
      </c>
      <c r="C179" t="s">
        <v>134</v>
      </c>
      <c r="D179" t="s">
        <v>254</v>
      </c>
      <c r="E179" s="2">
        <v>3.1</v>
      </c>
      <c r="F179" s="2">
        <v>3.1</v>
      </c>
      <c r="G179" t="s">
        <v>2113</v>
      </c>
      <c r="I179" t="s">
        <v>57</v>
      </c>
    </row>
    <row r="180" spans="1:9">
      <c r="A180" t="s">
        <v>56</v>
      </c>
      <c r="B180" t="s">
        <v>54</v>
      </c>
      <c r="C180" t="s">
        <v>22</v>
      </c>
      <c r="D180" t="s">
        <v>355</v>
      </c>
      <c r="E180" s="2">
        <v>3.1</v>
      </c>
      <c r="F180" s="2">
        <v>3.1</v>
      </c>
      <c r="G180" t="s">
        <v>2113</v>
      </c>
      <c r="I180" t="s">
        <v>57</v>
      </c>
    </row>
    <row r="181" spans="1:9">
      <c r="A181" t="s">
        <v>56</v>
      </c>
      <c r="B181" t="s">
        <v>54</v>
      </c>
      <c r="C181" t="s">
        <v>134</v>
      </c>
      <c r="D181" t="s">
        <v>355</v>
      </c>
      <c r="E181" s="2">
        <v>3</v>
      </c>
      <c r="F181" s="2">
        <v>3</v>
      </c>
      <c r="G181" t="s">
        <v>2113</v>
      </c>
      <c r="I181" t="s">
        <v>57</v>
      </c>
    </row>
    <row r="182" spans="1:9">
      <c r="A182" t="s">
        <v>58</v>
      </c>
      <c r="B182" t="s">
        <v>56</v>
      </c>
      <c r="C182" t="s">
        <v>22</v>
      </c>
      <c r="D182" t="s">
        <v>136</v>
      </c>
      <c r="E182" s="2">
        <v>6</v>
      </c>
      <c r="F182" s="2">
        <v>6</v>
      </c>
      <c r="G182" t="s">
        <v>2113</v>
      </c>
      <c r="I182" t="s">
        <v>59</v>
      </c>
    </row>
    <row r="183" spans="1:9">
      <c r="A183" t="s">
        <v>58</v>
      </c>
      <c r="B183" t="s">
        <v>56</v>
      </c>
      <c r="C183" t="s">
        <v>134</v>
      </c>
      <c r="D183" t="s">
        <v>136</v>
      </c>
      <c r="E183" s="2">
        <v>4.4000000000000004</v>
      </c>
      <c r="F183" s="2">
        <v>4.4000000000000004</v>
      </c>
      <c r="G183" t="s">
        <v>2113</v>
      </c>
      <c r="I183" t="s">
        <v>59</v>
      </c>
    </row>
    <row r="184" spans="1:9">
      <c r="A184" t="s">
        <v>58</v>
      </c>
      <c r="B184" t="s">
        <v>56</v>
      </c>
      <c r="C184" t="s">
        <v>22</v>
      </c>
      <c r="D184" t="s">
        <v>139</v>
      </c>
      <c r="E184" s="2">
        <v>5.8</v>
      </c>
      <c r="F184" s="2">
        <v>5.8</v>
      </c>
      <c r="G184" t="s">
        <v>2113</v>
      </c>
      <c r="I184" t="s">
        <v>59</v>
      </c>
    </row>
    <row r="185" spans="1:9">
      <c r="A185" t="s">
        <v>58</v>
      </c>
      <c r="B185" t="s">
        <v>56</v>
      </c>
      <c r="C185" t="s">
        <v>134</v>
      </c>
      <c r="D185" t="s">
        <v>139</v>
      </c>
      <c r="E185" s="2">
        <v>4.8</v>
      </c>
      <c r="F185" s="2">
        <v>4.8</v>
      </c>
      <c r="G185" t="s">
        <v>2113</v>
      </c>
      <c r="I185" t="s">
        <v>59</v>
      </c>
    </row>
    <row r="186" spans="1:9">
      <c r="A186" t="s">
        <v>58</v>
      </c>
      <c r="B186" t="s">
        <v>56</v>
      </c>
      <c r="C186" t="s">
        <v>22</v>
      </c>
      <c r="D186" t="s">
        <v>142</v>
      </c>
      <c r="E186" s="2">
        <v>7</v>
      </c>
      <c r="F186" s="2">
        <v>7</v>
      </c>
      <c r="G186" t="s">
        <v>2113</v>
      </c>
      <c r="I186" t="s">
        <v>59</v>
      </c>
    </row>
    <row r="187" spans="1:9">
      <c r="A187" t="s">
        <v>58</v>
      </c>
      <c r="B187" t="s">
        <v>56</v>
      </c>
      <c r="C187" t="s">
        <v>134</v>
      </c>
      <c r="D187" t="s">
        <v>142</v>
      </c>
      <c r="E187" s="2">
        <v>5.6</v>
      </c>
      <c r="F187" s="2">
        <v>5.6</v>
      </c>
      <c r="G187" t="s">
        <v>2113</v>
      </c>
      <c r="I187" t="s">
        <v>59</v>
      </c>
    </row>
    <row r="188" spans="1:9">
      <c r="A188" t="s">
        <v>58</v>
      </c>
      <c r="B188" t="s">
        <v>56</v>
      </c>
      <c r="C188" t="s">
        <v>22</v>
      </c>
      <c r="D188" t="s">
        <v>145</v>
      </c>
      <c r="E188" s="2">
        <v>7.3</v>
      </c>
      <c r="F188" s="2">
        <v>7.3</v>
      </c>
      <c r="G188" t="s">
        <v>2113</v>
      </c>
      <c r="I188" t="s">
        <v>59</v>
      </c>
    </row>
    <row r="189" spans="1:9">
      <c r="A189" t="s">
        <v>58</v>
      </c>
      <c r="B189" t="s">
        <v>56</v>
      </c>
      <c r="C189" t="s">
        <v>134</v>
      </c>
      <c r="D189" t="s">
        <v>145</v>
      </c>
      <c r="E189" s="2">
        <v>6.5</v>
      </c>
      <c r="F189" s="2">
        <v>6.5</v>
      </c>
      <c r="G189" t="s">
        <v>2113</v>
      </c>
      <c r="I189" t="s">
        <v>59</v>
      </c>
    </row>
    <row r="190" spans="1:9">
      <c r="A190" t="s">
        <v>58</v>
      </c>
      <c r="B190" t="s">
        <v>56</v>
      </c>
      <c r="C190" t="s">
        <v>22</v>
      </c>
      <c r="D190" t="s">
        <v>148</v>
      </c>
      <c r="E190" s="2">
        <v>7.8</v>
      </c>
      <c r="F190" s="2">
        <v>7.8</v>
      </c>
      <c r="G190" t="s">
        <v>2113</v>
      </c>
      <c r="I190" t="s">
        <v>59</v>
      </c>
    </row>
    <row r="191" spans="1:9">
      <c r="A191" t="s">
        <v>58</v>
      </c>
      <c r="B191" t="s">
        <v>56</v>
      </c>
      <c r="C191" t="s">
        <v>134</v>
      </c>
      <c r="D191" t="s">
        <v>148</v>
      </c>
      <c r="E191" s="2">
        <v>7.3</v>
      </c>
      <c r="F191" s="2">
        <v>7.3</v>
      </c>
      <c r="G191" t="s">
        <v>2113</v>
      </c>
      <c r="I191" t="s">
        <v>59</v>
      </c>
    </row>
    <row r="192" spans="1:9">
      <c r="A192" t="s">
        <v>58</v>
      </c>
      <c r="B192" t="s">
        <v>56</v>
      </c>
      <c r="C192" t="s">
        <v>22</v>
      </c>
      <c r="D192" t="s">
        <v>151</v>
      </c>
      <c r="E192" s="2">
        <v>8.1</v>
      </c>
      <c r="F192" s="2">
        <v>8.1</v>
      </c>
      <c r="G192" t="s">
        <v>2113</v>
      </c>
      <c r="I192" t="s">
        <v>59</v>
      </c>
    </row>
    <row r="193" spans="1:9">
      <c r="A193" t="s">
        <v>58</v>
      </c>
      <c r="B193" t="s">
        <v>56</v>
      </c>
      <c r="C193" t="s">
        <v>134</v>
      </c>
      <c r="D193" t="s">
        <v>151</v>
      </c>
      <c r="E193" s="2">
        <v>7.4</v>
      </c>
      <c r="F193" s="2">
        <v>7.4</v>
      </c>
      <c r="G193" t="s">
        <v>2113</v>
      </c>
      <c r="I193" t="s">
        <v>59</v>
      </c>
    </row>
    <row r="194" spans="1:9">
      <c r="A194" t="s">
        <v>58</v>
      </c>
      <c r="B194" t="s">
        <v>56</v>
      </c>
      <c r="C194" t="s">
        <v>22</v>
      </c>
      <c r="D194" t="s">
        <v>154</v>
      </c>
      <c r="E194" s="2">
        <v>7.5</v>
      </c>
      <c r="F194" s="2">
        <v>7.5</v>
      </c>
      <c r="G194" t="s">
        <v>2113</v>
      </c>
      <c r="I194" t="s">
        <v>59</v>
      </c>
    </row>
    <row r="195" spans="1:9">
      <c r="A195" t="s">
        <v>58</v>
      </c>
      <c r="B195" t="s">
        <v>56</v>
      </c>
      <c r="C195" t="s">
        <v>134</v>
      </c>
      <c r="D195" t="s">
        <v>154</v>
      </c>
      <c r="E195" s="2">
        <v>6.8</v>
      </c>
      <c r="F195" s="2">
        <v>6.8</v>
      </c>
      <c r="G195" t="s">
        <v>2113</v>
      </c>
      <c r="I195" t="s">
        <v>59</v>
      </c>
    </row>
    <row r="196" spans="1:9">
      <c r="A196" t="s">
        <v>58</v>
      </c>
      <c r="B196" t="s">
        <v>56</v>
      </c>
      <c r="C196" t="s">
        <v>22</v>
      </c>
      <c r="D196" t="s">
        <v>157</v>
      </c>
      <c r="E196" s="2">
        <v>6.5</v>
      </c>
      <c r="F196" s="2">
        <v>6.5</v>
      </c>
      <c r="G196" t="s">
        <v>2113</v>
      </c>
      <c r="I196" t="s">
        <v>59</v>
      </c>
    </row>
    <row r="197" spans="1:9">
      <c r="A197" t="s">
        <v>58</v>
      </c>
      <c r="B197" t="s">
        <v>56</v>
      </c>
      <c r="C197" t="s">
        <v>134</v>
      </c>
      <c r="D197" t="s">
        <v>157</v>
      </c>
      <c r="E197" s="2">
        <v>5.7</v>
      </c>
      <c r="F197" s="2">
        <v>5.7</v>
      </c>
      <c r="G197" t="s">
        <v>2113</v>
      </c>
      <c r="I197" t="s">
        <v>59</v>
      </c>
    </row>
    <row r="198" spans="1:9">
      <c r="A198" t="s">
        <v>58</v>
      </c>
      <c r="B198" t="s">
        <v>56</v>
      </c>
      <c r="C198" t="s">
        <v>22</v>
      </c>
      <c r="D198" t="s">
        <v>160</v>
      </c>
      <c r="E198" s="2">
        <v>4.4000000000000004</v>
      </c>
      <c r="F198" s="2">
        <v>4.4000000000000004</v>
      </c>
      <c r="G198" t="s">
        <v>2113</v>
      </c>
      <c r="I198" t="s">
        <v>59</v>
      </c>
    </row>
    <row r="199" spans="1:9">
      <c r="A199" t="s">
        <v>58</v>
      </c>
      <c r="B199" t="s">
        <v>56</v>
      </c>
      <c r="C199" t="s">
        <v>134</v>
      </c>
      <c r="D199" t="s">
        <v>160</v>
      </c>
      <c r="E199" s="2">
        <v>4.3</v>
      </c>
      <c r="F199" s="2">
        <v>4.3</v>
      </c>
      <c r="G199" t="s">
        <v>2113</v>
      </c>
      <c r="I199" t="s">
        <v>59</v>
      </c>
    </row>
    <row r="200" spans="1:9">
      <c r="A200" t="s">
        <v>58</v>
      </c>
      <c r="B200" t="s">
        <v>56</v>
      </c>
      <c r="C200" t="s">
        <v>22</v>
      </c>
      <c r="D200" t="s">
        <v>183</v>
      </c>
      <c r="E200" s="2">
        <v>3.5</v>
      </c>
      <c r="F200" s="2">
        <v>3.5</v>
      </c>
      <c r="G200" t="s">
        <v>2113</v>
      </c>
      <c r="I200" t="s">
        <v>59</v>
      </c>
    </row>
    <row r="201" spans="1:9">
      <c r="A201" t="s">
        <v>58</v>
      </c>
      <c r="B201" t="s">
        <v>56</v>
      </c>
      <c r="C201" t="s">
        <v>134</v>
      </c>
      <c r="D201" t="s">
        <v>183</v>
      </c>
      <c r="E201" s="2">
        <v>3.5</v>
      </c>
      <c r="F201" s="2">
        <v>3.5</v>
      </c>
      <c r="G201" t="s">
        <v>2113</v>
      </c>
      <c r="I201" t="s">
        <v>59</v>
      </c>
    </row>
    <row r="202" spans="1:9">
      <c r="A202" t="s">
        <v>58</v>
      </c>
      <c r="B202" t="s">
        <v>56</v>
      </c>
      <c r="C202" t="s">
        <v>22</v>
      </c>
      <c r="D202" t="s">
        <v>254</v>
      </c>
      <c r="E202" s="2">
        <v>3.2</v>
      </c>
      <c r="F202" s="2">
        <v>3.2</v>
      </c>
      <c r="G202" t="s">
        <v>2113</v>
      </c>
      <c r="I202" t="s">
        <v>59</v>
      </c>
    </row>
    <row r="203" spans="1:9">
      <c r="A203" t="s">
        <v>58</v>
      </c>
      <c r="B203" t="s">
        <v>56</v>
      </c>
      <c r="C203" t="s">
        <v>134</v>
      </c>
      <c r="D203" t="s">
        <v>254</v>
      </c>
      <c r="E203" s="2">
        <v>3.2</v>
      </c>
      <c r="F203" s="2">
        <v>3.2</v>
      </c>
      <c r="G203" t="s">
        <v>2113</v>
      </c>
      <c r="I203" t="s">
        <v>59</v>
      </c>
    </row>
    <row r="204" spans="1:9">
      <c r="A204" t="s">
        <v>58</v>
      </c>
      <c r="B204" t="s">
        <v>56</v>
      </c>
      <c r="C204" t="s">
        <v>22</v>
      </c>
      <c r="D204" t="s">
        <v>355</v>
      </c>
      <c r="E204" s="2">
        <v>3.1</v>
      </c>
      <c r="F204" s="2">
        <v>3.1</v>
      </c>
      <c r="G204" t="s">
        <v>2113</v>
      </c>
      <c r="I204" t="s">
        <v>59</v>
      </c>
    </row>
    <row r="205" spans="1:9">
      <c r="A205" t="s">
        <v>58</v>
      </c>
      <c r="B205" t="s">
        <v>56</v>
      </c>
      <c r="C205" t="s">
        <v>134</v>
      </c>
      <c r="D205" t="s">
        <v>355</v>
      </c>
      <c r="E205" s="2">
        <v>3.1</v>
      </c>
      <c r="F205" s="2">
        <v>3.1</v>
      </c>
      <c r="G205" t="s">
        <v>2113</v>
      </c>
      <c r="I205" t="s">
        <v>59</v>
      </c>
    </row>
    <row r="206" spans="1:9">
      <c r="A206" t="s">
        <v>58</v>
      </c>
      <c r="B206" t="s">
        <v>56</v>
      </c>
      <c r="C206" t="s">
        <v>22</v>
      </c>
      <c r="D206" t="s">
        <v>460</v>
      </c>
      <c r="E206" s="2">
        <v>3.1</v>
      </c>
      <c r="F206" s="2">
        <v>3.1</v>
      </c>
      <c r="G206" t="s">
        <v>2113</v>
      </c>
      <c r="I206" t="s">
        <v>59</v>
      </c>
    </row>
    <row r="207" spans="1:9">
      <c r="A207" t="s">
        <v>58</v>
      </c>
      <c r="B207" t="s">
        <v>56</v>
      </c>
      <c r="C207" t="s">
        <v>134</v>
      </c>
      <c r="D207" t="s">
        <v>460</v>
      </c>
      <c r="E207" s="2">
        <v>3.1</v>
      </c>
      <c r="F207" s="2">
        <v>3.1</v>
      </c>
      <c r="G207" t="s">
        <v>2113</v>
      </c>
      <c r="I207" t="s">
        <v>59</v>
      </c>
    </row>
    <row r="208" spans="1:9">
      <c r="A208" t="s">
        <v>60</v>
      </c>
      <c r="B208" t="s">
        <v>58</v>
      </c>
      <c r="C208" t="s">
        <v>22</v>
      </c>
      <c r="D208" t="s">
        <v>139</v>
      </c>
      <c r="E208" s="2">
        <v>5.8</v>
      </c>
      <c r="F208" s="2">
        <v>5.8</v>
      </c>
      <c r="G208" t="s">
        <v>2113</v>
      </c>
      <c r="I208" t="s">
        <v>61</v>
      </c>
    </row>
    <row r="209" spans="1:9">
      <c r="A209" t="s">
        <v>60</v>
      </c>
      <c r="B209" t="s">
        <v>58</v>
      </c>
      <c r="C209" t="s">
        <v>134</v>
      </c>
      <c r="D209" t="s">
        <v>139</v>
      </c>
      <c r="E209" s="2">
        <v>4.8</v>
      </c>
      <c r="F209" s="2">
        <v>4.8</v>
      </c>
      <c r="G209" t="s">
        <v>2113</v>
      </c>
      <c r="I209" t="s">
        <v>61</v>
      </c>
    </row>
    <row r="210" spans="1:9">
      <c r="A210" t="s">
        <v>60</v>
      </c>
      <c r="B210" t="s">
        <v>58</v>
      </c>
      <c r="C210" t="s">
        <v>22</v>
      </c>
      <c r="D210" t="s">
        <v>142</v>
      </c>
      <c r="E210" s="2">
        <v>7</v>
      </c>
      <c r="F210" s="2">
        <v>7</v>
      </c>
      <c r="G210" t="s">
        <v>2113</v>
      </c>
      <c r="I210" t="s">
        <v>61</v>
      </c>
    </row>
    <row r="211" spans="1:9">
      <c r="A211" t="s">
        <v>60</v>
      </c>
      <c r="B211" t="s">
        <v>58</v>
      </c>
      <c r="C211" t="s">
        <v>134</v>
      </c>
      <c r="D211" t="s">
        <v>142</v>
      </c>
      <c r="E211" s="2">
        <v>5.6</v>
      </c>
      <c r="F211" s="2">
        <v>5.6</v>
      </c>
      <c r="G211" t="s">
        <v>2113</v>
      </c>
      <c r="I211" t="s">
        <v>61</v>
      </c>
    </row>
    <row r="212" spans="1:9">
      <c r="A212" t="s">
        <v>60</v>
      </c>
      <c r="B212" t="s">
        <v>58</v>
      </c>
      <c r="C212" t="s">
        <v>22</v>
      </c>
      <c r="D212" t="s">
        <v>145</v>
      </c>
      <c r="E212" s="2">
        <v>7.3</v>
      </c>
      <c r="F212" s="2">
        <v>7.3</v>
      </c>
      <c r="G212" t="s">
        <v>2113</v>
      </c>
      <c r="I212" t="s">
        <v>61</v>
      </c>
    </row>
    <row r="213" spans="1:9">
      <c r="A213" t="s">
        <v>60</v>
      </c>
      <c r="B213" t="s">
        <v>58</v>
      </c>
      <c r="C213" t="s">
        <v>134</v>
      </c>
      <c r="D213" t="s">
        <v>145</v>
      </c>
      <c r="E213" s="2">
        <v>6.5</v>
      </c>
      <c r="F213" s="2">
        <v>6.5</v>
      </c>
      <c r="G213" t="s">
        <v>2113</v>
      </c>
      <c r="I213" t="s">
        <v>61</v>
      </c>
    </row>
    <row r="214" spans="1:9">
      <c r="A214" t="s">
        <v>60</v>
      </c>
      <c r="B214" t="s">
        <v>58</v>
      </c>
      <c r="C214" t="s">
        <v>22</v>
      </c>
      <c r="D214" t="s">
        <v>148</v>
      </c>
      <c r="E214" s="2">
        <v>7.8</v>
      </c>
      <c r="F214" s="2">
        <v>7.8</v>
      </c>
      <c r="G214" t="s">
        <v>2113</v>
      </c>
      <c r="I214" t="s">
        <v>61</v>
      </c>
    </row>
    <row r="215" spans="1:9">
      <c r="A215" t="s">
        <v>60</v>
      </c>
      <c r="B215" t="s">
        <v>58</v>
      </c>
      <c r="C215" t="s">
        <v>134</v>
      </c>
      <c r="D215" t="s">
        <v>148</v>
      </c>
      <c r="E215" s="2">
        <v>7.3</v>
      </c>
      <c r="F215" s="2">
        <v>7.3</v>
      </c>
      <c r="G215" t="s">
        <v>2113</v>
      </c>
      <c r="I215" t="s">
        <v>61</v>
      </c>
    </row>
    <row r="216" spans="1:9">
      <c r="A216" t="s">
        <v>60</v>
      </c>
      <c r="B216" t="s">
        <v>58</v>
      </c>
      <c r="C216" t="s">
        <v>22</v>
      </c>
      <c r="D216" t="s">
        <v>151</v>
      </c>
      <c r="E216" s="2">
        <v>8.5</v>
      </c>
      <c r="F216" s="2">
        <v>8.5</v>
      </c>
      <c r="G216" t="s">
        <v>2113</v>
      </c>
      <c r="I216" t="s">
        <v>61</v>
      </c>
    </row>
    <row r="217" spans="1:9">
      <c r="A217" t="s">
        <v>60</v>
      </c>
      <c r="B217" t="s">
        <v>58</v>
      </c>
      <c r="C217" t="s">
        <v>134</v>
      </c>
      <c r="D217" t="s">
        <v>151</v>
      </c>
      <c r="E217" s="2">
        <v>7.9</v>
      </c>
      <c r="F217" s="2">
        <v>7.9</v>
      </c>
      <c r="G217" t="s">
        <v>2113</v>
      </c>
      <c r="I217" t="s">
        <v>61</v>
      </c>
    </row>
    <row r="218" spans="1:9">
      <c r="A218" t="s">
        <v>60</v>
      </c>
      <c r="B218" t="s">
        <v>58</v>
      </c>
      <c r="C218" t="s">
        <v>22</v>
      </c>
      <c r="D218" t="s">
        <v>154</v>
      </c>
      <c r="E218" s="2">
        <v>8.1</v>
      </c>
      <c r="F218" s="2">
        <v>8.1</v>
      </c>
      <c r="G218" t="s">
        <v>2113</v>
      </c>
      <c r="I218" t="s">
        <v>61</v>
      </c>
    </row>
    <row r="219" spans="1:9">
      <c r="A219" t="s">
        <v>60</v>
      </c>
      <c r="B219" t="s">
        <v>58</v>
      </c>
      <c r="C219" t="s">
        <v>134</v>
      </c>
      <c r="D219" t="s">
        <v>154</v>
      </c>
      <c r="E219" s="2">
        <v>7.6</v>
      </c>
      <c r="F219" s="2">
        <v>7.6</v>
      </c>
      <c r="G219" t="s">
        <v>2113</v>
      </c>
      <c r="I219" t="s">
        <v>61</v>
      </c>
    </row>
    <row r="220" spans="1:9">
      <c r="A220" t="s">
        <v>60</v>
      </c>
      <c r="B220" t="s">
        <v>58</v>
      </c>
      <c r="C220" t="s">
        <v>22</v>
      </c>
      <c r="D220" t="s">
        <v>157</v>
      </c>
      <c r="E220" s="2">
        <v>7.1</v>
      </c>
      <c r="F220" s="2">
        <v>7.1</v>
      </c>
      <c r="G220" t="s">
        <v>2113</v>
      </c>
      <c r="I220" t="s">
        <v>61</v>
      </c>
    </row>
    <row r="221" spans="1:9">
      <c r="A221" t="s">
        <v>60</v>
      </c>
      <c r="B221" t="s">
        <v>58</v>
      </c>
      <c r="C221" t="s">
        <v>134</v>
      </c>
      <c r="D221" t="s">
        <v>157</v>
      </c>
      <c r="E221" s="2">
        <v>6.5</v>
      </c>
      <c r="F221" s="2">
        <v>6.5</v>
      </c>
      <c r="G221" t="s">
        <v>2113</v>
      </c>
      <c r="I221" t="s">
        <v>61</v>
      </c>
    </row>
    <row r="222" spans="1:9">
      <c r="A222" t="s">
        <v>60</v>
      </c>
      <c r="B222" t="s">
        <v>58</v>
      </c>
      <c r="C222" t="s">
        <v>22</v>
      </c>
      <c r="D222" t="s">
        <v>160</v>
      </c>
      <c r="E222" s="2">
        <v>5</v>
      </c>
      <c r="F222" s="2">
        <v>5</v>
      </c>
      <c r="G222" t="s">
        <v>2113</v>
      </c>
      <c r="I222" t="s">
        <v>61</v>
      </c>
    </row>
    <row r="223" spans="1:9">
      <c r="A223" t="s">
        <v>60</v>
      </c>
      <c r="B223" t="s">
        <v>58</v>
      </c>
      <c r="C223" t="s">
        <v>134</v>
      </c>
      <c r="D223" t="s">
        <v>160</v>
      </c>
      <c r="E223" s="2">
        <v>5.0999999999999996</v>
      </c>
      <c r="F223" s="2">
        <v>5.0999999999999996</v>
      </c>
      <c r="G223" t="s">
        <v>2113</v>
      </c>
      <c r="I223" t="s">
        <v>61</v>
      </c>
    </row>
    <row r="224" spans="1:9">
      <c r="A224" t="s">
        <v>60</v>
      </c>
      <c r="B224" t="s">
        <v>58</v>
      </c>
      <c r="C224" t="s">
        <v>22</v>
      </c>
      <c r="D224" t="s">
        <v>183</v>
      </c>
      <c r="E224" s="2">
        <v>3.7</v>
      </c>
      <c r="F224" s="2">
        <v>3.7</v>
      </c>
      <c r="G224" t="s">
        <v>2113</v>
      </c>
      <c r="I224" t="s">
        <v>61</v>
      </c>
    </row>
    <row r="225" spans="1:9">
      <c r="A225" t="s">
        <v>60</v>
      </c>
      <c r="B225" t="s">
        <v>58</v>
      </c>
      <c r="C225" t="s">
        <v>134</v>
      </c>
      <c r="D225" t="s">
        <v>183</v>
      </c>
      <c r="E225" s="2">
        <v>3.8</v>
      </c>
      <c r="F225" s="2">
        <v>3.8</v>
      </c>
      <c r="G225" t="s">
        <v>2113</v>
      </c>
      <c r="I225" t="s">
        <v>61</v>
      </c>
    </row>
    <row r="226" spans="1:9">
      <c r="A226" t="s">
        <v>60</v>
      </c>
      <c r="B226" t="s">
        <v>58</v>
      </c>
      <c r="C226" t="s">
        <v>22</v>
      </c>
      <c r="D226" t="s">
        <v>254</v>
      </c>
      <c r="E226" s="2">
        <v>3.2</v>
      </c>
      <c r="F226" s="2">
        <v>3.2</v>
      </c>
      <c r="G226" t="s">
        <v>2113</v>
      </c>
      <c r="I226" t="s">
        <v>61</v>
      </c>
    </row>
    <row r="227" spans="1:9">
      <c r="A227" t="s">
        <v>60</v>
      </c>
      <c r="B227" t="s">
        <v>58</v>
      </c>
      <c r="C227" t="s">
        <v>134</v>
      </c>
      <c r="D227" t="s">
        <v>254</v>
      </c>
      <c r="E227" s="2">
        <v>3.2</v>
      </c>
      <c r="F227" s="2">
        <v>3.2</v>
      </c>
      <c r="G227" t="s">
        <v>2113</v>
      </c>
      <c r="I227" t="s">
        <v>61</v>
      </c>
    </row>
    <row r="228" spans="1:9">
      <c r="A228" t="s">
        <v>60</v>
      </c>
      <c r="B228" t="s">
        <v>58</v>
      </c>
      <c r="C228" t="s">
        <v>22</v>
      </c>
      <c r="D228" t="s">
        <v>355</v>
      </c>
      <c r="E228" s="2">
        <v>3.1</v>
      </c>
      <c r="F228" s="2">
        <v>3.1</v>
      </c>
      <c r="G228" t="s">
        <v>2113</v>
      </c>
      <c r="I228" t="s">
        <v>61</v>
      </c>
    </row>
    <row r="229" spans="1:9">
      <c r="A229" t="s">
        <v>60</v>
      </c>
      <c r="B229" t="s">
        <v>58</v>
      </c>
      <c r="C229" t="s">
        <v>134</v>
      </c>
      <c r="D229" t="s">
        <v>355</v>
      </c>
      <c r="E229" s="2">
        <v>3.1</v>
      </c>
      <c r="F229" s="2">
        <v>3.1</v>
      </c>
      <c r="G229" t="s">
        <v>2113</v>
      </c>
      <c r="I229" t="s">
        <v>61</v>
      </c>
    </row>
    <row r="230" spans="1:9">
      <c r="A230" t="s">
        <v>60</v>
      </c>
      <c r="B230" t="s">
        <v>58</v>
      </c>
      <c r="C230" t="s">
        <v>22</v>
      </c>
      <c r="D230" t="s">
        <v>460</v>
      </c>
      <c r="E230" s="2">
        <v>3.1</v>
      </c>
      <c r="F230" s="2">
        <v>3.1</v>
      </c>
      <c r="G230" t="s">
        <v>2113</v>
      </c>
      <c r="I230" t="s">
        <v>61</v>
      </c>
    </row>
    <row r="231" spans="1:9">
      <c r="A231" t="s">
        <v>60</v>
      </c>
      <c r="B231" t="s">
        <v>58</v>
      </c>
      <c r="C231" t="s">
        <v>134</v>
      </c>
      <c r="D231" t="s">
        <v>460</v>
      </c>
      <c r="E231" s="2">
        <v>3</v>
      </c>
      <c r="F231" s="2">
        <v>3</v>
      </c>
      <c r="G231" t="s">
        <v>2113</v>
      </c>
      <c r="I231" t="s">
        <v>61</v>
      </c>
    </row>
    <row r="232" spans="1:9">
      <c r="A232" t="s">
        <v>62</v>
      </c>
      <c r="B232" t="s">
        <v>60</v>
      </c>
      <c r="C232" t="s">
        <v>22</v>
      </c>
      <c r="D232" t="s">
        <v>139</v>
      </c>
      <c r="E232" s="2">
        <v>5.8</v>
      </c>
      <c r="F232" s="2">
        <v>5.8</v>
      </c>
      <c r="G232" t="s">
        <v>2113</v>
      </c>
      <c r="I232" t="s">
        <v>63</v>
      </c>
    </row>
    <row r="233" spans="1:9">
      <c r="A233" t="s">
        <v>62</v>
      </c>
      <c r="B233" t="s">
        <v>60</v>
      </c>
      <c r="C233" t="s">
        <v>134</v>
      </c>
      <c r="D233" t="s">
        <v>139</v>
      </c>
      <c r="E233" s="2">
        <v>4.8</v>
      </c>
      <c r="F233" s="2">
        <v>4.8</v>
      </c>
      <c r="G233" t="s">
        <v>2113</v>
      </c>
      <c r="I233" t="s">
        <v>63</v>
      </c>
    </row>
    <row r="234" spans="1:9">
      <c r="A234" t="s">
        <v>62</v>
      </c>
      <c r="B234" t="s">
        <v>60</v>
      </c>
      <c r="C234" t="s">
        <v>22</v>
      </c>
      <c r="D234" t="s">
        <v>142</v>
      </c>
      <c r="E234" s="2">
        <v>7</v>
      </c>
      <c r="F234" s="2">
        <v>7</v>
      </c>
      <c r="G234" t="s">
        <v>2113</v>
      </c>
      <c r="I234" t="s">
        <v>63</v>
      </c>
    </row>
    <row r="235" spans="1:9">
      <c r="A235" t="s">
        <v>62</v>
      </c>
      <c r="B235" t="s">
        <v>60</v>
      </c>
      <c r="C235" t="s">
        <v>134</v>
      </c>
      <c r="D235" t="s">
        <v>142</v>
      </c>
      <c r="E235" s="2">
        <v>5.6</v>
      </c>
      <c r="F235" s="2">
        <v>5.6</v>
      </c>
      <c r="G235" t="s">
        <v>2113</v>
      </c>
      <c r="I235" t="s">
        <v>63</v>
      </c>
    </row>
    <row r="236" spans="1:9">
      <c r="A236" t="s">
        <v>62</v>
      </c>
      <c r="B236" t="s">
        <v>60</v>
      </c>
      <c r="C236" t="s">
        <v>22</v>
      </c>
      <c r="D236" t="s">
        <v>145</v>
      </c>
      <c r="E236" s="2">
        <v>7.3</v>
      </c>
      <c r="F236" s="2">
        <v>7.3</v>
      </c>
      <c r="G236" t="s">
        <v>2113</v>
      </c>
      <c r="I236" t="s">
        <v>63</v>
      </c>
    </row>
    <row r="237" spans="1:9">
      <c r="A237" t="s">
        <v>62</v>
      </c>
      <c r="B237" t="s">
        <v>60</v>
      </c>
      <c r="C237" t="s">
        <v>134</v>
      </c>
      <c r="D237" t="s">
        <v>145</v>
      </c>
      <c r="E237" s="2">
        <v>6.5</v>
      </c>
      <c r="F237" s="2">
        <v>6.5</v>
      </c>
      <c r="G237" t="s">
        <v>2113</v>
      </c>
      <c r="I237" t="s">
        <v>63</v>
      </c>
    </row>
    <row r="238" spans="1:9">
      <c r="A238" t="s">
        <v>62</v>
      </c>
      <c r="B238" t="s">
        <v>60</v>
      </c>
      <c r="C238" t="s">
        <v>22</v>
      </c>
      <c r="D238" t="s">
        <v>148</v>
      </c>
      <c r="E238" s="2">
        <v>7.8</v>
      </c>
      <c r="F238" s="2">
        <v>7.8</v>
      </c>
      <c r="G238" t="s">
        <v>2113</v>
      </c>
      <c r="I238" t="s">
        <v>63</v>
      </c>
    </row>
    <row r="239" spans="1:9">
      <c r="A239" t="s">
        <v>62</v>
      </c>
      <c r="B239" t="s">
        <v>60</v>
      </c>
      <c r="C239" t="s">
        <v>134</v>
      </c>
      <c r="D239" t="s">
        <v>148</v>
      </c>
      <c r="E239" s="2">
        <v>7.3</v>
      </c>
      <c r="F239" s="2">
        <v>7.3</v>
      </c>
      <c r="G239" t="s">
        <v>2113</v>
      </c>
      <c r="I239" t="s">
        <v>63</v>
      </c>
    </row>
    <row r="240" spans="1:9">
      <c r="A240" t="s">
        <v>62</v>
      </c>
      <c r="B240" t="s">
        <v>60</v>
      </c>
      <c r="C240" t="s">
        <v>22</v>
      </c>
      <c r="D240" t="s">
        <v>151</v>
      </c>
      <c r="E240" s="2">
        <v>8.6</v>
      </c>
      <c r="F240" s="2">
        <v>8.6</v>
      </c>
      <c r="G240" t="s">
        <v>2113</v>
      </c>
      <c r="I240" t="s">
        <v>63</v>
      </c>
    </row>
    <row r="241" spans="1:9">
      <c r="A241" t="s">
        <v>62</v>
      </c>
      <c r="B241" t="s">
        <v>60</v>
      </c>
      <c r="C241" t="s">
        <v>134</v>
      </c>
      <c r="D241" t="s">
        <v>151</v>
      </c>
      <c r="E241" s="2">
        <v>8</v>
      </c>
      <c r="F241" s="2">
        <v>8</v>
      </c>
      <c r="G241" t="s">
        <v>2113</v>
      </c>
      <c r="I241" t="s">
        <v>63</v>
      </c>
    </row>
    <row r="242" spans="1:9">
      <c r="A242" t="s">
        <v>62</v>
      </c>
      <c r="B242" t="s">
        <v>60</v>
      </c>
      <c r="C242" t="s">
        <v>22</v>
      </c>
      <c r="D242" t="s">
        <v>154</v>
      </c>
      <c r="E242" s="2">
        <v>8.6</v>
      </c>
      <c r="F242" s="2">
        <v>8.6</v>
      </c>
      <c r="G242" t="s">
        <v>2113</v>
      </c>
      <c r="I242" t="s">
        <v>63</v>
      </c>
    </row>
    <row r="243" spans="1:9">
      <c r="A243" t="s">
        <v>62</v>
      </c>
      <c r="B243" t="s">
        <v>60</v>
      </c>
      <c r="C243" t="s">
        <v>134</v>
      </c>
      <c r="D243" t="s">
        <v>154</v>
      </c>
      <c r="E243" s="2">
        <v>8.1999999999999993</v>
      </c>
      <c r="F243" s="2">
        <v>8.1999999999999993</v>
      </c>
      <c r="G243" t="s">
        <v>2113</v>
      </c>
      <c r="I243" t="s">
        <v>63</v>
      </c>
    </row>
    <row r="244" spans="1:9">
      <c r="A244" t="s">
        <v>62</v>
      </c>
      <c r="B244" t="s">
        <v>60</v>
      </c>
      <c r="C244" t="s">
        <v>22</v>
      </c>
      <c r="D244" t="s">
        <v>157</v>
      </c>
      <c r="E244" s="2">
        <v>7.9</v>
      </c>
      <c r="F244" s="2">
        <v>7.9</v>
      </c>
      <c r="G244" t="s">
        <v>2113</v>
      </c>
      <c r="I244" t="s">
        <v>63</v>
      </c>
    </row>
    <row r="245" spans="1:9">
      <c r="A245" t="s">
        <v>62</v>
      </c>
      <c r="B245" t="s">
        <v>60</v>
      </c>
      <c r="C245" t="s">
        <v>134</v>
      </c>
      <c r="D245" t="s">
        <v>157</v>
      </c>
      <c r="E245" s="2">
        <v>7.3</v>
      </c>
      <c r="F245" s="2">
        <v>7.3</v>
      </c>
      <c r="G245" t="s">
        <v>2113</v>
      </c>
      <c r="I245" t="s">
        <v>63</v>
      </c>
    </row>
    <row r="246" spans="1:9">
      <c r="A246" t="s">
        <v>62</v>
      </c>
      <c r="B246" t="s">
        <v>60</v>
      </c>
      <c r="C246" t="s">
        <v>22</v>
      </c>
      <c r="D246" t="s">
        <v>160</v>
      </c>
      <c r="E246" s="2">
        <v>6</v>
      </c>
      <c r="F246" s="2">
        <v>6</v>
      </c>
      <c r="G246" t="s">
        <v>2113</v>
      </c>
      <c r="I246" t="s">
        <v>63</v>
      </c>
    </row>
    <row r="247" spans="1:9">
      <c r="A247" t="s">
        <v>62</v>
      </c>
      <c r="B247" t="s">
        <v>60</v>
      </c>
      <c r="C247" t="s">
        <v>134</v>
      </c>
      <c r="D247" t="s">
        <v>160</v>
      </c>
      <c r="E247" s="2">
        <v>6.2</v>
      </c>
      <c r="F247" s="2">
        <v>6.2</v>
      </c>
      <c r="G247" t="s">
        <v>2113</v>
      </c>
      <c r="I247" t="s">
        <v>63</v>
      </c>
    </row>
    <row r="248" spans="1:9">
      <c r="A248" t="s">
        <v>62</v>
      </c>
      <c r="B248" t="s">
        <v>60</v>
      </c>
      <c r="C248" t="s">
        <v>22</v>
      </c>
      <c r="D248" t="s">
        <v>183</v>
      </c>
      <c r="E248" s="2">
        <v>4.8</v>
      </c>
      <c r="F248" s="2">
        <v>4.8</v>
      </c>
      <c r="G248" t="s">
        <v>2113</v>
      </c>
      <c r="I248" t="s">
        <v>63</v>
      </c>
    </row>
    <row r="249" spans="1:9">
      <c r="A249" t="s">
        <v>62</v>
      </c>
      <c r="B249" t="s">
        <v>60</v>
      </c>
      <c r="C249" t="s">
        <v>134</v>
      </c>
      <c r="D249" t="s">
        <v>183</v>
      </c>
      <c r="E249" s="2">
        <v>5</v>
      </c>
      <c r="F249" s="2">
        <v>5</v>
      </c>
      <c r="G249" t="s">
        <v>2113</v>
      </c>
      <c r="I249" t="s">
        <v>63</v>
      </c>
    </row>
    <row r="250" spans="1:9">
      <c r="A250" t="s">
        <v>62</v>
      </c>
      <c r="B250" t="s">
        <v>60</v>
      </c>
      <c r="C250" t="s">
        <v>22</v>
      </c>
      <c r="D250" t="s">
        <v>254</v>
      </c>
      <c r="E250" s="2">
        <v>4</v>
      </c>
      <c r="F250" s="2">
        <v>4</v>
      </c>
      <c r="G250" t="s">
        <v>2113</v>
      </c>
      <c r="I250" t="s">
        <v>63</v>
      </c>
    </row>
    <row r="251" spans="1:9">
      <c r="A251" t="s">
        <v>62</v>
      </c>
      <c r="B251" t="s">
        <v>60</v>
      </c>
      <c r="C251" t="s">
        <v>134</v>
      </c>
      <c r="D251" t="s">
        <v>254</v>
      </c>
      <c r="E251" s="2">
        <v>4.0999999999999996</v>
      </c>
      <c r="F251" s="2">
        <v>4.0999999999999996</v>
      </c>
      <c r="G251" t="s">
        <v>2113</v>
      </c>
      <c r="I251" t="s">
        <v>63</v>
      </c>
    </row>
    <row r="252" spans="1:9">
      <c r="A252" t="s">
        <v>62</v>
      </c>
      <c r="B252" t="s">
        <v>60</v>
      </c>
      <c r="C252" t="s">
        <v>22</v>
      </c>
      <c r="D252" t="s">
        <v>355</v>
      </c>
      <c r="E252" s="2">
        <v>3.7</v>
      </c>
      <c r="F252" s="2">
        <v>3.7</v>
      </c>
      <c r="G252" t="s">
        <v>2113</v>
      </c>
      <c r="I252" t="s">
        <v>63</v>
      </c>
    </row>
    <row r="253" spans="1:9">
      <c r="A253" t="s">
        <v>62</v>
      </c>
      <c r="B253" t="s">
        <v>60</v>
      </c>
      <c r="C253" t="s">
        <v>134</v>
      </c>
      <c r="D253" t="s">
        <v>355</v>
      </c>
      <c r="E253" s="2">
        <v>3.6</v>
      </c>
      <c r="F253" s="2">
        <v>3.6</v>
      </c>
      <c r="G253" t="s">
        <v>2113</v>
      </c>
      <c r="I253" t="s">
        <v>63</v>
      </c>
    </row>
    <row r="254" spans="1:9">
      <c r="A254" t="s">
        <v>62</v>
      </c>
      <c r="B254" t="s">
        <v>60</v>
      </c>
      <c r="C254" t="s">
        <v>22</v>
      </c>
      <c r="D254" t="s">
        <v>460</v>
      </c>
      <c r="E254" s="2">
        <v>3.4</v>
      </c>
      <c r="F254" s="2">
        <v>3.4</v>
      </c>
      <c r="G254" t="s">
        <v>2113</v>
      </c>
      <c r="I254" t="s">
        <v>63</v>
      </c>
    </row>
    <row r="255" spans="1:9">
      <c r="A255" t="s">
        <v>62</v>
      </c>
      <c r="B255" t="s">
        <v>60</v>
      </c>
      <c r="C255" t="s">
        <v>134</v>
      </c>
      <c r="D255" t="s">
        <v>460</v>
      </c>
      <c r="E255" s="2">
        <v>3.2</v>
      </c>
      <c r="F255" s="2">
        <v>3.2</v>
      </c>
      <c r="G255" t="s">
        <v>2113</v>
      </c>
      <c r="I255" t="s">
        <v>63</v>
      </c>
    </row>
    <row r="256" spans="1:9">
      <c r="A256" t="s">
        <v>62</v>
      </c>
      <c r="B256" t="s">
        <v>60</v>
      </c>
      <c r="C256" t="s">
        <v>22</v>
      </c>
      <c r="D256" t="s">
        <v>565</v>
      </c>
      <c r="E256" s="2">
        <v>3.1</v>
      </c>
      <c r="F256" s="2">
        <v>3.1</v>
      </c>
      <c r="G256" t="s">
        <v>2113</v>
      </c>
      <c r="I256" t="s">
        <v>63</v>
      </c>
    </row>
    <row r="257" spans="1:9">
      <c r="A257" t="s">
        <v>62</v>
      </c>
      <c r="B257" t="s">
        <v>60</v>
      </c>
      <c r="C257" t="s">
        <v>134</v>
      </c>
      <c r="D257" t="s">
        <v>565</v>
      </c>
      <c r="E257" s="2">
        <v>3</v>
      </c>
      <c r="F257" s="2">
        <v>3</v>
      </c>
      <c r="G257" t="s">
        <v>2113</v>
      </c>
      <c r="I257" t="s">
        <v>63</v>
      </c>
    </row>
    <row r="258" spans="1:9">
      <c r="A258" t="s">
        <v>64</v>
      </c>
      <c r="B258" t="s">
        <v>62</v>
      </c>
      <c r="C258" t="s">
        <v>22</v>
      </c>
      <c r="D258" t="s">
        <v>142</v>
      </c>
      <c r="E258" s="2">
        <v>7</v>
      </c>
      <c r="F258" s="2">
        <v>7</v>
      </c>
      <c r="G258" t="s">
        <v>2113</v>
      </c>
      <c r="I258" t="s">
        <v>65</v>
      </c>
    </row>
    <row r="259" spans="1:9">
      <c r="A259" t="s">
        <v>64</v>
      </c>
      <c r="B259" t="s">
        <v>62</v>
      </c>
      <c r="C259" t="s">
        <v>134</v>
      </c>
      <c r="D259" t="s">
        <v>142</v>
      </c>
      <c r="E259" s="2">
        <v>5.6</v>
      </c>
      <c r="F259" s="2">
        <v>5.6</v>
      </c>
      <c r="G259" t="s">
        <v>2113</v>
      </c>
      <c r="I259" t="s">
        <v>65</v>
      </c>
    </row>
    <row r="260" spans="1:9">
      <c r="A260" t="s">
        <v>64</v>
      </c>
      <c r="B260" t="s">
        <v>62</v>
      </c>
      <c r="C260" t="s">
        <v>22</v>
      </c>
      <c r="D260" t="s">
        <v>145</v>
      </c>
      <c r="E260" s="2">
        <v>7.3</v>
      </c>
      <c r="F260" s="2">
        <v>7.3</v>
      </c>
      <c r="G260" t="s">
        <v>2113</v>
      </c>
      <c r="I260" t="s">
        <v>65</v>
      </c>
    </row>
    <row r="261" spans="1:9">
      <c r="A261" t="s">
        <v>64</v>
      </c>
      <c r="B261" t="s">
        <v>62</v>
      </c>
      <c r="C261" t="s">
        <v>134</v>
      </c>
      <c r="D261" t="s">
        <v>145</v>
      </c>
      <c r="E261" s="2">
        <v>6.5</v>
      </c>
      <c r="F261" s="2">
        <v>6.5</v>
      </c>
      <c r="G261" t="s">
        <v>2113</v>
      </c>
      <c r="I261" t="s">
        <v>65</v>
      </c>
    </row>
    <row r="262" spans="1:9">
      <c r="A262" t="s">
        <v>64</v>
      </c>
      <c r="B262" t="s">
        <v>62</v>
      </c>
      <c r="C262" t="s">
        <v>22</v>
      </c>
      <c r="D262" t="s">
        <v>148</v>
      </c>
      <c r="E262" s="2">
        <v>7.8</v>
      </c>
      <c r="F262" s="2">
        <v>7.8</v>
      </c>
      <c r="G262" t="s">
        <v>2113</v>
      </c>
      <c r="I262" t="s">
        <v>65</v>
      </c>
    </row>
    <row r="263" spans="1:9">
      <c r="A263" t="s">
        <v>64</v>
      </c>
      <c r="B263" t="s">
        <v>62</v>
      </c>
      <c r="C263" t="s">
        <v>134</v>
      </c>
      <c r="D263" t="s">
        <v>148</v>
      </c>
      <c r="E263" s="2">
        <v>7.3</v>
      </c>
      <c r="F263" s="2">
        <v>7.3</v>
      </c>
      <c r="G263" t="s">
        <v>2113</v>
      </c>
      <c r="I263" t="s">
        <v>65</v>
      </c>
    </row>
    <row r="264" spans="1:9">
      <c r="A264" t="s">
        <v>64</v>
      </c>
      <c r="B264" t="s">
        <v>62</v>
      </c>
      <c r="C264" t="s">
        <v>22</v>
      </c>
      <c r="D264" t="s">
        <v>151</v>
      </c>
      <c r="E264" s="2">
        <v>8.5</v>
      </c>
      <c r="F264" s="2">
        <v>8.5</v>
      </c>
      <c r="G264" t="s">
        <v>2113</v>
      </c>
      <c r="I264" t="s">
        <v>65</v>
      </c>
    </row>
    <row r="265" spans="1:9">
      <c r="A265" t="s">
        <v>64</v>
      </c>
      <c r="B265" t="s">
        <v>62</v>
      </c>
      <c r="C265" t="s">
        <v>134</v>
      </c>
      <c r="D265" t="s">
        <v>151</v>
      </c>
      <c r="E265" s="2">
        <v>8</v>
      </c>
      <c r="F265" s="2">
        <v>8</v>
      </c>
      <c r="G265" t="s">
        <v>2113</v>
      </c>
      <c r="I265" t="s">
        <v>65</v>
      </c>
    </row>
    <row r="266" spans="1:9">
      <c r="A266" t="s">
        <v>64</v>
      </c>
      <c r="B266" t="s">
        <v>62</v>
      </c>
      <c r="C266" t="s">
        <v>22</v>
      </c>
      <c r="D266" t="s">
        <v>154</v>
      </c>
      <c r="E266" s="2">
        <v>8.3000000000000007</v>
      </c>
      <c r="F266" s="2">
        <v>8.3000000000000007</v>
      </c>
      <c r="G266" t="s">
        <v>2113</v>
      </c>
      <c r="I266" t="s">
        <v>65</v>
      </c>
    </row>
    <row r="267" spans="1:9">
      <c r="A267" t="s">
        <v>64</v>
      </c>
      <c r="B267" t="s">
        <v>62</v>
      </c>
      <c r="C267" t="s">
        <v>134</v>
      </c>
      <c r="D267" t="s">
        <v>154</v>
      </c>
      <c r="E267" s="2">
        <v>8.3000000000000007</v>
      </c>
      <c r="F267" s="2">
        <v>8.3000000000000007</v>
      </c>
      <c r="G267" t="s">
        <v>2113</v>
      </c>
      <c r="I267" t="s">
        <v>65</v>
      </c>
    </row>
    <row r="268" spans="1:9">
      <c r="A268" t="s">
        <v>64</v>
      </c>
      <c r="B268" t="s">
        <v>62</v>
      </c>
      <c r="C268" t="s">
        <v>22</v>
      </c>
      <c r="D268" t="s">
        <v>157</v>
      </c>
      <c r="E268" s="2">
        <v>7.6</v>
      </c>
      <c r="F268" s="2">
        <v>7.6</v>
      </c>
      <c r="G268" t="s">
        <v>2113</v>
      </c>
      <c r="I268" t="s">
        <v>65</v>
      </c>
    </row>
    <row r="269" spans="1:9">
      <c r="A269" t="s">
        <v>64</v>
      </c>
      <c r="B269" t="s">
        <v>62</v>
      </c>
      <c r="C269" t="s">
        <v>134</v>
      </c>
      <c r="D269" t="s">
        <v>157</v>
      </c>
      <c r="E269" s="2">
        <v>7.5</v>
      </c>
      <c r="F269" s="2">
        <v>7.5</v>
      </c>
      <c r="G269" t="s">
        <v>2113</v>
      </c>
      <c r="I269" t="s">
        <v>65</v>
      </c>
    </row>
    <row r="270" spans="1:9">
      <c r="A270" t="s">
        <v>64</v>
      </c>
      <c r="B270" t="s">
        <v>62</v>
      </c>
      <c r="C270" t="s">
        <v>22</v>
      </c>
      <c r="D270" t="s">
        <v>160</v>
      </c>
      <c r="E270" s="2">
        <v>5.8</v>
      </c>
      <c r="F270" s="2">
        <v>5.8</v>
      </c>
      <c r="G270" t="s">
        <v>2113</v>
      </c>
      <c r="I270" t="s">
        <v>65</v>
      </c>
    </row>
    <row r="271" spans="1:9">
      <c r="A271" t="s">
        <v>64</v>
      </c>
      <c r="B271" t="s">
        <v>62</v>
      </c>
      <c r="C271" t="s">
        <v>134</v>
      </c>
      <c r="D271" t="s">
        <v>160</v>
      </c>
      <c r="E271" s="2">
        <v>6.4</v>
      </c>
      <c r="F271" s="2">
        <v>6.4</v>
      </c>
      <c r="G271" t="s">
        <v>2113</v>
      </c>
      <c r="I271" t="s">
        <v>65</v>
      </c>
    </row>
    <row r="272" spans="1:9">
      <c r="A272" t="s">
        <v>64</v>
      </c>
      <c r="B272" t="s">
        <v>62</v>
      </c>
      <c r="C272" t="s">
        <v>22</v>
      </c>
      <c r="D272" t="s">
        <v>183</v>
      </c>
      <c r="E272" s="2">
        <v>4.7</v>
      </c>
      <c r="F272" s="2">
        <v>4.7</v>
      </c>
      <c r="G272" t="s">
        <v>2113</v>
      </c>
      <c r="I272" t="s">
        <v>65</v>
      </c>
    </row>
    <row r="273" spans="1:9">
      <c r="A273" t="s">
        <v>64</v>
      </c>
      <c r="B273" t="s">
        <v>62</v>
      </c>
      <c r="C273" t="s">
        <v>134</v>
      </c>
      <c r="D273" t="s">
        <v>183</v>
      </c>
      <c r="E273" s="2">
        <v>5.2</v>
      </c>
      <c r="F273" s="2">
        <v>5.2</v>
      </c>
      <c r="G273" t="s">
        <v>2113</v>
      </c>
      <c r="I273" t="s">
        <v>65</v>
      </c>
    </row>
    <row r="274" spans="1:9">
      <c r="A274" t="s">
        <v>64</v>
      </c>
      <c r="B274" t="s">
        <v>62</v>
      </c>
      <c r="C274" t="s">
        <v>22</v>
      </c>
      <c r="D274" t="s">
        <v>254</v>
      </c>
      <c r="E274" s="2">
        <v>4.0999999999999996</v>
      </c>
      <c r="F274" s="2">
        <v>4.0999999999999996</v>
      </c>
      <c r="G274" t="s">
        <v>2113</v>
      </c>
      <c r="I274" t="s">
        <v>65</v>
      </c>
    </row>
    <row r="275" spans="1:9">
      <c r="A275" t="s">
        <v>64</v>
      </c>
      <c r="B275" t="s">
        <v>62</v>
      </c>
      <c r="C275" t="s">
        <v>134</v>
      </c>
      <c r="D275" t="s">
        <v>254</v>
      </c>
      <c r="E275" s="2">
        <v>4.0999999999999996</v>
      </c>
      <c r="F275" s="2">
        <v>4.0999999999999996</v>
      </c>
      <c r="G275" t="s">
        <v>2113</v>
      </c>
      <c r="I275" t="s">
        <v>65</v>
      </c>
    </row>
    <row r="276" spans="1:9">
      <c r="A276" t="s">
        <v>64</v>
      </c>
      <c r="B276" t="s">
        <v>62</v>
      </c>
      <c r="C276" t="s">
        <v>22</v>
      </c>
      <c r="D276" t="s">
        <v>355</v>
      </c>
      <c r="E276" s="2">
        <v>3.8</v>
      </c>
      <c r="F276" s="2">
        <v>3.8</v>
      </c>
      <c r="G276" t="s">
        <v>2113</v>
      </c>
      <c r="I276" t="s">
        <v>65</v>
      </c>
    </row>
    <row r="277" spans="1:9">
      <c r="A277" t="s">
        <v>64</v>
      </c>
      <c r="B277" t="s">
        <v>62</v>
      </c>
      <c r="C277" t="s">
        <v>134</v>
      </c>
      <c r="D277" t="s">
        <v>355</v>
      </c>
      <c r="E277" s="2">
        <v>3.6</v>
      </c>
      <c r="F277" s="2">
        <v>3.6</v>
      </c>
      <c r="G277" t="s">
        <v>2113</v>
      </c>
      <c r="I277" t="s">
        <v>65</v>
      </c>
    </row>
    <row r="278" spans="1:9">
      <c r="A278" t="s">
        <v>64</v>
      </c>
      <c r="B278" t="s">
        <v>62</v>
      </c>
      <c r="C278" t="s">
        <v>22</v>
      </c>
      <c r="D278" t="s">
        <v>460</v>
      </c>
      <c r="E278" s="2">
        <v>3.4</v>
      </c>
      <c r="F278" s="2">
        <v>3.4</v>
      </c>
      <c r="G278" t="s">
        <v>2113</v>
      </c>
      <c r="I278" t="s">
        <v>65</v>
      </c>
    </row>
    <row r="279" spans="1:9">
      <c r="A279" t="s">
        <v>64</v>
      </c>
      <c r="B279" t="s">
        <v>62</v>
      </c>
      <c r="C279" t="s">
        <v>134</v>
      </c>
      <c r="D279" t="s">
        <v>460</v>
      </c>
      <c r="E279" s="2">
        <v>3.2</v>
      </c>
      <c r="F279" s="2">
        <v>3.2</v>
      </c>
      <c r="G279" t="s">
        <v>2113</v>
      </c>
      <c r="I279" t="s">
        <v>65</v>
      </c>
    </row>
    <row r="280" spans="1:9">
      <c r="A280" t="s">
        <v>64</v>
      </c>
      <c r="B280" t="s">
        <v>62</v>
      </c>
      <c r="C280" t="s">
        <v>22</v>
      </c>
      <c r="D280" t="s">
        <v>565</v>
      </c>
      <c r="E280" s="2">
        <v>3.1</v>
      </c>
      <c r="F280" s="2">
        <v>3.1</v>
      </c>
      <c r="G280" t="s">
        <v>2113</v>
      </c>
      <c r="I280" t="s">
        <v>65</v>
      </c>
    </row>
    <row r="281" spans="1:9">
      <c r="A281" t="s">
        <v>64</v>
      </c>
      <c r="B281" t="s">
        <v>62</v>
      </c>
      <c r="C281" t="s">
        <v>134</v>
      </c>
      <c r="D281" t="s">
        <v>565</v>
      </c>
      <c r="E281" s="2">
        <v>3</v>
      </c>
      <c r="F281" s="2">
        <v>3</v>
      </c>
      <c r="G281" t="s">
        <v>2113</v>
      </c>
      <c r="I281" t="s">
        <v>65</v>
      </c>
    </row>
    <row r="282" spans="1:9">
      <c r="A282" t="s">
        <v>66</v>
      </c>
      <c r="B282" t="s">
        <v>64</v>
      </c>
      <c r="C282" t="s">
        <v>22</v>
      </c>
      <c r="D282" t="s">
        <v>145</v>
      </c>
      <c r="E282" s="2">
        <v>7.3</v>
      </c>
      <c r="F282" s="2">
        <v>7.3</v>
      </c>
      <c r="G282" t="s">
        <v>2113</v>
      </c>
      <c r="I282" t="s">
        <v>67</v>
      </c>
    </row>
    <row r="283" spans="1:9">
      <c r="A283" t="s">
        <v>66</v>
      </c>
      <c r="B283" t="s">
        <v>64</v>
      </c>
      <c r="C283" t="s">
        <v>134</v>
      </c>
      <c r="D283" t="s">
        <v>145</v>
      </c>
      <c r="E283" s="2">
        <v>6.5</v>
      </c>
      <c r="F283" s="2">
        <v>6.5</v>
      </c>
      <c r="G283" t="s">
        <v>2113</v>
      </c>
      <c r="I283" t="s">
        <v>67</v>
      </c>
    </row>
    <row r="284" spans="1:9">
      <c r="A284" t="s">
        <v>66</v>
      </c>
      <c r="B284" t="s">
        <v>64</v>
      </c>
      <c r="C284" t="s">
        <v>22</v>
      </c>
      <c r="D284" t="s">
        <v>148</v>
      </c>
      <c r="E284" s="2">
        <v>7.8</v>
      </c>
      <c r="F284" s="2">
        <v>7.8</v>
      </c>
      <c r="G284" t="s">
        <v>2113</v>
      </c>
      <c r="I284" t="s">
        <v>67</v>
      </c>
    </row>
    <row r="285" spans="1:9">
      <c r="A285" t="s">
        <v>66</v>
      </c>
      <c r="B285" t="s">
        <v>64</v>
      </c>
      <c r="C285" t="s">
        <v>134</v>
      </c>
      <c r="D285" t="s">
        <v>148</v>
      </c>
      <c r="E285" s="2">
        <v>7.3</v>
      </c>
      <c r="F285" s="2">
        <v>7.3</v>
      </c>
      <c r="G285" t="s">
        <v>2113</v>
      </c>
      <c r="I285" t="s">
        <v>67</v>
      </c>
    </row>
    <row r="286" spans="1:9">
      <c r="A286" t="s">
        <v>66</v>
      </c>
      <c r="B286" t="s">
        <v>64</v>
      </c>
      <c r="C286" t="s">
        <v>22</v>
      </c>
      <c r="D286" t="s">
        <v>151</v>
      </c>
      <c r="E286" s="2">
        <v>8.5</v>
      </c>
      <c r="F286" s="2">
        <v>8.5</v>
      </c>
      <c r="G286" t="s">
        <v>2113</v>
      </c>
      <c r="I286" t="s">
        <v>67</v>
      </c>
    </row>
    <row r="287" spans="1:9">
      <c r="A287" t="s">
        <v>66</v>
      </c>
      <c r="B287" t="s">
        <v>64</v>
      </c>
      <c r="C287" t="s">
        <v>134</v>
      </c>
      <c r="D287" t="s">
        <v>151</v>
      </c>
      <c r="E287" s="2">
        <v>8</v>
      </c>
      <c r="F287" s="2">
        <v>8</v>
      </c>
      <c r="G287" t="s">
        <v>2113</v>
      </c>
      <c r="I287" t="s">
        <v>67</v>
      </c>
    </row>
    <row r="288" spans="1:9">
      <c r="A288" t="s">
        <v>66</v>
      </c>
      <c r="B288" t="s">
        <v>64</v>
      </c>
      <c r="C288" t="s">
        <v>22</v>
      </c>
      <c r="D288" t="s">
        <v>154</v>
      </c>
      <c r="E288" s="2">
        <v>8.1</v>
      </c>
      <c r="F288" s="2">
        <v>8.1</v>
      </c>
      <c r="G288" t="s">
        <v>2113</v>
      </c>
      <c r="I288" t="s">
        <v>67</v>
      </c>
    </row>
    <row r="289" spans="1:9">
      <c r="A289" t="s">
        <v>66</v>
      </c>
      <c r="B289" t="s">
        <v>64</v>
      </c>
      <c r="C289" t="s">
        <v>134</v>
      </c>
      <c r="D289" t="s">
        <v>154</v>
      </c>
      <c r="E289" s="2">
        <v>8.5</v>
      </c>
      <c r="F289" s="2">
        <v>8.5</v>
      </c>
      <c r="G289" t="s">
        <v>2113</v>
      </c>
      <c r="I289" t="s">
        <v>67</v>
      </c>
    </row>
    <row r="290" spans="1:9">
      <c r="A290" t="s">
        <v>66</v>
      </c>
      <c r="B290" t="s">
        <v>64</v>
      </c>
      <c r="C290" t="s">
        <v>22</v>
      </c>
      <c r="D290" t="s">
        <v>157</v>
      </c>
      <c r="E290" s="2">
        <v>7.5</v>
      </c>
      <c r="F290" s="2">
        <v>7.5</v>
      </c>
      <c r="G290" t="s">
        <v>2113</v>
      </c>
      <c r="I290" t="s">
        <v>67</v>
      </c>
    </row>
    <row r="291" spans="1:9">
      <c r="A291" t="s">
        <v>66</v>
      </c>
      <c r="B291" t="s">
        <v>64</v>
      </c>
      <c r="C291" t="s">
        <v>134</v>
      </c>
      <c r="D291" t="s">
        <v>157</v>
      </c>
      <c r="E291" s="2">
        <v>7.8</v>
      </c>
      <c r="F291" s="2">
        <v>7.8</v>
      </c>
      <c r="G291" t="s">
        <v>2113</v>
      </c>
      <c r="I291" t="s">
        <v>67</v>
      </c>
    </row>
    <row r="292" spans="1:9">
      <c r="A292" t="s">
        <v>66</v>
      </c>
      <c r="B292" t="s">
        <v>64</v>
      </c>
      <c r="C292" t="s">
        <v>22</v>
      </c>
      <c r="D292" t="s">
        <v>160</v>
      </c>
      <c r="E292" s="2">
        <v>5.9</v>
      </c>
      <c r="F292" s="2">
        <v>5.9</v>
      </c>
      <c r="G292" t="s">
        <v>2113</v>
      </c>
      <c r="I292" t="s">
        <v>67</v>
      </c>
    </row>
    <row r="293" spans="1:9">
      <c r="A293" t="s">
        <v>66</v>
      </c>
      <c r="B293" t="s">
        <v>64</v>
      </c>
      <c r="C293" t="s">
        <v>134</v>
      </c>
      <c r="D293" t="s">
        <v>160</v>
      </c>
      <c r="E293" s="2">
        <v>6.7</v>
      </c>
      <c r="F293" s="2">
        <v>6.7</v>
      </c>
      <c r="G293" t="s">
        <v>2113</v>
      </c>
      <c r="I293" t="s">
        <v>67</v>
      </c>
    </row>
    <row r="294" spans="1:9">
      <c r="A294" t="s">
        <v>66</v>
      </c>
      <c r="B294" t="s">
        <v>64</v>
      </c>
      <c r="C294" t="s">
        <v>22</v>
      </c>
      <c r="D294" t="s">
        <v>183</v>
      </c>
      <c r="E294" s="2">
        <v>4.8</v>
      </c>
      <c r="F294" s="2">
        <v>4.8</v>
      </c>
      <c r="G294" t="s">
        <v>2113</v>
      </c>
      <c r="I294" t="s">
        <v>67</v>
      </c>
    </row>
    <row r="295" spans="1:9">
      <c r="A295" t="s">
        <v>66</v>
      </c>
      <c r="B295" t="s">
        <v>64</v>
      </c>
      <c r="C295" t="s">
        <v>134</v>
      </c>
      <c r="D295" t="s">
        <v>183</v>
      </c>
      <c r="E295" s="2">
        <v>5.5</v>
      </c>
      <c r="F295" s="2">
        <v>5.5</v>
      </c>
      <c r="G295" t="s">
        <v>2113</v>
      </c>
      <c r="I295" t="s">
        <v>67</v>
      </c>
    </row>
    <row r="296" spans="1:9">
      <c r="A296" t="s">
        <v>66</v>
      </c>
      <c r="B296" t="s">
        <v>64</v>
      </c>
      <c r="C296" t="s">
        <v>22</v>
      </c>
      <c r="D296" t="s">
        <v>254</v>
      </c>
      <c r="E296" s="2">
        <v>4.2</v>
      </c>
      <c r="F296" s="2">
        <v>4.2</v>
      </c>
      <c r="G296" t="s">
        <v>2113</v>
      </c>
      <c r="I296" t="s">
        <v>67</v>
      </c>
    </row>
    <row r="297" spans="1:9">
      <c r="A297" t="s">
        <v>66</v>
      </c>
      <c r="B297" t="s">
        <v>64</v>
      </c>
      <c r="C297" t="s">
        <v>134</v>
      </c>
      <c r="D297" t="s">
        <v>254</v>
      </c>
      <c r="E297" s="2">
        <v>4.3</v>
      </c>
      <c r="F297" s="2">
        <v>4.3</v>
      </c>
      <c r="G297" t="s">
        <v>2113</v>
      </c>
      <c r="I297" t="s">
        <v>67</v>
      </c>
    </row>
    <row r="298" spans="1:9">
      <c r="A298" t="s">
        <v>66</v>
      </c>
      <c r="B298" t="s">
        <v>64</v>
      </c>
      <c r="C298" t="s">
        <v>22</v>
      </c>
      <c r="D298" t="s">
        <v>355</v>
      </c>
      <c r="E298" s="2">
        <v>3.8</v>
      </c>
      <c r="F298" s="2">
        <v>3.8</v>
      </c>
      <c r="G298" t="s">
        <v>2113</v>
      </c>
      <c r="I298" t="s">
        <v>67</v>
      </c>
    </row>
    <row r="299" spans="1:9">
      <c r="A299" t="s">
        <v>66</v>
      </c>
      <c r="B299" t="s">
        <v>64</v>
      </c>
      <c r="C299" t="s">
        <v>134</v>
      </c>
      <c r="D299" t="s">
        <v>355</v>
      </c>
      <c r="E299" s="2">
        <v>3.7</v>
      </c>
      <c r="F299" s="2">
        <v>3.7</v>
      </c>
      <c r="G299" t="s">
        <v>2113</v>
      </c>
      <c r="I299" t="s">
        <v>67</v>
      </c>
    </row>
    <row r="300" spans="1:9">
      <c r="A300" t="s">
        <v>66</v>
      </c>
      <c r="B300" t="s">
        <v>64</v>
      </c>
      <c r="C300" t="s">
        <v>22</v>
      </c>
      <c r="D300" t="s">
        <v>460</v>
      </c>
      <c r="E300" s="2">
        <v>3.4</v>
      </c>
      <c r="F300" s="2">
        <v>3.4</v>
      </c>
      <c r="G300" t="s">
        <v>2113</v>
      </c>
      <c r="I300" t="s">
        <v>67</v>
      </c>
    </row>
    <row r="301" spans="1:9">
      <c r="A301" t="s">
        <v>66</v>
      </c>
      <c r="B301" t="s">
        <v>64</v>
      </c>
      <c r="C301" t="s">
        <v>134</v>
      </c>
      <c r="D301" t="s">
        <v>460</v>
      </c>
      <c r="E301" s="2">
        <v>3.2</v>
      </c>
      <c r="F301" s="2">
        <v>3.2</v>
      </c>
      <c r="G301" t="s">
        <v>2113</v>
      </c>
      <c r="I301" t="s">
        <v>67</v>
      </c>
    </row>
    <row r="302" spans="1:9">
      <c r="A302" t="s">
        <v>66</v>
      </c>
      <c r="B302" t="s">
        <v>64</v>
      </c>
      <c r="C302" t="s">
        <v>22</v>
      </c>
      <c r="D302" t="s">
        <v>565</v>
      </c>
      <c r="E302" s="2">
        <v>3.1</v>
      </c>
      <c r="F302" s="2">
        <v>3.1</v>
      </c>
      <c r="G302" t="s">
        <v>2113</v>
      </c>
      <c r="I302" t="s">
        <v>67</v>
      </c>
    </row>
    <row r="303" spans="1:9">
      <c r="A303" t="s">
        <v>66</v>
      </c>
      <c r="B303" t="s">
        <v>64</v>
      </c>
      <c r="C303" t="s">
        <v>134</v>
      </c>
      <c r="D303" t="s">
        <v>565</v>
      </c>
      <c r="E303" s="2">
        <v>3</v>
      </c>
      <c r="F303" s="2">
        <v>3</v>
      </c>
      <c r="G303" t="s">
        <v>2113</v>
      </c>
      <c r="I303" t="s">
        <v>67</v>
      </c>
    </row>
    <row r="304" spans="1:9">
      <c r="A304" t="s">
        <v>66</v>
      </c>
      <c r="B304" t="s">
        <v>64</v>
      </c>
      <c r="C304" t="s">
        <v>22</v>
      </c>
      <c r="D304" t="s">
        <v>670</v>
      </c>
      <c r="E304" s="2">
        <v>3</v>
      </c>
      <c r="F304" s="2">
        <v>3</v>
      </c>
      <c r="G304" t="s">
        <v>2113</v>
      </c>
      <c r="I304" t="s">
        <v>67</v>
      </c>
    </row>
    <row r="305" spans="1:9">
      <c r="A305" t="s">
        <v>66</v>
      </c>
      <c r="B305" t="s">
        <v>64</v>
      </c>
      <c r="C305" t="s">
        <v>134</v>
      </c>
      <c r="D305" t="s">
        <v>670</v>
      </c>
      <c r="E305" s="2">
        <v>3</v>
      </c>
      <c r="F305" s="2">
        <v>3</v>
      </c>
      <c r="G305" t="s">
        <v>2113</v>
      </c>
      <c r="I305" t="s">
        <v>67</v>
      </c>
    </row>
    <row r="306" spans="1:9">
      <c r="A306" t="s">
        <v>68</v>
      </c>
      <c r="B306" t="s">
        <v>66</v>
      </c>
      <c r="C306" t="s">
        <v>22</v>
      </c>
      <c r="D306" t="s">
        <v>145</v>
      </c>
      <c r="E306" s="2">
        <v>7.3</v>
      </c>
      <c r="F306" s="2">
        <v>7.3</v>
      </c>
      <c r="G306" t="s">
        <v>2113</v>
      </c>
      <c r="I306" t="s">
        <v>69</v>
      </c>
    </row>
    <row r="307" spans="1:9">
      <c r="A307" t="s">
        <v>68</v>
      </c>
      <c r="B307" t="s">
        <v>66</v>
      </c>
      <c r="C307" t="s">
        <v>134</v>
      </c>
      <c r="D307" t="s">
        <v>145</v>
      </c>
      <c r="E307" s="2">
        <v>6.5</v>
      </c>
      <c r="F307" s="2">
        <v>6.5</v>
      </c>
      <c r="G307" t="s">
        <v>2113</v>
      </c>
      <c r="I307" t="s">
        <v>69</v>
      </c>
    </row>
    <row r="308" spans="1:9">
      <c r="A308" t="s">
        <v>68</v>
      </c>
      <c r="B308" t="s">
        <v>66</v>
      </c>
      <c r="C308" t="s">
        <v>22</v>
      </c>
      <c r="D308" t="s">
        <v>148</v>
      </c>
      <c r="E308" s="2">
        <v>7.8</v>
      </c>
      <c r="F308" s="2">
        <v>7.8</v>
      </c>
      <c r="G308" t="s">
        <v>2113</v>
      </c>
      <c r="I308" t="s">
        <v>69</v>
      </c>
    </row>
    <row r="309" spans="1:9">
      <c r="A309" t="s">
        <v>68</v>
      </c>
      <c r="B309" t="s">
        <v>66</v>
      </c>
      <c r="C309" t="s">
        <v>134</v>
      </c>
      <c r="D309" t="s">
        <v>148</v>
      </c>
      <c r="E309" s="2">
        <v>7.3</v>
      </c>
      <c r="F309" s="2">
        <v>7.3</v>
      </c>
      <c r="G309" t="s">
        <v>2113</v>
      </c>
      <c r="I309" t="s">
        <v>69</v>
      </c>
    </row>
    <row r="310" spans="1:9">
      <c r="A310" t="s">
        <v>68</v>
      </c>
      <c r="B310" t="s">
        <v>66</v>
      </c>
      <c r="C310" t="s">
        <v>22</v>
      </c>
      <c r="D310" t="s">
        <v>151</v>
      </c>
      <c r="E310" s="2">
        <v>8.5</v>
      </c>
      <c r="F310" s="2">
        <v>8.5</v>
      </c>
      <c r="G310" t="s">
        <v>2113</v>
      </c>
      <c r="I310" t="s">
        <v>69</v>
      </c>
    </row>
    <row r="311" spans="1:9">
      <c r="A311" t="s">
        <v>68</v>
      </c>
      <c r="B311" t="s">
        <v>66</v>
      </c>
      <c r="C311" t="s">
        <v>134</v>
      </c>
      <c r="D311" t="s">
        <v>151</v>
      </c>
      <c r="E311" s="2">
        <v>8</v>
      </c>
      <c r="F311" s="2">
        <v>8</v>
      </c>
      <c r="G311" t="s">
        <v>2113</v>
      </c>
      <c r="I311" t="s">
        <v>69</v>
      </c>
    </row>
    <row r="312" spans="1:9">
      <c r="A312" t="s">
        <v>68</v>
      </c>
      <c r="B312" t="s">
        <v>66</v>
      </c>
      <c r="C312" t="s">
        <v>22</v>
      </c>
      <c r="D312" t="s">
        <v>154</v>
      </c>
      <c r="E312" s="2">
        <v>8</v>
      </c>
      <c r="F312" s="2">
        <v>8</v>
      </c>
      <c r="G312" t="s">
        <v>2113</v>
      </c>
      <c r="I312" t="s">
        <v>69</v>
      </c>
    </row>
    <row r="313" spans="1:9">
      <c r="A313" t="s">
        <v>68</v>
      </c>
      <c r="B313" t="s">
        <v>66</v>
      </c>
      <c r="C313" t="s">
        <v>134</v>
      </c>
      <c r="D313" t="s">
        <v>154</v>
      </c>
      <c r="E313" s="2">
        <v>8.4</v>
      </c>
      <c r="F313" s="2">
        <v>8.4</v>
      </c>
      <c r="G313" t="s">
        <v>2113</v>
      </c>
      <c r="I313" t="s">
        <v>69</v>
      </c>
    </row>
    <row r="314" spans="1:9">
      <c r="A314" t="s">
        <v>68</v>
      </c>
      <c r="B314" t="s">
        <v>66</v>
      </c>
      <c r="C314" t="s">
        <v>22</v>
      </c>
      <c r="D314" t="s">
        <v>157</v>
      </c>
      <c r="E314" s="2">
        <v>7.7</v>
      </c>
      <c r="F314" s="2">
        <v>7.7</v>
      </c>
      <c r="G314" t="s">
        <v>2113</v>
      </c>
      <c r="I314" t="s">
        <v>69</v>
      </c>
    </row>
    <row r="315" spans="1:9">
      <c r="A315" t="s">
        <v>68</v>
      </c>
      <c r="B315" t="s">
        <v>66</v>
      </c>
      <c r="C315" t="s">
        <v>134</v>
      </c>
      <c r="D315" t="s">
        <v>157</v>
      </c>
      <c r="E315" s="2">
        <v>8.1999999999999993</v>
      </c>
      <c r="F315" s="2">
        <v>8.1999999999999993</v>
      </c>
      <c r="G315" t="s">
        <v>2113</v>
      </c>
      <c r="I315" t="s">
        <v>69</v>
      </c>
    </row>
    <row r="316" spans="1:9">
      <c r="A316" t="s">
        <v>68</v>
      </c>
      <c r="B316" t="s">
        <v>66</v>
      </c>
      <c r="C316" t="s">
        <v>22</v>
      </c>
      <c r="D316" t="s">
        <v>160</v>
      </c>
      <c r="E316" s="2">
        <v>6.4</v>
      </c>
      <c r="F316" s="2">
        <v>6.4</v>
      </c>
      <c r="G316" t="s">
        <v>2113</v>
      </c>
      <c r="I316" t="s">
        <v>69</v>
      </c>
    </row>
    <row r="317" spans="1:9">
      <c r="A317" t="s">
        <v>68</v>
      </c>
      <c r="B317" t="s">
        <v>66</v>
      </c>
      <c r="C317" t="s">
        <v>134</v>
      </c>
      <c r="D317" t="s">
        <v>160</v>
      </c>
      <c r="E317" s="2">
        <v>7.3</v>
      </c>
      <c r="F317" s="2">
        <v>7.3</v>
      </c>
      <c r="G317" t="s">
        <v>2113</v>
      </c>
      <c r="I317" t="s">
        <v>69</v>
      </c>
    </row>
    <row r="318" spans="1:9">
      <c r="A318" t="s">
        <v>68</v>
      </c>
      <c r="B318" t="s">
        <v>66</v>
      </c>
      <c r="C318" t="s">
        <v>22</v>
      </c>
      <c r="D318" t="s">
        <v>183</v>
      </c>
      <c r="E318" s="2">
        <v>5.3</v>
      </c>
      <c r="F318" s="2">
        <v>5.3</v>
      </c>
      <c r="G318" t="s">
        <v>2113</v>
      </c>
      <c r="I318" t="s">
        <v>69</v>
      </c>
    </row>
    <row r="319" spans="1:9">
      <c r="A319" t="s">
        <v>68</v>
      </c>
      <c r="B319" t="s">
        <v>66</v>
      </c>
      <c r="C319" t="s">
        <v>134</v>
      </c>
      <c r="D319" t="s">
        <v>183</v>
      </c>
      <c r="E319" s="2">
        <v>6.2</v>
      </c>
      <c r="F319" s="2">
        <v>6.2</v>
      </c>
      <c r="G319" t="s">
        <v>2113</v>
      </c>
      <c r="I319" t="s">
        <v>69</v>
      </c>
    </row>
    <row r="320" spans="1:9">
      <c r="A320" t="s">
        <v>68</v>
      </c>
      <c r="B320" t="s">
        <v>66</v>
      </c>
      <c r="C320" t="s">
        <v>22</v>
      </c>
      <c r="D320" t="s">
        <v>254</v>
      </c>
      <c r="E320" s="2">
        <v>4.9000000000000004</v>
      </c>
      <c r="F320" s="2">
        <v>4.9000000000000004</v>
      </c>
      <c r="G320" t="s">
        <v>2113</v>
      </c>
      <c r="I320" t="s">
        <v>69</v>
      </c>
    </row>
    <row r="321" spans="1:9">
      <c r="A321" t="s">
        <v>68</v>
      </c>
      <c r="B321" t="s">
        <v>66</v>
      </c>
      <c r="C321" t="s">
        <v>134</v>
      </c>
      <c r="D321" t="s">
        <v>254</v>
      </c>
      <c r="E321" s="2">
        <v>5</v>
      </c>
      <c r="F321" s="2">
        <v>5</v>
      </c>
      <c r="G321" t="s">
        <v>2113</v>
      </c>
      <c r="I321" t="s">
        <v>69</v>
      </c>
    </row>
    <row r="322" spans="1:9">
      <c r="A322" t="s">
        <v>68</v>
      </c>
      <c r="B322" t="s">
        <v>66</v>
      </c>
      <c r="C322" t="s">
        <v>22</v>
      </c>
      <c r="D322" t="s">
        <v>355</v>
      </c>
      <c r="E322" s="2">
        <v>4.2</v>
      </c>
      <c r="F322" s="2">
        <v>4.2</v>
      </c>
      <c r="G322" t="s">
        <v>2113</v>
      </c>
      <c r="I322" t="s">
        <v>69</v>
      </c>
    </row>
    <row r="323" spans="1:9">
      <c r="A323" t="s">
        <v>68</v>
      </c>
      <c r="B323" t="s">
        <v>66</v>
      </c>
      <c r="C323" t="s">
        <v>134</v>
      </c>
      <c r="D323" t="s">
        <v>355</v>
      </c>
      <c r="E323" s="2">
        <v>4.0999999999999996</v>
      </c>
      <c r="F323" s="2">
        <v>4.0999999999999996</v>
      </c>
      <c r="G323" t="s">
        <v>2113</v>
      </c>
      <c r="I323" t="s">
        <v>69</v>
      </c>
    </row>
    <row r="324" spans="1:9">
      <c r="A324" t="s">
        <v>68</v>
      </c>
      <c r="B324" t="s">
        <v>66</v>
      </c>
      <c r="C324" t="s">
        <v>22</v>
      </c>
      <c r="D324" t="s">
        <v>460</v>
      </c>
      <c r="E324" s="2">
        <v>3.7</v>
      </c>
      <c r="F324" s="2">
        <v>3.7</v>
      </c>
      <c r="G324" t="s">
        <v>2113</v>
      </c>
      <c r="I324" t="s">
        <v>69</v>
      </c>
    </row>
    <row r="325" spans="1:9">
      <c r="A325" t="s">
        <v>68</v>
      </c>
      <c r="B325" t="s">
        <v>66</v>
      </c>
      <c r="C325" t="s">
        <v>134</v>
      </c>
      <c r="D325" t="s">
        <v>460</v>
      </c>
      <c r="E325" s="2">
        <v>3.5</v>
      </c>
      <c r="F325" s="2">
        <v>3.5</v>
      </c>
      <c r="G325" t="s">
        <v>2113</v>
      </c>
      <c r="I325" t="s">
        <v>69</v>
      </c>
    </row>
    <row r="326" spans="1:9">
      <c r="A326" t="s">
        <v>68</v>
      </c>
      <c r="B326" t="s">
        <v>66</v>
      </c>
      <c r="C326" t="s">
        <v>22</v>
      </c>
      <c r="D326" t="s">
        <v>565</v>
      </c>
      <c r="E326" s="2">
        <v>3.4</v>
      </c>
      <c r="F326" s="2">
        <v>3.4</v>
      </c>
      <c r="G326" t="s">
        <v>2113</v>
      </c>
      <c r="I326" t="s">
        <v>69</v>
      </c>
    </row>
    <row r="327" spans="1:9">
      <c r="A327" t="s">
        <v>68</v>
      </c>
      <c r="B327" t="s">
        <v>66</v>
      </c>
      <c r="C327" t="s">
        <v>134</v>
      </c>
      <c r="D327" t="s">
        <v>565</v>
      </c>
      <c r="E327" s="2">
        <v>3.2</v>
      </c>
      <c r="F327" s="2">
        <v>3.2</v>
      </c>
      <c r="G327" t="s">
        <v>2113</v>
      </c>
      <c r="I327" t="s">
        <v>69</v>
      </c>
    </row>
    <row r="328" spans="1:9">
      <c r="A328" t="s">
        <v>68</v>
      </c>
      <c r="B328" t="s">
        <v>66</v>
      </c>
      <c r="C328" t="s">
        <v>22</v>
      </c>
      <c r="D328" t="s">
        <v>670</v>
      </c>
      <c r="E328" s="2">
        <v>3.1</v>
      </c>
      <c r="F328" s="2">
        <v>3.1</v>
      </c>
      <c r="G328" t="s">
        <v>2113</v>
      </c>
      <c r="I328" t="s">
        <v>69</v>
      </c>
    </row>
    <row r="329" spans="1:9">
      <c r="A329" t="s">
        <v>68</v>
      </c>
      <c r="B329" t="s">
        <v>66</v>
      </c>
      <c r="C329" t="s">
        <v>134</v>
      </c>
      <c r="D329" t="s">
        <v>670</v>
      </c>
      <c r="E329" s="2">
        <v>3.1</v>
      </c>
      <c r="F329" s="2">
        <v>3.1</v>
      </c>
      <c r="G329" t="s">
        <v>2113</v>
      </c>
      <c r="I329" t="s">
        <v>69</v>
      </c>
    </row>
    <row r="330" spans="1:9">
      <c r="A330" t="s">
        <v>70</v>
      </c>
      <c r="B330" t="s">
        <v>68</v>
      </c>
      <c r="C330" t="s">
        <v>22</v>
      </c>
      <c r="D330" t="s">
        <v>145</v>
      </c>
      <c r="E330" s="2">
        <v>7.3</v>
      </c>
      <c r="F330" s="2">
        <v>7.3</v>
      </c>
      <c r="G330" t="s">
        <v>2113</v>
      </c>
      <c r="I330" t="s">
        <v>71</v>
      </c>
    </row>
    <row r="331" spans="1:9">
      <c r="A331" t="s">
        <v>70</v>
      </c>
      <c r="B331" t="s">
        <v>68</v>
      </c>
      <c r="C331" t="s">
        <v>134</v>
      </c>
      <c r="D331" t="s">
        <v>145</v>
      </c>
      <c r="E331" s="2">
        <v>6.5</v>
      </c>
      <c r="F331" s="2">
        <v>6.5</v>
      </c>
      <c r="G331" t="s">
        <v>2113</v>
      </c>
      <c r="I331" t="s">
        <v>71</v>
      </c>
    </row>
    <row r="332" spans="1:9">
      <c r="A332" t="s">
        <v>70</v>
      </c>
      <c r="B332" t="s">
        <v>68</v>
      </c>
      <c r="C332" t="s">
        <v>22</v>
      </c>
      <c r="D332" t="s">
        <v>148</v>
      </c>
      <c r="E332" s="2">
        <v>7.8</v>
      </c>
      <c r="F332" s="2">
        <v>7.8</v>
      </c>
      <c r="G332" t="s">
        <v>2113</v>
      </c>
      <c r="I332" t="s">
        <v>71</v>
      </c>
    </row>
    <row r="333" spans="1:9">
      <c r="A333" t="s">
        <v>70</v>
      </c>
      <c r="B333" t="s">
        <v>68</v>
      </c>
      <c r="C333" t="s">
        <v>134</v>
      </c>
      <c r="D333" t="s">
        <v>148</v>
      </c>
      <c r="E333" s="2">
        <v>7.3</v>
      </c>
      <c r="F333" s="2">
        <v>7.3</v>
      </c>
      <c r="G333" t="s">
        <v>2113</v>
      </c>
      <c r="I333" t="s">
        <v>71</v>
      </c>
    </row>
    <row r="334" spans="1:9">
      <c r="A334" t="s">
        <v>70</v>
      </c>
      <c r="B334" t="s">
        <v>68</v>
      </c>
      <c r="C334" t="s">
        <v>22</v>
      </c>
      <c r="D334" t="s">
        <v>151</v>
      </c>
      <c r="E334" s="2">
        <v>8.5</v>
      </c>
      <c r="F334" s="2">
        <v>8.5</v>
      </c>
      <c r="G334" t="s">
        <v>2113</v>
      </c>
      <c r="I334" t="s">
        <v>71</v>
      </c>
    </row>
    <row r="335" spans="1:9">
      <c r="A335" t="s">
        <v>70</v>
      </c>
      <c r="B335" t="s">
        <v>68</v>
      </c>
      <c r="C335" t="s">
        <v>134</v>
      </c>
      <c r="D335" t="s">
        <v>151</v>
      </c>
      <c r="E335" s="2">
        <v>8</v>
      </c>
      <c r="F335" s="2">
        <v>8</v>
      </c>
      <c r="G335" t="s">
        <v>2113</v>
      </c>
      <c r="I335" t="s">
        <v>71</v>
      </c>
    </row>
    <row r="336" spans="1:9">
      <c r="A336" t="s">
        <v>70</v>
      </c>
      <c r="B336" t="s">
        <v>68</v>
      </c>
      <c r="C336" t="s">
        <v>22</v>
      </c>
      <c r="D336" t="s">
        <v>154</v>
      </c>
      <c r="E336" s="2">
        <v>8</v>
      </c>
      <c r="F336" s="2">
        <v>8</v>
      </c>
      <c r="G336" t="s">
        <v>2113</v>
      </c>
      <c r="I336" t="s">
        <v>71</v>
      </c>
    </row>
    <row r="337" spans="1:9">
      <c r="A337" t="s">
        <v>70</v>
      </c>
      <c r="B337" t="s">
        <v>68</v>
      </c>
      <c r="C337" t="s">
        <v>134</v>
      </c>
      <c r="D337" t="s">
        <v>154</v>
      </c>
      <c r="E337" s="2">
        <v>8.4</v>
      </c>
      <c r="F337" s="2">
        <v>8.4</v>
      </c>
      <c r="G337" t="s">
        <v>2113</v>
      </c>
      <c r="I337" t="s">
        <v>71</v>
      </c>
    </row>
    <row r="338" spans="1:9">
      <c r="A338" t="s">
        <v>70</v>
      </c>
      <c r="B338" t="s">
        <v>68</v>
      </c>
      <c r="C338" t="s">
        <v>22</v>
      </c>
      <c r="D338" t="s">
        <v>157</v>
      </c>
      <c r="E338" s="2">
        <v>7.5</v>
      </c>
      <c r="F338" s="2">
        <v>7.5</v>
      </c>
      <c r="G338" t="s">
        <v>2113</v>
      </c>
      <c r="I338" t="s">
        <v>71</v>
      </c>
    </row>
    <row r="339" spans="1:9">
      <c r="A339" t="s">
        <v>70</v>
      </c>
      <c r="B339" t="s">
        <v>68</v>
      </c>
      <c r="C339" t="s">
        <v>134</v>
      </c>
      <c r="D339" t="s">
        <v>157</v>
      </c>
      <c r="E339" s="2">
        <v>8.3000000000000007</v>
      </c>
      <c r="F339" s="2">
        <v>8.3000000000000007</v>
      </c>
      <c r="G339" t="s">
        <v>2113</v>
      </c>
      <c r="I339" t="s">
        <v>71</v>
      </c>
    </row>
    <row r="340" spans="1:9">
      <c r="A340" t="s">
        <v>70</v>
      </c>
      <c r="B340" t="s">
        <v>68</v>
      </c>
      <c r="C340" t="s">
        <v>22</v>
      </c>
      <c r="D340" t="s">
        <v>160</v>
      </c>
      <c r="E340" s="2">
        <v>6.3</v>
      </c>
      <c r="F340" s="2">
        <v>6.3</v>
      </c>
      <c r="G340" t="s">
        <v>2113</v>
      </c>
      <c r="I340" t="s">
        <v>71</v>
      </c>
    </row>
    <row r="341" spans="1:9">
      <c r="A341" t="s">
        <v>70</v>
      </c>
      <c r="B341" t="s">
        <v>68</v>
      </c>
      <c r="C341" t="s">
        <v>134</v>
      </c>
      <c r="D341" t="s">
        <v>160</v>
      </c>
      <c r="E341" s="2">
        <v>7.5</v>
      </c>
      <c r="F341" s="2">
        <v>7.5</v>
      </c>
      <c r="G341" t="s">
        <v>2113</v>
      </c>
      <c r="I341" t="s">
        <v>71</v>
      </c>
    </row>
    <row r="342" spans="1:9">
      <c r="A342" t="s">
        <v>70</v>
      </c>
      <c r="B342" t="s">
        <v>68</v>
      </c>
      <c r="C342" t="s">
        <v>22</v>
      </c>
      <c r="D342" t="s">
        <v>183</v>
      </c>
      <c r="E342" s="2">
        <v>5.3</v>
      </c>
      <c r="F342" s="2">
        <v>5.3</v>
      </c>
      <c r="G342" t="s">
        <v>2113</v>
      </c>
      <c r="I342" t="s">
        <v>71</v>
      </c>
    </row>
    <row r="343" spans="1:9">
      <c r="A343" t="s">
        <v>70</v>
      </c>
      <c r="B343" t="s">
        <v>68</v>
      </c>
      <c r="C343" t="s">
        <v>134</v>
      </c>
      <c r="D343" t="s">
        <v>183</v>
      </c>
      <c r="E343" s="2">
        <v>6.2</v>
      </c>
      <c r="F343" s="2">
        <v>6.2</v>
      </c>
      <c r="G343" t="s">
        <v>2113</v>
      </c>
      <c r="I343" t="s">
        <v>71</v>
      </c>
    </row>
    <row r="344" spans="1:9">
      <c r="A344" t="s">
        <v>70</v>
      </c>
      <c r="B344" t="s">
        <v>68</v>
      </c>
      <c r="C344" t="s">
        <v>22</v>
      </c>
      <c r="D344" t="s">
        <v>254</v>
      </c>
      <c r="E344" s="2">
        <v>4.8</v>
      </c>
      <c r="F344" s="2">
        <v>4.8</v>
      </c>
      <c r="G344" t="s">
        <v>2113</v>
      </c>
      <c r="I344" t="s">
        <v>71</v>
      </c>
    </row>
    <row r="345" spans="1:9">
      <c r="A345" t="s">
        <v>70</v>
      </c>
      <c r="B345" t="s">
        <v>68</v>
      </c>
      <c r="C345" t="s">
        <v>134</v>
      </c>
      <c r="D345" t="s">
        <v>254</v>
      </c>
      <c r="E345" s="2">
        <v>5</v>
      </c>
      <c r="F345" s="2">
        <v>5</v>
      </c>
      <c r="G345" t="s">
        <v>2113</v>
      </c>
      <c r="I345" t="s">
        <v>71</v>
      </c>
    </row>
    <row r="346" spans="1:9">
      <c r="A346" t="s">
        <v>70</v>
      </c>
      <c r="B346" t="s">
        <v>68</v>
      </c>
      <c r="C346" t="s">
        <v>22</v>
      </c>
      <c r="D346" t="s">
        <v>355</v>
      </c>
      <c r="E346" s="2">
        <v>4.2</v>
      </c>
      <c r="F346" s="2">
        <v>4.2</v>
      </c>
      <c r="G346" t="s">
        <v>2113</v>
      </c>
      <c r="I346" t="s">
        <v>71</v>
      </c>
    </row>
    <row r="347" spans="1:9">
      <c r="A347" t="s">
        <v>70</v>
      </c>
      <c r="B347" t="s">
        <v>68</v>
      </c>
      <c r="C347" t="s">
        <v>134</v>
      </c>
      <c r="D347" t="s">
        <v>355</v>
      </c>
      <c r="E347" s="2">
        <v>4.0999999999999996</v>
      </c>
      <c r="F347" s="2">
        <v>4.0999999999999996</v>
      </c>
      <c r="G347" t="s">
        <v>2113</v>
      </c>
      <c r="I347" t="s">
        <v>71</v>
      </c>
    </row>
    <row r="348" spans="1:9">
      <c r="A348" t="s">
        <v>70</v>
      </c>
      <c r="B348" t="s">
        <v>68</v>
      </c>
      <c r="C348" t="s">
        <v>22</v>
      </c>
      <c r="D348" t="s">
        <v>460</v>
      </c>
      <c r="E348" s="2">
        <v>3.7</v>
      </c>
      <c r="F348" s="2">
        <v>3.7</v>
      </c>
      <c r="G348" t="s">
        <v>2113</v>
      </c>
      <c r="I348" t="s">
        <v>71</v>
      </c>
    </row>
    <row r="349" spans="1:9">
      <c r="A349" t="s">
        <v>70</v>
      </c>
      <c r="B349" t="s">
        <v>68</v>
      </c>
      <c r="C349" t="s">
        <v>134</v>
      </c>
      <c r="D349" t="s">
        <v>460</v>
      </c>
      <c r="E349" s="2">
        <v>3.5</v>
      </c>
      <c r="F349" s="2">
        <v>3.5</v>
      </c>
      <c r="G349" t="s">
        <v>2113</v>
      </c>
      <c r="I349" t="s">
        <v>71</v>
      </c>
    </row>
    <row r="350" spans="1:9">
      <c r="A350" t="s">
        <v>70</v>
      </c>
      <c r="B350" t="s">
        <v>68</v>
      </c>
      <c r="C350" t="s">
        <v>22</v>
      </c>
      <c r="D350" t="s">
        <v>565</v>
      </c>
      <c r="E350" s="2">
        <v>3.4</v>
      </c>
      <c r="F350" s="2">
        <v>3.4</v>
      </c>
      <c r="G350" t="s">
        <v>2113</v>
      </c>
      <c r="I350" t="s">
        <v>71</v>
      </c>
    </row>
    <row r="351" spans="1:9">
      <c r="A351" t="s">
        <v>70</v>
      </c>
      <c r="B351" t="s">
        <v>68</v>
      </c>
      <c r="C351" t="s">
        <v>134</v>
      </c>
      <c r="D351" t="s">
        <v>565</v>
      </c>
      <c r="E351" s="2">
        <v>3.2</v>
      </c>
      <c r="F351" s="2">
        <v>3.2</v>
      </c>
      <c r="G351" t="s">
        <v>2113</v>
      </c>
      <c r="I351" t="s">
        <v>71</v>
      </c>
    </row>
    <row r="352" spans="1:9">
      <c r="A352" t="s">
        <v>70</v>
      </c>
      <c r="B352" t="s">
        <v>68</v>
      </c>
      <c r="C352" t="s">
        <v>22</v>
      </c>
      <c r="D352" t="s">
        <v>670</v>
      </c>
      <c r="E352" s="2">
        <v>3.1</v>
      </c>
      <c r="F352" s="2">
        <v>3.1</v>
      </c>
      <c r="G352" t="s">
        <v>2113</v>
      </c>
      <c r="I352" t="s">
        <v>71</v>
      </c>
    </row>
    <row r="353" spans="1:9">
      <c r="A353" t="s">
        <v>70</v>
      </c>
      <c r="B353" t="s">
        <v>68</v>
      </c>
      <c r="C353" t="s">
        <v>134</v>
      </c>
      <c r="D353" t="s">
        <v>670</v>
      </c>
      <c r="E353" s="2">
        <v>3.1</v>
      </c>
      <c r="F353" s="2">
        <v>3.1</v>
      </c>
      <c r="G353" t="s">
        <v>2113</v>
      </c>
      <c r="I353" t="s">
        <v>71</v>
      </c>
    </row>
    <row r="354" spans="1:9">
      <c r="A354" t="s">
        <v>70</v>
      </c>
      <c r="B354" t="s">
        <v>68</v>
      </c>
      <c r="C354" t="s">
        <v>22</v>
      </c>
      <c r="D354" t="s">
        <v>771</v>
      </c>
      <c r="E354" s="2">
        <v>3.1</v>
      </c>
      <c r="F354" s="2">
        <v>3.1</v>
      </c>
      <c r="G354" t="s">
        <v>2113</v>
      </c>
      <c r="I354" t="s">
        <v>71</v>
      </c>
    </row>
    <row r="355" spans="1:9">
      <c r="A355" t="s">
        <v>70</v>
      </c>
      <c r="B355" t="s">
        <v>68</v>
      </c>
      <c r="C355" t="s">
        <v>134</v>
      </c>
      <c r="D355" t="s">
        <v>771</v>
      </c>
      <c r="E355" s="2">
        <v>3.1</v>
      </c>
      <c r="F355" s="2">
        <v>3.1</v>
      </c>
      <c r="G355" t="s">
        <v>2113</v>
      </c>
      <c r="I355" t="s">
        <v>71</v>
      </c>
    </row>
    <row r="356" spans="1:9">
      <c r="A356" t="s">
        <v>72</v>
      </c>
      <c r="B356" t="s">
        <v>70</v>
      </c>
      <c r="C356" t="s">
        <v>22</v>
      </c>
      <c r="D356" t="s">
        <v>148</v>
      </c>
      <c r="E356" s="2">
        <v>7.8</v>
      </c>
      <c r="F356" s="2">
        <v>7.8</v>
      </c>
      <c r="G356" t="s">
        <v>2113</v>
      </c>
      <c r="I356" t="s">
        <v>73</v>
      </c>
    </row>
    <row r="357" spans="1:9">
      <c r="A357" t="s">
        <v>72</v>
      </c>
      <c r="B357" t="s">
        <v>70</v>
      </c>
      <c r="C357" t="s">
        <v>134</v>
      </c>
      <c r="D357" t="s">
        <v>148</v>
      </c>
      <c r="E357" s="2">
        <v>7.3</v>
      </c>
      <c r="F357" s="2">
        <v>7.3</v>
      </c>
      <c r="G357" t="s">
        <v>2113</v>
      </c>
      <c r="I357" t="s">
        <v>73</v>
      </c>
    </row>
    <row r="358" spans="1:9">
      <c r="A358" t="s">
        <v>72</v>
      </c>
      <c r="B358" t="s">
        <v>70</v>
      </c>
      <c r="C358" t="s">
        <v>22</v>
      </c>
      <c r="D358" t="s">
        <v>151</v>
      </c>
      <c r="E358" s="2">
        <v>8.5</v>
      </c>
      <c r="F358" s="2">
        <v>8.5</v>
      </c>
      <c r="G358" t="s">
        <v>2113</v>
      </c>
      <c r="I358" t="s">
        <v>73</v>
      </c>
    </row>
    <row r="359" spans="1:9">
      <c r="A359" t="s">
        <v>72</v>
      </c>
      <c r="B359" t="s">
        <v>70</v>
      </c>
      <c r="C359" t="s">
        <v>134</v>
      </c>
      <c r="D359" t="s">
        <v>151</v>
      </c>
      <c r="E359" s="2">
        <v>8</v>
      </c>
      <c r="F359" s="2">
        <v>8</v>
      </c>
      <c r="G359" t="s">
        <v>2113</v>
      </c>
      <c r="I359" t="s">
        <v>73</v>
      </c>
    </row>
    <row r="360" spans="1:9">
      <c r="A360" t="s">
        <v>72</v>
      </c>
      <c r="B360" t="s">
        <v>70</v>
      </c>
      <c r="C360" t="s">
        <v>22</v>
      </c>
      <c r="D360" t="s">
        <v>154</v>
      </c>
      <c r="E360" s="2">
        <v>8</v>
      </c>
      <c r="F360" s="2">
        <v>8</v>
      </c>
      <c r="G360" t="s">
        <v>2113</v>
      </c>
      <c r="I360" t="s">
        <v>73</v>
      </c>
    </row>
    <row r="361" spans="1:9">
      <c r="A361" t="s">
        <v>72</v>
      </c>
      <c r="B361" t="s">
        <v>70</v>
      </c>
      <c r="C361" t="s">
        <v>134</v>
      </c>
      <c r="D361" t="s">
        <v>154</v>
      </c>
      <c r="E361" s="2">
        <v>8.4</v>
      </c>
      <c r="F361" s="2">
        <v>8.4</v>
      </c>
      <c r="G361" t="s">
        <v>2113</v>
      </c>
      <c r="I361" t="s">
        <v>73</v>
      </c>
    </row>
    <row r="362" spans="1:9">
      <c r="A362" t="s">
        <v>72</v>
      </c>
      <c r="B362" t="s">
        <v>70</v>
      </c>
      <c r="C362" t="s">
        <v>22</v>
      </c>
      <c r="D362" t="s">
        <v>157</v>
      </c>
      <c r="E362" s="2">
        <v>7.5</v>
      </c>
      <c r="F362" s="2">
        <v>7.5</v>
      </c>
      <c r="G362" t="s">
        <v>2113</v>
      </c>
      <c r="I362" t="s">
        <v>73</v>
      </c>
    </row>
    <row r="363" spans="1:9">
      <c r="A363" t="s">
        <v>72</v>
      </c>
      <c r="B363" t="s">
        <v>70</v>
      </c>
      <c r="C363" t="s">
        <v>134</v>
      </c>
      <c r="D363" t="s">
        <v>157</v>
      </c>
      <c r="E363" s="2">
        <v>8.3000000000000007</v>
      </c>
      <c r="F363" s="2">
        <v>8.3000000000000007</v>
      </c>
      <c r="G363" t="s">
        <v>2113</v>
      </c>
      <c r="I363" t="s">
        <v>73</v>
      </c>
    </row>
    <row r="364" spans="1:9">
      <c r="A364" t="s">
        <v>72</v>
      </c>
      <c r="B364" t="s">
        <v>70</v>
      </c>
      <c r="C364" t="s">
        <v>22</v>
      </c>
      <c r="D364" t="s">
        <v>160</v>
      </c>
      <c r="E364" s="2">
        <v>6</v>
      </c>
      <c r="F364" s="2">
        <v>6</v>
      </c>
      <c r="G364" t="s">
        <v>2113</v>
      </c>
      <c r="I364" t="s">
        <v>73</v>
      </c>
    </row>
    <row r="365" spans="1:9">
      <c r="A365" t="s">
        <v>72</v>
      </c>
      <c r="B365" t="s">
        <v>70</v>
      </c>
      <c r="C365" t="s">
        <v>134</v>
      </c>
      <c r="D365" t="s">
        <v>160</v>
      </c>
      <c r="E365" s="2">
        <v>7.4</v>
      </c>
      <c r="F365" s="2">
        <v>7.4</v>
      </c>
      <c r="G365" t="s">
        <v>2113</v>
      </c>
      <c r="I365" t="s">
        <v>73</v>
      </c>
    </row>
    <row r="366" spans="1:9">
      <c r="A366" t="s">
        <v>72</v>
      </c>
      <c r="B366" t="s">
        <v>70</v>
      </c>
      <c r="C366" t="s">
        <v>22</v>
      </c>
      <c r="D366" t="s">
        <v>183</v>
      </c>
      <c r="E366" s="2">
        <v>5.2</v>
      </c>
      <c r="F366" s="2">
        <v>5.2</v>
      </c>
      <c r="G366" t="s">
        <v>2113</v>
      </c>
      <c r="I366" t="s">
        <v>73</v>
      </c>
    </row>
    <row r="367" spans="1:9">
      <c r="A367" t="s">
        <v>72</v>
      </c>
      <c r="B367" t="s">
        <v>70</v>
      </c>
      <c r="C367" t="s">
        <v>134</v>
      </c>
      <c r="D367" t="s">
        <v>183</v>
      </c>
      <c r="E367" s="2">
        <v>6.2</v>
      </c>
      <c r="F367" s="2">
        <v>6.2</v>
      </c>
      <c r="G367" t="s">
        <v>2113</v>
      </c>
      <c r="I367" t="s">
        <v>73</v>
      </c>
    </row>
    <row r="368" spans="1:9">
      <c r="A368" t="s">
        <v>72</v>
      </c>
      <c r="B368" t="s">
        <v>70</v>
      </c>
      <c r="C368" t="s">
        <v>22</v>
      </c>
      <c r="D368" t="s">
        <v>254</v>
      </c>
      <c r="E368" s="2">
        <v>4.7</v>
      </c>
      <c r="F368" s="2">
        <v>4.7</v>
      </c>
      <c r="G368" t="s">
        <v>2113</v>
      </c>
      <c r="I368" t="s">
        <v>73</v>
      </c>
    </row>
    <row r="369" spans="1:9">
      <c r="A369" t="s">
        <v>72</v>
      </c>
      <c r="B369" t="s">
        <v>70</v>
      </c>
      <c r="C369" t="s">
        <v>134</v>
      </c>
      <c r="D369" t="s">
        <v>254</v>
      </c>
      <c r="E369" s="2">
        <v>5</v>
      </c>
      <c r="F369" s="2">
        <v>5</v>
      </c>
      <c r="G369" t="s">
        <v>2113</v>
      </c>
      <c r="I369" t="s">
        <v>73</v>
      </c>
    </row>
    <row r="370" spans="1:9">
      <c r="A370" t="s">
        <v>72</v>
      </c>
      <c r="B370" t="s">
        <v>70</v>
      </c>
      <c r="C370" t="s">
        <v>22</v>
      </c>
      <c r="D370" t="s">
        <v>355</v>
      </c>
      <c r="E370" s="2">
        <v>4.2</v>
      </c>
      <c r="F370" s="2">
        <v>4.2</v>
      </c>
      <c r="G370" t="s">
        <v>2113</v>
      </c>
      <c r="I370" t="s">
        <v>73</v>
      </c>
    </row>
    <row r="371" spans="1:9">
      <c r="A371" t="s">
        <v>72</v>
      </c>
      <c r="B371" t="s">
        <v>70</v>
      </c>
      <c r="C371" t="s">
        <v>134</v>
      </c>
      <c r="D371" t="s">
        <v>355</v>
      </c>
      <c r="E371" s="2">
        <v>4.0999999999999996</v>
      </c>
      <c r="F371" s="2">
        <v>4.0999999999999996</v>
      </c>
      <c r="G371" t="s">
        <v>2113</v>
      </c>
      <c r="I371" t="s">
        <v>73</v>
      </c>
    </row>
    <row r="372" spans="1:9">
      <c r="A372" t="s">
        <v>72</v>
      </c>
      <c r="B372" t="s">
        <v>70</v>
      </c>
      <c r="C372" t="s">
        <v>22</v>
      </c>
      <c r="D372" t="s">
        <v>460</v>
      </c>
      <c r="E372" s="2">
        <v>3.7</v>
      </c>
      <c r="F372" s="2">
        <v>3.7</v>
      </c>
      <c r="G372" t="s">
        <v>2113</v>
      </c>
      <c r="I372" t="s">
        <v>73</v>
      </c>
    </row>
    <row r="373" spans="1:9">
      <c r="A373" t="s">
        <v>72</v>
      </c>
      <c r="B373" t="s">
        <v>70</v>
      </c>
      <c r="C373" t="s">
        <v>134</v>
      </c>
      <c r="D373" t="s">
        <v>460</v>
      </c>
      <c r="E373" s="2">
        <v>3.5</v>
      </c>
      <c r="F373" s="2">
        <v>3.5</v>
      </c>
      <c r="G373" t="s">
        <v>2113</v>
      </c>
      <c r="I373" t="s">
        <v>73</v>
      </c>
    </row>
    <row r="374" spans="1:9">
      <c r="A374" t="s">
        <v>72</v>
      </c>
      <c r="B374" t="s">
        <v>70</v>
      </c>
      <c r="C374" t="s">
        <v>22</v>
      </c>
      <c r="D374" t="s">
        <v>565</v>
      </c>
      <c r="E374" s="2">
        <v>3.4</v>
      </c>
      <c r="F374" s="2">
        <v>3.4</v>
      </c>
      <c r="G374" t="s">
        <v>2113</v>
      </c>
      <c r="I374" t="s">
        <v>73</v>
      </c>
    </row>
    <row r="375" spans="1:9">
      <c r="A375" t="s">
        <v>72</v>
      </c>
      <c r="B375" t="s">
        <v>70</v>
      </c>
      <c r="C375" t="s">
        <v>134</v>
      </c>
      <c r="D375" t="s">
        <v>565</v>
      </c>
      <c r="E375" s="2">
        <v>3.2</v>
      </c>
      <c r="F375" s="2">
        <v>3.2</v>
      </c>
      <c r="G375" t="s">
        <v>2113</v>
      </c>
      <c r="I375" t="s">
        <v>73</v>
      </c>
    </row>
    <row r="376" spans="1:9">
      <c r="A376" t="s">
        <v>72</v>
      </c>
      <c r="B376" t="s">
        <v>70</v>
      </c>
      <c r="C376" t="s">
        <v>22</v>
      </c>
      <c r="D376" t="s">
        <v>670</v>
      </c>
      <c r="E376" s="2">
        <v>3.1</v>
      </c>
      <c r="F376" s="2">
        <v>3.1</v>
      </c>
      <c r="G376" t="s">
        <v>2113</v>
      </c>
      <c r="I376" t="s">
        <v>73</v>
      </c>
    </row>
    <row r="377" spans="1:9">
      <c r="A377" t="s">
        <v>72</v>
      </c>
      <c r="B377" t="s">
        <v>70</v>
      </c>
      <c r="C377" t="s">
        <v>134</v>
      </c>
      <c r="D377" t="s">
        <v>670</v>
      </c>
      <c r="E377" s="2">
        <v>3.1</v>
      </c>
      <c r="F377" s="2">
        <v>3.1</v>
      </c>
      <c r="G377" t="s">
        <v>2113</v>
      </c>
      <c r="I377" t="s">
        <v>73</v>
      </c>
    </row>
    <row r="378" spans="1:9">
      <c r="A378" t="s">
        <v>72</v>
      </c>
      <c r="B378" t="s">
        <v>70</v>
      </c>
      <c r="C378" t="s">
        <v>22</v>
      </c>
      <c r="D378" t="s">
        <v>771</v>
      </c>
      <c r="E378" s="2">
        <v>3.1</v>
      </c>
      <c r="F378" s="2">
        <v>3.1</v>
      </c>
      <c r="G378" t="s">
        <v>2113</v>
      </c>
      <c r="I378" t="s">
        <v>73</v>
      </c>
    </row>
    <row r="379" spans="1:9">
      <c r="A379" t="s">
        <v>72</v>
      </c>
      <c r="B379" t="s">
        <v>70</v>
      </c>
      <c r="C379" t="s">
        <v>134</v>
      </c>
      <c r="D379" t="s">
        <v>771</v>
      </c>
      <c r="E379" s="2">
        <v>3.1</v>
      </c>
      <c r="F379" s="2">
        <v>3.1</v>
      </c>
      <c r="G379" t="s">
        <v>2113</v>
      </c>
      <c r="I379" t="s">
        <v>73</v>
      </c>
    </row>
    <row r="380" spans="1:9">
      <c r="A380" t="s">
        <v>74</v>
      </c>
      <c r="B380" t="s">
        <v>72</v>
      </c>
      <c r="C380" t="s">
        <v>22</v>
      </c>
      <c r="D380" t="s">
        <v>148</v>
      </c>
      <c r="E380" s="2">
        <v>7.8</v>
      </c>
      <c r="F380" s="2">
        <v>7.8</v>
      </c>
      <c r="G380" t="s">
        <v>2113</v>
      </c>
      <c r="I380" t="s">
        <v>75</v>
      </c>
    </row>
    <row r="381" spans="1:9">
      <c r="A381" t="s">
        <v>74</v>
      </c>
      <c r="B381" t="s">
        <v>72</v>
      </c>
      <c r="C381" t="s">
        <v>134</v>
      </c>
      <c r="D381" t="s">
        <v>148</v>
      </c>
      <c r="E381" s="2">
        <v>7.3</v>
      </c>
      <c r="F381" s="2">
        <v>7.3</v>
      </c>
      <c r="G381" t="s">
        <v>2113</v>
      </c>
      <c r="I381" t="s">
        <v>75</v>
      </c>
    </row>
    <row r="382" spans="1:9">
      <c r="A382" t="s">
        <v>74</v>
      </c>
      <c r="B382" t="s">
        <v>72</v>
      </c>
      <c r="C382" t="s">
        <v>22</v>
      </c>
      <c r="D382" t="s">
        <v>151</v>
      </c>
      <c r="E382" s="2">
        <v>8.5</v>
      </c>
      <c r="F382" s="2">
        <v>8.5</v>
      </c>
      <c r="G382" t="s">
        <v>2113</v>
      </c>
      <c r="I382" t="s">
        <v>75</v>
      </c>
    </row>
    <row r="383" spans="1:9">
      <c r="A383" t="s">
        <v>74</v>
      </c>
      <c r="B383" t="s">
        <v>72</v>
      </c>
      <c r="C383" t="s">
        <v>134</v>
      </c>
      <c r="D383" t="s">
        <v>151</v>
      </c>
      <c r="E383" s="2">
        <v>8</v>
      </c>
      <c r="F383" s="2">
        <v>8</v>
      </c>
      <c r="G383" t="s">
        <v>2113</v>
      </c>
      <c r="I383" t="s">
        <v>75</v>
      </c>
    </row>
    <row r="384" spans="1:9">
      <c r="A384" t="s">
        <v>74</v>
      </c>
      <c r="B384" t="s">
        <v>72</v>
      </c>
      <c r="C384" t="s">
        <v>22</v>
      </c>
      <c r="D384" t="s">
        <v>154</v>
      </c>
      <c r="E384" s="2">
        <v>8</v>
      </c>
      <c r="F384" s="2">
        <v>8</v>
      </c>
      <c r="G384" t="s">
        <v>2113</v>
      </c>
      <c r="I384" t="s">
        <v>75</v>
      </c>
    </row>
    <row r="385" spans="1:9">
      <c r="A385" t="s">
        <v>74</v>
      </c>
      <c r="B385" t="s">
        <v>72</v>
      </c>
      <c r="C385" t="s">
        <v>134</v>
      </c>
      <c r="D385" t="s">
        <v>154</v>
      </c>
      <c r="E385" s="2">
        <v>8.4</v>
      </c>
      <c r="F385" s="2">
        <v>8.4</v>
      </c>
      <c r="G385" t="s">
        <v>2113</v>
      </c>
      <c r="I385" t="s">
        <v>75</v>
      </c>
    </row>
    <row r="386" spans="1:9">
      <c r="A386" t="s">
        <v>74</v>
      </c>
      <c r="B386" t="s">
        <v>72</v>
      </c>
      <c r="C386" t="s">
        <v>22</v>
      </c>
      <c r="D386" t="s">
        <v>157</v>
      </c>
      <c r="E386" s="2">
        <v>7.5</v>
      </c>
      <c r="F386" s="2">
        <v>7.5</v>
      </c>
      <c r="G386" t="s">
        <v>2113</v>
      </c>
      <c r="I386" t="s">
        <v>75</v>
      </c>
    </row>
    <row r="387" spans="1:9">
      <c r="A387" t="s">
        <v>74</v>
      </c>
      <c r="B387" t="s">
        <v>72</v>
      </c>
      <c r="C387" t="s">
        <v>134</v>
      </c>
      <c r="D387" t="s">
        <v>157</v>
      </c>
      <c r="E387" s="2">
        <v>8.3000000000000007</v>
      </c>
      <c r="F387" s="2">
        <v>8.3000000000000007</v>
      </c>
      <c r="G387" t="s">
        <v>2113</v>
      </c>
      <c r="I387" t="s">
        <v>75</v>
      </c>
    </row>
    <row r="388" spans="1:9">
      <c r="A388" t="s">
        <v>74</v>
      </c>
      <c r="B388" t="s">
        <v>72</v>
      </c>
      <c r="C388" t="s">
        <v>22</v>
      </c>
      <c r="D388" t="s">
        <v>160</v>
      </c>
      <c r="E388" s="2">
        <v>5.7</v>
      </c>
      <c r="F388" s="2">
        <v>5.7</v>
      </c>
      <c r="G388" t="s">
        <v>2113</v>
      </c>
      <c r="I388" t="s">
        <v>75</v>
      </c>
    </row>
    <row r="389" spans="1:9">
      <c r="A389" t="s">
        <v>74</v>
      </c>
      <c r="B389" t="s">
        <v>72</v>
      </c>
      <c r="C389" t="s">
        <v>134</v>
      </c>
      <c r="D389" t="s">
        <v>160</v>
      </c>
      <c r="E389" s="2">
        <v>7.3</v>
      </c>
      <c r="F389" s="2">
        <v>7.3</v>
      </c>
      <c r="G389" t="s">
        <v>2113</v>
      </c>
      <c r="I389" t="s">
        <v>75</v>
      </c>
    </row>
    <row r="390" spans="1:9">
      <c r="A390" t="s">
        <v>74</v>
      </c>
      <c r="B390" t="s">
        <v>72</v>
      </c>
      <c r="C390" t="s">
        <v>22</v>
      </c>
      <c r="D390" t="s">
        <v>183</v>
      </c>
      <c r="E390" s="2">
        <v>5</v>
      </c>
      <c r="F390" s="2">
        <v>5</v>
      </c>
      <c r="G390" t="s">
        <v>2113</v>
      </c>
      <c r="I390" t="s">
        <v>75</v>
      </c>
    </row>
    <row r="391" spans="1:9">
      <c r="A391" t="s">
        <v>74</v>
      </c>
      <c r="B391" t="s">
        <v>72</v>
      </c>
      <c r="C391" t="s">
        <v>134</v>
      </c>
      <c r="D391" t="s">
        <v>183</v>
      </c>
      <c r="E391" s="2">
        <v>6.2</v>
      </c>
      <c r="F391" s="2">
        <v>6.2</v>
      </c>
      <c r="G391" t="s">
        <v>2113</v>
      </c>
      <c r="I391" t="s">
        <v>75</v>
      </c>
    </row>
    <row r="392" spans="1:9">
      <c r="A392" t="s">
        <v>74</v>
      </c>
      <c r="B392" t="s">
        <v>72</v>
      </c>
      <c r="C392" t="s">
        <v>22</v>
      </c>
      <c r="D392" t="s">
        <v>254</v>
      </c>
      <c r="E392" s="2">
        <v>4.5999999999999996</v>
      </c>
      <c r="F392" s="2">
        <v>4.5999999999999996</v>
      </c>
      <c r="G392" t="s">
        <v>2113</v>
      </c>
      <c r="I392" t="s">
        <v>75</v>
      </c>
    </row>
    <row r="393" spans="1:9">
      <c r="A393" t="s">
        <v>74</v>
      </c>
      <c r="B393" t="s">
        <v>72</v>
      </c>
      <c r="C393" t="s">
        <v>134</v>
      </c>
      <c r="D393" t="s">
        <v>254</v>
      </c>
      <c r="E393" s="2">
        <v>5</v>
      </c>
      <c r="F393" s="2">
        <v>5</v>
      </c>
      <c r="G393" t="s">
        <v>2113</v>
      </c>
      <c r="I393" t="s">
        <v>75</v>
      </c>
    </row>
    <row r="394" spans="1:9">
      <c r="A394" t="s">
        <v>74</v>
      </c>
      <c r="B394" t="s">
        <v>72</v>
      </c>
      <c r="C394" t="s">
        <v>22</v>
      </c>
      <c r="D394" t="s">
        <v>355</v>
      </c>
      <c r="E394" s="2">
        <v>4.0999999999999996</v>
      </c>
      <c r="F394" s="2">
        <v>4.0999999999999996</v>
      </c>
      <c r="G394" t="s">
        <v>2113</v>
      </c>
      <c r="I394" t="s">
        <v>75</v>
      </c>
    </row>
    <row r="395" spans="1:9">
      <c r="A395" t="s">
        <v>74</v>
      </c>
      <c r="B395" t="s">
        <v>72</v>
      </c>
      <c r="C395" t="s">
        <v>134</v>
      </c>
      <c r="D395" t="s">
        <v>355</v>
      </c>
      <c r="E395" s="2">
        <v>4.0999999999999996</v>
      </c>
      <c r="F395" s="2">
        <v>4.0999999999999996</v>
      </c>
      <c r="G395" t="s">
        <v>2113</v>
      </c>
      <c r="I395" t="s">
        <v>75</v>
      </c>
    </row>
    <row r="396" spans="1:9">
      <c r="A396" t="s">
        <v>74</v>
      </c>
      <c r="B396" t="s">
        <v>72</v>
      </c>
      <c r="C396" t="s">
        <v>22</v>
      </c>
      <c r="D396" t="s">
        <v>460</v>
      </c>
      <c r="E396" s="2">
        <v>3.7</v>
      </c>
      <c r="F396" s="2">
        <v>3.7</v>
      </c>
      <c r="G396" t="s">
        <v>2113</v>
      </c>
      <c r="I396" t="s">
        <v>75</v>
      </c>
    </row>
    <row r="397" spans="1:9">
      <c r="A397" t="s">
        <v>74</v>
      </c>
      <c r="B397" t="s">
        <v>72</v>
      </c>
      <c r="C397" t="s">
        <v>134</v>
      </c>
      <c r="D397" t="s">
        <v>460</v>
      </c>
      <c r="E397" s="2">
        <v>3.5</v>
      </c>
      <c r="F397" s="2">
        <v>3.5</v>
      </c>
      <c r="G397" t="s">
        <v>2113</v>
      </c>
      <c r="I397" t="s">
        <v>75</v>
      </c>
    </row>
    <row r="398" spans="1:9">
      <c r="A398" t="s">
        <v>74</v>
      </c>
      <c r="B398" t="s">
        <v>72</v>
      </c>
      <c r="C398" t="s">
        <v>22</v>
      </c>
      <c r="D398" t="s">
        <v>565</v>
      </c>
      <c r="E398" s="2">
        <v>3.4</v>
      </c>
      <c r="F398" s="2">
        <v>3.4</v>
      </c>
      <c r="G398" t="s">
        <v>2113</v>
      </c>
      <c r="I398" t="s">
        <v>75</v>
      </c>
    </row>
    <row r="399" spans="1:9">
      <c r="A399" t="s">
        <v>74</v>
      </c>
      <c r="B399" t="s">
        <v>72</v>
      </c>
      <c r="C399" t="s">
        <v>134</v>
      </c>
      <c r="D399" t="s">
        <v>565</v>
      </c>
      <c r="E399" s="2">
        <v>3.2</v>
      </c>
      <c r="F399" s="2">
        <v>3.2</v>
      </c>
      <c r="G399" t="s">
        <v>2113</v>
      </c>
      <c r="I399" t="s">
        <v>75</v>
      </c>
    </row>
    <row r="400" spans="1:9">
      <c r="A400" t="s">
        <v>74</v>
      </c>
      <c r="B400" t="s">
        <v>72</v>
      </c>
      <c r="C400" t="s">
        <v>22</v>
      </c>
      <c r="D400" t="s">
        <v>670</v>
      </c>
      <c r="E400" s="2">
        <v>3.1</v>
      </c>
      <c r="F400" s="2">
        <v>3.1</v>
      </c>
      <c r="G400" t="s">
        <v>2113</v>
      </c>
      <c r="I400" t="s">
        <v>75</v>
      </c>
    </row>
    <row r="401" spans="1:9">
      <c r="A401" t="s">
        <v>74</v>
      </c>
      <c r="B401" t="s">
        <v>72</v>
      </c>
      <c r="C401" t="s">
        <v>134</v>
      </c>
      <c r="D401" t="s">
        <v>670</v>
      </c>
      <c r="E401" s="2">
        <v>3.1</v>
      </c>
      <c r="F401" s="2">
        <v>3.1</v>
      </c>
      <c r="G401" t="s">
        <v>2113</v>
      </c>
      <c r="I401" t="s">
        <v>75</v>
      </c>
    </row>
    <row r="402" spans="1:9">
      <c r="A402" t="s">
        <v>74</v>
      </c>
      <c r="B402" t="s">
        <v>72</v>
      </c>
      <c r="C402" t="s">
        <v>22</v>
      </c>
      <c r="D402" t="s">
        <v>771</v>
      </c>
      <c r="E402" s="2">
        <v>3.1</v>
      </c>
      <c r="F402" s="2">
        <v>3.1</v>
      </c>
      <c r="G402" t="s">
        <v>2113</v>
      </c>
      <c r="I402" t="s">
        <v>75</v>
      </c>
    </row>
    <row r="403" spans="1:9">
      <c r="A403" t="s">
        <v>74</v>
      </c>
      <c r="B403" t="s">
        <v>72</v>
      </c>
      <c r="C403" t="s">
        <v>134</v>
      </c>
      <c r="D403" t="s">
        <v>771</v>
      </c>
      <c r="E403" s="2">
        <v>3.1</v>
      </c>
      <c r="F403" s="2">
        <v>3.1</v>
      </c>
      <c r="G403" t="s">
        <v>2113</v>
      </c>
      <c r="I403" t="s">
        <v>75</v>
      </c>
    </row>
    <row r="404" spans="1:9">
      <c r="A404" t="s">
        <v>74</v>
      </c>
      <c r="B404" t="s">
        <v>72</v>
      </c>
      <c r="C404" t="s">
        <v>22</v>
      </c>
      <c r="D404" t="s">
        <v>876</v>
      </c>
      <c r="E404" s="2">
        <v>3.1</v>
      </c>
      <c r="F404" s="2">
        <v>3.1</v>
      </c>
      <c r="G404" t="s">
        <v>2113</v>
      </c>
      <c r="I404" t="s">
        <v>75</v>
      </c>
    </row>
    <row r="405" spans="1:9">
      <c r="A405" t="s">
        <v>74</v>
      </c>
      <c r="B405" t="s">
        <v>72</v>
      </c>
      <c r="C405" t="s">
        <v>134</v>
      </c>
      <c r="D405" t="s">
        <v>876</v>
      </c>
      <c r="E405" s="2">
        <v>3.1</v>
      </c>
      <c r="F405" s="2">
        <v>3.1</v>
      </c>
      <c r="G405" t="s">
        <v>2113</v>
      </c>
      <c r="I405" t="s">
        <v>75</v>
      </c>
    </row>
    <row r="406" spans="1:9">
      <c r="A406" t="s">
        <v>76</v>
      </c>
      <c r="B406" t="s">
        <v>74</v>
      </c>
      <c r="C406" t="s">
        <v>22</v>
      </c>
      <c r="D406" t="s">
        <v>151</v>
      </c>
      <c r="E406" s="2">
        <v>8.5</v>
      </c>
      <c r="F406" s="2">
        <v>8.5</v>
      </c>
      <c r="G406" t="s">
        <v>2113</v>
      </c>
      <c r="I406" t="s">
        <v>77</v>
      </c>
    </row>
    <row r="407" spans="1:9">
      <c r="A407" t="s">
        <v>76</v>
      </c>
      <c r="B407" t="s">
        <v>74</v>
      </c>
      <c r="C407" t="s">
        <v>134</v>
      </c>
      <c r="D407" t="s">
        <v>151</v>
      </c>
      <c r="E407" s="2">
        <v>8</v>
      </c>
      <c r="F407" s="2">
        <v>8</v>
      </c>
      <c r="G407" t="s">
        <v>2113</v>
      </c>
      <c r="I407" t="s">
        <v>77</v>
      </c>
    </row>
    <row r="408" spans="1:9">
      <c r="A408" t="s">
        <v>76</v>
      </c>
      <c r="B408" t="s">
        <v>74</v>
      </c>
      <c r="C408" t="s">
        <v>22</v>
      </c>
      <c r="D408" t="s">
        <v>154</v>
      </c>
      <c r="E408" s="2">
        <v>8</v>
      </c>
      <c r="F408" s="2">
        <v>8</v>
      </c>
      <c r="G408" t="s">
        <v>2113</v>
      </c>
      <c r="I408" t="s">
        <v>77</v>
      </c>
    </row>
    <row r="409" spans="1:9">
      <c r="A409" t="s">
        <v>76</v>
      </c>
      <c r="B409" t="s">
        <v>74</v>
      </c>
      <c r="C409" t="s">
        <v>134</v>
      </c>
      <c r="D409" t="s">
        <v>154</v>
      </c>
      <c r="E409" s="2">
        <v>8.4</v>
      </c>
      <c r="F409" s="2">
        <v>8.4</v>
      </c>
      <c r="G409" t="s">
        <v>2113</v>
      </c>
      <c r="I409" t="s">
        <v>77</v>
      </c>
    </row>
    <row r="410" spans="1:9">
      <c r="A410" t="s">
        <v>76</v>
      </c>
      <c r="B410" t="s">
        <v>74</v>
      </c>
      <c r="C410" t="s">
        <v>22</v>
      </c>
      <c r="D410" t="s">
        <v>157</v>
      </c>
      <c r="E410" s="2">
        <v>7.5</v>
      </c>
      <c r="F410" s="2">
        <v>7.5</v>
      </c>
      <c r="G410" t="s">
        <v>2113</v>
      </c>
      <c r="I410" t="s">
        <v>77</v>
      </c>
    </row>
    <row r="411" spans="1:9">
      <c r="A411" t="s">
        <v>76</v>
      </c>
      <c r="B411" t="s">
        <v>74</v>
      </c>
      <c r="C411" t="s">
        <v>134</v>
      </c>
      <c r="D411" t="s">
        <v>157</v>
      </c>
      <c r="E411" s="2">
        <v>8.3000000000000007</v>
      </c>
      <c r="F411" s="2">
        <v>8.3000000000000007</v>
      </c>
      <c r="G411" t="s">
        <v>2113</v>
      </c>
      <c r="I411" t="s">
        <v>77</v>
      </c>
    </row>
    <row r="412" spans="1:9">
      <c r="A412" t="s">
        <v>76</v>
      </c>
      <c r="B412" t="s">
        <v>74</v>
      </c>
      <c r="C412" t="s">
        <v>22</v>
      </c>
      <c r="D412" t="s">
        <v>160</v>
      </c>
      <c r="E412" s="2">
        <v>5.7</v>
      </c>
      <c r="F412" s="2">
        <v>5.7</v>
      </c>
      <c r="G412" t="s">
        <v>2113</v>
      </c>
      <c r="I412" t="s">
        <v>77</v>
      </c>
    </row>
    <row r="413" spans="1:9">
      <c r="A413" t="s">
        <v>76</v>
      </c>
      <c r="B413" t="s">
        <v>74</v>
      </c>
      <c r="C413" t="s">
        <v>134</v>
      </c>
      <c r="D413" t="s">
        <v>160</v>
      </c>
      <c r="E413" s="2">
        <v>7.3</v>
      </c>
      <c r="F413" s="2">
        <v>7.3</v>
      </c>
      <c r="G413" t="s">
        <v>2113</v>
      </c>
      <c r="I413" t="s">
        <v>77</v>
      </c>
    </row>
    <row r="414" spans="1:9">
      <c r="A414" t="s">
        <v>76</v>
      </c>
      <c r="B414" t="s">
        <v>74</v>
      </c>
      <c r="C414" t="s">
        <v>22</v>
      </c>
      <c r="D414" t="s">
        <v>183</v>
      </c>
      <c r="E414" s="2">
        <v>4.7</v>
      </c>
      <c r="F414" s="2">
        <v>4.7</v>
      </c>
      <c r="G414" t="s">
        <v>2113</v>
      </c>
      <c r="I414" t="s">
        <v>77</v>
      </c>
    </row>
    <row r="415" spans="1:9">
      <c r="A415" t="s">
        <v>76</v>
      </c>
      <c r="B415" t="s">
        <v>74</v>
      </c>
      <c r="C415" t="s">
        <v>134</v>
      </c>
      <c r="D415" t="s">
        <v>183</v>
      </c>
      <c r="E415" s="2">
        <v>6.2</v>
      </c>
      <c r="F415" s="2">
        <v>6.2</v>
      </c>
      <c r="G415" t="s">
        <v>2113</v>
      </c>
      <c r="I415" t="s">
        <v>77</v>
      </c>
    </row>
    <row r="416" spans="1:9">
      <c r="A416" t="s">
        <v>76</v>
      </c>
      <c r="B416" t="s">
        <v>74</v>
      </c>
      <c r="C416" t="s">
        <v>22</v>
      </c>
      <c r="D416" t="s">
        <v>254</v>
      </c>
      <c r="E416" s="2">
        <v>4.5999999999999996</v>
      </c>
      <c r="F416" s="2">
        <v>4.5999999999999996</v>
      </c>
      <c r="G416" t="s">
        <v>2113</v>
      </c>
      <c r="I416" t="s">
        <v>77</v>
      </c>
    </row>
    <row r="417" spans="1:9">
      <c r="A417" t="s">
        <v>76</v>
      </c>
      <c r="B417" t="s">
        <v>74</v>
      </c>
      <c r="C417" t="s">
        <v>134</v>
      </c>
      <c r="D417" t="s">
        <v>254</v>
      </c>
      <c r="E417" s="2">
        <v>5.0999999999999996</v>
      </c>
      <c r="F417" s="2">
        <v>5.0999999999999996</v>
      </c>
      <c r="G417" t="s">
        <v>2113</v>
      </c>
      <c r="I417" t="s">
        <v>77</v>
      </c>
    </row>
    <row r="418" spans="1:9">
      <c r="A418" t="s">
        <v>76</v>
      </c>
      <c r="B418" t="s">
        <v>74</v>
      </c>
      <c r="C418" t="s">
        <v>22</v>
      </c>
      <c r="D418" t="s">
        <v>355</v>
      </c>
      <c r="E418" s="2">
        <v>4.0999999999999996</v>
      </c>
      <c r="F418" s="2">
        <v>4.0999999999999996</v>
      </c>
      <c r="G418" t="s">
        <v>2113</v>
      </c>
      <c r="I418" t="s">
        <v>77</v>
      </c>
    </row>
    <row r="419" spans="1:9">
      <c r="A419" t="s">
        <v>76</v>
      </c>
      <c r="B419" t="s">
        <v>74</v>
      </c>
      <c r="C419" t="s">
        <v>134</v>
      </c>
      <c r="D419" t="s">
        <v>355</v>
      </c>
      <c r="E419" s="2">
        <v>4.2</v>
      </c>
      <c r="F419" s="2">
        <v>4.2</v>
      </c>
      <c r="G419" t="s">
        <v>2113</v>
      </c>
      <c r="I419" t="s">
        <v>77</v>
      </c>
    </row>
    <row r="420" spans="1:9">
      <c r="A420" t="s">
        <v>76</v>
      </c>
      <c r="B420" t="s">
        <v>74</v>
      </c>
      <c r="C420" t="s">
        <v>22</v>
      </c>
      <c r="D420" t="s">
        <v>460</v>
      </c>
      <c r="E420" s="2">
        <v>3.7</v>
      </c>
      <c r="F420" s="2">
        <v>3.7</v>
      </c>
      <c r="G420" t="s">
        <v>2113</v>
      </c>
      <c r="I420" t="s">
        <v>77</v>
      </c>
    </row>
    <row r="421" spans="1:9">
      <c r="A421" t="s">
        <v>76</v>
      </c>
      <c r="B421" t="s">
        <v>74</v>
      </c>
      <c r="C421" t="s">
        <v>134</v>
      </c>
      <c r="D421" t="s">
        <v>460</v>
      </c>
      <c r="E421" s="2">
        <v>3.6</v>
      </c>
      <c r="F421" s="2">
        <v>3.6</v>
      </c>
      <c r="G421" t="s">
        <v>2113</v>
      </c>
      <c r="I421" t="s">
        <v>77</v>
      </c>
    </row>
    <row r="422" spans="1:9">
      <c r="A422" t="s">
        <v>76</v>
      </c>
      <c r="B422" t="s">
        <v>74</v>
      </c>
      <c r="C422" t="s">
        <v>22</v>
      </c>
      <c r="D422" t="s">
        <v>565</v>
      </c>
      <c r="E422" s="2">
        <v>3.4</v>
      </c>
      <c r="F422" s="2">
        <v>3.4</v>
      </c>
      <c r="G422" t="s">
        <v>2113</v>
      </c>
      <c r="I422" t="s">
        <v>77</v>
      </c>
    </row>
    <row r="423" spans="1:9">
      <c r="A423" t="s">
        <v>76</v>
      </c>
      <c r="B423" t="s">
        <v>74</v>
      </c>
      <c r="C423" t="s">
        <v>134</v>
      </c>
      <c r="D423" t="s">
        <v>565</v>
      </c>
      <c r="E423" s="2">
        <v>3.2</v>
      </c>
      <c r="F423" s="2">
        <v>3.2</v>
      </c>
      <c r="G423" t="s">
        <v>2113</v>
      </c>
      <c r="I423" t="s">
        <v>77</v>
      </c>
    </row>
    <row r="424" spans="1:9">
      <c r="A424" t="s">
        <v>76</v>
      </c>
      <c r="B424" t="s">
        <v>74</v>
      </c>
      <c r="C424" t="s">
        <v>22</v>
      </c>
      <c r="D424" t="s">
        <v>670</v>
      </c>
      <c r="E424" s="2">
        <v>3.1</v>
      </c>
      <c r="F424" s="2">
        <v>3.1</v>
      </c>
      <c r="G424" t="s">
        <v>2113</v>
      </c>
      <c r="I424" t="s">
        <v>77</v>
      </c>
    </row>
    <row r="425" spans="1:9">
      <c r="A425" t="s">
        <v>76</v>
      </c>
      <c r="B425" t="s">
        <v>74</v>
      </c>
      <c r="C425" t="s">
        <v>134</v>
      </c>
      <c r="D425" t="s">
        <v>670</v>
      </c>
      <c r="E425" s="2">
        <v>3.1</v>
      </c>
      <c r="F425" s="2">
        <v>3.1</v>
      </c>
      <c r="G425" t="s">
        <v>2113</v>
      </c>
      <c r="I425" t="s">
        <v>77</v>
      </c>
    </row>
    <row r="426" spans="1:9">
      <c r="A426" t="s">
        <v>76</v>
      </c>
      <c r="B426" t="s">
        <v>74</v>
      </c>
      <c r="C426" t="s">
        <v>22</v>
      </c>
      <c r="D426" t="s">
        <v>771</v>
      </c>
      <c r="E426" s="2">
        <v>3.1</v>
      </c>
      <c r="F426" s="2">
        <v>3.1</v>
      </c>
      <c r="G426" t="s">
        <v>2113</v>
      </c>
      <c r="I426" t="s">
        <v>77</v>
      </c>
    </row>
    <row r="427" spans="1:9">
      <c r="A427" t="s">
        <v>76</v>
      </c>
      <c r="B427" t="s">
        <v>74</v>
      </c>
      <c r="C427" t="s">
        <v>134</v>
      </c>
      <c r="D427" t="s">
        <v>771</v>
      </c>
      <c r="E427" s="2">
        <v>3.1</v>
      </c>
      <c r="F427" s="2">
        <v>3.1</v>
      </c>
      <c r="G427" t="s">
        <v>2113</v>
      </c>
      <c r="I427" t="s">
        <v>77</v>
      </c>
    </row>
    <row r="428" spans="1:9">
      <c r="A428" t="s">
        <v>76</v>
      </c>
      <c r="B428" t="s">
        <v>74</v>
      </c>
      <c r="C428" t="s">
        <v>22</v>
      </c>
      <c r="D428" t="s">
        <v>876</v>
      </c>
      <c r="E428" s="2">
        <v>3.1</v>
      </c>
      <c r="F428" s="2">
        <v>3.1</v>
      </c>
      <c r="G428" t="s">
        <v>2113</v>
      </c>
      <c r="I428" t="s">
        <v>77</v>
      </c>
    </row>
    <row r="429" spans="1:9">
      <c r="A429" t="s">
        <v>76</v>
      </c>
      <c r="B429" t="s">
        <v>74</v>
      </c>
      <c r="C429" t="s">
        <v>134</v>
      </c>
      <c r="D429" t="s">
        <v>876</v>
      </c>
      <c r="E429" s="2">
        <v>3.1</v>
      </c>
      <c r="F429" s="2">
        <v>3.1</v>
      </c>
      <c r="G429" t="s">
        <v>2113</v>
      </c>
      <c r="I429" t="s">
        <v>77</v>
      </c>
    </row>
    <row r="430" spans="1:9">
      <c r="A430" t="s">
        <v>78</v>
      </c>
      <c r="B430" t="s">
        <v>76</v>
      </c>
      <c r="C430" t="s">
        <v>22</v>
      </c>
      <c r="D430" t="s">
        <v>151</v>
      </c>
      <c r="E430" s="2">
        <v>8.5</v>
      </c>
      <c r="F430" s="2">
        <v>8.5</v>
      </c>
      <c r="G430" t="s">
        <v>2113</v>
      </c>
      <c r="I430" t="s">
        <v>79</v>
      </c>
    </row>
    <row r="431" spans="1:9">
      <c r="A431" t="s">
        <v>78</v>
      </c>
      <c r="B431" t="s">
        <v>76</v>
      </c>
      <c r="C431" t="s">
        <v>134</v>
      </c>
      <c r="D431" t="s">
        <v>151</v>
      </c>
      <c r="E431" s="2">
        <v>8</v>
      </c>
      <c r="F431" s="2">
        <v>8</v>
      </c>
      <c r="G431" t="s">
        <v>2113</v>
      </c>
      <c r="I431" t="s">
        <v>79</v>
      </c>
    </row>
    <row r="432" spans="1:9">
      <c r="A432" t="s">
        <v>78</v>
      </c>
      <c r="B432" t="s">
        <v>76</v>
      </c>
      <c r="C432" t="s">
        <v>22</v>
      </c>
      <c r="D432" t="s">
        <v>154</v>
      </c>
      <c r="E432" s="2">
        <v>8</v>
      </c>
      <c r="F432" s="2">
        <v>8</v>
      </c>
      <c r="G432" t="s">
        <v>2113</v>
      </c>
      <c r="I432" t="s">
        <v>79</v>
      </c>
    </row>
    <row r="433" spans="1:9">
      <c r="A433" t="s">
        <v>78</v>
      </c>
      <c r="B433" t="s">
        <v>76</v>
      </c>
      <c r="C433" t="s">
        <v>134</v>
      </c>
      <c r="D433" t="s">
        <v>154</v>
      </c>
      <c r="E433" s="2">
        <v>8.4</v>
      </c>
      <c r="F433" s="2">
        <v>8.4</v>
      </c>
      <c r="G433" t="s">
        <v>2113</v>
      </c>
      <c r="I433" t="s">
        <v>79</v>
      </c>
    </row>
    <row r="434" spans="1:9">
      <c r="A434" t="s">
        <v>78</v>
      </c>
      <c r="B434" t="s">
        <v>76</v>
      </c>
      <c r="C434" t="s">
        <v>22</v>
      </c>
      <c r="D434" t="s">
        <v>157</v>
      </c>
      <c r="E434" s="2">
        <v>7.5</v>
      </c>
      <c r="F434" s="2">
        <v>7.5</v>
      </c>
      <c r="G434" t="s">
        <v>2113</v>
      </c>
      <c r="I434" t="s">
        <v>79</v>
      </c>
    </row>
    <row r="435" spans="1:9">
      <c r="A435" t="s">
        <v>78</v>
      </c>
      <c r="B435" t="s">
        <v>76</v>
      </c>
      <c r="C435" t="s">
        <v>134</v>
      </c>
      <c r="D435" t="s">
        <v>157</v>
      </c>
      <c r="E435" s="2">
        <v>8.3000000000000007</v>
      </c>
      <c r="F435" s="2">
        <v>8.3000000000000007</v>
      </c>
      <c r="G435" t="s">
        <v>2113</v>
      </c>
      <c r="I435" t="s">
        <v>79</v>
      </c>
    </row>
    <row r="436" spans="1:9">
      <c r="A436" t="s">
        <v>78</v>
      </c>
      <c r="B436" t="s">
        <v>76</v>
      </c>
      <c r="C436" t="s">
        <v>22</v>
      </c>
      <c r="D436" t="s">
        <v>160</v>
      </c>
      <c r="E436" s="2">
        <v>5.7</v>
      </c>
      <c r="F436" s="2">
        <v>5.7</v>
      </c>
      <c r="G436" t="s">
        <v>2113</v>
      </c>
      <c r="I436" t="s">
        <v>79</v>
      </c>
    </row>
    <row r="437" spans="1:9">
      <c r="A437" t="s">
        <v>78</v>
      </c>
      <c r="B437" t="s">
        <v>76</v>
      </c>
      <c r="C437" t="s">
        <v>134</v>
      </c>
      <c r="D437" t="s">
        <v>160</v>
      </c>
      <c r="E437" s="2">
        <v>7.3</v>
      </c>
      <c r="F437" s="2">
        <v>7.3</v>
      </c>
      <c r="G437" t="s">
        <v>2113</v>
      </c>
      <c r="I437" t="s">
        <v>79</v>
      </c>
    </row>
    <row r="438" spans="1:9">
      <c r="A438" t="s">
        <v>78</v>
      </c>
      <c r="B438" t="s">
        <v>76</v>
      </c>
      <c r="C438" t="s">
        <v>22</v>
      </c>
      <c r="D438" t="s">
        <v>183</v>
      </c>
      <c r="E438" s="2">
        <v>4.5999999999999996</v>
      </c>
      <c r="F438" s="2">
        <v>4.5999999999999996</v>
      </c>
      <c r="G438" t="s">
        <v>2113</v>
      </c>
      <c r="I438" t="s">
        <v>79</v>
      </c>
    </row>
    <row r="439" spans="1:9">
      <c r="A439" t="s">
        <v>78</v>
      </c>
      <c r="B439" t="s">
        <v>76</v>
      </c>
      <c r="C439" t="s">
        <v>134</v>
      </c>
      <c r="D439" t="s">
        <v>183</v>
      </c>
      <c r="E439" s="2">
        <v>6.2</v>
      </c>
      <c r="F439" s="2">
        <v>6.2</v>
      </c>
      <c r="G439" t="s">
        <v>2113</v>
      </c>
      <c r="I439" t="s">
        <v>79</v>
      </c>
    </row>
    <row r="440" spans="1:9">
      <c r="A440" t="s">
        <v>78</v>
      </c>
      <c r="B440" t="s">
        <v>76</v>
      </c>
      <c r="C440" t="s">
        <v>22</v>
      </c>
      <c r="D440" t="s">
        <v>254</v>
      </c>
      <c r="E440" s="2">
        <v>4.7</v>
      </c>
      <c r="F440" s="2">
        <v>4.7</v>
      </c>
      <c r="G440" t="s">
        <v>2113</v>
      </c>
      <c r="I440" t="s">
        <v>79</v>
      </c>
    </row>
    <row r="441" spans="1:9">
      <c r="A441" t="s">
        <v>78</v>
      </c>
      <c r="B441" t="s">
        <v>76</v>
      </c>
      <c r="C441" t="s">
        <v>134</v>
      </c>
      <c r="D441" t="s">
        <v>254</v>
      </c>
      <c r="E441" s="2">
        <v>5.3</v>
      </c>
      <c r="F441" s="2">
        <v>5.3</v>
      </c>
      <c r="G441" t="s">
        <v>2113</v>
      </c>
      <c r="I441" t="s">
        <v>79</v>
      </c>
    </row>
    <row r="442" spans="1:9">
      <c r="A442" t="s">
        <v>78</v>
      </c>
      <c r="B442" t="s">
        <v>76</v>
      </c>
      <c r="C442" t="s">
        <v>22</v>
      </c>
      <c r="D442" t="s">
        <v>355</v>
      </c>
      <c r="E442" s="2">
        <v>4.4000000000000004</v>
      </c>
      <c r="F442" s="2">
        <v>4.4000000000000004</v>
      </c>
      <c r="G442" t="s">
        <v>2113</v>
      </c>
      <c r="I442" t="s">
        <v>79</v>
      </c>
    </row>
    <row r="443" spans="1:9">
      <c r="A443" t="s">
        <v>78</v>
      </c>
      <c r="B443" t="s">
        <v>76</v>
      </c>
      <c r="C443" t="s">
        <v>134</v>
      </c>
      <c r="D443" t="s">
        <v>355</v>
      </c>
      <c r="E443" s="2">
        <v>4.5</v>
      </c>
      <c r="F443" s="2">
        <v>4.5</v>
      </c>
      <c r="G443" t="s">
        <v>2113</v>
      </c>
      <c r="I443" t="s">
        <v>79</v>
      </c>
    </row>
    <row r="444" spans="1:9">
      <c r="A444" t="s">
        <v>78</v>
      </c>
      <c r="B444" t="s">
        <v>76</v>
      </c>
      <c r="C444" t="s">
        <v>22</v>
      </c>
      <c r="D444" t="s">
        <v>460</v>
      </c>
      <c r="E444" s="2">
        <v>4</v>
      </c>
      <c r="F444" s="2">
        <v>4</v>
      </c>
      <c r="G444" t="s">
        <v>2113</v>
      </c>
      <c r="I444" t="s">
        <v>79</v>
      </c>
    </row>
    <row r="445" spans="1:9">
      <c r="A445" t="s">
        <v>78</v>
      </c>
      <c r="B445" t="s">
        <v>76</v>
      </c>
      <c r="C445" t="s">
        <v>134</v>
      </c>
      <c r="D445" t="s">
        <v>460</v>
      </c>
      <c r="E445" s="2">
        <v>3.9</v>
      </c>
      <c r="F445" s="2">
        <v>3.9</v>
      </c>
      <c r="G445" t="s">
        <v>2113</v>
      </c>
      <c r="I445" t="s">
        <v>79</v>
      </c>
    </row>
    <row r="446" spans="1:9">
      <c r="A446" t="s">
        <v>78</v>
      </c>
      <c r="B446" t="s">
        <v>76</v>
      </c>
      <c r="C446" t="s">
        <v>22</v>
      </c>
      <c r="D446" t="s">
        <v>565</v>
      </c>
      <c r="E446" s="2">
        <v>3.7</v>
      </c>
      <c r="F446" s="2">
        <v>3.7</v>
      </c>
      <c r="G446" t="s">
        <v>2113</v>
      </c>
      <c r="I446" t="s">
        <v>79</v>
      </c>
    </row>
    <row r="447" spans="1:9">
      <c r="A447" t="s">
        <v>78</v>
      </c>
      <c r="B447" t="s">
        <v>76</v>
      </c>
      <c r="C447" t="s">
        <v>134</v>
      </c>
      <c r="D447" t="s">
        <v>565</v>
      </c>
      <c r="E447" s="2">
        <v>3.5</v>
      </c>
      <c r="F447" s="2">
        <v>3.5</v>
      </c>
      <c r="G447" t="s">
        <v>2113</v>
      </c>
      <c r="I447" t="s">
        <v>79</v>
      </c>
    </row>
    <row r="448" spans="1:9">
      <c r="A448" t="s">
        <v>78</v>
      </c>
      <c r="B448" t="s">
        <v>76</v>
      </c>
      <c r="C448" t="s">
        <v>22</v>
      </c>
      <c r="D448" t="s">
        <v>670</v>
      </c>
      <c r="E448" s="2">
        <v>3.4</v>
      </c>
      <c r="F448" s="2">
        <v>3.4</v>
      </c>
      <c r="G448" t="s">
        <v>2113</v>
      </c>
      <c r="I448" t="s">
        <v>79</v>
      </c>
    </row>
    <row r="449" spans="1:9">
      <c r="A449" t="s">
        <v>78</v>
      </c>
      <c r="B449" t="s">
        <v>76</v>
      </c>
      <c r="C449" t="s">
        <v>134</v>
      </c>
      <c r="D449" t="s">
        <v>670</v>
      </c>
      <c r="E449" s="2">
        <v>3.3</v>
      </c>
      <c r="F449" s="2">
        <v>3.3</v>
      </c>
      <c r="G449" t="s">
        <v>2113</v>
      </c>
      <c r="I449" t="s">
        <v>79</v>
      </c>
    </row>
    <row r="450" spans="1:9">
      <c r="A450" t="s">
        <v>78</v>
      </c>
      <c r="B450" t="s">
        <v>76</v>
      </c>
      <c r="C450" t="s">
        <v>22</v>
      </c>
      <c r="D450" t="s">
        <v>771</v>
      </c>
      <c r="E450" s="2">
        <v>3.2</v>
      </c>
      <c r="F450" s="2">
        <v>3.2</v>
      </c>
      <c r="G450" t="s">
        <v>2113</v>
      </c>
      <c r="I450" t="s">
        <v>79</v>
      </c>
    </row>
    <row r="451" spans="1:9">
      <c r="A451" t="s">
        <v>78</v>
      </c>
      <c r="B451" t="s">
        <v>76</v>
      </c>
      <c r="C451" t="s">
        <v>134</v>
      </c>
      <c r="D451" t="s">
        <v>771</v>
      </c>
      <c r="E451" s="2">
        <v>3.2</v>
      </c>
      <c r="F451" s="2">
        <v>3.2</v>
      </c>
      <c r="G451" t="s">
        <v>2113</v>
      </c>
      <c r="I451" t="s">
        <v>79</v>
      </c>
    </row>
    <row r="452" spans="1:9">
      <c r="A452" t="s">
        <v>78</v>
      </c>
      <c r="B452" t="s">
        <v>76</v>
      </c>
      <c r="C452" t="s">
        <v>22</v>
      </c>
      <c r="D452" t="s">
        <v>876</v>
      </c>
      <c r="E452" s="2">
        <v>3.1</v>
      </c>
      <c r="F452" s="2">
        <v>3.1</v>
      </c>
      <c r="G452" t="s">
        <v>2113</v>
      </c>
      <c r="I452" t="s">
        <v>79</v>
      </c>
    </row>
    <row r="453" spans="1:9">
      <c r="A453" t="s">
        <v>78</v>
      </c>
      <c r="B453" t="s">
        <v>76</v>
      </c>
      <c r="C453" t="s">
        <v>134</v>
      </c>
      <c r="D453" t="s">
        <v>876</v>
      </c>
      <c r="E453" s="2">
        <v>3.1</v>
      </c>
      <c r="F453" s="2">
        <v>3.1</v>
      </c>
      <c r="G453" t="s">
        <v>2113</v>
      </c>
      <c r="I453" t="s">
        <v>79</v>
      </c>
    </row>
    <row r="454" spans="1:9">
      <c r="A454" t="s">
        <v>78</v>
      </c>
      <c r="B454" t="s">
        <v>76</v>
      </c>
      <c r="C454" t="s">
        <v>22</v>
      </c>
      <c r="D454" t="s">
        <v>981</v>
      </c>
      <c r="E454" s="2">
        <v>3.1</v>
      </c>
      <c r="F454" s="2">
        <v>3.1</v>
      </c>
      <c r="G454" t="s">
        <v>2113</v>
      </c>
      <c r="I454" t="s">
        <v>79</v>
      </c>
    </row>
    <row r="455" spans="1:9">
      <c r="A455" t="s">
        <v>78</v>
      </c>
      <c r="B455" t="s">
        <v>76</v>
      </c>
      <c r="C455" t="s">
        <v>134</v>
      </c>
      <c r="D455" t="s">
        <v>981</v>
      </c>
      <c r="E455" s="2">
        <v>3.1</v>
      </c>
      <c r="F455" s="2">
        <v>3.1</v>
      </c>
      <c r="G455" t="s">
        <v>2113</v>
      </c>
      <c r="I455" t="s">
        <v>79</v>
      </c>
    </row>
    <row r="456" spans="1:9">
      <c r="A456" t="s">
        <v>80</v>
      </c>
      <c r="B456" t="s">
        <v>78</v>
      </c>
      <c r="C456" t="s">
        <v>22</v>
      </c>
      <c r="D456" t="s">
        <v>154</v>
      </c>
      <c r="E456" s="2">
        <v>8</v>
      </c>
      <c r="F456" s="2">
        <v>8</v>
      </c>
      <c r="G456" t="s">
        <v>2113</v>
      </c>
      <c r="I456" t="s">
        <v>81</v>
      </c>
    </row>
    <row r="457" spans="1:9">
      <c r="A457" t="s">
        <v>80</v>
      </c>
      <c r="B457" t="s">
        <v>78</v>
      </c>
      <c r="C457" t="s">
        <v>134</v>
      </c>
      <c r="D457" t="s">
        <v>154</v>
      </c>
      <c r="E457" s="2">
        <v>8.4</v>
      </c>
      <c r="F457" s="2">
        <v>8.4</v>
      </c>
      <c r="G457" t="s">
        <v>2113</v>
      </c>
      <c r="I457" t="s">
        <v>81</v>
      </c>
    </row>
    <row r="458" spans="1:9">
      <c r="A458" t="s">
        <v>80</v>
      </c>
      <c r="B458" t="s">
        <v>78</v>
      </c>
      <c r="C458" t="s">
        <v>22</v>
      </c>
      <c r="D458" t="s">
        <v>157</v>
      </c>
      <c r="E458" s="2">
        <v>7.5</v>
      </c>
      <c r="F458" s="2">
        <v>7.5</v>
      </c>
      <c r="G458" t="s">
        <v>2113</v>
      </c>
      <c r="I458" t="s">
        <v>81</v>
      </c>
    </row>
    <row r="459" spans="1:9">
      <c r="A459" t="s">
        <v>80</v>
      </c>
      <c r="B459" t="s">
        <v>78</v>
      </c>
      <c r="C459" t="s">
        <v>134</v>
      </c>
      <c r="D459" t="s">
        <v>157</v>
      </c>
      <c r="E459" s="2">
        <v>8.3000000000000007</v>
      </c>
      <c r="F459" s="2">
        <v>8.3000000000000007</v>
      </c>
      <c r="G459" t="s">
        <v>2113</v>
      </c>
      <c r="I459" t="s">
        <v>81</v>
      </c>
    </row>
    <row r="460" spans="1:9">
      <c r="A460" t="s">
        <v>80</v>
      </c>
      <c r="B460" t="s">
        <v>78</v>
      </c>
      <c r="C460" t="s">
        <v>22</v>
      </c>
      <c r="D460" t="s">
        <v>160</v>
      </c>
      <c r="E460" s="2">
        <v>5.7</v>
      </c>
      <c r="F460" s="2">
        <v>5.7</v>
      </c>
      <c r="G460" t="s">
        <v>2113</v>
      </c>
      <c r="I460" t="s">
        <v>81</v>
      </c>
    </row>
    <row r="461" spans="1:9">
      <c r="A461" t="s">
        <v>80</v>
      </c>
      <c r="B461" t="s">
        <v>78</v>
      </c>
      <c r="C461" t="s">
        <v>134</v>
      </c>
      <c r="D461" t="s">
        <v>160</v>
      </c>
      <c r="E461" s="2">
        <v>7.3</v>
      </c>
      <c r="F461" s="2">
        <v>7.3</v>
      </c>
      <c r="G461" t="s">
        <v>2113</v>
      </c>
      <c r="I461" t="s">
        <v>81</v>
      </c>
    </row>
    <row r="462" spans="1:9">
      <c r="A462" t="s">
        <v>80</v>
      </c>
      <c r="B462" t="s">
        <v>78</v>
      </c>
      <c r="C462" t="s">
        <v>22</v>
      </c>
      <c r="D462" t="s">
        <v>183</v>
      </c>
      <c r="E462" s="2">
        <v>4.5999999999999996</v>
      </c>
      <c r="F462" s="2">
        <v>4.5999999999999996</v>
      </c>
      <c r="G462" t="s">
        <v>2113</v>
      </c>
      <c r="I462" t="s">
        <v>81</v>
      </c>
    </row>
    <row r="463" spans="1:9">
      <c r="A463" t="s">
        <v>80</v>
      </c>
      <c r="B463" t="s">
        <v>78</v>
      </c>
      <c r="C463" t="s">
        <v>134</v>
      </c>
      <c r="D463" t="s">
        <v>183</v>
      </c>
      <c r="E463" s="2">
        <v>6.2</v>
      </c>
      <c r="F463" s="2">
        <v>6.2</v>
      </c>
      <c r="G463" t="s">
        <v>2113</v>
      </c>
      <c r="I463" t="s">
        <v>81</v>
      </c>
    </row>
    <row r="464" spans="1:9">
      <c r="A464" t="s">
        <v>80</v>
      </c>
      <c r="B464" t="s">
        <v>78</v>
      </c>
      <c r="C464" t="s">
        <v>22</v>
      </c>
      <c r="D464" t="s">
        <v>254</v>
      </c>
      <c r="E464" s="2">
        <v>4.4000000000000004</v>
      </c>
      <c r="F464" s="2">
        <v>4.4000000000000004</v>
      </c>
      <c r="G464" t="s">
        <v>2113</v>
      </c>
      <c r="I464" t="s">
        <v>81</v>
      </c>
    </row>
    <row r="465" spans="1:9">
      <c r="A465" t="s">
        <v>80</v>
      </c>
      <c r="B465" t="s">
        <v>78</v>
      </c>
      <c r="C465" t="s">
        <v>134</v>
      </c>
      <c r="D465" t="s">
        <v>254</v>
      </c>
      <c r="E465" s="2">
        <v>5.3</v>
      </c>
      <c r="F465" s="2">
        <v>5.3</v>
      </c>
      <c r="G465" t="s">
        <v>2113</v>
      </c>
      <c r="I465" t="s">
        <v>81</v>
      </c>
    </row>
    <row r="466" spans="1:9">
      <c r="A466" t="s">
        <v>80</v>
      </c>
      <c r="B466" t="s">
        <v>78</v>
      </c>
      <c r="C466" t="s">
        <v>22</v>
      </c>
      <c r="D466" t="s">
        <v>355</v>
      </c>
      <c r="E466" s="2">
        <v>4.3</v>
      </c>
      <c r="F466" s="2">
        <v>4.3</v>
      </c>
      <c r="G466" t="s">
        <v>2113</v>
      </c>
      <c r="I466" t="s">
        <v>81</v>
      </c>
    </row>
    <row r="467" spans="1:9">
      <c r="A467" t="s">
        <v>80</v>
      </c>
      <c r="B467" t="s">
        <v>78</v>
      </c>
      <c r="C467" t="s">
        <v>134</v>
      </c>
      <c r="D467" t="s">
        <v>355</v>
      </c>
      <c r="E467" s="2">
        <v>4.5</v>
      </c>
      <c r="F467" s="2">
        <v>4.5</v>
      </c>
      <c r="G467" t="s">
        <v>2113</v>
      </c>
      <c r="I467" t="s">
        <v>81</v>
      </c>
    </row>
    <row r="468" spans="1:9">
      <c r="A468" t="s">
        <v>80</v>
      </c>
      <c r="B468" t="s">
        <v>78</v>
      </c>
      <c r="C468" t="s">
        <v>22</v>
      </c>
      <c r="D468" t="s">
        <v>460</v>
      </c>
      <c r="E468" s="2">
        <v>4</v>
      </c>
      <c r="F468" s="2">
        <v>4</v>
      </c>
      <c r="G468" t="s">
        <v>2113</v>
      </c>
      <c r="I468" t="s">
        <v>81</v>
      </c>
    </row>
    <row r="469" spans="1:9">
      <c r="A469" t="s">
        <v>80</v>
      </c>
      <c r="B469" t="s">
        <v>78</v>
      </c>
      <c r="C469" t="s">
        <v>134</v>
      </c>
      <c r="D469" t="s">
        <v>460</v>
      </c>
      <c r="E469" s="2">
        <v>3.9</v>
      </c>
      <c r="F469" s="2">
        <v>3.9</v>
      </c>
      <c r="G469" t="s">
        <v>2113</v>
      </c>
      <c r="I469" t="s">
        <v>81</v>
      </c>
    </row>
    <row r="470" spans="1:9">
      <c r="A470" t="s">
        <v>80</v>
      </c>
      <c r="B470" t="s">
        <v>78</v>
      </c>
      <c r="C470" t="s">
        <v>22</v>
      </c>
      <c r="D470" t="s">
        <v>565</v>
      </c>
      <c r="E470" s="2">
        <v>3.7</v>
      </c>
      <c r="F470" s="2">
        <v>3.7</v>
      </c>
      <c r="G470" t="s">
        <v>2113</v>
      </c>
      <c r="I470" t="s">
        <v>81</v>
      </c>
    </row>
    <row r="471" spans="1:9">
      <c r="A471" t="s">
        <v>80</v>
      </c>
      <c r="B471" t="s">
        <v>78</v>
      </c>
      <c r="C471" t="s">
        <v>134</v>
      </c>
      <c r="D471" t="s">
        <v>565</v>
      </c>
      <c r="E471" s="2">
        <v>3.5</v>
      </c>
      <c r="F471" s="2">
        <v>3.5</v>
      </c>
      <c r="G471" t="s">
        <v>2113</v>
      </c>
      <c r="I471" t="s">
        <v>81</v>
      </c>
    </row>
    <row r="472" spans="1:9">
      <c r="A472" t="s">
        <v>80</v>
      </c>
      <c r="B472" t="s">
        <v>78</v>
      </c>
      <c r="C472" t="s">
        <v>22</v>
      </c>
      <c r="D472" t="s">
        <v>670</v>
      </c>
      <c r="E472" s="2">
        <v>3.4</v>
      </c>
      <c r="F472" s="2">
        <v>3.4</v>
      </c>
      <c r="G472" t="s">
        <v>2113</v>
      </c>
      <c r="I472" t="s">
        <v>81</v>
      </c>
    </row>
    <row r="473" spans="1:9">
      <c r="A473" t="s">
        <v>80</v>
      </c>
      <c r="B473" t="s">
        <v>78</v>
      </c>
      <c r="C473" t="s">
        <v>134</v>
      </c>
      <c r="D473" t="s">
        <v>670</v>
      </c>
      <c r="E473" s="2">
        <v>3.3</v>
      </c>
      <c r="F473" s="2">
        <v>3.3</v>
      </c>
      <c r="G473" t="s">
        <v>2113</v>
      </c>
      <c r="I473" t="s">
        <v>81</v>
      </c>
    </row>
    <row r="474" spans="1:9">
      <c r="A474" t="s">
        <v>80</v>
      </c>
      <c r="B474" t="s">
        <v>78</v>
      </c>
      <c r="C474" t="s">
        <v>22</v>
      </c>
      <c r="D474" t="s">
        <v>771</v>
      </c>
      <c r="E474" s="2">
        <v>3.2</v>
      </c>
      <c r="F474" s="2">
        <v>3.2</v>
      </c>
      <c r="G474" t="s">
        <v>2113</v>
      </c>
      <c r="I474" t="s">
        <v>81</v>
      </c>
    </row>
    <row r="475" spans="1:9">
      <c r="A475" t="s">
        <v>80</v>
      </c>
      <c r="B475" t="s">
        <v>78</v>
      </c>
      <c r="C475" t="s">
        <v>134</v>
      </c>
      <c r="D475" t="s">
        <v>771</v>
      </c>
      <c r="E475" s="2">
        <v>3.2</v>
      </c>
      <c r="F475" s="2">
        <v>3.2</v>
      </c>
      <c r="G475" t="s">
        <v>2113</v>
      </c>
      <c r="I475" t="s">
        <v>81</v>
      </c>
    </row>
    <row r="476" spans="1:9">
      <c r="A476" t="s">
        <v>80</v>
      </c>
      <c r="B476" t="s">
        <v>78</v>
      </c>
      <c r="C476" t="s">
        <v>22</v>
      </c>
      <c r="D476" t="s">
        <v>876</v>
      </c>
      <c r="E476" s="2">
        <v>3.1</v>
      </c>
      <c r="F476" s="2">
        <v>3.1</v>
      </c>
      <c r="G476" t="s">
        <v>2113</v>
      </c>
      <c r="I476" t="s">
        <v>81</v>
      </c>
    </row>
    <row r="477" spans="1:9">
      <c r="A477" t="s">
        <v>80</v>
      </c>
      <c r="B477" t="s">
        <v>78</v>
      </c>
      <c r="C477" t="s">
        <v>134</v>
      </c>
      <c r="D477" t="s">
        <v>876</v>
      </c>
      <c r="E477" s="2">
        <v>3.1</v>
      </c>
      <c r="F477" s="2">
        <v>3.1</v>
      </c>
      <c r="G477" t="s">
        <v>2113</v>
      </c>
      <c r="I477" t="s">
        <v>81</v>
      </c>
    </row>
    <row r="478" spans="1:9">
      <c r="A478" t="s">
        <v>80</v>
      </c>
      <c r="B478" t="s">
        <v>78</v>
      </c>
      <c r="C478" t="s">
        <v>22</v>
      </c>
      <c r="D478" t="s">
        <v>981</v>
      </c>
      <c r="E478" s="2">
        <v>3.1</v>
      </c>
      <c r="F478" s="2">
        <v>3.1</v>
      </c>
      <c r="G478" t="s">
        <v>2113</v>
      </c>
      <c r="I478" t="s">
        <v>81</v>
      </c>
    </row>
    <row r="479" spans="1:9">
      <c r="A479" t="s">
        <v>80</v>
      </c>
      <c r="B479" t="s">
        <v>78</v>
      </c>
      <c r="C479" t="s">
        <v>134</v>
      </c>
      <c r="D479" t="s">
        <v>981</v>
      </c>
      <c r="E479" s="2">
        <v>3.1</v>
      </c>
      <c r="F479" s="2">
        <v>3.1</v>
      </c>
      <c r="G479" t="s">
        <v>2113</v>
      </c>
      <c r="I479" t="s">
        <v>81</v>
      </c>
    </row>
    <row r="480" spans="1:9">
      <c r="A480" t="s">
        <v>82</v>
      </c>
      <c r="B480" t="s">
        <v>80</v>
      </c>
      <c r="C480" t="s">
        <v>22</v>
      </c>
      <c r="D480" t="s">
        <v>157</v>
      </c>
      <c r="E480" s="2">
        <v>7.5</v>
      </c>
      <c r="F480" s="2">
        <v>7.5</v>
      </c>
      <c r="G480" t="s">
        <v>2113</v>
      </c>
      <c r="I480" t="s">
        <v>83</v>
      </c>
    </row>
    <row r="481" spans="1:9">
      <c r="A481" t="s">
        <v>82</v>
      </c>
      <c r="B481" t="s">
        <v>80</v>
      </c>
      <c r="C481" t="s">
        <v>134</v>
      </c>
      <c r="D481" t="s">
        <v>157</v>
      </c>
      <c r="E481" s="2">
        <v>8.3000000000000007</v>
      </c>
      <c r="F481" s="2">
        <v>8.3000000000000007</v>
      </c>
      <c r="G481" t="s">
        <v>2113</v>
      </c>
      <c r="I481" t="s">
        <v>83</v>
      </c>
    </row>
    <row r="482" spans="1:9">
      <c r="A482" t="s">
        <v>82</v>
      </c>
      <c r="B482" t="s">
        <v>80</v>
      </c>
      <c r="C482" t="s">
        <v>22</v>
      </c>
      <c r="D482" t="s">
        <v>160</v>
      </c>
      <c r="E482" s="2">
        <v>5.7</v>
      </c>
      <c r="F482" s="2">
        <v>5.7</v>
      </c>
      <c r="G482" t="s">
        <v>2113</v>
      </c>
      <c r="I482" t="s">
        <v>83</v>
      </c>
    </row>
    <row r="483" spans="1:9">
      <c r="A483" t="s">
        <v>82</v>
      </c>
      <c r="B483" t="s">
        <v>80</v>
      </c>
      <c r="C483" t="s">
        <v>134</v>
      </c>
      <c r="D483" t="s">
        <v>160</v>
      </c>
      <c r="E483" s="2">
        <v>7.3</v>
      </c>
      <c r="F483" s="2">
        <v>7.3</v>
      </c>
      <c r="G483" t="s">
        <v>2113</v>
      </c>
      <c r="I483" t="s">
        <v>83</v>
      </c>
    </row>
    <row r="484" spans="1:9">
      <c r="A484" t="s">
        <v>82</v>
      </c>
      <c r="B484" t="s">
        <v>80</v>
      </c>
      <c r="C484" t="s">
        <v>22</v>
      </c>
      <c r="D484" t="s">
        <v>183</v>
      </c>
      <c r="E484" s="2">
        <v>4.5999999999999996</v>
      </c>
      <c r="F484" s="2">
        <v>4.5999999999999996</v>
      </c>
      <c r="G484" t="s">
        <v>2113</v>
      </c>
      <c r="I484" t="s">
        <v>83</v>
      </c>
    </row>
    <row r="485" spans="1:9">
      <c r="A485" t="s">
        <v>82</v>
      </c>
      <c r="B485" t="s">
        <v>80</v>
      </c>
      <c r="C485" t="s">
        <v>134</v>
      </c>
      <c r="D485" t="s">
        <v>183</v>
      </c>
      <c r="E485" s="2">
        <v>6.2</v>
      </c>
      <c r="F485" s="2">
        <v>6.2</v>
      </c>
      <c r="G485" t="s">
        <v>2113</v>
      </c>
      <c r="I485" t="s">
        <v>83</v>
      </c>
    </row>
    <row r="486" spans="1:9">
      <c r="A486" t="s">
        <v>82</v>
      </c>
      <c r="B486" t="s">
        <v>80</v>
      </c>
      <c r="C486" t="s">
        <v>22</v>
      </c>
      <c r="D486" t="s">
        <v>254</v>
      </c>
      <c r="E486" s="2">
        <v>4.4000000000000004</v>
      </c>
      <c r="F486" s="2">
        <v>4.4000000000000004</v>
      </c>
      <c r="G486" t="s">
        <v>2113</v>
      </c>
      <c r="I486" t="s">
        <v>83</v>
      </c>
    </row>
    <row r="487" spans="1:9">
      <c r="A487" t="s">
        <v>82</v>
      </c>
      <c r="B487" t="s">
        <v>80</v>
      </c>
      <c r="C487" t="s">
        <v>134</v>
      </c>
      <c r="D487" t="s">
        <v>254</v>
      </c>
      <c r="E487" s="2">
        <v>5.4</v>
      </c>
      <c r="F487" s="2">
        <v>5.4</v>
      </c>
      <c r="G487" t="s">
        <v>2113</v>
      </c>
      <c r="I487" t="s">
        <v>83</v>
      </c>
    </row>
    <row r="488" spans="1:9">
      <c r="A488" t="s">
        <v>82</v>
      </c>
      <c r="B488" t="s">
        <v>80</v>
      </c>
      <c r="C488" t="s">
        <v>22</v>
      </c>
      <c r="D488" t="s">
        <v>355</v>
      </c>
      <c r="E488" s="2">
        <v>4.3</v>
      </c>
      <c r="F488" s="2">
        <v>4.3</v>
      </c>
      <c r="G488" t="s">
        <v>2113</v>
      </c>
      <c r="I488" t="s">
        <v>83</v>
      </c>
    </row>
    <row r="489" spans="1:9">
      <c r="A489" t="s">
        <v>82</v>
      </c>
      <c r="B489" t="s">
        <v>80</v>
      </c>
      <c r="C489" t="s">
        <v>134</v>
      </c>
      <c r="D489" t="s">
        <v>355</v>
      </c>
      <c r="E489" s="2">
        <v>4.7</v>
      </c>
      <c r="F489" s="2">
        <v>4.7</v>
      </c>
      <c r="G489" t="s">
        <v>2113</v>
      </c>
      <c r="I489" t="s">
        <v>83</v>
      </c>
    </row>
    <row r="490" spans="1:9">
      <c r="A490" t="s">
        <v>82</v>
      </c>
      <c r="B490" t="s">
        <v>80</v>
      </c>
      <c r="C490" t="s">
        <v>22</v>
      </c>
      <c r="D490" t="s">
        <v>460</v>
      </c>
      <c r="E490" s="2">
        <v>4.0999999999999996</v>
      </c>
      <c r="F490" s="2">
        <v>4.0999999999999996</v>
      </c>
      <c r="G490" t="s">
        <v>2113</v>
      </c>
      <c r="I490" t="s">
        <v>83</v>
      </c>
    </row>
    <row r="491" spans="1:9">
      <c r="A491" t="s">
        <v>82</v>
      </c>
      <c r="B491" t="s">
        <v>80</v>
      </c>
      <c r="C491" t="s">
        <v>134</v>
      </c>
      <c r="D491" t="s">
        <v>460</v>
      </c>
      <c r="E491" s="2">
        <v>4.0999999999999996</v>
      </c>
      <c r="F491" s="2">
        <v>4.0999999999999996</v>
      </c>
      <c r="G491" t="s">
        <v>2113</v>
      </c>
      <c r="I491" t="s">
        <v>83</v>
      </c>
    </row>
    <row r="492" spans="1:9">
      <c r="A492" t="s">
        <v>82</v>
      </c>
      <c r="B492" t="s">
        <v>80</v>
      </c>
      <c r="C492" t="s">
        <v>22</v>
      </c>
      <c r="D492" t="s">
        <v>565</v>
      </c>
      <c r="E492" s="2">
        <v>3.8</v>
      </c>
      <c r="F492" s="2">
        <v>3.8</v>
      </c>
      <c r="G492" t="s">
        <v>2113</v>
      </c>
      <c r="I492" t="s">
        <v>83</v>
      </c>
    </row>
    <row r="493" spans="1:9">
      <c r="A493" t="s">
        <v>82</v>
      </c>
      <c r="B493" t="s">
        <v>80</v>
      </c>
      <c r="C493" t="s">
        <v>134</v>
      </c>
      <c r="D493" t="s">
        <v>565</v>
      </c>
      <c r="E493" s="2">
        <v>3.7</v>
      </c>
      <c r="F493" s="2">
        <v>3.7</v>
      </c>
      <c r="G493" t="s">
        <v>2113</v>
      </c>
      <c r="I493" t="s">
        <v>83</v>
      </c>
    </row>
    <row r="494" spans="1:9">
      <c r="A494" t="s">
        <v>82</v>
      </c>
      <c r="B494" t="s">
        <v>80</v>
      </c>
      <c r="C494" t="s">
        <v>22</v>
      </c>
      <c r="D494" t="s">
        <v>670</v>
      </c>
      <c r="E494" s="2">
        <v>3.5</v>
      </c>
      <c r="F494" s="2">
        <v>3.5</v>
      </c>
      <c r="G494" t="s">
        <v>2113</v>
      </c>
      <c r="I494" t="s">
        <v>83</v>
      </c>
    </row>
    <row r="495" spans="1:9">
      <c r="A495" t="s">
        <v>82</v>
      </c>
      <c r="B495" t="s">
        <v>80</v>
      </c>
      <c r="C495" t="s">
        <v>134</v>
      </c>
      <c r="D495" t="s">
        <v>670</v>
      </c>
      <c r="E495" s="2">
        <v>3.5</v>
      </c>
      <c r="F495" s="2">
        <v>3.5</v>
      </c>
      <c r="G495" t="s">
        <v>2113</v>
      </c>
      <c r="I495" t="s">
        <v>83</v>
      </c>
    </row>
    <row r="496" spans="1:9">
      <c r="A496" t="s">
        <v>82</v>
      </c>
      <c r="B496" t="s">
        <v>80</v>
      </c>
      <c r="C496" t="s">
        <v>22</v>
      </c>
      <c r="D496" t="s">
        <v>771</v>
      </c>
      <c r="E496" s="2">
        <v>3.2</v>
      </c>
      <c r="F496" s="2">
        <v>3.2</v>
      </c>
      <c r="G496" t="s">
        <v>2113</v>
      </c>
      <c r="I496" t="s">
        <v>83</v>
      </c>
    </row>
    <row r="497" spans="1:9">
      <c r="A497" t="s">
        <v>82</v>
      </c>
      <c r="B497" t="s">
        <v>80</v>
      </c>
      <c r="C497" t="s">
        <v>134</v>
      </c>
      <c r="D497" t="s">
        <v>771</v>
      </c>
      <c r="E497" s="2">
        <v>3.2</v>
      </c>
      <c r="F497" s="2">
        <v>3.2</v>
      </c>
      <c r="G497" t="s">
        <v>2113</v>
      </c>
      <c r="I497" t="s">
        <v>83</v>
      </c>
    </row>
    <row r="498" spans="1:9">
      <c r="A498" t="s">
        <v>82</v>
      </c>
      <c r="B498" t="s">
        <v>80</v>
      </c>
      <c r="C498" t="s">
        <v>22</v>
      </c>
      <c r="D498" t="s">
        <v>876</v>
      </c>
      <c r="E498" s="2">
        <v>3.1</v>
      </c>
      <c r="F498" s="2">
        <v>3.1</v>
      </c>
      <c r="G498" t="s">
        <v>2113</v>
      </c>
      <c r="I498" t="s">
        <v>83</v>
      </c>
    </row>
    <row r="499" spans="1:9">
      <c r="A499" t="s">
        <v>82</v>
      </c>
      <c r="B499" t="s">
        <v>80</v>
      </c>
      <c r="C499" t="s">
        <v>134</v>
      </c>
      <c r="D499" t="s">
        <v>876</v>
      </c>
      <c r="E499" s="2">
        <v>3.1</v>
      </c>
      <c r="F499" s="2">
        <v>3.1</v>
      </c>
      <c r="G499" t="s">
        <v>2113</v>
      </c>
      <c r="I499" t="s">
        <v>83</v>
      </c>
    </row>
    <row r="500" spans="1:9">
      <c r="A500" t="s">
        <v>82</v>
      </c>
      <c r="B500" t="s">
        <v>80</v>
      </c>
      <c r="C500" t="s">
        <v>22</v>
      </c>
      <c r="D500" t="s">
        <v>981</v>
      </c>
      <c r="E500" s="2">
        <v>3.1</v>
      </c>
      <c r="F500" s="2">
        <v>3.1</v>
      </c>
      <c r="G500" t="s">
        <v>2113</v>
      </c>
      <c r="I500" t="s">
        <v>83</v>
      </c>
    </row>
    <row r="501" spans="1:9">
      <c r="A501" t="s">
        <v>82</v>
      </c>
      <c r="B501" t="s">
        <v>80</v>
      </c>
      <c r="C501" t="s">
        <v>134</v>
      </c>
      <c r="D501" t="s">
        <v>981</v>
      </c>
      <c r="E501" s="2">
        <v>3.1</v>
      </c>
      <c r="F501" s="2">
        <v>3.1</v>
      </c>
      <c r="G501" t="s">
        <v>2113</v>
      </c>
      <c r="I501" t="s">
        <v>83</v>
      </c>
    </row>
    <row r="502" spans="1:9">
      <c r="A502" t="s">
        <v>82</v>
      </c>
      <c r="B502" t="s">
        <v>80</v>
      </c>
      <c r="C502" t="s">
        <v>22</v>
      </c>
      <c r="D502" t="s">
        <v>1086</v>
      </c>
      <c r="E502" s="2">
        <v>3.1</v>
      </c>
      <c r="F502" s="2">
        <v>3.1</v>
      </c>
      <c r="G502" t="s">
        <v>2113</v>
      </c>
      <c r="I502" t="s">
        <v>83</v>
      </c>
    </row>
    <row r="503" spans="1:9">
      <c r="A503" t="s">
        <v>82</v>
      </c>
      <c r="B503" t="s">
        <v>80</v>
      </c>
      <c r="C503" t="s">
        <v>134</v>
      </c>
      <c r="D503" t="s">
        <v>1086</v>
      </c>
      <c r="E503" s="2">
        <v>3.1</v>
      </c>
      <c r="F503" s="2">
        <v>3.1</v>
      </c>
      <c r="G503" t="s">
        <v>2113</v>
      </c>
      <c r="I503" t="s">
        <v>83</v>
      </c>
    </row>
    <row r="504" spans="1:9">
      <c r="A504" t="s">
        <v>84</v>
      </c>
      <c r="B504" t="s">
        <v>82</v>
      </c>
      <c r="C504" t="s">
        <v>22</v>
      </c>
      <c r="D504" t="s">
        <v>160</v>
      </c>
      <c r="E504" s="2">
        <v>5.7</v>
      </c>
      <c r="F504" s="2">
        <v>5.7</v>
      </c>
      <c r="G504" t="s">
        <v>2113</v>
      </c>
      <c r="I504" t="s">
        <v>85</v>
      </c>
    </row>
    <row r="505" spans="1:9">
      <c r="A505" t="s">
        <v>84</v>
      </c>
      <c r="B505" t="s">
        <v>82</v>
      </c>
      <c r="C505" t="s">
        <v>134</v>
      </c>
      <c r="D505" t="s">
        <v>160</v>
      </c>
      <c r="E505" s="2">
        <v>7.3</v>
      </c>
      <c r="F505" s="2">
        <v>7.3</v>
      </c>
      <c r="G505" t="s">
        <v>2113</v>
      </c>
      <c r="I505" t="s">
        <v>85</v>
      </c>
    </row>
    <row r="506" spans="1:9">
      <c r="A506" t="s">
        <v>84</v>
      </c>
      <c r="B506" t="s">
        <v>82</v>
      </c>
      <c r="C506" t="s">
        <v>22</v>
      </c>
      <c r="D506" t="s">
        <v>183</v>
      </c>
      <c r="E506" s="2">
        <v>4.5999999999999996</v>
      </c>
      <c r="F506" s="2">
        <v>4.5999999999999996</v>
      </c>
      <c r="G506" t="s">
        <v>2113</v>
      </c>
      <c r="I506" t="s">
        <v>85</v>
      </c>
    </row>
    <row r="507" spans="1:9">
      <c r="A507" t="s">
        <v>84</v>
      </c>
      <c r="B507" t="s">
        <v>82</v>
      </c>
      <c r="C507" t="s">
        <v>134</v>
      </c>
      <c r="D507" t="s">
        <v>183</v>
      </c>
      <c r="E507" s="2">
        <v>6.2</v>
      </c>
      <c r="F507" s="2">
        <v>6.2</v>
      </c>
      <c r="G507" t="s">
        <v>2113</v>
      </c>
      <c r="I507" t="s">
        <v>85</v>
      </c>
    </row>
    <row r="508" spans="1:9">
      <c r="A508" t="s">
        <v>84</v>
      </c>
      <c r="B508" t="s">
        <v>82</v>
      </c>
      <c r="C508" t="s">
        <v>22</v>
      </c>
      <c r="D508" t="s">
        <v>254</v>
      </c>
      <c r="E508" s="2">
        <v>4.4000000000000004</v>
      </c>
      <c r="F508" s="2">
        <v>4.4000000000000004</v>
      </c>
      <c r="G508" t="s">
        <v>2113</v>
      </c>
      <c r="I508" t="s">
        <v>85</v>
      </c>
    </row>
    <row r="509" spans="1:9">
      <c r="A509" t="s">
        <v>84</v>
      </c>
      <c r="B509" t="s">
        <v>82</v>
      </c>
      <c r="C509" t="s">
        <v>134</v>
      </c>
      <c r="D509" t="s">
        <v>254</v>
      </c>
      <c r="E509" s="2">
        <v>5.3</v>
      </c>
      <c r="F509" s="2">
        <v>5.3</v>
      </c>
      <c r="G509" t="s">
        <v>2113</v>
      </c>
      <c r="I509" t="s">
        <v>85</v>
      </c>
    </row>
    <row r="510" spans="1:9">
      <c r="A510" t="s">
        <v>84</v>
      </c>
      <c r="B510" t="s">
        <v>82</v>
      </c>
      <c r="C510" t="s">
        <v>22</v>
      </c>
      <c r="D510" t="s">
        <v>355</v>
      </c>
      <c r="E510" s="2">
        <v>4.7</v>
      </c>
      <c r="F510" s="2">
        <v>4.7</v>
      </c>
      <c r="G510" t="s">
        <v>2113</v>
      </c>
      <c r="I510" t="s">
        <v>85</v>
      </c>
    </row>
    <row r="511" spans="1:9">
      <c r="A511" t="s">
        <v>84</v>
      </c>
      <c r="B511" t="s">
        <v>82</v>
      </c>
      <c r="C511" t="s">
        <v>134</v>
      </c>
      <c r="D511" t="s">
        <v>355</v>
      </c>
      <c r="E511" s="2">
        <v>4.5999999999999996</v>
      </c>
      <c r="F511" s="2">
        <v>4.5999999999999996</v>
      </c>
      <c r="G511" t="s">
        <v>2113</v>
      </c>
      <c r="I511" t="s">
        <v>85</v>
      </c>
    </row>
    <row r="512" spans="1:9">
      <c r="A512" t="s">
        <v>84</v>
      </c>
      <c r="B512" t="s">
        <v>82</v>
      </c>
      <c r="C512" t="s">
        <v>22</v>
      </c>
      <c r="D512" t="s">
        <v>460</v>
      </c>
      <c r="E512" s="2">
        <v>4.3</v>
      </c>
      <c r="F512" s="2">
        <v>4.3</v>
      </c>
      <c r="G512" t="s">
        <v>2113</v>
      </c>
      <c r="I512" t="s">
        <v>85</v>
      </c>
    </row>
    <row r="513" spans="1:9">
      <c r="A513" t="s">
        <v>84</v>
      </c>
      <c r="B513" t="s">
        <v>82</v>
      </c>
      <c r="C513" t="s">
        <v>134</v>
      </c>
      <c r="D513" t="s">
        <v>460</v>
      </c>
      <c r="E513" s="2">
        <v>4.0999999999999996</v>
      </c>
      <c r="F513" s="2">
        <v>4.0999999999999996</v>
      </c>
      <c r="G513" t="s">
        <v>2113</v>
      </c>
      <c r="I513" t="s">
        <v>85</v>
      </c>
    </row>
    <row r="514" spans="1:9">
      <c r="A514" t="s">
        <v>84</v>
      </c>
      <c r="B514" t="s">
        <v>82</v>
      </c>
      <c r="C514" t="s">
        <v>22</v>
      </c>
      <c r="D514" t="s">
        <v>565</v>
      </c>
      <c r="E514" s="2">
        <v>3.9</v>
      </c>
      <c r="F514" s="2">
        <v>3.9</v>
      </c>
      <c r="G514" t="s">
        <v>2113</v>
      </c>
      <c r="I514" t="s">
        <v>85</v>
      </c>
    </row>
    <row r="515" spans="1:9">
      <c r="A515" t="s">
        <v>84</v>
      </c>
      <c r="B515" t="s">
        <v>82</v>
      </c>
      <c r="C515" t="s">
        <v>134</v>
      </c>
      <c r="D515" t="s">
        <v>565</v>
      </c>
      <c r="E515" s="2">
        <v>3.7</v>
      </c>
      <c r="F515" s="2">
        <v>3.7</v>
      </c>
      <c r="G515" t="s">
        <v>2113</v>
      </c>
      <c r="I515" t="s">
        <v>85</v>
      </c>
    </row>
    <row r="516" spans="1:9">
      <c r="A516" t="s">
        <v>84</v>
      </c>
      <c r="B516" t="s">
        <v>82</v>
      </c>
      <c r="C516" t="s">
        <v>22</v>
      </c>
      <c r="D516" t="s">
        <v>670</v>
      </c>
      <c r="E516" s="2">
        <v>3.5</v>
      </c>
      <c r="F516" s="2">
        <v>3.5</v>
      </c>
      <c r="G516" t="s">
        <v>2113</v>
      </c>
      <c r="I516" t="s">
        <v>85</v>
      </c>
    </row>
    <row r="517" spans="1:9">
      <c r="A517" t="s">
        <v>84</v>
      </c>
      <c r="B517" t="s">
        <v>82</v>
      </c>
      <c r="C517" t="s">
        <v>134</v>
      </c>
      <c r="D517" t="s">
        <v>670</v>
      </c>
      <c r="E517" s="2">
        <v>3.5</v>
      </c>
      <c r="F517" s="2">
        <v>3.5</v>
      </c>
      <c r="G517" t="s">
        <v>2113</v>
      </c>
      <c r="I517" t="s">
        <v>85</v>
      </c>
    </row>
    <row r="518" spans="1:9">
      <c r="A518" t="s">
        <v>84</v>
      </c>
      <c r="B518" t="s">
        <v>82</v>
      </c>
      <c r="C518" t="s">
        <v>22</v>
      </c>
      <c r="D518" t="s">
        <v>771</v>
      </c>
      <c r="E518" s="2">
        <v>3.2</v>
      </c>
      <c r="F518" s="2">
        <v>3.2</v>
      </c>
      <c r="G518" t="s">
        <v>2113</v>
      </c>
      <c r="I518" t="s">
        <v>85</v>
      </c>
    </row>
    <row r="519" spans="1:9">
      <c r="A519" t="s">
        <v>84</v>
      </c>
      <c r="B519" t="s">
        <v>82</v>
      </c>
      <c r="C519" t="s">
        <v>134</v>
      </c>
      <c r="D519" t="s">
        <v>771</v>
      </c>
      <c r="E519" s="2">
        <v>3.2</v>
      </c>
      <c r="F519" s="2">
        <v>3.2</v>
      </c>
      <c r="G519" t="s">
        <v>2113</v>
      </c>
      <c r="I519" t="s">
        <v>85</v>
      </c>
    </row>
    <row r="520" spans="1:9">
      <c r="A520" t="s">
        <v>84</v>
      </c>
      <c r="B520" t="s">
        <v>82</v>
      </c>
      <c r="C520" t="s">
        <v>22</v>
      </c>
      <c r="D520" t="s">
        <v>876</v>
      </c>
      <c r="E520" s="2">
        <v>3.1</v>
      </c>
      <c r="F520" s="2">
        <v>3.1</v>
      </c>
      <c r="G520" t="s">
        <v>2113</v>
      </c>
      <c r="I520" t="s">
        <v>85</v>
      </c>
    </row>
    <row r="521" spans="1:9">
      <c r="A521" t="s">
        <v>84</v>
      </c>
      <c r="B521" t="s">
        <v>82</v>
      </c>
      <c r="C521" t="s">
        <v>134</v>
      </c>
      <c r="D521" t="s">
        <v>876</v>
      </c>
      <c r="E521" s="2">
        <v>3.1</v>
      </c>
      <c r="F521" s="2">
        <v>3.1</v>
      </c>
      <c r="G521" t="s">
        <v>2113</v>
      </c>
      <c r="I521" t="s">
        <v>85</v>
      </c>
    </row>
    <row r="522" spans="1:9">
      <c r="A522" t="s">
        <v>84</v>
      </c>
      <c r="B522" t="s">
        <v>82</v>
      </c>
      <c r="C522" t="s">
        <v>22</v>
      </c>
      <c r="D522" t="s">
        <v>981</v>
      </c>
      <c r="E522" s="2">
        <v>3.1</v>
      </c>
      <c r="F522" s="2">
        <v>3.1</v>
      </c>
      <c r="G522" t="s">
        <v>2113</v>
      </c>
      <c r="I522" t="s">
        <v>85</v>
      </c>
    </row>
    <row r="523" spans="1:9">
      <c r="A523" t="s">
        <v>84</v>
      </c>
      <c r="B523" t="s">
        <v>82</v>
      </c>
      <c r="C523" t="s">
        <v>134</v>
      </c>
      <c r="D523" t="s">
        <v>981</v>
      </c>
      <c r="E523" s="2">
        <v>3.1</v>
      </c>
      <c r="F523" s="2">
        <v>3.1</v>
      </c>
      <c r="G523" t="s">
        <v>2113</v>
      </c>
      <c r="I523" t="s">
        <v>85</v>
      </c>
    </row>
    <row r="524" spans="1:9">
      <c r="A524" t="s">
        <v>84</v>
      </c>
      <c r="B524" t="s">
        <v>82</v>
      </c>
      <c r="C524" t="s">
        <v>22</v>
      </c>
      <c r="D524" t="s">
        <v>1086</v>
      </c>
      <c r="E524" s="2">
        <v>3.1</v>
      </c>
      <c r="F524" s="2">
        <v>3.1</v>
      </c>
      <c r="G524" t="s">
        <v>2113</v>
      </c>
      <c r="I524" t="s">
        <v>85</v>
      </c>
    </row>
    <row r="525" spans="1:9">
      <c r="A525" t="s">
        <v>84</v>
      </c>
      <c r="B525" t="s">
        <v>82</v>
      </c>
      <c r="C525" t="s">
        <v>134</v>
      </c>
      <c r="D525" t="s">
        <v>1086</v>
      </c>
      <c r="E525" s="2">
        <v>3.1</v>
      </c>
      <c r="F525" s="2">
        <v>3.1</v>
      </c>
      <c r="G525" t="s">
        <v>2113</v>
      </c>
      <c r="I525" t="s">
        <v>85</v>
      </c>
    </row>
    <row r="526" spans="1:9">
      <c r="A526" t="s">
        <v>86</v>
      </c>
      <c r="B526" t="s">
        <v>84</v>
      </c>
      <c r="C526" t="s">
        <v>22</v>
      </c>
      <c r="D526" t="s">
        <v>183</v>
      </c>
      <c r="E526" s="2">
        <v>4.5999999999999996</v>
      </c>
      <c r="F526" s="2">
        <v>4.5999999999999996</v>
      </c>
      <c r="G526" t="s">
        <v>2113</v>
      </c>
      <c r="I526" t="s">
        <v>87</v>
      </c>
    </row>
    <row r="527" spans="1:9">
      <c r="A527" t="s">
        <v>86</v>
      </c>
      <c r="B527" t="s">
        <v>84</v>
      </c>
      <c r="C527" t="s">
        <v>134</v>
      </c>
      <c r="D527" t="s">
        <v>183</v>
      </c>
      <c r="E527" s="2">
        <v>6.2</v>
      </c>
      <c r="F527" s="2">
        <v>6.2</v>
      </c>
      <c r="G527" t="s">
        <v>2113</v>
      </c>
      <c r="I527" t="s">
        <v>87</v>
      </c>
    </row>
    <row r="528" spans="1:9">
      <c r="A528" t="s">
        <v>86</v>
      </c>
      <c r="B528" t="s">
        <v>84</v>
      </c>
      <c r="C528" t="s">
        <v>22</v>
      </c>
      <c r="D528" t="s">
        <v>254</v>
      </c>
      <c r="E528" s="2">
        <v>4.4000000000000004</v>
      </c>
      <c r="F528" s="2">
        <v>4.4000000000000004</v>
      </c>
      <c r="G528" t="s">
        <v>2113</v>
      </c>
      <c r="I528" t="s">
        <v>87</v>
      </c>
    </row>
    <row r="529" spans="1:9">
      <c r="A529" t="s">
        <v>86</v>
      </c>
      <c r="B529" t="s">
        <v>84</v>
      </c>
      <c r="C529" t="s">
        <v>134</v>
      </c>
      <c r="D529" t="s">
        <v>254</v>
      </c>
      <c r="E529" s="2">
        <v>5.3</v>
      </c>
      <c r="F529" s="2">
        <v>5.3</v>
      </c>
      <c r="G529" t="s">
        <v>2113</v>
      </c>
      <c r="I529" t="s">
        <v>87</v>
      </c>
    </row>
    <row r="530" spans="1:9">
      <c r="A530" t="s">
        <v>86</v>
      </c>
      <c r="B530" t="s">
        <v>84</v>
      </c>
      <c r="C530" t="s">
        <v>22</v>
      </c>
      <c r="D530" t="s">
        <v>355</v>
      </c>
      <c r="E530" s="2">
        <v>4.5999999999999996</v>
      </c>
      <c r="F530" s="2">
        <v>4.5999999999999996</v>
      </c>
      <c r="G530" t="s">
        <v>2113</v>
      </c>
      <c r="I530" t="s">
        <v>87</v>
      </c>
    </row>
    <row r="531" spans="1:9">
      <c r="A531" t="s">
        <v>86</v>
      </c>
      <c r="B531" t="s">
        <v>84</v>
      </c>
      <c r="C531" t="s">
        <v>134</v>
      </c>
      <c r="D531" t="s">
        <v>355</v>
      </c>
      <c r="E531" s="2">
        <v>4.7</v>
      </c>
      <c r="F531" s="2">
        <v>4.7</v>
      </c>
      <c r="G531" t="s">
        <v>2113</v>
      </c>
      <c r="I531" t="s">
        <v>87</v>
      </c>
    </row>
    <row r="532" spans="1:9">
      <c r="A532" t="s">
        <v>86</v>
      </c>
      <c r="B532" t="s">
        <v>84</v>
      </c>
      <c r="C532" t="s">
        <v>22</v>
      </c>
      <c r="D532" t="s">
        <v>460</v>
      </c>
      <c r="E532" s="2">
        <v>4.4000000000000004</v>
      </c>
      <c r="F532" s="2">
        <v>4.4000000000000004</v>
      </c>
      <c r="G532" t="s">
        <v>2113</v>
      </c>
      <c r="I532" t="s">
        <v>87</v>
      </c>
    </row>
    <row r="533" spans="1:9">
      <c r="A533" t="s">
        <v>86</v>
      </c>
      <c r="B533" t="s">
        <v>84</v>
      </c>
      <c r="C533" t="s">
        <v>134</v>
      </c>
      <c r="D533" t="s">
        <v>460</v>
      </c>
      <c r="E533" s="2">
        <v>4.2</v>
      </c>
      <c r="F533" s="2">
        <v>4.2</v>
      </c>
      <c r="G533" t="s">
        <v>2113</v>
      </c>
      <c r="I533" t="s">
        <v>87</v>
      </c>
    </row>
    <row r="534" spans="1:9">
      <c r="A534" t="s">
        <v>86</v>
      </c>
      <c r="B534" t="s">
        <v>84</v>
      </c>
      <c r="C534" t="s">
        <v>22</v>
      </c>
      <c r="D534" t="s">
        <v>565</v>
      </c>
      <c r="E534" s="2">
        <v>4</v>
      </c>
      <c r="F534" s="2">
        <v>4</v>
      </c>
      <c r="G534" t="s">
        <v>2113</v>
      </c>
      <c r="I534" t="s">
        <v>87</v>
      </c>
    </row>
    <row r="535" spans="1:9">
      <c r="A535" t="s">
        <v>86</v>
      </c>
      <c r="B535" t="s">
        <v>84</v>
      </c>
      <c r="C535" t="s">
        <v>134</v>
      </c>
      <c r="D535" t="s">
        <v>565</v>
      </c>
      <c r="E535" s="2">
        <v>3.8</v>
      </c>
      <c r="F535" s="2">
        <v>3.8</v>
      </c>
      <c r="G535" t="s">
        <v>2113</v>
      </c>
      <c r="I535" t="s">
        <v>87</v>
      </c>
    </row>
    <row r="536" spans="1:9">
      <c r="A536" t="s">
        <v>86</v>
      </c>
      <c r="B536" t="s">
        <v>84</v>
      </c>
      <c r="C536" t="s">
        <v>22</v>
      </c>
      <c r="D536" t="s">
        <v>670</v>
      </c>
      <c r="E536" s="2">
        <v>3.6</v>
      </c>
      <c r="F536" s="2">
        <v>3.6</v>
      </c>
      <c r="G536" t="s">
        <v>2113</v>
      </c>
      <c r="I536" t="s">
        <v>87</v>
      </c>
    </row>
    <row r="537" spans="1:9">
      <c r="A537" t="s">
        <v>86</v>
      </c>
      <c r="B537" t="s">
        <v>84</v>
      </c>
      <c r="C537" t="s">
        <v>134</v>
      </c>
      <c r="D537" t="s">
        <v>670</v>
      </c>
      <c r="E537" s="2">
        <v>3.5</v>
      </c>
      <c r="F537" s="2">
        <v>3.5</v>
      </c>
      <c r="G537" t="s">
        <v>2113</v>
      </c>
      <c r="I537" t="s">
        <v>87</v>
      </c>
    </row>
    <row r="538" spans="1:9">
      <c r="A538" t="s">
        <v>86</v>
      </c>
      <c r="B538" t="s">
        <v>84</v>
      </c>
      <c r="C538" t="s">
        <v>22</v>
      </c>
      <c r="D538" t="s">
        <v>771</v>
      </c>
      <c r="E538" s="2">
        <v>3.2</v>
      </c>
      <c r="F538" s="2">
        <v>3.2</v>
      </c>
      <c r="G538" t="s">
        <v>2113</v>
      </c>
      <c r="I538" t="s">
        <v>87</v>
      </c>
    </row>
    <row r="539" spans="1:9">
      <c r="A539" t="s">
        <v>86</v>
      </c>
      <c r="B539" t="s">
        <v>84</v>
      </c>
      <c r="C539" t="s">
        <v>134</v>
      </c>
      <c r="D539" t="s">
        <v>771</v>
      </c>
      <c r="E539" s="2">
        <v>3.2</v>
      </c>
      <c r="F539" s="2">
        <v>3.2</v>
      </c>
      <c r="G539" t="s">
        <v>2113</v>
      </c>
      <c r="I539" t="s">
        <v>87</v>
      </c>
    </row>
    <row r="540" spans="1:9">
      <c r="A540" t="s">
        <v>86</v>
      </c>
      <c r="B540" t="s">
        <v>84</v>
      </c>
      <c r="C540" t="s">
        <v>22</v>
      </c>
      <c r="D540" t="s">
        <v>876</v>
      </c>
      <c r="E540" s="2">
        <v>3.1</v>
      </c>
      <c r="F540" s="2">
        <v>3.1</v>
      </c>
      <c r="G540" t="s">
        <v>2113</v>
      </c>
      <c r="I540" t="s">
        <v>87</v>
      </c>
    </row>
    <row r="541" spans="1:9">
      <c r="A541" t="s">
        <v>86</v>
      </c>
      <c r="B541" t="s">
        <v>84</v>
      </c>
      <c r="C541" t="s">
        <v>134</v>
      </c>
      <c r="D541" t="s">
        <v>876</v>
      </c>
      <c r="E541" s="2">
        <v>3.1</v>
      </c>
      <c r="F541" s="2">
        <v>3.1</v>
      </c>
      <c r="G541" t="s">
        <v>2113</v>
      </c>
      <c r="I541" t="s">
        <v>87</v>
      </c>
    </row>
    <row r="542" spans="1:9">
      <c r="A542" t="s">
        <v>86</v>
      </c>
      <c r="B542" t="s">
        <v>84</v>
      </c>
      <c r="C542" t="s">
        <v>22</v>
      </c>
      <c r="D542" t="s">
        <v>981</v>
      </c>
      <c r="E542" s="2">
        <v>3.1</v>
      </c>
      <c r="F542" s="2">
        <v>3.1</v>
      </c>
      <c r="G542" t="s">
        <v>2113</v>
      </c>
      <c r="I542" t="s">
        <v>87</v>
      </c>
    </row>
    <row r="543" spans="1:9">
      <c r="A543" t="s">
        <v>86</v>
      </c>
      <c r="B543" t="s">
        <v>84</v>
      </c>
      <c r="C543" t="s">
        <v>134</v>
      </c>
      <c r="D543" t="s">
        <v>981</v>
      </c>
      <c r="E543" s="2">
        <v>3.1</v>
      </c>
      <c r="F543" s="2">
        <v>3.1</v>
      </c>
      <c r="G543" t="s">
        <v>2113</v>
      </c>
      <c r="I543" t="s">
        <v>87</v>
      </c>
    </row>
    <row r="544" spans="1:9">
      <c r="A544" t="s">
        <v>86</v>
      </c>
      <c r="B544" t="s">
        <v>84</v>
      </c>
      <c r="C544" t="s">
        <v>22</v>
      </c>
      <c r="D544" t="s">
        <v>1086</v>
      </c>
      <c r="E544" s="2">
        <v>3.1</v>
      </c>
      <c r="F544" s="2">
        <v>3.1</v>
      </c>
      <c r="G544" t="s">
        <v>2113</v>
      </c>
      <c r="I544" t="s">
        <v>87</v>
      </c>
    </row>
    <row r="545" spans="1:9">
      <c r="A545" t="s">
        <v>86</v>
      </c>
      <c r="B545" t="s">
        <v>84</v>
      </c>
      <c r="C545" t="s">
        <v>134</v>
      </c>
      <c r="D545" t="s">
        <v>1086</v>
      </c>
      <c r="E545" s="2">
        <v>3.1</v>
      </c>
      <c r="F545" s="2">
        <v>3.1</v>
      </c>
      <c r="G545" t="s">
        <v>2113</v>
      </c>
      <c r="I545" t="s">
        <v>87</v>
      </c>
    </row>
    <row r="546" spans="1:9">
      <c r="A546" t="s">
        <v>86</v>
      </c>
      <c r="B546" t="s">
        <v>84</v>
      </c>
      <c r="C546" t="s">
        <v>22</v>
      </c>
      <c r="D546" t="s">
        <v>1183</v>
      </c>
      <c r="E546" s="2">
        <v>3.1</v>
      </c>
      <c r="F546" s="2">
        <v>3.1</v>
      </c>
      <c r="G546" t="s">
        <v>2113</v>
      </c>
      <c r="I546" t="s">
        <v>87</v>
      </c>
    </row>
    <row r="547" spans="1:9">
      <c r="A547" t="s">
        <v>86</v>
      </c>
      <c r="B547" t="s">
        <v>84</v>
      </c>
      <c r="C547" t="s">
        <v>134</v>
      </c>
      <c r="D547" t="s">
        <v>1183</v>
      </c>
      <c r="E547" s="2">
        <v>3.1</v>
      </c>
      <c r="F547" s="2">
        <v>3.1</v>
      </c>
      <c r="G547" t="s">
        <v>2113</v>
      </c>
      <c r="I547" t="s">
        <v>87</v>
      </c>
    </row>
    <row r="548" spans="1:9">
      <c r="A548" t="s">
        <v>88</v>
      </c>
      <c r="B548" t="s">
        <v>86</v>
      </c>
      <c r="C548" t="s">
        <v>22</v>
      </c>
      <c r="D548" t="s">
        <v>183</v>
      </c>
      <c r="E548" s="2">
        <v>4.5999999999999996</v>
      </c>
      <c r="F548" s="2">
        <v>4.5999999999999996</v>
      </c>
      <c r="G548" t="s">
        <v>2113</v>
      </c>
      <c r="I548" t="s">
        <v>89</v>
      </c>
    </row>
    <row r="549" spans="1:9">
      <c r="A549" t="s">
        <v>88</v>
      </c>
      <c r="B549" t="s">
        <v>86</v>
      </c>
      <c r="C549" t="s">
        <v>134</v>
      </c>
      <c r="D549" t="s">
        <v>183</v>
      </c>
      <c r="E549" s="2">
        <v>6.2</v>
      </c>
      <c r="F549" s="2">
        <v>6.2</v>
      </c>
      <c r="G549" t="s">
        <v>2113</v>
      </c>
      <c r="I549" t="s">
        <v>89</v>
      </c>
    </row>
    <row r="550" spans="1:9">
      <c r="A550" t="s">
        <v>88</v>
      </c>
      <c r="B550" t="s">
        <v>86</v>
      </c>
      <c r="C550" t="s">
        <v>22</v>
      </c>
      <c r="D550" t="s">
        <v>254</v>
      </c>
      <c r="E550" s="2">
        <v>4.4000000000000004</v>
      </c>
      <c r="F550" s="2">
        <v>4.4000000000000004</v>
      </c>
      <c r="G550" t="s">
        <v>2113</v>
      </c>
      <c r="I550" t="s">
        <v>89</v>
      </c>
    </row>
    <row r="551" spans="1:9">
      <c r="A551" t="s">
        <v>88</v>
      </c>
      <c r="B551" t="s">
        <v>86</v>
      </c>
      <c r="C551" t="s">
        <v>134</v>
      </c>
      <c r="D551" t="s">
        <v>254</v>
      </c>
      <c r="E551" s="2">
        <v>5.3</v>
      </c>
      <c r="F551" s="2">
        <v>5.3</v>
      </c>
      <c r="G551" t="s">
        <v>2113</v>
      </c>
      <c r="I551" t="s">
        <v>89</v>
      </c>
    </row>
    <row r="552" spans="1:9">
      <c r="A552" t="s">
        <v>88</v>
      </c>
      <c r="B552" t="s">
        <v>86</v>
      </c>
      <c r="C552" t="s">
        <v>22</v>
      </c>
      <c r="D552" t="s">
        <v>355</v>
      </c>
      <c r="E552" s="2">
        <v>4.5999999999999996</v>
      </c>
      <c r="F552" s="2">
        <v>4.5999999999999996</v>
      </c>
      <c r="G552" t="s">
        <v>2113</v>
      </c>
      <c r="I552" t="s">
        <v>89</v>
      </c>
    </row>
    <row r="553" spans="1:9">
      <c r="A553" t="s">
        <v>88</v>
      </c>
      <c r="B553" t="s">
        <v>86</v>
      </c>
      <c r="C553" t="s">
        <v>134</v>
      </c>
      <c r="D553" t="s">
        <v>355</v>
      </c>
      <c r="E553" s="2">
        <v>4.7</v>
      </c>
      <c r="F553" s="2">
        <v>4.7</v>
      </c>
      <c r="G553" t="s">
        <v>2113</v>
      </c>
      <c r="I553" t="s">
        <v>89</v>
      </c>
    </row>
    <row r="554" spans="1:9">
      <c r="A554" t="s">
        <v>88</v>
      </c>
      <c r="B554" t="s">
        <v>86</v>
      </c>
      <c r="C554" t="s">
        <v>22</v>
      </c>
      <c r="D554" t="s">
        <v>460</v>
      </c>
      <c r="E554" s="2">
        <v>4.5999999999999996</v>
      </c>
      <c r="F554" s="2">
        <v>4.5999999999999996</v>
      </c>
      <c r="G554" t="s">
        <v>2113</v>
      </c>
      <c r="I554" t="s">
        <v>89</v>
      </c>
    </row>
    <row r="555" spans="1:9">
      <c r="A555" t="s">
        <v>88</v>
      </c>
      <c r="B555" t="s">
        <v>86</v>
      </c>
      <c r="C555" t="s">
        <v>134</v>
      </c>
      <c r="D555" t="s">
        <v>460</v>
      </c>
      <c r="E555" s="2">
        <v>4.3</v>
      </c>
      <c r="F555" s="2">
        <v>4.3</v>
      </c>
      <c r="G555" t="s">
        <v>2113</v>
      </c>
      <c r="I555" t="s">
        <v>89</v>
      </c>
    </row>
    <row r="556" spans="1:9">
      <c r="A556" t="s">
        <v>88</v>
      </c>
      <c r="B556" t="s">
        <v>86</v>
      </c>
      <c r="C556" t="s">
        <v>22</v>
      </c>
      <c r="D556" t="s">
        <v>565</v>
      </c>
      <c r="E556" s="2">
        <v>4.4000000000000004</v>
      </c>
      <c r="F556" s="2">
        <v>4.4000000000000004</v>
      </c>
      <c r="G556" t="s">
        <v>2113</v>
      </c>
      <c r="I556" t="s">
        <v>89</v>
      </c>
    </row>
    <row r="557" spans="1:9">
      <c r="A557" t="s">
        <v>88</v>
      </c>
      <c r="B557" t="s">
        <v>86</v>
      </c>
      <c r="C557" t="s">
        <v>134</v>
      </c>
      <c r="D557" t="s">
        <v>565</v>
      </c>
      <c r="E557" s="2">
        <v>4</v>
      </c>
      <c r="F557" s="2">
        <v>4</v>
      </c>
      <c r="G557" t="s">
        <v>2113</v>
      </c>
      <c r="I557" t="s">
        <v>89</v>
      </c>
    </row>
    <row r="558" spans="1:9">
      <c r="A558" t="s">
        <v>88</v>
      </c>
      <c r="B558" t="s">
        <v>86</v>
      </c>
      <c r="C558" t="s">
        <v>22</v>
      </c>
      <c r="D558" t="s">
        <v>670</v>
      </c>
      <c r="E558" s="2">
        <v>4</v>
      </c>
      <c r="F558" s="2">
        <v>4</v>
      </c>
      <c r="G558" t="s">
        <v>2113</v>
      </c>
      <c r="I558" t="s">
        <v>89</v>
      </c>
    </row>
    <row r="559" spans="1:9">
      <c r="A559" t="s">
        <v>88</v>
      </c>
      <c r="B559" t="s">
        <v>86</v>
      </c>
      <c r="C559" t="s">
        <v>134</v>
      </c>
      <c r="D559" t="s">
        <v>670</v>
      </c>
      <c r="E559" s="2">
        <v>3.8</v>
      </c>
      <c r="F559" s="2">
        <v>3.8</v>
      </c>
      <c r="G559" t="s">
        <v>2113</v>
      </c>
      <c r="I559" t="s">
        <v>89</v>
      </c>
    </row>
    <row r="560" spans="1:9">
      <c r="A560" t="s">
        <v>88</v>
      </c>
      <c r="B560" t="s">
        <v>86</v>
      </c>
      <c r="C560" t="s">
        <v>22</v>
      </c>
      <c r="D560" t="s">
        <v>771</v>
      </c>
      <c r="E560" s="2">
        <v>3.5</v>
      </c>
      <c r="F560" s="2">
        <v>3.5</v>
      </c>
      <c r="G560" t="s">
        <v>2113</v>
      </c>
      <c r="I560" t="s">
        <v>89</v>
      </c>
    </row>
    <row r="561" spans="1:9">
      <c r="A561" t="s">
        <v>88</v>
      </c>
      <c r="B561" t="s">
        <v>86</v>
      </c>
      <c r="C561" t="s">
        <v>134</v>
      </c>
      <c r="D561" t="s">
        <v>771</v>
      </c>
      <c r="E561" s="2">
        <v>3.5</v>
      </c>
      <c r="F561" s="2">
        <v>3.5</v>
      </c>
      <c r="G561" t="s">
        <v>2113</v>
      </c>
      <c r="I561" t="s">
        <v>89</v>
      </c>
    </row>
    <row r="562" spans="1:9">
      <c r="A562" t="s">
        <v>88</v>
      </c>
      <c r="B562" t="s">
        <v>86</v>
      </c>
      <c r="C562" t="s">
        <v>22</v>
      </c>
      <c r="D562" t="s">
        <v>876</v>
      </c>
      <c r="E562" s="2">
        <v>3.3</v>
      </c>
      <c r="F562" s="2">
        <v>3.3</v>
      </c>
      <c r="G562" t="s">
        <v>2113</v>
      </c>
      <c r="I562" t="s">
        <v>89</v>
      </c>
    </row>
    <row r="563" spans="1:9">
      <c r="A563" t="s">
        <v>88</v>
      </c>
      <c r="B563" t="s">
        <v>86</v>
      </c>
      <c r="C563" t="s">
        <v>134</v>
      </c>
      <c r="D563" t="s">
        <v>876</v>
      </c>
      <c r="E563" s="2">
        <v>3.3</v>
      </c>
      <c r="F563" s="2">
        <v>3.3</v>
      </c>
      <c r="G563" t="s">
        <v>2113</v>
      </c>
      <c r="I563" t="s">
        <v>89</v>
      </c>
    </row>
    <row r="564" spans="1:9">
      <c r="A564" t="s">
        <v>88</v>
      </c>
      <c r="B564" t="s">
        <v>86</v>
      </c>
      <c r="C564" t="s">
        <v>22</v>
      </c>
      <c r="D564" t="s">
        <v>981</v>
      </c>
      <c r="E564" s="2">
        <v>3.2</v>
      </c>
      <c r="F564" s="2">
        <v>3.2</v>
      </c>
      <c r="G564" t="s">
        <v>2113</v>
      </c>
      <c r="I564" t="s">
        <v>89</v>
      </c>
    </row>
    <row r="565" spans="1:9">
      <c r="A565" t="s">
        <v>88</v>
      </c>
      <c r="B565" t="s">
        <v>86</v>
      </c>
      <c r="C565" t="s">
        <v>134</v>
      </c>
      <c r="D565" t="s">
        <v>981</v>
      </c>
      <c r="E565" s="2">
        <v>3.2</v>
      </c>
      <c r="F565" s="2">
        <v>3.2</v>
      </c>
      <c r="G565" t="s">
        <v>2113</v>
      </c>
      <c r="I565" t="s">
        <v>89</v>
      </c>
    </row>
    <row r="566" spans="1:9">
      <c r="A566" t="s">
        <v>88</v>
      </c>
      <c r="B566" t="s">
        <v>86</v>
      </c>
      <c r="C566" t="s">
        <v>22</v>
      </c>
      <c r="D566" t="s">
        <v>1086</v>
      </c>
      <c r="E566" s="2">
        <v>3</v>
      </c>
      <c r="F566" s="2">
        <v>3</v>
      </c>
      <c r="G566" t="s">
        <v>2113</v>
      </c>
      <c r="I566" t="s">
        <v>89</v>
      </c>
    </row>
    <row r="567" spans="1:9">
      <c r="A567" t="s">
        <v>88</v>
      </c>
      <c r="B567" t="s">
        <v>86</v>
      </c>
      <c r="C567" t="s">
        <v>134</v>
      </c>
      <c r="D567" t="s">
        <v>1086</v>
      </c>
      <c r="E567" s="2">
        <v>3</v>
      </c>
      <c r="F567" s="2">
        <v>3</v>
      </c>
      <c r="G567" t="s">
        <v>2113</v>
      </c>
      <c r="I567" t="s">
        <v>89</v>
      </c>
    </row>
    <row r="568" spans="1:9">
      <c r="A568" t="s">
        <v>88</v>
      </c>
      <c r="B568" t="s">
        <v>86</v>
      </c>
      <c r="C568" t="s">
        <v>22</v>
      </c>
      <c r="D568" t="s">
        <v>1183</v>
      </c>
      <c r="E568" s="2">
        <v>3</v>
      </c>
      <c r="F568" s="2">
        <v>3</v>
      </c>
      <c r="G568" t="s">
        <v>2113</v>
      </c>
      <c r="I568" t="s">
        <v>89</v>
      </c>
    </row>
    <row r="569" spans="1:9">
      <c r="A569" t="s">
        <v>88</v>
      </c>
      <c r="B569" t="s">
        <v>86</v>
      </c>
      <c r="C569" t="s">
        <v>134</v>
      </c>
      <c r="D569" t="s">
        <v>1183</v>
      </c>
      <c r="E569" s="2">
        <v>3</v>
      </c>
      <c r="F569" s="2">
        <v>3</v>
      </c>
      <c r="G569" t="s">
        <v>2113</v>
      </c>
      <c r="I569" t="s">
        <v>89</v>
      </c>
    </row>
    <row r="570" spans="1:9">
      <c r="A570" t="s">
        <v>90</v>
      </c>
      <c r="B570" t="s">
        <v>88</v>
      </c>
      <c r="C570" t="s">
        <v>22</v>
      </c>
      <c r="D570" t="s">
        <v>183</v>
      </c>
      <c r="E570" s="2">
        <v>4.5999999999999996</v>
      </c>
      <c r="F570" s="2">
        <v>4.5999999999999996</v>
      </c>
      <c r="G570" t="s">
        <v>2113</v>
      </c>
      <c r="I570" t="s">
        <v>91</v>
      </c>
    </row>
    <row r="571" spans="1:9">
      <c r="A571" t="s">
        <v>90</v>
      </c>
      <c r="B571" t="s">
        <v>88</v>
      </c>
      <c r="C571" t="s">
        <v>134</v>
      </c>
      <c r="D571" t="s">
        <v>183</v>
      </c>
      <c r="E571" s="2">
        <v>6.2</v>
      </c>
      <c r="F571" s="2">
        <v>6.2</v>
      </c>
      <c r="G571" t="s">
        <v>2113</v>
      </c>
      <c r="I571" t="s">
        <v>91</v>
      </c>
    </row>
    <row r="572" spans="1:9">
      <c r="A572" t="s">
        <v>90</v>
      </c>
      <c r="B572" t="s">
        <v>88</v>
      </c>
      <c r="C572" t="s">
        <v>22</v>
      </c>
      <c r="D572" t="s">
        <v>254</v>
      </c>
      <c r="E572" s="2">
        <v>4.4000000000000004</v>
      </c>
      <c r="F572" s="2">
        <v>4.4000000000000004</v>
      </c>
      <c r="G572" t="s">
        <v>2113</v>
      </c>
      <c r="I572" t="s">
        <v>91</v>
      </c>
    </row>
    <row r="573" spans="1:9">
      <c r="A573" t="s">
        <v>90</v>
      </c>
      <c r="B573" t="s">
        <v>88</v>
      </c>
      <c r="C573" t="s">
        <v>134</v>
      </c>
      <c r="D573" t="s">
        <v>254</v>
      </c>
      <c r="E573" s="2">
        <v>5.3</v>
      </c>
      <c r="F573" s="2">
        <v>5.3</v>
      </c>
      <c r="G573" t="s">
        <v>2113</v>
      </c>
      <c r="I573" t="s">
        <v>91</v>
      </c>
    </row>
    <row r="574" spans="1:9">
      <c r="A574" t="s">
        <v>90</v>
      </c>
      <c r="B574" t="s">
        <v>88</v>
      </c>
      <c r="C574" t="s">
        <v>22</v>
      </c>
      <c r="D574" t="s">
        <v>355</v>
      </c>
      <c r="E574" s="2">
        <v>4.5999999999999996</v>
      </c>
      <c r="F574" s="2">
        <v>4.5999999999999996</v>
      </c>
      <c r="G574" t="s">
        <v>2113</v>
      </c>
      <c r="I574" t="s">
        <v>91</v>
      </c>
    </row>
    <row r="575" spans="1:9">
      <c r="A575" t="s">
        <v>90</v>
      </c>
      <c r="B575" t="s">
        <v>88</v>
      </c>
      <c r="C575" t="s">
        <v>134</v>
      </c>
      <c r="D575" t="s">
        <v>355</v>
      </c>
      <c r="E575" s="2">
        <v>4.7</v>
      </c>
      <c r="F575" s="2">
        <v>4.7</v>
      </c>
      <c r="G575" t="s">
        <v>2113</v>
      </c>
      <c r="I575" t="s">
        <v>91</v>
      </c>
    </row>
    <row r="576" spans="1:9">
      <c r="A576" t="s">
        <v>90</v>
      </c>
      <c r="B576" t="s">
        <v>88</v>
      </c>
      <c r="C576" t="s">
        <v>22</v>
      </c>
      <c r="D576" t="s">
        <v>460</v>
      </c>
      <c r="E576" s="2">
        <v>4.7</v>
      </c>
      <c r="F576" s="2">
        <v>4.7</v>
      </c>
      <c r="G576" t="s">
        <v>2113</v>
      </c>
      <c r="I576" t="s">
        <v>91</v>
      </c>
    </row>
    <row r="577" spans="1:9">
      <c r="A577" t="s">
        <v>90</v>
      </c>
      <c r="B577" t="s">
        <v>88</v>
      </c>
      <c r="C577" t="s">
        <v>134</v>
      </c>
      <c r="D577" t="s">
        <v>460</v>
      </c>
      <c r="E577" s="2">
        <v>4.2</v>
      </c>
      <c r="F577" s="2">
        <v>4.2</v>
      </c>
      <c r="G577" t="s">
        <v>2113</v>
      </c>
      <c r="I577" t="s">
        <v>91</v>
      </c>
    </row>
    <row r="578" spans="1:9">
      <c r="A578" t="s">
        <v>90</v>
      </c>
      <c r="B578" t="s">
        <v>88</v>
      </c>
      <c r="C578" t="s">
        <v>22</v>
      </c>
      <c r="D578" t="s">
        <v>565</v>
      </c>
      <c r="E578" s="2">
        <v>4.5</v>
      </c>
      <c r="F578" s="2">
        <v>4.5</v>
      </c>
      <c r="G578" t="s">
        <v>2113</v>
      </c>
      <c r="I578" t="s">
        <v>91</v>
      </c>
    </row>
    <row r="579" spans="1:9">
      <c r="A579" t="s">
        <v>90</v>
      </c>
      <c r="B579" t="s">
        <v>88</v>
      </c>
      <c r="C579" t="s">
        <v>134</v>
      </c>
      <c r="D579" t="s">
        <v>565</v>
      </c>
      <c r="E579" s="2">
        <v>4.0999999999999996</v>
      </c>
      <c r="F579" s="2">
        <v>4.0999999999999996</v>
      </c>
      <c r="G579" t="s">
        <v>2113</v>
      </c>
      <c r="I579" t="s">
        <v>91</v>
      </c>
    </row>
    <row r="580" spans="1:9">
      <c r="A580" t="s">
        <v>90</v>
      </c>
      <c r="B580" t="s">
        <v>88</v>
      </c>
      <c r="C580" t="s">
        <v>22</v>
      </c>
      <c r="D580" t="s">
        <v>670</v>
      </c>
      <c r="E580" s="2">
        <v>4</v>
      </c>
      <c r="F580" s="2">
        <v>4</v>
      </c>
      <c r="G580" t="s">
        <v>2113</v>
      </c>
      <c r="I580" t="s">
        <v>91</v>
      </c>
    </row>
    <row r="581" spans="1:9">
      <c r="A581" t="s">
        <v>90</v>
      </c>
      <c r="B581" t="s">
        <v>88</v>
      </c>
      <c r="C581" t="s">
        <v>134</v>
      </c>
      <c r="D581" t="s">
        <v>670</v>
      </c>
      <c r="E581" s="2">
        <v>3.9</v>
      </c>
      <c r="F581" s="2">
        <v>3.9</v>
      </c>
      <c r="G581" t="s">
        <v>2113</v>
      </c>
      <c r="I581" t="s">
        <v>91</v>
      </c>
    </row>
    <row r="582" spans="1:9">
      <c r="A582" t="s">
        <v>90</v>
      </c>
      <c r="B582" t="s">
        <v>88</v>
      </c>
      <c r="C582" t="s">
        <v>22</v>
      </c>
      <c r="D582" t="s">
        <v>771</v>
      </c>
      <c r="E582" s="2">
        <v>3.5</v>
      </c>
      <c r="F582" s="2">
        <v>3.5</v>
      </c>
      <c r="G582" t="s">
        <v>2113</v>
      </c>
      <c r="I582" t="s">
        <v>91</v>
      </c>
    </row>
    <row r="583" spans="1:9">
      <c r="A583" t="s">
        <v>90</v>
      </c>
      <c r="B583" t="s">
        <v>88</v>
      </c>
      <c r="C583" t="s">
        <v>134</v>
      </c>
      <c r="D583" t="s">
        <v>771</v>
      </c>
      <c r="E583" s="2">
        <v>3.6</v>
      </c>
      <c r="F583" s="2">
        <v>3.6</v>
      </c>
      <c r="G583" t="s">
        <v>2113</v>
      </c>
      <c r="I583" t="s">
        <v>91</v>
      </c>
    </row>
    <row r="584" spans="1:9">
      <c r="A584" t="s">
        <v>90</v>
      </c>
      <c r="B584" t="s">
        <v>88</v>
      </c>
      <c r="C584" t="s">
        <v>22</v>
      </c>
      <c r="D584" t="s">
        <v>876</v>
      </c>
      <c r="E584" s="2">
        <v>3.3</v>
      </c>
      <c r="F584" s="2">
        <v>3.3</v>
      </c>
      <c r="G584" t="s">
        <v>2113</v>
      </c>
      <c r="I584" t="s">
        <v>91</v>
      </c>
    </row>
    <row r="585" spans="1:9">
      <c r="A585" t="s">
        <v>90</v>
      </c>
      <c r="B585" t="s">
        <v>88</v>
      </c>
      <c r="C585" t="s">
        <v>134</v>
      </c>
      <c r="D585" t="s">
        <v>876</v>
      </c>
      <c r="E585" s="2">
        <v>3.3</v>
      </c>
      <c r="F585" s="2">
        <v>3.3</v>
      </c>
      <c r="G585" t="s">
        <v>2113</v>
      </c>
      <c r="I585" t="s">
        <v>91</v>
      </c>
    </row>
    <row r="586" spans="1:9">
      <c r="A586" t="s">
        <v>90</v>
      </c>
      <c r="B586" t="s">
        <v>88</v>
      </c>
      <c r="C586" t="s">
        <v>22</v>
      </c>
      <c r="D586" t="s">
        <v>981</v>
      </c>
      <c r="E586" s="2">
        <v>3.1</v>
      </c>
      <c r="F586" s="2">
        <v>3.1</v>
      </c>
      <c r="G586" t="s">
        <v>2113</v>
      </c>
      <c r="I586" t="s">
        <v>91</v>
      </c>
    </row>
    <row r="587" spans="1:9">
      <c r="A587" t="s">
        <v>90</v>
      </c>
      <c r="B587" t="s">
        <v>88</v>
      </c>
      <c r="C587" t="s">
        <v>134</v>
      </c>
      <c r="D587" t="s">
        <v>981</v>
      </c>
      <c r="E587" s="2">
        <v>3.1</v>
      </c>
      <c r="F587" s="2">
        <v>3.1</v>
      </c>
      <c r="G587" t="s">
        <v>2113</v>
      </c>
      <c r="I587" t="s">
        <v>91</v>
      </c>
    </row>
    <row r="588" spans="1:9">
      <c r="A588" t="s">
        <v>90</v>
      </c>
      <c r="B588" t="s">
        <v>88</v>
      </c>
      <c r="C588" t="s">
        <v>22</v>
      </c>
      <c r="D588" t="s">
        <v>1086</v>
      </c>
      <c r="E588" s="2">
        <v>3</v>
      </c>
      <c r="F588" s="2">
        <v>3</v>
      </c>
      <c r="G588" t="s">
        <v>2113</v>
      </c>
      <c r="I588" t="s">
        <v>91</v>
      </c>
    </row>
    <row r="589" spans="1:9">
      <c r="A589" t="s">
        <v>90</v>
      </c>
      <c r="B589" t="s">
        <v>88</v>
      </c>
      <c r="C589" t="s">
        <v>134</v>
      </c>
      <c r="D589" t="s">
        <v>1086</v>
      </c>
      <c r="E589" s="2">
        <v>3</v>
      </c>
      <c r="F589" s="2">
        <v>3</v>
      </c>
      <c r="G589" t="s">
        <v>2113</v>
      </c>
      <c r="I589" t="s">
        <v>91</v>
      </c>
    </row>
    <row r="590" spans="1:9">
      <c r="A590" t="s">
        <v>90</v>
      </c>
      <c r="B590" t="s">
        <v>88</v>
      </c>
      <c r="C590" t="s">
        <v>22</v>
      </c>
      <c r="D590" t="s">
        <v>1183</v>
      </c>
      <c r="E590" s="2">
        <v>3</v>
      </c>
      <c r="F590" s="2">
        <v>3</v>
      </c>
      <c r="G590" t="s">
        <v>2113</v>
      </c>
      <c r="I590" t="s">
        <v>91</v>
      </c>
    </row>
    <row r="591" spans="1:9">
      <c r="A591" t="s">
        <v>90</v>
      </c>
      <c r="B591" t="s">
        <v>88</v>
      </c>
      <c r="C591" t="s">
        <v>134</v>
      </c>
      <c r="D591" t="s">
        <v>1183</v>
      </c>
      <c r="E591" s="2">
        <v>3</v>
      </c>
      <c r="F591" s="2">
        <v>3</v>
      </c>
      <c r="G591" t="s">
        <v>2113</v>
      </c>
      <c r="I591" t="s">
        <v>91</v>
      </c>
    </row>
    <row r="592" spans="1:9">
      <c r="A592" t="s">
        <v>90</v>
      </c>
      <c r="B592" t="s">
        <v>88</v>
      </c>
      <c r="C592" t="s">
        <v>22</v>
      </c>
      <c r="D592" t="s">
        <v>1276</v>
      </c>
      <c r="E592" s="2">
        <v>3</v>
      </c>
      <c r="F592" s="2">
        <v>3</v>
      </c>
      <c r="G592" t="s">
        <v>2113</v>
      </c>
      <c r="I592" t="s">
        <v>91</v>
      </c>
    </row>
    <row r="593" spans="1:9">
      <c r="A593" t="s">
        <v>90</v>
      </c>
      <c r="B593" t="s">
        <v>88</v>
      </c>
      <c r="C593" t="s">
        <v>134</v>
      </c>
      <c r="D593" t="s">
        <v>1276</v>
      </c>
      <c r="E593" s="2">
        <v>3</v>
      </c>
      <c r="F593" s="2">
        <v>3</v>
      </c>
      <c r="G593" t="s">
        <v>2113</v>
      </c>
      <c r="I593" t="s">
        <v>91</v>
      </c>
    </row>
    <row r="594" spans="1:9">
      <c r="A594" t="s">
        <v>92</v>
      </c>
      <c r="B594" t="s">
        <v>90</v>
      </c>
      <c r="C594" t="s">
        <v>22</v>
      </c>
      <c r="D594" t="s">
        <v>254</v>
      </c>
      <c r="E594" s="2">
        <v>4.4000000000000004</v>
      </c>
      <c r="F594" s="2">
        <v>4.4000000000000004</v>
      </c>
      <c r="G594" t="s">
        <v>2113</v>
      </c>
      <c r="I594" t="s">
        <v>93</v>
      </c>
    </row>
    <row r="595" spans="1:9">
      <c r="A595" t="s">
        <v>92</v>
      </c>
      <c r="B595" t="s">
        <v>90</v>
      </c>
      <c r="C595" t="s">
        <v>134</v>
      </c>
      <c r="D595" t="s">
        <v>254</v>
      </c>
      <c r="E595" s="2">
        <v>5.3</v>
      </c>
      <c r="F595" s="2">
        <v>5.3</v>
      </c>
      <c r="G595" t="s">
        <v>2113</v>
      </c>
      <c r="I595" t="s">
        <v>93</v>
      </c>
    </row>
    <row r="596" spans="1:9">
      <c r="A596" t="s">
        <v>92</v>
      </c>
      <c r="B596" t="s">
        <v>90</v>
      </c>
      <c r="C596" t="s">
        <v>22</v>
      </c>
      <c r="D596" t="s">
        <v>355</v>
      </c>
      <c r="E596" s="2">
        <v>4.5999999999999996</v>
      </c>
      <c r="F596" s="2">
        <v>4.5999999999999996</v>
      </c>
      <c r="G596" t="s">
        <v>2113</v>
      </c>
      <c r="I596" t="s">
        <v>93</v>
      </c>
    </row>
    <row r="597" spans="1:9">
      <c r="A597" t="s">
        <v>92</v>
      </c>
      <c r="B597" t="s">
        <v>90</v>
      </c>
      <c r="C597" t="s">
        <v>134</v>
      </c>
      <c r="D597" t="s">
        <v>355</v>
      </c>
      <c r="E597" s="2">
        <v>4.7</v>
      </c>
      <c r="F597" s="2">
        <v>4.7</v>
      </c>
      <c r="G597" t="s">
        <v>2113</v>
      </c>
      <c r="I597" t="s">
        <v>93</v>
      </c>
    </row>
    <row r="598" spans="1:9">
      <c r="A598" t="s">
        <v>92</v>
      </c>
      <c r="B598" t="s">
        <v>90</v>
      </c>
      <c r="C598" t="s">
        <v>22</v>
      </c>
      <c r="D598" t="s">
        <v>460</v>
      </c>
      <c r="E598" s="2">
        <v>4.8</v>
      </c>
      <c r="F598" s="2">
        <v>4.8</v>
      </c>
      <c r="G598" t="s">
        <v>2113</v>
      </c>
      <c r="I598" t="s">
        <v>93</v>
      </c>
    </row>
    <row r="599" spans="1:9">
      <c r="A599" t="s">
        <v>92</v>
      </c>
      <c r="B599" t="s">
        <v>90</v>
      </c>
      <c r="C599" t="s">
        <v>134</v>
      </c>
      <c r="D599" t="s">
        <v>460</v>
      </c>
      <c r="E599" s="2">
        <v>4.2</v>
      </c>
      <c r="F599" s="2">
        <v>4.2</v>
      </c>
      <c r="G599" t="s">
        <v>2113</v>
      </c>
      <c r="I599" t="s">
        <v>93</v>
      </c>
    </row>
    <row r="600" spans="1:9">
      <c r="A600" t="s">
        <v>92</v>
      </c>
      <c r="B600" t="s">
        <v>90</v>
      </c>
      <c r="C600" t="s">
        <v>22</v>
      </c>
      <c r="D600" t="s">
        <v>565</v>
      </c>
      <c r="E600" s="2">
        <v>5.2</v>
      </c>
      <c r="F600" s="2">
        <v>5.2</v>
      </c>
      <c r="G600" t="s">
        <v>2113</v>
      </c>
      <c r="I600" t="s">
        <v>93</v>
      </c>
    </row>
    <row r="601" spans="1:9">
      <c r="A601" t="s">
        <v>92</v>
      </c>
      <c r="B601" t="s">
        <v>90</v>
      </c>
      <c r="C601" t="s">
        <v>134</v>
      </c>
      <c r="D601" t="s">
        <v>565</v>
      </c>
      <c r="E601" s="2">
        <v>4</v>
      </c>
      <c r="F601" s="2">
        <v>4</v>
      </c>
      <c r="G601" t="s">
        <v>2113</v>
      </c>
      <c r="I601" t="s">
        <v>93</v>
      </c>
    </row>
    <row r="602" spans="1:9">
      <c r="A602" t="s">
        <v>92</v>
      </c>
      <c r="B602" t="s">
        <v>90</v>
      </c>
      <c r="C602" t="s">
        <v>22</v>
      </c>
      <c r="D602" t="s">
        <v>670</v>
      </c>
      <c r="E602" s="2">
        <v>4.4000000000000004</v>
      </c>
      <c r="F602" s="2">
        <v>4.4000000000000004</v>
      </c>
      <c r="G602" t="s">
        <v>2113</v>
      </c>
      <c r="I602" t="s">
        <v>93</v>
      </c>
    </row>
    <row r="603" spans="1:9">
      <c r="A603" t="s">
        <v>92</v>
      </c>
      <c r="B603" t="s">
        <v>90</v>
      </c>
      <c r="C603" t="s">
        <v>134</v>
      </c>
      <c r="D603" t="s">
        <v>670</v>
      </c>
      <c r="E603" s="2">
        <v>3.9</v>
      </c>
      <c r="F603" s="2">
        <v>3.9</v>
      </c>
      <c r="G603" t="s">
        <v>2113</v>
      </c>
      <c r="I603" t="s">
        <v>93</v>
      </c>
    </row>
    <row r="604" spans="1:9">
      <c r="A604" t="s">
        <v>92</v>
      </c>
      <c r="B604" t="s">
        <v>90</v>
      </c>
      <c r="C604" t="s">
        <v>22</v>
      </c>
      <c r="D604" t="s">
        <v>771</v>
      </c>
      <c r="E604" s="2">
        <v>3.7</v>
      </c>
      <c r="F604" s="2">
        <v>3.7</v>
      </c>
      <c r="G604" t="s">
        <v>2113</v>
      </c>
      <c r="I604" t="s">
        <v>93</v>
      </c>
    </row>
    <row r="605" spans="1:9">
      <c r="A605" t="s">
        <v>92</v>
      </c>
      <c r="B605" t="s">
        <v>90</v>
      </c>
      <c r="C605" t="s">
        <v>134</v>
      </c>
      <c r="D605" t="s">
        <v>771</v>
      </c>
      <c r="E605" s="2">
        <v>3.6</v>
      </c>
      <c r="F605" s="2">
        <v>3.6</v>
      </c>
      <c r="G605" t="s">
        <v>2113</v>
      </c>
      <c r="I605" t="s">
        <v>93</v>
      </c>
    </row>
    <row r="606" spans="1:9">
      <c r="A606" t="s">
        <v>92</v>
      </c>
      <c r="B606" t="s">
        <v>90</v>
      </c>
      <c r="C606" t="s">
        <v>22</v>
      </c>
      <c r="D606" t="s">
        <v>876</v>
      </c>
      <c r="E606" s="2">
        <v>3.3</v>
      </c>
      <c r="F606" s="2">
        <v>3.3</v>
      </c>
      <c r="G606" t="s">
        <v>2113</v>
      </c>
      <c r="I606" t="s">
        <v>93</v>
      </c>
    </row>
    <row r="607" spans="1:9">
      <c r="A607" t="s">
        <v>92</v>
      </c>
      <c r="B607" t="s">
        <v>90</v>
      </c>
      <c r="C607" t="s">
        <v>134</v>
      </c>
      <c r="D607" t="s">
        <v>876</v>
      </c>
      <c r="E607" s="2">
        <v>3.3</v>
      </c>
      <c r="F607" s="2">
        <v>3.3</v>
      </c>
      <c r="G607" t="s">
        <v>2113</v>
      </c>
      <c r="I607" t="s">
        <v>93</v>
      </c>
    </row>
    <row r="608" spans="1:9">
      <c r="A608" t="s">
        <v>92</v>
      </c>
      <c r="B608" t="s">
        <v>90</v>
      </c>
      <c r="C608" t="s">
        <v>22</v>
      </c>
      <c r="D608" t="s">
        <v>981</v>
      </c>
      <c r="E608" s="2">
        <v>3.1</v>
      </c>
      <c r="F608" s="2">
        <v>3.1</v>
      </c>
      <c r="G608" t="s">
        <v>2113</v>
      </c>
      <c r="I608" t="s">
        <v>93</v>
      </c>
    </row>
    <row r="609" spans="1:9">
      <c r="A609" t="s">
        <v>92</v>
      </c>
      <c r="B609" t="s">
        <v>90</v>
      </c>
      <c r="C609" t="s">
        <v>134</v>
      </c>
      <c r="D609" t="s">
        <v>981</v>
      </c>
      <c r="E609" s="2">
        <v>3.1</v>
      </c>
      <c r="F609" s="2">
        <v>3.1</v>
      </c>
      <c r="G609" t="s">
        <v>2113</v>
      </c>
      <c r="I609" t="s">
        <v>93</v>
      </c>
    </row>
    <row r="610" spans="1:9">
      <c r="A610" t="s">
        <v>92</v>
      </c>
      <c r="B610" t="s">
        <v>90</v>
      </c>
      <c r="C610" t="s">
        <v>22</v>
      </c>
      <c r="D610" t="s">
        <v>1086</v>
      </c>
      <c r="E610" s="2">
        <v>3</v>
      </c>
      <c r="F610" s="2">
        <v>3</v>
      </c>
      <c r="G610" t="s">
        <v>2113</v>
      </c>
      <c r="I610" t="s">
        <v>93</v>
      </c>
    </row>
    <row r="611" spans="1:9">
      <c r="A611" t="s">
        <v>92</v>
      </c>
      <c r="B611" t="s">
        <v>90</v>
      </c>
      <c r="C611" t="s">
        <v>134</v>
      </c>
      <c r="D611" t="s">
        <v>1086</v>
      </c>
      <c r="E611" s="2">
        <v>3</v>
      </c>
      <c r="F611" s="2">
        <v>3</v>
      </c>
      <c r="G611" t="s">
        <v>2113</v>
      </c>
      <c r="I611" t="s">
        <v>93</v>
      </c>
    </row>
    <row r="612" spans="1:9">
      <c r="A612" t="s">
        <v>92</v>
      </c>
      <c r="B612" t="s">
        <v>90</v>
      </c>
      <c r="C612" t="s">
        <v>22</v>
      </c>
      <c r="D612" t="s">
        <v>1183</v>
      </c>
      <c r="E612" s="2">
        <v>3</v>
      </c>
      <c r="F612" s="2">
        <v>3</v>
      </c>
      <c r="G612" t="s">
        <v>2113</v>
      </c>
      <c r="I612" t="s">
        <v>93</v>
      </c>
    </row>
    <row r="613" spans="1:9">
      <c r="A613" t="s">
        <v>92</v>
      </c>
      <c r="B613" t="s">
        <v>90</v>
      </c>
      <c r="C613" t="s">
        <v>134</v>
      </c>
      <c r="D613" t="s">
        <v>1183</v>
      </c>
      <c r="E613" s="2">
        <v>3</v>
      </c>
      <c r="F613" s="2">
        <v>3</v>
      </c>
      <c r="G613" t="s">
        <v>2113</v>
      </c>
      <c r="I613" t="s">
        <v>93</v>
      </c>
    </row>
    <row r="614" spans="1:9">
      <c r="A614" t="s">
        <v>92</v>
      </c>
      <c r="B614" t="s">
        <v>90</v>
      </c>
      <c r="C614" t="s">
        <v>22</v>
      </c>
      <c r="D614" t="s">
        <v>1276</v>
      </c>
      <c r="E614" s="2">
        <v>3</v>
      </c>
      <c r="F614" s="2">
        <v>3</v>
      </c>
      <c r="G614" t="s">
        <v>2113</v>
      </c>
      <c r="I614" t="s">
        <v>93</v>
      </c>
    </row>
    <row r="615" spans="1:9">
      <c r="A615" t="s">
        <v>92</v>
      </c>
      <c r="B615" t="s">
        <v>90</v>
      </c>
      <c r="C615" t="s">
        <v>134</v>
      </c>
      <c r="D615" t="s">
        <v>1276</v>
      </c>
      <c r="E615" s="2">
        <v>3</v>
      </c>
      <c r="F615" s="2">
        <v>3</v>
      </c>
      <c r="G615" t="s">
        <v>2113</v>
      </c>
      <c r="I615" t="s">
        <v>93</v>
      </c>
    </row>
    <row r="616" spans="1:9">
      <c r="A616" t="s">
        <v>94</v>
      </c>
      <c r="B616" t="s">
        <v>92</v>
      </c>
      <c r="C616" t="s">
        <v>22</v>
      </c>
      <c r="D616" t="s">
        <v>254</v>
      </c>
      <c r="E616" s="2">
        <v>4.4000000000000004</v>
      </c>
      <c r="F616" s="2">
        <v>4.4000000000000004</v>
      </c>
      <c r="G616" t="s">
        <v>2113</v>
      </c>
      <c r="I616" t="s">
        <v>95</v>
      </c>
    </row>
    <row r="617" spans="1:9">
      <c r="A617" t="s">
        <v>94</v>
      </c>
      <c r="B617" t="s">
        <v>92</v>
      </c>
      <c r="C617" t="s">
        <v>134</v>
      </c>
      <c r="D617" t="s">
        <v>254</v>
      </c>
      <c r="E617" s="2">
        <v>5.3</v>
      </c>
      <c r="F617" s="2">
        <v>5.3</v>
      </c>
      <c r="G617" t="s">
        <v>2113</v>
      </c>
      <c r="I617" t="s">
        <v>95</v>
      </c>
    </row>
    <row r="618" spans="1:9">
      <c r="A618" t="s">
        <v>94</v>
      </c>
      <c r="B618" t="s">
        <v>92</v>
      </c>
      <c r="C618" t="s">
        <v>22</v>
      </c>
      <c r="D618" t="s">
        <v>355</v>
      </c>
      <c r="E618" s="2">
        <v>4.5999999999999996</v>
      </c>
      <c r="F618" s="2">
        <v>4.5999999999999996</v>
      </c>
      <c r="G618" t="s">
        <v>2113</v>
      </c>
      <c r="I618" t="s">
        <v>95</v>
      </c>
    </row>
    <row r="619" spans="1:9">
      <c r="A619" t="s">
        <v>94</v>
      </c>
      <c r="B619" t="s">
        <v>92</v>
      </c>
      <c r="C619" t="s">
        <v>134</v>
      </c>
      <c r="D619" t="s">
        <v>355</v>
      </c>
      <c r="E619" s="2">
        <v>4.7</v>
      </c>
      <c r="F619" s="2">
        <v>4.7</v>
      </c>
      <c r="G619" t="s">
        <v>2113</v>
      </c>
      <c r="I619" t="s">
        <v>95</v>
      </c>
    </row>
    <row r="620" spans="1:9">
      <c r="A620" t="s">
        <v>94</v>
      </c>
      <c r="B620" t="s">
        <v>92</v>
      </c>
      <c r="C620" t="s">
        <v>22</v>
      </c>
      <c r="D620" t="s">
        <v>460</v>
      </c>
      <c r="E620" s="2">
        <v>4.8</v>
      </c>
      <c r="F620" s="2">
        <v>4.8</v>
      </c>
      <c r="G620" t="s">
        <v>2113</v>
      </c>
      <c r="I620" t="s">
        <v>95</v>
      </c>
    </row>
    <row r="621" spans="1:9">
      <c r="A621" t="s">
        <v>94</v>
      </c>
      <c r="B621" t="s">
        <v>92</v>
      </c>
      <c r="C621" t="s">
        <v>134</v>
      </c>
      <c r="D621" t="s">
        <v>460</v>
      </c>
      <c r="E621" s="2">
        <v>4.2</v>
      </c>
      <c r="F621" s="2">
        <v>4.2</v>
      </c>
      <c r="G621" t="s">
        <v>2113</v>
      </c>
      <c r="I621" t="s">
        <v>95</v>
      </c>
    </row>
    <row r="622" spans="1:9">
      <c r="A622" t="s">
        <v>94</v>
      </c>
      <c r="B622" t="s">
        <v>92</v>
      </c>
      <c r="C622" t="s">
        <v>22</v>
      </c>
      <c r="D622" t="s">
        <v>565</v>
      </c>
      <c r="E622" s="2">
        <v>5.0999999999999996</v>
      </c>
      <c r="F622" s="2">
        <v>5.0999999999999996</v>
      </c>
      <c r="G622" t="s">
        <v>2113</v>
      </c>
      <c r="I622" t="s">
        <v>95</v>
      </c>
    </row>
    <row r="623" spans="1:9">
      <c r="A623" t="s">
        <v>94</v>
      </c>
      <c r="B623" t="s">
        <v>92</v>
      </c>
      <c r="C623" t="s">
        <v>134</v>
      </c>
      <c r="D623" t="s">
        <v>565</v>
      </c>
      <c r="E623" s="2">
        <v>4</v>
      </c>
      <c r="F623" s="2">
        <v>4</v>
      </c>
      <c r="G623" t="s">
        <v>2113</v>
      </c>
      <c r="I623" t="s">
        <v>95</v>
      </c>
    </row>
    <row r="624" spans="1:9">
      <c r="A624" t="s">
        <v>94</v>
      </c>
      <c r="B624" t="s">
        <v>92</v>
      </c>
      <c r="C624" t="s">
        <v>22</v>
      </c>
      <c r="D624" t="s">
        <v>670</v>
      </c>
      <c r="E624" s="2">
        <v>4.3</v>
      </c>
      <c r="F624" s="2">
        <v>4.3</v>
      </c>
      <c r="G624" t="s">
        <v>2113</v>
      </c>
      <c r="I624" t="s">
        <v>95</v>
      </c>
    </row>
    <row r="625" spans="1:9">
      <c r="A625" t="s">
        <v>94</v>
      </c>
      <c r="B625" t="s">
        <v>92</v>
      </c>
      <c r="C625" t="s">
        <v>134</v>
      </c>
      <c r="D625" t="s">
        <v>670</v>
      </c>
      <c r="E625" s="2">
        <v>3.8</v>
      </c>
      <c r="F625" s="2">
        <v>3.8</v>
      </c>
      <c r="G625" t="s">
        <v>2113</v>
      </c>
      <c r="I625" t="s">
        <v>95</v>
      </c>
    </row>
    <row r="626" spans="1:9">
      <c r="A626" t="s">
        <v>94</v>
      </c>
      <c r="B626" t="s">
        <v>92</v>
      </c>
      <c r="C626" t="s">
        <v>22</v>
      </c>
      <c r="D626" t="s">
        <v>771</v>
      </c>
      <c r="E626" s="2">
        <v>3.7</v>
      </c>
      <c r="F626" s="2">
        <v>3.7</v>
      </c>
      <c r="G626" t="s">
        <v>2113</v>
      </c>
      <c r="I626" t="s">
        <v>95</v>
      </c>
    </row>
    <row r="627" spans="1:9">
      <c r="A627" t="s">
        <v>94</v>
      </c>
      <c r="B627" t="s">
        <v>92</v>
      </c>
      <c r="C627" t="s">
        <v>134</v>
      </c>
      <c r="D627" t="s">
        <v>771</v>
      </c>
      <c r="E627" s="2">
        <v>3.5</v>
      </c>
      <c r="F627" s="2">
        <v>3.5</v>
      </c>
      <c r="G627" t="s">
        <v>2113</v>
      </c>
      <c r="I627" t="s">
        <v>95</v>
      </c>
    </row>
    <row r="628" spans="1:9">
      <c r="A628" t="s">
        <v>94</v>
      </c>
      <c r="B628" t="s">
        <v>92</v>
      </c>
      <c r="C628" t="s">
        <v>22</v>
      </c>
      <c r="D628" t="s">
        <v>876</v>
      </c>
      <c r="E628" s="2">
        <v>3.3</v>
      </c>
      <c r="F628" s="2">
        <v>3.3</v>
      </c>
      <c r="G628" t="s">
        <v>2113</v>
      </c>
      <c r="I628" t="s">
        <v>95</v>
      </c>
    </row>
    <row r="629" spans="1:9">
      <c r="A629" t="s">
        <v>94</v>
      </c>
      <c r="B629" t="s">
        <v>92</v>
      </c>
      <c r="C629" t="s">
        <v>134</v>
      </c>
      <c r="D629" t="s">
        <v>876</v>
      </c>
      <c r="E629" s="2">
        <v>3.3</v>
      </c>
      <c r="F629" s="2">
        <v>3.3</v>
      </c>
      <c r="G629" t="s">
        <v>2113</v>
      </c>
      <c r="I629" t="s">
        <v>95</v>
      </c>
    </row>
    <row r="630" spans="1:9">
      <c r="A630" t="s">
        <v>94</v>
      </c>
      <c r="B630" t="s">
        <v>92</v>
      </c>
      <c r="C630" t="s">
        <v>22</v>
      </c>
      <c r="D630" t="s">
        <v>981</v>
      </c>
      <c r="E630" s="2">
        <v>3.1</v>
      </c>
      <c r="F630" s="2">
        <v>3.1</v>
      </c>
      <c r="G630" t="s">
        <v>2113</v>
      </c>
      <c r="I630" t="s">
        <v>95</v>
      </c>
    </row>
    <row r="631" spans="1:9">
      <c r="A631" t="s">
        <v>94</v>
      </c>
      <c r="B631" t="s">
        <v>92</v>
      </c>
      <c r="C631" t="s">
        <v>134</v>
      </c>
      <c r="D631" t="s">
        <v>981</v>
      </c>
      <c r="E631" s="2">
        <v>3.1</v>
      </c>
      <c r="F631" s="2">
        <v>3.1</v>
      </c>
      <c r="G631" t="s">
        <v>2113</v>
      </c>
      <c r="I631" t="s">
        <v>95</v>
      </c>
    </row>
    <row r="632" spans="1:9">
      <c r="A632" t="s">
        <v>94</v>
      </c>
      <c r="B632" t="s">
        <v>92</v>
      </c>
      <c r="C632" t="s">
        <v>22</v>
      </c>
      <c r="D632" t="s">
        <v>1086</v>
      </c>
      <c r="E632" s="2">
        <v>3</v>
      </c>
      <c r="F632" s="2">
        <v>3</v>
      </c>
      <c r="G632" t="s">
        <v>2113</v>
      </c>
      <c r="I632" t="s">
        <v>95</v>
      </c>
    </row>
    <row r="633" spans="1:9">
      <c r="A633" t="s">
        <v>94</v>
      </c>
      <c r="B633" t="s">
        <v>92</v>
      </c>
      <c r="C633" t="s">
        <v>134</v>
      </c>
      <c r="D633" t="s">
        <v>1086</v>
      </c>
      <c r="E633" s="2">
        <v>3</v>
      </c>
      <c r="F633" s="2">
        <v>3</v>
      </c>
      <c r="G633" t="s">
        <v>2113</v>
      </c>
      <c r="I633" t="s">
        <v>95</v>
      </c>
    </row>
    <row r="634" spans="1:9">
      <c r="A634" t="s">
        <v>94</v>
      </c>
      <c r="B634" t="s">
        <v>92</v>
      </c>
      <c r="C634" t="s">
        <v>22</v>
      </c>
      <c r="D634" t="s">
        <v>1183</v>
      </c>
      <c r="E634" s="2">
        <v>3</v>
      </c>
      <c r="F634" s="2">
        <v>3</v>
      </c>
      <c r="G634" t="s">
        <v>2113</v>
      </c>
      <c r="I634" t="s">
        <v>95</v>
      </c>
    </row>
    <row r="635" spans="1:9">
      <c r="A635" t="s">
        <v>94</v>
      </c>
      <c r="B635" t="s">
        <v>92</v>
      </c>
      <c r="C635" t="s">
        <v>134</v>
      </c>
      <c r="D635" t="s">
        <v>1183</v>
      </c>
      <c r="E635" s="2">
        <v>3</v>
      </c>
      <c r="F635" s="2">
        <v>3</v>
      </c>
      <c r="G635" t="s">
        <v>2113</v>
      </c>
      <c r="I635" t="s">
        <v>95</v>
      </c>
    </row>
    <row r="636" spans="1:9">
      <c r="A636" t="s">
        <v>94</v>
      </c>
      <c r="B636" t="s">
        <v>92</v>
      </c>
      <c r="C636" t="s">
        <v>22</v>
      </c>
      <c r="D636" t="s">
        <v>1276</v>
      </c>
      <c r="E636" s="2">
        <v>3</v>
      </c>
      <c r="F636" s="2">
        <v>3</v>
      </c>
      <c r="G636" t="s">
        <v>2113</v>
      </c>
      <c r="I636" t="s">
        <v>95</v>
      </c>
    </row>
    <row r="637" spans="1:9">
      <c r="A637" t="s">
        <v>94</v>
      </c>
      <c r="B637" t="s">
        <v>92</v>
      </c>
      <c r="C637" t="s">
        <v>134</v>
      </c>
      <c r="D637" t="s">
        <v>1276</v>
      </c>
      <c r="E637" s="2">
        <v>3</v>
      </c>
      <c r="F637" s="2">
        <v>3</v>
      </c>
      <c r="G637" t="s">
        <v>2113</v>
      </c>
      <c r="I637" t="s">
        <v>95</v>
      </c>
    </row>
    <row r="638" spans="1:9">
      <c r="A638" t="s">
        <v>94</v>
      </c>
      <c r="B638" t="s">
        <v>92</v>
      </c>
      <c r="C638" t="s">
        <v>22</v>
      </c>
      <c r="D638" t="s">
        <v>21</v>
      </c>
      <c r="E638" s="2">
        <v>3</v>
      </c>
      <c r="F638" s="2">
        <v>3</v>
      </c>
      <c r="G638" t="s">
        <v>2113</v>
      </c>
      <c r="I638" t="s">
        <v>95</v>
      </c>
    </row>
    <row r="639" spans="1:9">
      <c r="A639" t="s">
        <v>94</v>
      </c>
      <c r="B639" t="s">
        <v>92</v>
      </c>
      <c r="C639" t="s">
        <v>134</v>
      </c>
      <c r="D639" t="s">
        <v>21</v>
      </c>
      <c r="E639" s="2">
        <v>3</v>
      </c>
      <c r="F639" s="2">
        <v>3</v>
      </c>
      <c r="G639" t="s">
        <v>2113</v>
      </c>
      <c r="I639" t="s">
        <v>95</v>
      </c>
    </row>
    <row r="640" spans="1:9">
      <c r="A640" t="s">
        <v>96</v>
      </c>
      <c r="B640" t="s">
        <v>94</v>
      </c>
      <c r="C640" t="s">
        <v>22</v>
      </c>
      <c r="D640" t="s">
        <v>355</v>
      </c>
      <c r="E640" s="2">
        <v>4.5999999999999996</v>
      </c>
      <c r="F640" s="2">
        <v>4.5999999999999996</v>
      </c>
      <c r="G640" t="s">
        <v>2113</v>
      </c>
      <c r="I640" t="s">
        <v>97</v>
      </c>
    </row>
    <row r="641" spans="1:9">
      <c r="A641" t="s">
        <v>96</v>
      </c>
      <c r="B641" t="s">
        <v>94</v>
      </c>
      <c r="C641" t="s">
        <v>134</v>
      </c>
      <c r="D641" t="s">
        <v>355</v>
      </c>
      <c r="E641" s="2">
        <v>4.7</v>
      </c>
      <c r="F641" s="2">
        <v>4.7</v>
      </c>
      <c r="G641" t="s">
        <v>2113</v>
      </c>
      <c r="I641" t="s">
        <v>97</v>
      </c>
    </row>
    <row r="642" spans="1:9">
      <c r="A642" t="s">
        <v>96</v>
      </c>
      <c r="B642" t="s">
        <v>94</v>
      </c>
      <c r="C642" t="s">
        <v>22</v>
      </c>
      <c r="D642" t="s">
        <v>460</v>
      </c>
      <c r="E642" s="2">
        <v>4.8</v>
      </c>
      <c r="F642" s="2">
        <v>4.8</v>
      </c>
      <c r="G642" t="s">
        <v>2113</v>
      </c>
      <c r="I642" t="s">
        <v>97</v>
      </c>
    </row>
    <row r="643" spans="1:9">
      <c r="A643" t="s">
        <v>96</v>
      </c>
      <c r="B643" t="s">
        <v>94</v>
      </c>
      <c r="C643" t="s">
        <v>134</v>
      </c>
      <c r="D643" t="s">
        <v>460</v>
      </c>
      <c r="E643" s="2">
        <v>4.2</v>
      </c>
      <c r="F643" s="2">
        <v>4.2</v>
      </c>
      <c r="G643" t="s">
        <v>2113</v>
      </c>
      <c r="I643" t="s">
        <v>97</v>
      </c>
    </row>
    <row r="644" spans="1:9">
      <c r="A644" t="s">
        <v>96</v>
      </c>
      <c r="B644" t="s">
        <v>94</v>
      </c>
      <c r="C644" t="s">
        <v>22</v>
      </c>
      <c r="D644" t="s">
        <v>565</v>
      </c>
      <c r="E644" s="2">
        <v>5</v>
      </c>
      <c r="F644" s="2">
        <v>5</v>
      </c>
      <c r="G644" t="s">
        <v>2113</v>
      </c>
      <c r="I644" t="s">
        <v>97</v>
      </c>
    </row>
    <row r="645" spans="1:9">
      <c r="A645" t="s">
        <v>96</v>
      </c>
      <c r="B645" t="s">
        <v>94</v>
      </c>
      <c r="C645" t="s">
        <v>134</v>
      </c>
      <c r="D645" t="s">
        <v>565</v>
      </c>
      <c r="E645" s="2">
        <v>4</v>
      </c>
      <c r="F645" s="2">
        <v>4</v>
      </c>
      <c r="G645" t="s">
        <v>2113</v>
      </c>
      <c r="I645" t="s">
        <v>97</v>
      </c>
    </row>
    <row r="646" spans="1:9">
      <c r="A646" t="s">
        <v>96</v>
      </c>
      <c r="B646" t="s">
        <v>94</v>
      </c>
      <c r="C646" t="s">
        <v>22</v>
      </c>
      <c r="D646" t="s">
        <v>670</v>
      </c>
      <c r="E646" s="2">
        <v>4.7</v>
      </c>
      <c r="F646" s="2">
        <v>4.7</v>
      </c>
      <c r="G646" t="s">
        <v>2113</v>
      </c>
      <c r="I646" t="s">
        <v>97</v>
      </c>
    </row>
    <row r="647" spans="1:9">
      <c r="A647" t="s">
        <v>96</v>
      </c>
      <c r="B647" t="s">
        <v>94</v>
      </c>
      <c r="C647" t="s">
        <v>134</v>
      </c>
      <c r="D647" t="s">
        <v>670</v>
      </c>
      <c r="E647" s="2">
        <v>3.7</v>
      </c>
      <c r="F647" s="2">
        <v>3.7</v>
      </c>
      <c r="G647" t="s">
        <v>2113</v>
      </c>
      <c r="I647" t="s">
        <v>97</v>
      </c>
    </row>
    <row r="648" spans="1:9">
      <c r="A648" t="s">
        <v>96</v>
      </c>
      <c r="B648" t="s">
        <v>94</v>
      </c>
      <c r="C648" t="s">
        <v>22</v>
      </c>
      <c r="D648" t="s">
        <v>771</v>
      </c>
      <c r="E648" s="2">
        <v>3.9</v>
      </c>
      <c r="F648" s="2">
        <v>3.9</v>
      </c>
      <c r="G648" t="s">
        <v>2113</v>
      </c>
      <c r="I648" t="s">
        <v>97</v>
      </c>
    </row>
    <row r="649" spans="1:9">
      <c r="A649" t="s">
        <v>96</v>
      </c>
      <c r="B649" t="s">
        <v>94</v>
      </c>
      <c r="C649" t="s">
        <v>134</v>
      </c>
      <c r="D649" t="s">
        <v>771</v>
      </c>
      <c r="E649" s="2">
        <v>3.5</v>
      </c>
      <c r="F649" s="2">
        <v>3.5</v>
      </c>
      <c r="G649" t="s">
        <v>2113</v>
      </c>
      <c r="I649" t="s">
        <v>97</v>
      </c>
    </row>
    <row r="650" spans="1:9">
      <c r="A650" t="s">
        <v>96</v>
      </c>
      <c r="B650" t="s">
        <v>94</v>
      </c>
      <c r="C650" t="s">
        <v>22</v>
      </c>
      <c r="D650" t="s">
        <v>876</v>
      </c>
      <c r="E650" s="2">
        <v>3.4</v>
      </c>
      <c r="F650" s="2">
        <v>3.4</v>
      </c>
      <c r="G650" t="s">
        <v>2113</v>
      </c>
      <c r="I650" t="s">
        <v>97</v>
      </c>
    </row>
    <row r="651" spans="1:9">
      <c r="A651" t="s">
        <v>96</v>
      </c>
      <c r="B651" t="s">
        <v>94</v>
      </c>
      <c r="C651" t="s">
        <v>134</v>
      </c>
      <c r="D651" t="s">
        <v>876</v>
      </c>
      <c r="E651" s="2">
        <v>3.3</v>
      </c>
      <c r="F651" s="2">
        <v>3.3</v>
      </c>
      <c r="G651" t="s">
        <v>2113</v>
      </c>
      <c r="I651" t="s">
        <v>97</v>
      </c>
    </row>
    <row r="652" spans="1:9">
      <c r="A652" t="s">
        <v>96</v>
      </c>
      <c r="B652" t="s">
        <v>94</v>
      </c>
      <c r="C652" t="s">
        <v>22</v>
      </c>
      <c r="D652" t="s">
        <v>981</v>
      </c>
      <c r="E652" s="2">
        <v>3.1</v>
      </c>
      <c r="F652" s="2">
        <v>3.1</v>
      </c>
      <c r="G652" t="s">
        <v>2113</v>
      </c>
      <c r="I652" t="s">
        <v>97</v>
      </c>
    </row>
    <row r="653" spans="1:9">
      <c r="A653" t="s">
        <v>96</v>
      </c>
      <c r="B653" t="s">
        <v>94</v>
      </c>
      <c r="C653" t="s">
        <v>134</v>
      </c>
      <c r="D653" t="s">
        <v>981</v>
      </c>
      <c r="E653" s="2">
        <v>3.1</v>
      </c>
      <c r="F653" s="2">
        <v>3.1</v>
      </c>
      <c r="G653" t="s">
        <v>2113</v>
      </c>
      <c r="I653" t="s">
        <v>97</v>
      </c>
    </row>
    <row r="654" spans="1:9">
      <c r="A654" t="s">
        <v>96</v>
      </c>
      <c r="B654" t="s">
        <v>94</v>
      </c>
      <c r="C654" t="s">
        <v>22</v>
      </c>
      <c r="D654" t="s">
        <v>1086</v>
      </c>
      <c r="E654" s="2">
        <v>3</v>
      </c>
      <c r="F654" s="2">
        <v>3</v>
      </c>
      <c r="G654" t="s">
        <v>2113</v>
      </c>
      <c r="I654" t="s">
        <v>97</v>
      </c>
    </row>
    <row r="655" spans="1:9">
      <c r="A655" t="s">
        <v>96</v>
      </c>
      <c r="B655" t="s">
        <v>94</v>
      </c>
      <c r="C655" t="s">
        <v>134</v>
      </c>
      <c r="D655" t="s">
        <v>1086</v>
      </c>
      <c r="E655" s="2">
        <v>3</v>
      </c>
      <c r="F655" s="2">
        <v>3</v>
      </c>
      <c r="G655" t="s">
        <v>2113</v>
      </c>
      <c r="I655" t="s">
        <v>97</v>
      </c>
    </row>
    <row r="656" spans="1:9">
      <c r="A656" t="s">
        <v>96</v>
      </c>
      <c r="B656" t="s">
        <v>94</v>
      </c>
      <c r="C656" t="s">
        <v>22</v>
      </c>
      <c r="D656" t="s">
        <v>1183</v>
      </c>
      <c r="E656" s="2">
        <v>3</v>
      </c>
      <c r="F656" s="2">
        <v>3</v>
      </c>
      <c r="G656" t="s">
        <v>2113</v>
      </c>
      <c r="I656" t="s">
        <v>97</v>
      </c>
    </row>
    <row r="657" spans="1:9">
      <c r="A657" t="s">
        <v>96</v>
      </c>
      <c r="B657" t="s">
        <v>94</v>
      </c>
      <c r="C657" t="s">
        <v>134</v>
      </c>
      <c r="D657" t="s">
        <v>1183</v>
      </c>
      <c r="E657" s="2">
        <v>3</v>
      </c>
      <c r="F657" s="2">
        <v>3</v>
      </c>
      <c r="G657" t="s">
        <v>2113</v>
      </c>
      <c r="I657" t="s">
        <v>97</v>
      </c>
    </row>
    <row r="658" spans="1:9">
      <c r="A658" t="s">
        <v>96</v>
      </c>
      <c r="B658" t="s">
        <v>94</v>
      </c>
      <c r="C658" t="s">
        <v>22</v>
      </c>
      <c r="D658" t="s">
        <v>1276</v>
      </c>
      <c r="E658" s="2">
        <v>3</v>
      </c>
      <c r="F658" s="2">
        <v>3</v>
      </c>
      <c r="G658" t="s">
        <v>2113</v>
      </c>
      <c r="I658" t="s">
        <v>97</v>
      </c>
    </row>
    <row r="659" spans="1:9">
      <c r="A659" t="s">
        <v>96</v>
      </c>
      <c r="B659" t="s">
        <v>94</v>
      </c>
      <c r="C659" t="s">
        <v>134</v>
      </c>
      <c r="D659" t="s">
        <v>1276</v>
      </c>
      <c r="E659" s="2">
        <v>3</v>
      </c>
      <c r="F659" s="2">
        <v>3</v>
      </c>
      <c r="G659" t="s">
        <v>2113</v>
      </c>
      <c r="I659" t="s">
        <v>97</v>
      </c>
    </row>
    <row r="660" spans="1:9">
      <c r="A660" t="s">
        <v>96</v>
      </c>
      <c r="B660" t="s">
        <v>94</v>
      </c>
      <c r="C660" t="s">
        <v>22</v>
      </c>
      <c r="D660" t="s">
        <v>21</v>
      </c>
      <c r="E660" s="2">
        <v>3</v>
      </c>
      <c r="F660" s="2">
        <v>3</v>
      </c>
      <c r="G660" t="s">
        <v>2113</v>
      </c>
      <c r="I660" t="s">
        <v>97</v>
      </c>
    </row>
    <row r="661" spans="1:9">
      <c r="A661" t="s">
        <v>96</v>
      </c>
      <c r="B661" t="s">
        <v>94</v>
      </c>
      <c r="C661" t="s">
        <v>134</v>
      </c>
      <c r="D661" t="s">
        <v>21</v>
      </c>
      <c r="E661" s="2">
        <v>3</v>
      </c>
      <c r="F661" s="2">
        <v>3</v>
      </c>
      <c r="G661" t="s">
        <v>2113</v>
      </c>
      <c r="I661" t="s">
        <v>97</v>
      </c>
    </row>
    <row r="662" spans="1:9">
      <c r="A662" t="s">
        <v>98</v>
      </c>
      <c r="B662" t="s">
        <v>96</v>
      </c>
      <c r="C662" t="s">
        <v>22</v>
      </c>
      <c r="D662" t="s">
        <v>355</v>
      </c>
      <c r="E662" s="2">
        <v>4.5999999999999996</v>
      </c>
      <c r="F662" s="2">
        <v>4.5999999999999996</v>
      </c>
      <c r="G662" t="s">
        <v>2113</v>
      </c>
      <c r="I662" t="s">
        <v>99</v>
      </c>
    </row>
    <row r="663" spans="1:9">
      <c r="A663" t="s">
        <v>98</v>
      </c>
      <c r="B663" t="s">
        <v>96</v>
      </c>
      <c r="C663" t="s">
        <v>134</v>
      </c>
      <c r="D663" t="s">
        <v>355</v>
      </c>
      <c r="E663" s="2">
        <v>4.7</v>
      </c>
      <c r="F663" s="2">
        <v>4.7</v>
      </c>
      <c r="G663" t="s">
        <v>2113</v>
      </c>
      <c r="I663" t="s">
        <v>99</v>
      </c>
    </row>
    <row r="664" spans="1:9">
      <c r="A664" t="s">
        <v>98</v>
      </c>
      <c r="B664" t="s">
        <v>96</v>
      </c>
      <c r="C664" t="s">
        <v>22</v>
      </c>
      <c r="D664" t="s">
        <v>460</v>
      </c>
      <c r="E664" s="2">
        <v>4.8</v>
      </c>
      <c r="F664" s="2">
        <v>4.8</v>
      </c>
      <c r="G664" t="s">
        <v>2113</v>
      </c>
      <c r="I664" t="s">
        <v>99</v>
      </c>
    </row>
    <row r="665" spans="1:9">
      <c r="A665" t="s">
        <v>98</v>
      </c>
      <c r="B665" t="s">
        <v>96</v>
      </c>
      <c r="C665" t="s">
        <v>134</v>
      </c>
      <c r="D665" t="s">
        <v>460</v>
      </c>
      <c r="E665" s="2">
        <v>4.2</v>
      </c>
      <c r="F665" s="2">
        <v>4.2</v>
      </c>
      <c r="G665" t="s">
        <v>2113</v>
      </c>
      <c r="I665" t="s">
        <v>99</v>
      </c>
    </row>
    <row r="666" spans="1:9">
      <c r="A666" t="s">
        <v>98</v>
      </c>
      <c r="B666" t="s">
        <v>96</v>
      </c>
      <c r="C666" t="s">
        <v>22</v>
      </c>
      <c r="D666" t="s">
        <v>565</v>
      </c>
      <c r="E666" s="2">
        <v>5</v>
      </c>
      <c r="F666" s="2">
        <v>5</v>
      </c>
      <c r="G666" t="s">
        <v>2113</v>
      </c>
      <c r="I666" t="s">
        <v>99</v>
      </c>
    </row>
    <row r="667" spans="1:9">
      <c r="A667" t="s">
        <v>98</v>
      </c>
      <c r="B667" t="s">
        <v>96</v>
      </c>
      <c r="C667" t="s">
        <v>134</v>
      </c>
      <c r="D667" t="s">
        <v>565</v>
      </c>
      <c r="E667" s="2">
        <v>4</v>
      </c>
      <c r="F667" s="2">
        <v>4</v>
      </c>
      <c r="G667" t="s">
        <v>2113</v>
      </c>
      <c r="I667" t="s">
        <v>99</v>
      </c>
    </row>
    <row r="668" spans="1:9">
      <c r="A668" t="s">
        <v>98</v>
      </c>
      <c r="B668" t="s">
        <v>96</v>
      </c>
      <c r="C668" t="s">
        <v>22</v>
      </c>
      <c r="D668" t="s">
        <v>670</v>
      </c>
      <c r="E668" s="2">
        <v>4.5999999999999996</v>
      </c>
      <c r="F668" s="2">
        <v>4.5999999999999996</v>
      </c>
      <c r="G668" t="s">
        <v>2113</v>
      </c>
      <c r="I668" t="s">
        <v>99</v>
      </c>
    </row>
    <row r="669" spans="1:9">
      <c r="A669" t="s">
        <v>98</v>
      </c>
      <c r="B669" t="s">
        <v>96</v>
      </c>
      <c r="C669" t="s">
        <v>134</v>
      </c>
      <c r="D669" t="s">
        <v>670</v>
      </c>
      <c r="E669" s="2">
        <v>3.6</v>
      </c>
      <c r="F669" s="2">
        <v>3.6</v>
      </c>
      <c r="G669" t="s">
        <v>2113</v>
      </c>
      <c r="I669" t="s">
        <v>99</v>
      </c>
    </row>
    <row r="670" spans="1:9">
      <c r="A670" t="s">
        <v>98</v>
      </c>
      <c r="B670" t="s">
        <v>96</v>
      </c>
      <c r="C670" t="s">
        <v>22</v>
      </c>
      <c r="D670" t="s">
        <v>771</v>
      </c>
      <c r="E670" s="2">
        <v>3.8</v>
      </c>
      <c r="F670" s="2">
        <v>3.8</v>
      </c>
      <c r="G670" t="s">
        <v>2113</v>
      </c>
      <c r="I670" t="s">
        <v>99</v>
      </c>
    </row>
    <row r="671" spans="1:9">
      <c r="A671" t="s">
        <v>98</v>
      </c>
      <c r="B671" t="s">
        <v>96</v>
      </c>
      <c r="C671" t="s">
        <v>134</v>
      </c>
      <c r="D671" t="s">
        <v>771</v>
      </c>
      <c r="E671" s="2">
        <v>3.5</v>
      </c>
      <c r="F671" s="2">
        <v>3.5</v>
      </c>
      <c r="G671" t="s">
        <v>2113</v>
      </c>
      <c r="I671" t="s">
        <v>99</v>
      </c>
    </row>
    <row r="672" spans="1:9">
      <c r="A672" t="s">
        <v>98</v>
      </c>
      <c r="B672" t="s">
        <v>96</v>
      </c>
      <c r="C672" t="s">
        <v>22</v>
      </c>
      <c r="D672" t="s">
        <v>876</v>
      </c>
      <c r="E672" s="2">
        <v>3.5</v>
      </c>
      <c r="F672" s="2">
        <v>3.5</v>
      </c>
      <c r="G672" t="s">
        <v>2113</v>
      </c>
      <c r="I672" t="s">
        <v>99</v>
      </c>
    </row>
    <row r="673" spans="1:9">
      <c r="A673" t="s">
        <v>98</v>
      </c>
      <c r="B673" t="s">
        <v>96</v>
      </c>
      <c r="C673" t="s">
        <v>134</v>
      </c>
      <c r="D673" t="s">
        <v>876</v>
      </c>
      <c r="E673" s="2">
        <v>3.5</v>
      </c>
      <c r="F673" s="2">
        <v>3.5</v>
      </c>
      <c r="G673" t="s">
        <v>2113</v>
      </c>
      <c r="I673" t="s">
        <v>99</v>
      </c>
    </row>
    <row r="674" spans="1:9">
      <c r="A674" t="s">
        <v>98</v>
      </c>
      <c r="B674" t="s">
        <v>96</v>
      </c>
      <c r="C674" t="s">
        <v>22</v>
      </c>
      <c r="D674" t="s">
        <v>981</v>
      </c>
      <c r="E674" s="2">
        <v>3.4</v>
      </c>
      <c r="F674" s="2">
        <v>3.4</v>
      </c>
      <c r="G674" t="s">
        <v>2113</v>
      </c>
      <c r="I674" t="s">
        <v>99</v>
      </c>
    </row>
    <row r="675" spans="1:9">
      <c r="A675" t="s">
        <v>98</v>
      </c>
      <c r="B675" t="s">
        <v>96</v>
      </c>
      <c r="C675" t="s">
        <v>134</v>
      </c>
      <c r="D675" t="s">
        <v>981</v>
      </c>
      <c r="E675" s="2">
        <v>3.4</v>
      </c>
      <c r="F675" s="2">
        <v>3.4</v>
      </c>
      <c r="G675" t="s">
        <v>2113</v>
      </c>
      <c r="I675" t="s">
        <v>99</v>
      </c>
    </row>
    <row r="676" spans="1:9">
      <c r="A676" t="s">
        <v>98</v>
      </c>
      <c r="B676" t="s">
        <v>96</v>
      </c>
      <c r="C676" t="s">
        <v>22</v>
      </c>
      <c r="D676" t="s">
        <v>1086</v>
      </c>
      <c r="E676" s="2">
        <v>3.3</v>
      </c>
      <c r="F676" s="2">
        <v>3.3</v>
      </c>
      <c r="G676" t="s">
        <v>2113</v>
      </c>
      <c r="I676" t="s">
        <v>99</v>
      </c>
    </row>
    <row r="677" spans="1:9">
      <c r="A677" t="s">
        <v>98</v>
      </c>
      <c r="B677" t="s">
        <v>96</v>
      </c>
      <c r="C677" t="s">
        <v>134</v>
      </c>
      <c r="D677" t="s">
        <v>1086</v>
      </c>
      <c r="E677" s="2">
        <v>3.3</v>
      </c>
      <c r="F677" s="2">
        <v>3.3</v>
      </c>
      <c r="G677" t="s">
        <v>2113</v>
      </c>
      <c r="I677" t="s">
        <v>99</v>
      </c>
    </row>
    <row r="678" spans="1:9">
      <c r="A678" t="s">
        <v>98</v>
      </c>
      <c r="B678" t="s">
        <v>96</v>
      </c>
      <c r="C678" t="s">
        <v>22</v>
      </c>
      <c r="D678" t="s">
        <v>1183</v>
      </c>
      <c r="E678" s="2">
        <v>3.2</v>
      </c>
      <c r="F678" s="2">
        <v>3.2</v>
      </c>
      <c r="G678" t="s">
        <v>2113</v>
      </c>
      <c r="I678" t="s">
        <v>99</v>
      </c>
    </row>
    <row r="679" spans="1:9">
      <c r="A679" t="s">
        <v>98</v>
      </c>
      <c r="B679" t="s">
        <v>96</v>
      </c>
      <c r="C679" t="s">
        <v>134</v>
      </c>
      <c r="D679" t="s">
        <v>1183</v>
      </c>
      <c r="E679" s="2">
        <v>3.2</v>
      </c>
      <c r="F679" s="2">
        <v>3.2</v>
      </c>
      <c r="G679" t="s">
        <v>2113</v>
      </c>
      <c r="I679" t="s">
        <v>99</v>
      </c>
    </row>
    <row r="680" spans="1:9">
      <c r="A680" t="s">
        <v>98</v>
      </c>
      <c r="B680" t="s">
        <v>96</v>
      </c>
      <c r="C680" t="s">
        <v>22</v>
      </c>
      <c r="D680" t="s">
        <v>1276</v>
      </c>
      <c r="E680" s="2">
        <v>3.1</v>
      </c>
      <c r="F680" s="2">
        <v>3.1</v>
      </c>
      <c r="G680" t="s">
        <v>2113</v>
      </c>
      <c r="I680" t="s">
        <v>99</v>
      </c>
    </row>
    <row r="681" spans="1:9">
      <c r="A681" t="s">
        <v>98</v>
      </c>
      <c r="B681" t="s">
        <v>96</v>
      </c>
      <c r="C681" t="s">
        <v>134</v>
      </c>
      <c r="D681" t="s">
        <v>1276</v>
      </c>
      <c r="E681" s="2">
        <v>3</v>
      </c>
      <c r="F681" s="2">
        <v>3</v>
      </c>
      <c r="G681" t="s">
        <v>2113</v>
      </c>
      <c r="I681" t="s">
        <v>99</v>
      </c>
    </row>
    <row r="682" spans="1:9">
      <c r="A682" t="s">
        <v>98</v>
      </c>
      <c r="B682" t="s">
        <v>96</v>
      </c>
      <c r="C682" t="s">
        <v>22</v>
      </c>
      <c r="D682" t="s">
        <v>21</v>
      </c>
      <c r="E682" s="2">
        <v>3</v>
      </c>
      <c r="F682" s="2">
        <v>3</v>
      </c>
      <c r="G682" t="s">
        <v>2113</v>
      </c>
      <c r="I682" t="s">
        <v>99</v>
      </c>
    </row>
    <row r="683" spans="1:9">
      <c r="A683" t="s">
        <v>98</v>
      </c>
      <c r="B683" t="s">
        <v>96</v>
      </c>
      <c r="C683" t="s">
        <v>134</v>
      </c>
      <c r="D683" t="s">
        <v>21</v>
      </c>
      <c r="E683" s="2">
        <v>3</v>
      </c>
      <c r="F683" s="2">
        <v>3</v>
      </c>
      <c r="G683" t="s">
        <v>2113</v>
      </c>
      <c r="I683" t="s">
        <v>99</v>
      </c>
    </row>
    <row r="684" spans="1:9">
      <c r="A684" t="s">
        <v>98</v>
      </c>
      <c r="B684" t="s">
        <v>96</v>
      </c>
      <c r="C684" t="s">
        <v>22</v>
      </c>
      <c r="D684" t="s">
        <v>1469</v>
      </c>
      <c r="E684" s="2">
        <v>3</v>
      </c>
      <c r="F684" s="2">
        <v>3</v>
      </c>
      <c r="G684" t="s">
        <v>2113</v>
      </c>
      <c r="I684" t="s">
        <v>99</v>
      </c>
    </row>
    <row r="685" spans="1:9">
      <c r="A685" t="s">
        <v>98</v>
      </c>
      <c r="B685" t="s">
        <v>96</v>
      </c>
      <c r="C685" t="s">
        <v>134</v>
      </c>
      <c r="D685" t="s">
        <v>1469</v>
      </c>
      <c r="E685" s="2">
        <v>3</v>
      </c>
      <c r="F685" s="2">
        <v>3</v>
      </c>
      <c r="G685" t="s">
        <v>2113</v>
      </c>
      <c r="I685" t="s">
        <v>99</v>
      </c>
    </row>
    <row r="686" spans="1:9">
      <c r="A686" t="s">
        <v>100</v>
      </c>
      <c r="B686" t="s">
        <v>98</v>
      </c>
      <c r="C686" t="s">
        <v>22</v>
      </c>
      <c r="D686" t="s">
        <v>460</v>
      </c>
      <c r="E686" s="2">
        <v>4.8</v>
      </c>
      <c r="F686" s="2">
        <v>4.8</v>
      </c>
      <c r="G686" t="s">
        <v>2113</v>
      </c>
      <c r="I686" t="s">
        <v>101</v>
      </c>
    </row>
    <row r="687" spans="1:9">
      <c r="A687" t="s">
        <v>100</v>
      </c>
      <c r="B687" t="s">
        <v>98</v>
      </c>
      <c r="C687" t="s">
        <v>134</v>
      </c>
      <c r="D687" t="s">
        <v>460</v>
      </c>
      <c r="E687" s="2">
        <v>4.2</v>
      </c>
      <c r="F687" s="2">
        <v>4.2</v>
      </c>
      <c r="G687" t="s">
        <v>2113</v>
      </c>
      <c r="I687" t="s">
        <v>101</v>
      </c>
    </row>
    <row r="688" spans="1:9">
      <c r="A688" t="s">
        <v>100</v>
      </c>
      <c r="B688" t="s">
        <v>98</v>
      </c>
      <c r="C688" t="s">
        <v>22</v>
      </c>
      <c r="D688" t="s">
        <v>565</v>
      </c>
      <c r="E688" s="2">
        <v>5</v>
      </c>
      <c r="F688" s="2">
        <v>5</v>
      </c>
      <c r="G688" t="s">
        <v>2113</v>
      </c>
      <c r="I688" t="s">
        <v>101</v>
      </c>
    </row>
    <row r="689" spans="1:9">
      <c r="A689" t="s">
        <v>100</v>
      </c>
      <c r="B689" t="s">
        <v>98</v>
      </c>
      <c r="C689" t="s">
        <v>134</v>
      </c>
      <c r="D689" t="s">
        <v>565</v>
      </c>
      <c r="E689" s="2">
        <v>4</v>
      </c>
      <c r="F689" s="2">
        <v>4</v>
      </c>
      <c r="G689" t="s">
        <v>2113</v>
      </c>
      <c r="I689" t="s">
        <v>101</v>
      </c>
    </row>
    <row r="690" spans="1:9">
      <c r="A690" t="s">
        <v>100</v>
      </c>
      <c r="B690" t="s">
        <v>98</v>
      </c>
      <c r="C690" t="s">
        <v>22</v>
      </c>
      <c r="D690" t="s">
        <v>670</v>
      </c>
      <c r="E690" s="2">
        <v>4.5</v>
      </c>
      <c r="F690" s="2">
        <v>4.5</v>
      </c>
      <c r="G690" t="s">
        <v>2113</v>
      </c>
      <c r="I690" t="s">
        <v>101</v>
      </c>
    </row>
    <row r="691" spans="1:9">
      <c r="A691" t="s">
        <v>100</v>
      </c>
      <c r="B691" t="s">
        <v>98</v>
      </c>
      <c r="C691" t="s">
        <v>134</v>
      </c>
      <c r="D691" t="s">
        <v>670</v>
      </c>
      <c r="E691" s="2">
        <v>3.7</v>
      </c>
      <c r="F691" s="2">
        <v>3.7</v>
      </c>
      <c r="G691" t="s">
        <v>2113</v>
      </c>
      <c r="I691" t="s">
        <v>101</v>
      </c>
    </row>
    <row r="692" spans="1:9">
      <c r="A692" t="s">
        <v>100</v>
      </c>
      <c r="B692" t="s">
        <v>98</v>
      </c>
      <c r="C692" t="s">
        <v>22</v>
      </c>
      <c r="D692" t="s">
        <v>771</v>
      </c>
      <c r="E692" s="2">
        <v>3.7</v>
      </c>
      <c r="F692" s="2">
        <v>3.7</v>
      </c>
      <c r="G692" t="s">
        <v>2113</v>
      </c>
      <c r="I692" t="s">
        <v>101</v>
      </c>
    </row>
    <row r="693" spans="1:9">
      <c r="A693" t="s">
        <v>100</v>
      </c>
      <c r="B693" t="s">
        <v>98</v>
      </c>
      <c r="C693" t="s">
        <v>134</v>
      </c>
      <c r="D693" t="s">
        <v>771</v>
      </c>
      <c r="E693" s="2">
        <v>3.6</v>
      </c>
      <c r="F693" s="2">
        <v>3.6</v>
      </c>
      <c r="G693" t="s">
        <v>2113</v>
      </c>
      <c r="I693" t="s">
        <v>101</v>
      </c>
    </row>
    <row r="694" spans="1:9">
      <c r="A694" t="s">
        <v>100</v>
      </c>
      <c r="B694" t="s">
        <v>98</v>
      </c>
      <c r="C694" t="s">
        <v>22</v>
      </c>
      <c r="D694" t="s">
        <v>876</v>
      </c>
      <c r="E694" s="2">
        <v>3.5</v>
      </c>
      <c r="F694" s="2">
        <v>3.5</v>
      </c>
      <c r="G694" t="s">
        <v>2113</v>
      </c>
      <c r="I694" t="s">
        <v>101</v>
      </c>
    </row>
    <row r="695" spans="1:9">
      <c r="A695" t="s">
        <v>100</v>
      </c>
      <c r="B695" t="s">
        <v>98</v>
      </c>
      <c r="C695" t="s">
        <v>134</v>
      </c>
      <c r="D695" t="s">
        <v>876</v>
      </c>
      <c r="E695" s="2">
        <v>3.5</v>
      </c>
      <c r="F695" s="2">
        <v>3.5</v>
      </c>
      <c r="G695" t="s">
        <v>2113</v>
      </c>
      <c r="I695" t="s">
        <v>101</v>
      </c>
    </row>
    <row r="696" spans="1:9">
      <c r="A696" t="s">
        <v>100</v>
      </c>
      <c r="B696" t="s">
        <v>98</v>
      </c>
      <c r="C696" t="s">
        <v>22</v>
      </c>
      <c r="D696" t="s">
        <v>981</v>
      </c>
      <c r="E696" s="2">
        <v>3.4</v>
      </c>
      <c r="F696" s="2">
        <v>3.4</v>
      </c>
      <c r="G696" t="s">
        <v>2113</v>
      </c>
      <c r="I696" t="s">
        <v>101</v>
      </c>
    </row>
    <row r="697" spans="1:9">
      <c r="A697" t="s">
        <v>100</v>
      </c>
      <c r="B697" t="s">
        <v>98</v>
      </c>
      <c r="C697" t="s">
        <v>134</v>
      </c>
      <c r="D697" t="s">
        <v>981</v>
      </c>
      <c r="E697" s="2">
        <v>3.4</v>
      </c>
      <c r="F697" s="2">
        <v>3.4</v>
      </c>
      <c r="G697" t="s">
        <v>2113</v>
      </c>
      <c r="I697" t="s">
        <v>101</v>
      </c>
    </row>
    <row r="698" spans="1:9">
      <c r="A698" t="s">
        <v>100</v>
      </c>
      <c r="B698" t="s">
        <v>98</v>
      </c>
      <c r="C698" t="s">
        <v>22</v>
      </c>
      <c r="D698" t="s">
        <v>1086</v>
      </c>
      <c r="E698" s="2">
        <v>3.3</v>
      </c>
      <c r="F698" s="2">
        <v>3.3</v>
      </c>
      <c r="G698" t="s">
        <v>2113</v>
      </c>
      <c r="I698" t="s">
        <v>101</v>
      </c>
    </row>
    <row r="699" spans="1:9">
      <c r="A699" t="s">
        <v>100</v>
      </c>
      <c r="B699" t="s">
        <v>98</v>
      </c>
      <c r="C699" t="s">
        <v>134</v>
      </c>
      <c r="D699" t="s">
        <v>1086</v>
      </c>
      <c r="E699" s="2">
        <v>3.3</v>
      </c>
      <c r="F699" s="2">
        <v>3.3</v>
      </c>
      <c r="G699" t="s">
        <v>2113</v>
      </c>
      <c r="I699" t="s">
        <v>101</v>
      </c>
    </row>
    <row r="700" spans="1:9">
      <c r="A700" t="s">
        <v>100</v>
      </c>
      <c r="B700" t="s">
        <v>98</v>
      </c>
      <c r="C700" t="s">
        <v>22</v>
      </c>
      <c r="D700" t="s">
        <v>1183</v>
      </c>
      <c r="E700" s="2">
        <v>3.2</v>
      </c>
      <c r="F700" s="2">
        <v>3.2</v>
      </c>
      <c r="G700" t="s">
        <v>2113</v>
      </c>
      <c r="I700" t="s">
        <v>101</v>
      </c>
    </row>
    <row r="701" spans="1:9">
      <c r="A701" t="s">
        <v>100</v>
      </c>
      <c r="B701" t="s">
        <v>98</v>
      </c>
      <c r="C701" t="s">
        <v>134</v>
      </c>
      <c r="D701" t="s">
        <v>1183</v>
      </c>
      <c r="E701" s="2">
        <v>3.2</v>
      </c>
      <c r="F701" s="2">
        <v>3.2</v>
      </c>
      <c r="G701" t="s">
        <v>2113</v>
      </c>
      <c r="I701" t="s">
        <v>101</v>
      </c>
    </row>
    <row r="702" spans="1:9">
      <c r="A702" t="s">
        <v>100</v>
      </c>
      <c r="B702" t="s">
        <v>98</v>
      </c>
      <c r="C702" t="s">
        <v>22</v>
      </c>
      <c r="D702" t="s">
        <v>1276</v>
      </c>
      <c r="E702" s="2">
        <v>3.1</v>
      </c>
      <c r="F702" s="2">
        <v>3.1</v>
      </c>
      <c r="G702" t="s">
        <v>2113</v>
      </c>
      <c r="I702" t="s">
        <v>101</v>
      </c>
    </row>
    <row r="703" spans="1:9">
      <c r="A703" t="s">
        <v>100</v>
      </c>
      <c r="B703" t="s">
        <v>98</v>
      </c>
      <c r="C703" t="s">
        <v>134</v>
      </c>
      <c r="D703" t="s">
        <v>1276</v>
      </c>
      <c r="E703" s="2">
        <v>3</v>
      </c>
      <c r="F703" s="2">
        <v>3</v>
      </c>
      <c r="G703" t="s">
        <v>2113</v>
      </c>
      <c r="I703" t="s">
        <v>101</v>
      </c>
    </row>
    <row r="704" spans="1:9">
      <c r="A704" t="s">
        <v>100</v>
      </c>
      <c r="B704" t="s">
        <v>98</v>
      </c>
      <c r="C704" t="s">
        <v>22</v>
      </c>
      <c r="D704" t="s">
        <v>21</v>
      </c>
      <c r="E704" s="2">
        <v>3</v>
      </c>
      <c r="F704" s="2">
        <v>3</v>
      </c>
      <c r="G704" t="s">
        <v>2113</v>
      </c>
      <c r="I704" t="s">
        <v>101</v>
      </c>
    </row>
    <row r="705" spans="1:9">
      <c r="A705" t="s">
        <v>100</v>
      </c>
      <c r="B705" t="s">
        <v>98</v>
      </c>
      <c r="C705" t="s">
        <v>134</v>
      </c>
      <c r="D705" t="s">
        <v>21</v>
      </c>
      <c r="E705" s="2">
        <v>3</v>
      </c>
      <c r="F705" s="2">
        <v>3</v>
      </c>
      <c r="G705" t="s">
        <v>2113</v>
      </c>
      <c r="I705" t="s">
        <v>101</v>
      </c>
    </row>
    <row r="706" spans="1:9">
      <c r="A706" t="s">
        <v>100</v>
      </c>
      <c r="B706" t="s">
        <v>98</v>
      </c>
      <c r="C706" t="s">
        <v>22</v>
      </c>
      <c r="D706" t="s">
        <v>1469</v>
      </c>
      <c r="E706" s="2">
        <v>3</v>
      </c>
      <c r="F706" s="2">
        <v>3</v>
      </c>
      <c r="G706" t="s">
        <v>2113</v>
      </c>
      <c r="I706" t="s">
        <v>101</v>
      </c>
    </row>
    <row r="707" spans="1:9">
      <c r="A707" t="s">
        <v>100</v>
      </c>
      <c r="B707" t="s">
        <v>98</v>
      </c>
      <c r="C707" t="s">
        <v>134</v>
      </c>
      <c r="D707" t="s">
        <v>1469</v>
      </c>
      <c r="E707" s="2">
        <v>3</v>
      </c>
      <c r="F707" s="2">
        <v>3</v>
      </c>
      <c r="G707" t="s">
        <v>2113</v>
      </c>
      <c r="I707" t="s">
        <v>101</v>
      </c>
    </row>
    <row r="708" spans="1:9">
      <c r="A708" t="s">
        <v>102</v>
      </c>
      <c r="B708" t="s">
        <v>100</v>
      </c>
      <c r="C708" t="s">
        <v>22</v>
      </c>
      <c r="D708" t="s">
        <v>460</v>
      </c>
      <c r="E708" s="2">
        <v>4.8</v>
      </c>
      <c r="F708" s="2">
        <v>4.8</v>
      </c>
      <c r="G708" t="s">
        <v>2113</v>
      </c>
      <c r="I708" t="s">
        <v>103</v>
      </c>
    </row>
    <row r="709" spans="1:9">
      <c r="A709" t="s">
        <v>102</v>
      </c>
      <c r="B709" t="s">
        <v>100</v>
      </c>
      <c r="C709" t="s">
        <v>134</v>
      </c>
      <c r="D709" t="s">
        <v>460</v>
      </c>
      <c r="E709" s="2">
        <v>4.2</v>
      </c>
      <c r="F709" s="2">
        <v>4.2</v>
      </c>
      <c r="G709" t="s">
        <v>2113</v>
      </c>
      <c r="I709" t="s">
        <v>103</v>
      </c>
    </row>
    <row r="710" spans="1:9">
      <c r="A710" t="s">
        <v>102</v>
      </c>
      <c r="B710" t="s">
        <v>100</v>
      </c>
      <c r="C710" t="s">
        <v>22</v>
      </c>
      <c r="D710" t="s">
        <v>565</v>
      </c>
      <c r="E710" s="2">
        <v>5</v>
      </c>
      <c r="F710" s="2">
        <v>5</v>
      </c>
      <c r="G710" t="s">
        <v>2113</v>
      </c>
      <c r="I710" t="s">
        <v>103</v>
      </c>
    </row>
    <row r="711" spans="1:9">
      <c r="A711" t="s">
        <v>102</v>
      </c>
      <c r="B711" t="s">
        <v>100</v>
      </c>
      <c r="C711" t="s">
        <v>134</v>
      </c>
      <c r="D711" t="s">
        <v>565</v>
      </c>
      <c r="E711" s="2">
        <v>4</v>
      </c>
      <c r="F711" s="2">
        <v>4</v>
      </c>
      <c r="G711" t="s">
        <v>2113</v>
      </c>
      <c r="I711" t="s">
        <v>103</v>
      </c>
    </row>
    <row r="712" spans="1:9">
      <c r="A712" t="s">
        <v>102</v>
      </c>
      <c r="B712" t="s">
        <v>100</v>
      </c>
      <c r="C712" t="s">
        <v>22</v>
      </c>
      <c r="D712" t="s">
        <v>670</v>
      </c>
      <c r="E712" s="2">
        <v>4.5</v>
      </c>
      <c r="F712" s="2">
        <v>4.5</v>
      </c>
      <c r="G712" t="s">
        <v>2113</v>
      </c>
      <c r="I712" t="s">
        <v>103</v>
      </c>
    </row>
    <row r="713" spans="1:9">
      <c r="A713" t="s">
        <v>102</v>
      </c>
      <c r="B713" t="s">
        <v>100</v>
      </c>
      <c r="C713" t="s">
        <v>134</v>
      </c>
      <c r="D713" t="s">
        <v>670</v>
      </c>
      <c r="E713" s="2">
        <v>3.7</v>
      </c>
      <c r="F713" s="2">
        <v>3.7</v>
      </c>
      <c r="G713" t="s">
        <v>2113</v>
      </c>
      <c r="I713" t="s">
        <v>103</v>
      </c>
    </row>
    <row r="714" spans="1:9">
      <c r="A714" t="s">
        <v>102</v>
      </c>
      <c r="B714" t="s">
        <v>100</v>
      </c>
      <c r="C714" t="s">
        <v>22</v>
      </c>
      <c r="D714" t="s">
        <v>771</v>
      </c>
      <c r="E714" s="2">
        <v>3.7</v>
      </c>
      <c r="F714" s="2">
        <v>3.7</v>
      </c>
      <c r="G714" t="s">
        <v>2113</v>
      </c>
      <c r="I714" t="s">
        <v>103</v>
      </c>
    </row>
    <row r="715" spans="1:9">
      <c r="A715" t="s">
        <v>102</v>
      </c>
      <c r="B715" t="s">
        <v>100</v>
      </c>
      <c r="C715" t="s">
        <v>134</v>
      </c>
      <c r="D715" t="s">
        <v>771</v>
      </c>
      <c r="E715" s="2">
        <v>3.6</v>
      </c>
      <c r="F715" s="2">
        <v>3.6</v>
      </c>
      <c r="G715" t="s">
        <v>2113</v>
      </c>
      <c r="I715" t="s">
        <v>103</v>
      </c>
    </row>
    <row r="716" spans="1:9">
      <c r="A716" t="s">
        <v>102</v>
      </c>
      <c r="B716" t="s">
        <v>100</v>
      </c>
      <c r="C716" t="s">
        <v>22</v>
      </c>
      <c r="D716" t="s">
        <v>876</v>
      </c>
      <c r="E716" s="2">
        <v>3.5</v>
      </c>
      <c r="F716" s="2">
        <v>3.5</v>
      </c>
      <c r="G716" t="s">
        <v>2113</v>
      </c>
      <c r="I716" t="s">
        <v>103</v>
      </c>
    </row>
    <row r="717" spans="1:9">
      <c r="A717" t="s">
        <v>102</v>
      </c>
      <c r="B717" t="s">
        <v>100</v>
      </c>
      <c r="C717" t="s">
        <v>134</v>
      </c>
      <c r="D717" t="s">
        <v>876</v>
      </c>
      <c r="E717" s="2">
        <v>3.5</v>
      </c>
      <c r="F717" s="2">
        <v>3.5</v>
      </c>
      <c r="G717" t="s">
        <v>2113</v>
      </c>
      <c r="I717" t="s">
        <v>103</v>
      </c>
    </row>
    <row r="718" spans="1:9">
      <c r="A718" t="s">
        <v>102</v>
      </c>
      <c r="B718" t="s">
        <v>100</v>
      </c>
      <c r="C718" t="s">
        <v>22</v>
      </c>
      <c r="D718" t="s">
        <v>981</v>
      </c>
      <c r="E718" s="2">
        <v>3.4</v>
      </c>
      <c r="F718" s="2">
        <v>3.4</v>
      </c>
      <c r="G718" t="s">
        <v>2113</v>
      </c>
      <c r="I718" t="s">
        <v>103</v>
      </c>
    </row>
    <row r="719" spans="1:9">
      <c r="A719" t="s">
        <v>102</v>
      </c>
      <c r="B719" t="s">
        <v>100</v>
      </c>
      <c r="C719" t="s">
        <v>134</v>
      </c>
      <c r="D719" t="s">
        <v>981</v>
      </c>
      <c r="E719" s="2">
        <v>3.4</v>
      </c>
      <c r="F719" s="2">
        <v>3.4</v>
      </c>
      <c r="G719" t="s">
        <v>2113</v>
      </c>
      <c r="I719" t="s">
        <v>103</v>
      </c>
    </row>
    <row r="720" spans="1:9">
      <c r="A720" t="s">
        <v>102</v>
      </c>
      <c r="B720" t="s">
        <v>100</v>
      </c>
      <c r="C720" t="s">
        <v>22</v>
      </c>
      <c r="D720" t="s">
        <v>1086</v>
      </c>
      <c r="E720" s="2">
        <v>3.3</v>
      </c>
      <c r="F720" s="2">
        <v>3.3</v>
      </c>
      <c r="G720" t="s">
        <v>2113</v>
      </c>
      <c r="I720" t="s">
        <v>103</v>
      </c>
    </row>
    <row r="721" spans="1:9">
      <c r="A721" t="s">
        <v>102</v>
      </c>
      <c r="B721" t="s">
        <v>100</v>
      </c>
      <c r="C721" t="s">
        <v>134</v>
      </c>
      <c r="D721" t="s">
        <v>1086</v>
      </c>
      <c r="E721" s="2">
        <v>3.3</v>
      </c>
      <c r="F721" s="2">
        <v>3.3</v>
      </c>
      <c r="G721" t="s">
        <v>2113</v>
      </c>
      <c r="I721" t="s">
        <v>103</v>
      </c>
    </row>
    <row r="722" spans="1:9">
      <c r="A722" t="s">
        <v>102</v>
      </c>
      <c r="B722" t="s">
        <v>100</v>
      </c>
      <c r="C722" t="s">
        <v>22</v>
      </c>
      <c r="D722" t="s">
        <v>1183</v>
      </c>
      <c r="E722" s="2">
        <v>3.2</v>
      </c>
      <c r="F722" s="2">
        <v>3.2</v>
      </c>
      <c r="G722" t="s">
        <v>2113</v>
      </c>
      <c r="I722" t="s">
        <v>103</v>
      </c>
    </row>
    <row r="723" spans="1:9">
      <c r="A723" t="s">
        <v>102</v>
      </c>
      <c r="B723" t="s">
        <v>100</v>
      </c>
      <c r="C723" t="s">
        <v>134</v>
      </c>
      <c r="D723" t="s">
        <v>1183</v>
      </c>
      <c r="E723" s="2">
        <v>3.2</v>
      </c>
      <c r="F723" s="2">
        <v>3.2</v>
      </c>
      <c r="G723" t="s">
        <v>2113</v>
      </c>
      <c r="I723" t="s">
        <v>103</v>
      </c>
    </row>
    <row r="724" spans="1:9">
      <c r="A724" t="s">
        <v>102</v>
      </c>
      <c r="B724" t="s">
        <v>100</v>
      </c>
      <c r="C724" t="s">
        <v>22</v>
      </c>
      <c r="D724" t="s">
        <v>1276</v>
      </c>
      <c r="E724" s="2">
        <v>3.1</v>
      </c>
      <c r="F724" s="2">
        <v>3.1</v>
      </c>
      <c r="G724" t="s">
        <v>2113</v>
      </c>
      <c r="I724" t="s">
        <v>103</v>
      </c>
    </row>
    <row r="725" spans="1:9">
      <c r="A725" t="s">
        <v>102</v>
      </c>
      <c r="B725" t="s">
        <v>100</v>
      </c>
      <c r="C725" t="s">
        <v>134</v>
      </c>
      <c r="D725" t="s">
        <v>1276</v>
      </c>
      <c r="E725" s="2">
        <v>3</v>
      </c>
      <c r="F725" s="2">
        <v>3</v>
      </c>
      <c r="G725" t="s">
        <v>2113</v>
      </c>
      <c r="I725" t="s">
        <v>103</v>
      </c>
    </row>
    <row r="726" spans="1:9">
      <c r="A726" t="s">
        <v>102</v>
      </c>
      <c r="B726" t="s">
        <v>100</v>
      </c>
      <c r="C726" t="s">
        <v>22</v>
      </c>
      <c r="D726" t="s">
        <v>21</v>
      </c>
      <c r="E726" s="2">
        <v>3</v>
      </c>
      <c r="F726" s="2">
        <v>3</v>
      </c>
      <c r="G726" t="s">
        <v>2113</v>
      </c>
      <c r="I726" t="s">
        <v>103</v>
      </c>
    </row>
    <row r="727" spans="1:9">
      <c r="A727" t="s">
        <v>102</v>
      </c>
      <c r="B727" t="s">
        <v>100</v>
      </c>
      <c r="C727" t="s">
        <v>134</v>
      </c>
      <c r="D727" t="s">
        <v>21</v>
      </c>
      <c r="E727" s="2">
        <v>3</v>
      </c>
      <c r="F727" s="2">
        <v>3</v>
      </c>
      <c r="G727" t="s">
        <v>2113</v>
      </c>
      <c r="I727" t="s">
        <v>103</v>
      </c>
    </row>
    <row r="728" spans="1:9">
      <c r="A728" t="s">
        <v>102</v>
      </c>
      <c r="B728" t="s">
        <v>100</v>
      </c>
      <c r="C728" t="s">
        <v>22</v>
      </c>
      <c r="D728" t="s">
        <v>1469</v>
      </c>
      <c r="E728" s="2">
        <v>3</v>
      </c>
      <c r="F728" s="2">
        <v>3</v>
      </c>
      <c r="G728" t="s">
        <v>2113</v>
      </c>
      <c r="I728" t="s">
        <v>103</v>
      </c>
    </row>
    <row r="729" spans="1:9">
      <c r="A729" t="s">
        <v>102</v>
      </c>
      <c r="B729" t="s">
        <v>100</v>
      </c>
      <c r="C729" t="s">
        <v>134</v>
      </c>
      <c r="D729" t="s">
        <v>1469</v>
      </c>
      <c r="E729" s="2">
        <v>3</v>
      </c>
      <c r="F729" s="2">
        <v>3</v>
      </c>
      <c r="G729" t="s">
        <v>2113</v>
      </c>
      <c r="I729" t="s">
        <v>103</v>
      </c>
    </row>
    <row r="730" spans="1:9">
      <c r="A730" t="s">
        <v>102</v>
      </c>
      <c r="B730" t="s">
        <v>100</v>
      </c>
      <c r="C730" t="s">
        <v>22</v>
      </c>
      <c r="D730" t="s">
        <v>1566</v>
      </c>
      <c r="E730" s="2">
        <v>3</v>
      </c>
      <c r="F730" s="2">
        <v>3</v>
      </c>
      <c r="G730" t="s">
        <v>2113</v>
      </c>
      <c r="I730" t="s">
        <v>103</v>
      </c>
    </row>
    <row r="731" spans="1:9">
      <c r="A731" t="s">
        <v>102</v>
      </c>
      <c r="B731" t="s">
        <v>100</v>
      </c>
      <c r="C731" t="s">
        <v>134</v>
      </c>
      <c r="D731" t="s">
        <v>1566</v>
      </c>
      <c r="E731" s="2">
        <v>3</v>
      </c>
      <c r="F731" s="2">
        <v>3</v>
      </c>
      <c r="G731" t="s">
        <v>2113</v>
      </c>
      <c r="I731" t="s">
        <v>103</v>
      </c>
    </row>
    <row r="732" spans="1:9">
      <c r="A732" t="s">
        <v>104</v>
      </c>
      <c r="B732" t="s">
        <v>102</v>
      </c>
      <c r="C732" t="s">
        <v>22</v>
      </c>
      <c r="D732" t="s">
        <v>565</v>
      </c>
      <c r="E732" s="2">
        <v>5</v>
      </c>
      <c r="F732" s="2">
        <v>5</v>
      </c>
      <c r="G732" t="s">
        <v>2113</v>
      </c>
      <c r="I732" t="s">
        <v>105</v>
      </c>
    </row>
    <row r="733" spans="1:9">
      <c r="A733" t="s">
        <v>104</v>
      </c>
      <c r="B733" t="s">
        <v>102</v>
      </c>
      <c r="C733" t="s">
        <v>134</v>
      </c>
      <c r="D733" t="s">
        <v>565</v>
      </c>
      <c r="E733" s="2">
        <v>4</v>
      </c>
      <c r="F733" s="2">
        <v>4</v>
      </c>
      <c r="G733" t="s">
        <v>2113</v>
      </c>
      <c r="I733" t="s">
        <v>105</v>
      </c>
    </row>
    <row r="734" spans="1:9">
      <c r="A734" t="s">
        <v>104</v>
      </c>
      <c r="B734" t="s">
        <v>102</v>
      </c>
      <c r="C734" t="s">
        <v>22</v>
      </c>
      <c r="D734" t="s">
        <v>670</v>
      </c>
      <c r="E734" s="2">
        <v>4.5</v>
      </c>
      <c r="F734" s="2">
        <v>4.5</v>
      </c>
      <c r="G734" t="s">
        <v>2113</v>
      </c>
      <c r="I734" t="s">
        <v>105</v>
      </c>
    </row>
    <row r="735" spans="1:9">
      <c r="A735" t="s">
        <v>104</v>
      </c>
      <c r="B735" t="s">
        <v>102</v>
      </c>
      <c r="C735" t="s">
        <v>134</v>
      </c>
      <c r="D735" t="s">
        <v>670</v>
      </c>
      <c r="E735" s="2">
        <v>3.7</v>
      </c>
      <c r="F735" s="2">
        <v>3.7</v>
      </c>
      <c r="G735" t="s">
        <v>2113</v>
      </c>
      <c r="I735" t="s">
        <v>105</v>
      </c>
    </row>
    <row r="736" spans="1:9">
      <c r="A736" t="s">
        <v>104</v>
      </c>
      <c r="B736" t="s">
        <v>102</v>
      </c>
      <c r="C736" t="s">
        <v>22</v>
      </c>
      <c r="D736" t="s">
        <v>771</v>
      </c>
      <c r="E736" s="2">
        <v>3.7</v>
      </c>
      <c r="F736" s="2">
        <v>3.7</v>
      </c>
      <c r="G736" t="s">
        <v>2113</v>
      </c>
      <c r="I736" t="s">
        <v>105</v>
      </c>
    </row>
    <row r="737" spans="1:9">
      <c r="A737" t="s">
        <v>104</v>
      </c>
      <c r="B737" t="s">
        <v>102</v>
      </c>
      <c r="C737" t="s">
        <v>134</v>
      </c>
      <c r="D737" t="s">
        <v>771</v>
      </c>
      <c r="E737" s="2">
        <v>3.6</v>
      </c>
      <c r="F737" s="2">
        <v>3.6</v>
      </c>
      <c r="G737" t="s">
        <v>2113</v>
      </c>
      <c r="I737" t="s">
        <v>105</v>
      </c>
    </row>
    <row r="738" spans="1:9">
      <c r="A738" t="s">
        <v>104</v>
      </c>
      <c r="B738" t="s">
        <v>102</v>
      </c>
      <c r="C738" t="s">
        <v>22</v>
      </c>
      <c r="D738" t="s">
        <v>876</v>
      </c>
      <c r="E738" s="2">
        <v>3.9</v>
      </c>
      <c r="F738" s="2">
        <v>3.9</v>
      </c>
      <c r="G738" t="s">
        <v>2113</v>
      </c>
      <c r="I738" t="s">
        <v>105</v>
      </c>
    </row>
    <row r="739" spans="1:9">
      <c r="A739" t="s">
        <v>104</v>
      </c>
      <c r="B739" t="s">
        <v>102</v>
      </c>
      <c r="C739" t="s">
        <v>134</v>
      </c>
      <c r="D739" t="s">
        <v>876</v>
      </c>
      <c r="E739" s="2">
        <v>3.9</v>
      </c>
      <c r="F739" s="2">
        <v>3.9</v>
      </c>
      <c r="G739" t="s">
        <v>2113</v>
      </c>
      <c r="I739" t="s">
        <v>105</v>
      </c>
    </row>
    <row r="740" spans="1:9">
      <c r="A740" t="s">
        <v>104</v>
      </c>
      <c r="B740" t="s">
        <v>102</v>
      </c>
      <c r="C740" t="s">
        <v>22</v>
      </c>
      <c r="D740" t="s">
        <v>981</v>
      </c>
      <c r="E740" s="2">
        <v>3.5</v>
      </c>
      <c r="F740" s="2">
        <v>3.5</v>
      </c>
      <c r="G740" t="s">
        <v>2113</v>
      </c>
      <c r="I740" t="s">
        <v>105</v>
      </c>
    </row>
    <row r="741" spans="1:9">
      <c r="A741" t="s">
        <v>104</v>
      </c>
      <c r="B741" t="s">
        <v>102</v>
      </c>
      <c r="C741" t="s">
        <v>134</v>
      </c>
      <c r="D741" t="s">
        <v>981</v>
      </c>
      <c r="E741" s="2">
        <v>3.6</v>
      </c>
      <c r="F741" s="2">
        <v>3.6</v>
      </c>
      <c r="G741" t="s">
        <v>2113</v>
      </c>
      <c r="I741" t="s">
        <v>105</v>
      </c>
    </row>
    <row r="742" spans="1:9">
      <c r="A742" t="s">
        <v>104</v>
      </c>
      <c r="B742" t="s">
        <v>102</v>
      </c>
      <c r="C742" t="s">
        <v>22</v>
      </c>
      <c r="D742" t="s">
        <v>1086</v>
      </c>
      <c r="E742" s="2">
        <v>3.3</v>
      </c>
      <c r="F742" s="2">
        <v>3.3</v>
      </c>
      <c r="G742" t="s">
        <v>2113</v>
      </c>
      <c r="I742" t="s">
        <v>105</v>
      </c>
    </row>
    <row r="743" spans="1:9">
      <c r="A743" t="s">
        <v>104</v>
      </c>
      <c r="B743" t="s">
        <v>102</v>
      </c>
      <c r="C743" t="s">
        <v>134</v>
      </c>
      <c r="D743" t="s">
        <v>1086</v>
      </c>
      <c r="E743" s="2">
        <v>3.4</v>
      </c>
      <c r="F743" s="2">
        <v>3.4</v>
      </c>
      <c r="G743" t="s">
        <v>2113</v>
      </c>
      <c r="I743" t="s">
        <v>105</v>
      </c>
    </row>
    <row r="744" spans="1:9">
      <c r="A744" t="s">
        <v>104</v>
      </c>
      <c r="B744" t="s">
        <v>102</v>
      </c>
      <c r="C744" t="s">
        <v>22</v>
      </c>
      <c r="D744" t="s">
        <v>1183</v>
      </c>
      <c r="E744" s="2">
        <v>3.2</v>
      </c>
      <c r="F744" s="2">
        <v>3.2</v>
      </c>
      <c r="G744" t="s">
        <v>2113</v>
      </c>
      <c r="I744" t="s">
        <v>105</v>
      </c>
    </row>
    <row r="745" spans="1:9">
      <c r="A745" t="s">
        <v>104</v>
      </c>
      <c r="B745" t="s">
        <v>102</v>
      </c>
      <c r="C745" t="s">
        <v>134</v>
      </c>
      <c r="D745" t="s">
        <v>1183</v>
      </c>
      <c r="E745" s="2">
        <v>3.3</v>
      </c>
      <c r="F745" s="2">
        <v>3.3</v>
      </c>
      <c r="G745" t="s">
        <v>2113</v>
      </c>
      <c r="I745" t="s">
        <v>105</v>
      </c>
    </row>
    <row r="746" spans="1:9">
      <c r="A746" t="s">
        <v>104</v>
      </c>
      <c r="B746" t="s">
        <v>102</v>
      </c>
      <c r="C746" t="s">
        <v>22</v>
      </c>
      <c r="D746" t="s">
        <v>1276</v>
      </c>
      <c r="E746" s="2">
        <v>3.1</v>
      </c>
      <c r="F746" s="2">
        <v>3.1</v>
      </c>
      <c r="G746" t="s">
        <v>2113</v>
      </c>
      <c r="I746" t="s">
        <v>105</v>
      </c>
    </row>
    <row r="747" spans="1:9">
      <c r="A747" t="s">
        <v>104</v>
      </c>
      <c r="B747" t="s">
        <v>102</v>
      </c>
      <c r="C747" t="s">
        <v>134</v>
      </c>
      <c r="D747" t="s">
        <v>1276</v>
      </c>
      <c r="E747" s="2">
        <v>3</v>
      </c>
      <c r="F747" s="2">
        <v>3</v>
      </c>
      <c r="G747" t="s">
        <v>2113</v>
      </c>
      <c r="I747" t="s">
        <v>105</v>
      </c>
    </row>
    <row r="748" spans="1:9">
      <c r="A748" t="s">
        <v>104</v>
      </c>
      <c r="B748" t="s">
        <v>102</v>
      </c>
      <c r="C748" t="s">
        <v>22</v>
      </c>
      <c r="D748" t="s">
        <v>21</v>
      </c>
      <c r="E748" s="2">
        <v>3</v>
      </c>
      <c r="F748" s="2">
        <v>3</v>
      </c>
      <c r="G748" t="s">
        <v>2113</v>
      </c>
      <c r="I748" t="s">
        <v>105</v>
      </c>
    </row>
    <row r="749" spans="1:9">
      <c r="A749" t="s">
        <v>104</v>
      </c>
      <c r="B749" t="s">
        <v>102</v>
      </c>
      <c r="C749" t="s">
        <v>134</v>
      </c>
      <c r="D749" t="s">
        <v>21</v>
      </c>
      <c r="E749" s="2">
        <v>3</v>
      </c>
      <c r="F749" s="2">
        <v>3</v>
      </c>
      <c r="G749" t="s">
        <v>2113</v>
      </c>
      <c r="I749" t="s">
        <v>105</v>
      </c>
    </row>
    <row r="750" spans="1:9">
      <c r="A750" t="s">
        <v>104</v>
      </c>
      <c r="B750" t="s">
        <v>102</v>
      </c>
      <c r="C750" t="s">
        <v>22</v>
      </c>
      <c r="D750" t="s">
        <v>1469</v>
      </c>
      <c r="E750" s="2">
        <v>3</v>
      </c>
      <c r="F750" s="2">
        <v>3</v>
      </c>
      <c r="G750" t="s">
        <v>2113</v>
      </c>
      <c r="I750" t="s">
        <v>105</v>
      </c>
    </row>
    <row r="751" spans="1:9">
      <c r="A751" t="s">
        <v>104</v>
      </c>
      <c r="B751" t="s">
        <v>102</v>
      </c>
      <c r="C751" t="s">
        <v>134</v>
      </c>
      <c r="D751" t="s">
        <v>1469</v>
      </c>
      <c r="E751" s="2">
        <v>3</v>
      </c>
      <c r="F751" s="2">
        <v>3</v>
      </c>
      <c r="G751" t="s">
        <v>2113</v>
      </c>
      <c r="I751" t="s">
        <v>105</v>
      </c>
    </row>
    <row r="752" spans="1:9">
      <c r="A752" t="s">
        <v>104</v>
      </c>
      <c r="B752" t="s">
        <v>102</v>
      </c>
      <c r="C752" t="s">
        <v>22</v>
      </c>
      <c r="D752" t="s">
        <v>1566</v>
      </c>
      <c r="E752" s="2">
        <v>3</v>
      </c>
      <c r="F752" s="2">
        <v>3</v>
      </c>
      <c r="G752" t="s">
        <v>2113</v>
      </c>
      <c r="I752" t="s">
        <v>105</v>
      </c>
    </row>
    <row r="753" spans="1:9">
      <c r="A753" t="s">
        <v>104</v>
      </c>
      <c r="B753" t="s">
        <v>102</v>
      </c>
      <c r="C753" t="s">
        <v>134</v>
      </c>
      <c r="D753" t="s">
        <v>1566</v>
      </c>
      <c r="E753" s="2">
        <v>3</v>
      </c>
      <c r="F753" s="2">
        <v>3</v>
      </c>
      <c r="G753" t="s">
        <v>2113</v>
      </c>
      <c r="I753" t="s">
        <v>105</v>
      </c>
    </row>
    <row r="754" spans="1:9">
      <c r="A754" t="s">
        <v>106</v>
      </c>
      <c r="B754" t="s">
        <v>104</v>
      </c>
      <c r="C754" t="s">
        <v>22</v>
      </c>
      <c r="D754" t="s">
        <v>565</v>
      </c>
      <c r="E754" s="2">
        <v>5</v>
      </c>
      <c r="F754" s="2">
        <v>5</v>
      </c>
      <c r="G754" t="s">
        <v>2113</v>
      </c>
      <c r="I754" t="s">
        <v>107</v>
      </c>
    </row>
    <row r="755" spans="1:9">
      <c r="A755" t="s">
        <v>106</v>
      </c>
      <c r="B755" t="s">
        <v>104</v>
      </c>
      <c r="C755" t="s">
        <v>134</v>
      </c>
      <c r="D755" t="s">
        <v>565</v>
      </c>
      <c r="E755" s="2">
        <v>4</v>
      </c>
      <c r="F755" s="2">
        <v>4</v>
      </c>
      <c r="G755" t="s">
        <v>2113</v>
      </c>
      <c r="I755" t="s">
        <v>107</v>
      </c>
    </row>
    <row r="756" spans="1:9">
      <c r="A756" t="s">
        <v>106</v>
      </c>
      <c r="B756" t="s">
        <v>104</v>
      </c>
      <c r="C756" t="s">
        <v>22</v>
      </c>
      <c r="D756" t="s">
        <v>670</v>
      </c>
      <c r="E756" s="2">
        <v>4.5</v>
      </c>
      <c r="F756" s="2">
        <v>4.5</v>
      </c>
      <c r="G756" t="s">
        <v>2113</v>
      </c>
      <c r="I756" t="s">
        <v>107</v>
      </c>
    </row>
    <row r="757" spans="1:9">
      <c r="A757" t="s">
        <v>106</v>
      </c>
      <c r="B757" t="s">
        <v>104</v>
      </c>
      <c r="C757" t="s">
        <v>134</v>
      </c>
      <c r="D757" t="s">
        <v>670</v>
      </c>
      <c r="E757" s="2">
        <v>3.7</v>
      </c>
      <c r="F757" s="2">
        <v>3.7</v>
      </c>
      <c r="G757" t="s">
        <v>2113</v>
      </c>
      <c r="I757" t="s">
        <v>107</v>
      </c>
    </row>
    <row r="758" spans="1:9">
      <c r="A758" t="s">
        <v>106</v>
      </c>
      <c r="B758" t="s">
        <v>104</v>
      </c>
      <c r="C758" t="s">
        <v>22</v>
      </c>
      <c r="D758" t="s">
        <v>771</v>
      </c>
      <c r="E758" s="2">
        <v>3.7</v>
      </c>
      <c r="F758" s="2">
        <v>3.7</v>
      </c>
      <c r="G758" t="s">
        <v>2113</v>
      </c>
      <c r="I758" t="s">
        <v>107</v>
      </c>
    </row>
    <row r="759" spans="1:9">
      <c r="A759" t="s">
        <v>106</v>
      </c>
      <c r="B759" t="s">
        <v>104</v>
      </c>
      <c r="C759" t="s">
        <v>134</v>
      </c>
      <c r="D759" t="s">
        <v>771</v>
      </c>
      <c r="E759" s="2">
        <v>3.6</v>
      </c>
      <c r="F759" s="2">
        <v>3.6</v>
      </c>
      <c r="G759" t="s">
        <v>2113</v>
      </c>
      <c r="I759" t="s">
        <v>107</v>
      </c>
    </row>
    <row r="760" spans="1:9">
      <c r="A760" t="s">
        <v>106</v>
      </c>
      <c r="B760" t="s">
        <v>104</v>
      </c>
      <c r="C760" t="s">
        <v>22</v>
      </c>
      <c r="D760" t="s">
        <v>876</v>
      </c>
      <c r="E760" s="2">
        <v>4.3</v>
      </c>
      <c r="F760" s="2">
        <v>4.3</v>
      </c>
      <c r="G760" t="s">
        <v>2113</v>
      </c>
      <c r="I760" t="s">
        <v>107</v>
      </c>
    </row>
    <row r="761" spans="1:9">
      <c r="A761" t="s">
        <v>106</v>
      </c>
      <c r="B761" t="s">
        <v>104</v>
      </c>
      <c r="C761" t="s">
        <v>134</v>
      </c>
      <c r="D761" t="s">
        <v>876</v>
      </c>
      <c r="E761" s="2">
        <v>4.0999999999999996</v>
      </c>
      <c r="F761" s="2">
        <v>4.0999999999999996</v>
      </c>
      <c r="G761" t="s">
        <v>2113</v>
      </c>
      <c r="I761" t="s">
        <v>107</v>
      </c>
    </row>
    <row r="762" spans="1:9">
      <c r="A762" t="s">
        <v>106</v>
      </c>
      <c r="B762" t="s">
        <v>104</v>
      </c>
      <c r="C762" t="s">
        <v>22</v>
      </c>
      <c r="D762" t="s">
        <v>981</v>
      </c>
      <c r="E762" s="2">
        <v>4.0999999999999996</v>
      </c>
      <c r="F762" s="2">
        <v>4.0999999999999996</v>
      </c>
      <c r="G762" t="s">
        <v>2113</v>
      </c>
      <c r="I762" t="s">
        <v>107</v>
      </c>
    </row>
    <row r="763" spans="1:9">
      <c r="A763" t="s">
        <v>106</v>
      </c>
      <c r="B763" t="s">
        <v>104</v>
      </c>
      <c r="C763" t="s">
        <v>134</v>
      </c>
      <c r="D763" t="s">
        <v>981</v>
      </c>
      <c r="E763" s="2">
        <v>3.8</v>
      </c>
      <c r="F763" s="2">
        <v>3.8</v>
      </c>
      <c r="G763" t="s">
        <v>2113</v>
      </c>
      <c r="I763" t="s">
        <v>107</v>
      </c>
    </row>
    <row r="764" spans="1:9">
      <c r="A764" t="s">
        <v>106</v>
      </c>
      <c r="B764" t="s">
        <v>104</v>
      </c>
      <c r="C764" t="s">
        <v>22</v>
      </c>
      <c r="D764" t="s">
        <v>1086</v>
      </c>
      <c r="E764" s="2">
        <v>3.7</v>
      </c>
      <c r="F764" s="2">
        <v>3.7</v>
      </c>
      <c r="G764" t="s">
        <v>2113</v>
      </c>
      <c r="I764" t="s">
        <v>107</v>
      </c>
    </row>
    <row r="765" spans="1:9">
      <c r="A765" t="s">
        <v>106</v>
      </c>
      <c r="B765" t="s">
        <v>104</v>
      </c>
      <c r="C765" t="s">
        <v>134</v>
      </c>
      <c r="D765" t="s">
        <v>1086</v>
      </c>
      <c r="E765" s="2">
        <v>3.6</v>
      </c>
      <c r="F765" s="2">
        <v>3.6</v>
      </c>
      <c r="G765" t="s">
        <v>2113</v>
      </c>
      <c r="I765" t="s">
        <v>107</v>
      </c>
    </row>
    <row r="766" spans="1:9">
      <c r="A766" t="s">
        <v>106</v>
      </c>
      <c r="B766" t="s">
        <v>104</v>
      </c>
      <c r="C766" t="s">
        <v>22</v>
      </c>
      <c r="D766" t="s">
        <v>1183</v>
      </c>
      <c r="E766" s="2">
        <v>3.4</v>
      </c>
      <c r="F766" s="2">
        <v>3.4</v>
      </c>
      <c r="G766" t="s">
        <v>2113</v>
      </c>
      <c r="I766" t="s">
        <v>107</v>
      </c>
    </row>
    <row r="767" spans="1:9">
      <c r="A767" t="s">
        <v>106</v>
      </c>
      <c r="B767" t="s">
        <v>104</v>
      </c>
      <c r="C767" t="s">
        <v>134</v>
      </c>
      <c r="D767" t="s">
        <v>1183</v>
      </c>
      <c r="E767" s="2">
        <v>3.4</v>
      </c>
      <c r="F767" s="2">
        <v>3.4</v>
      </c>
      <c r="G767" t="s">
        <v>2113</v>
      </c>
      <c r="I767" t="s">
        <v>107</v>
      </c>
    </row>
    <row r="768" spans="1:9">
      <c r="A768" t="s">
        <v>106</v>
      </c>
      <c r="B768" t="s">
        <v>104</v>
      </c>
      <c r="C768" t="s">
        <v>22</v>
      </c>
      <c r="D768" t="s">
        <v>1276</v>
      </c>
      <c r="E768" s="2">
        <v>3.1</v>
      </c>
      <c r="F768" s="2">
        <v>3.1</v>
      </c>
      <c r="G768" t="s">
        <v>2113</v>
      </c>
      <c r="I768" t="s">
        <v>107</v>
      </c>
    </row>
    <row r="769" spans="1:9">
      <c r="A769" t="s">
        <v>106</v>
      </c>
      <c r="B769" t="s">
        <v>104</v>
      </c>
      <c r="C769" t="s">
        <v>134</v>
      </c>
      <c r="D769" t="s">
        <v>1276</v>
      </c>
      <c r="E769" s="2">
        <v>3.1</v>
      </c>
      <c r="F769" s="2">
        <v>3.1</v>
      </c>
      <c r="G769" t="s">
        <v>2113</v>
      </c>
      <c r="I769" t="s">
        <v>107</v>
      </c>
    </row>
    <row r="770" spans="1:9">
      <c r="A770" t="s">
        <v>106</v>
      </c>
      <c r="B770" t="s">
        <v>104</v>
      </c>
      <c r="C770" t="s">
        <v>22</v>
      </c>
      <c r="D770" t="s">
        <v>21</v>
      </c>
      <c r="E770" s="2">
        <v>3</v>
      </c>
      <c r="F770" s="2">
        <v>3</v>
      </c>
      <c r="G770" t="s">
        <v>2113</v>
      </c>
      <c r="I770" t="s">
        <v>107</v>
      </c>
    </row>
    <row r="771" spans="1:9">
      <c r="A771" t="s">
        <v>106</v>
      </c>
      <c r="B771" t="s">
        <v>104</v>
      </c>
      <c r="C771" t="s">
        <v>134</v>
      </c>
      <c r="D771" t="s">
        <v>21</v>
      </c>
      <c r="E771" s="2">
        <v>3</v>
      </c>
      <c r="F771" s="2">
        <v>3</v>
      </c>
      <c r="G771" t="s">
        <v>2113</v>
      </c>
      <c r="I771" t="s">
        <v>107</v>
      </c>
    </row>
    <row r="772" spans="1:9">
      <c r="A772" t="s">
        <v>106</v>
      </c>
      <c r="B772" t="s">
        <v>104</v>
      </c>
      <c r="C772" t="s">
        <v>22</v>
      </c>
      <c r="D772" t="s">
        <v>1469</v>
      </c>
      <c r="E772" s="2">
        <v>3</v>
      </c>
      <c r="F772" s="2">
        <v>3</v>
      </c>
      <c r="G772" t="s">
        <v>2113</v>
      </c>
      <c r="I772" t="s">
        <v>107</v>
      </c>
    </row>
    <row r="773" spans="1:9">
      <c r="A773" t="s">
        <v>106</v>
      </c>
      <c r="B773" t="s">
        <v>104</v>
      </c>
      <c r="C773" t="s">
        <v>134</v>
      </c>
      <c r="D773" t="s">
        <v>1469</v>
      </c>
      <c r="E773" s="2">
        <v>3</v>
      </c>
      <c r="F773" s="2">
        <v>3</v>
      </c>
      <c r="G773" t="s">
        <v>2113</v>
      </c>
      <c r="I773" t="s">
        <v>107</v>
      </c>
    </row>
    <row r="774" spans="1:9">
      <c r="A774" t="s">
        <v>106</v>
      </c>
      <c r="B774" t="s">
        <v>104</v>
      </c>
      <c r="C774" t="s">
        <v>22</v>
      </c>
      <c r="D774" t="s">
        <v>1566</v>
      </c>
      <c r="E774" s="2">
        <v>3</v>
      </c>
      <c r="F774" s="2">
        <v>3</v>
      </c>
      <c r="G774" t="s">
        <v>2113</v>
      </c>
      <c r="I774" t="s">
        <v>107</v>
      </c>
    </row>
    <row r="775" spans="1:9">
      <c r="A775" t="s">
        <v>106</v>
      </c>
      <c r="B775" t="s">
        <v>104</v>
      </c>
      <c r="C775" t="s">
        <v>134</v>
      </c>
      <c r="D775" t="s">
        <v>1566</v>
      </c>
      <c r="E775" s="2">
        <v>3</v>
      </c>
      <c r="F775" s="2">
        <v>3</v>
      </c>
      <c r="G775" t="s">
        <v>2113</v>
      </c>
      <c r="I775" t="s">
        <v>107</v>
      </c>
    </row>
    <row r="776" spans="1:9">
      <c r="A776" t="s">
        <v>106</v>
      </c>
      <c r="B776" t="s">
        <v>104</v>
      </c>
      <c r="C776" t="s">
        <v>22</v>
      </c>
      <c r="D776" t="s">
        <v>1663</v>
      </c>
      <c r="E776" s="2">
        <v>3</v>
      </c>
      <c r="F776" s="2">
        <v>3</v>
      </c>
      <c r="G776" t="s">
        <v>2113</v>
      </c>
      <c r="I776" t="s">
        <v>107</v>
      </c>
    </row>
    <row r="777" spans="1:9">
      <c r="A777" t="s">
        <v>106</v>
      </c>
      <c r="B777" t="s">
        <v>104</v>
      </c>
      <c r="C777" t="s">
        <v>134</v>
      </c>
      <c r="D777" t="s">
        <v>1663</v>
      </c>
      <c r="E777" s="2">
        <v>3</v>
      </c>
      <c r="F777" s="2">
        <v>3</v>
      </c>
      <c r="G777" t="s">
        <v>2113</v>
      </c>
      <c r="I777" t="s">
        <v>107</v>
      </c>
    </row>
    <row r="778" spans="1:9">
      <c r="A778" t="s">
        <v>108</v>
      </c>
      <c r="B778" t="s">
        <v>106</v>
      </c>
      <c r="C778" t="s">
        <v>22</v>
      </c>
      <c r="D778" t="s">
        <v>670</v>
      </c>
      <c r="E778" s="2">
        <v>4.5</v>
      </c>
      <c r="F778" s="2">
        <v>4.5</v>
      </c>
      <c r="G778" t="s">
        <v>2113</v>
      </c>
      <c r="I778" t="s">
        <v>109</v>
      </c>
    </row>
    <row r="779" spans="1:9">
      <c r="A779" t="s">
        <v>108</v>
      </c>
      <c r="B779" t="s">
        <v>106</v>
      </c>
      <c r="C779" t="s">
        <v>134</v>
      </c>
      <c r="D779" t="s">
        <v>670</v>
      </c>
      <c r="E779" s="2">
        <v>3.7</v>
      </c>
      <c r="F779" s="2">
        <v>3.7</v>
      </c>
      <c r="G779" t="s">
        <v>2113</v>
      </c>
      <c r="I779" t="s">
        <v>109</v>
      </c>
    </row>
    <row r="780" spans="1:9">
      <c r="A780" t="s">
        <v>108</v>
      </c>
      <c r="B780" t="s">
        <v>106</v>
      </c>
      <c r="C780" t="s">
        <v>22</v>
      </c>
      <c r="D780" t="s">
        <v>771</v>
      </c>
      <c r="E780" s="2">
        <v>3.7</v>
      </c>
      <c r="F780" s="2">
        <v>3.7</v>
      </c>
      <c r="G780" t="s">
        <v>2113</v>
      </c>
      <c r="I780" t="s">
        <v>109</v>
      </c>
    </row>
    <row r="781" spans="1:9">
      <c r="A781" t="s">
        <v>108</v>
      </c>
      <c r="B781" t="s">
        <v>106</v>
      </c>
      <c r="C781" t="s">
        <v>134</v>
      </c>
      <c r="D781" t="s">
        <v>771</v>
      </c>
      <c r="E781" s="2">
        <v>3.6</v>
      </c>
      <c r="F781" s="2">
        <v>3.6</v>
      </c>
      <c r="G781" t="s">
        <v>2113</v>
      </c>
      <c r="I781" t="s">
        <v>109</v>
      </c>
    </row>
    <row r="782" spans="1:9">
      <c r="A782" t="s">
        <v>108</v>
      </c>
      <c r="B782" t="s">
        <v>106</v>
      </c>
      <c r="C782" t="s">
        <v>22</v>
      </c>
      <c r="D782" t="s">
        <v>876</v>
      </c>
      <c r="E782" s="2">
        <v>4.2</v>
      </c>
      <c r="F782" s="2">
        <v>4.2</v>
      </c>
      <c r="G782" t="s">
        <v>2113</v>
      </c>
      <c r="I782" t="s">
        <v>109</v>
      </c>
    </row>
    <row r="783" spans="1:9">
      <c r="A783" t="s">
        <v>108</v>
      </c>
      <c r="B783" t="s">
        <v>106</v>
      </c>
      <c r="C783" t="s">
        <v>134</v>
      </c>
      <c r="D783" t="s">
        <v>876</v>
      </c>
      <c r="E783" s="2">
        <v>4.0999999999999996</v>
      </c>
      <c r="F783" s="2">
        <v>4.0999999999999996</v>
      </c>
      <c r="G783" t="s">
        <v>2113</v>
      </c>
      <c r="I783" t="s">
        <v>109</v>
      </c>
    </row>
    <row r="784" spans="1:9">
      <c r="A784" t="s">
        <v>108</v>
      </c>
      <c r="B784" t="s">
        <v>106</v>
      </c>
      <c r="C784" t="s">
        <v>22</v>
      </c>
      <c r="D784" t="s">
        <v>981</v>
      </c>
      <c r="E784" s="2">
        <v>3.8</v>
      </c>
      <c r="F784" s="2">
        <v>3.8</v>
      </c>
      <c r="G784" t="s">
        <v>2113</v>
      </c>
      <c r="I784" t="s">
        <v>109</v>
      </c>
    </row>
    <row r="785" spans="1:9">
      <c r="A785" t="s">
        <v>108</v>
      </c>
      <c r="B785" t="s">
        <v>106</v>
      </c>
      <c r="C785" t="s">
        <v>134</v>
      </c>
      <c r="D785" t="s">
        <v>981</v>
      </c>
      <c r="E785" s="2">
        <v>4.0999999999999996</v>
      </c>
      <c r="F785" s="2">
        <v>4.0999999999999996</v>
      </c>
      <c r="G785" t="s">
        <v>2113</v>
      </c>
      <c r="I785" t="s">
        <v>109</v>
      </c>
    </row>
    <row r="786" spans="1:9">
      <c r="A786" t="s">
        <v>108</v>
      </c>
      <c r="B786" t="s">
        <v>106</v>
      </c>
      <c r="C786" t="s">
        <v>22</v>
      </c>
      <c r="D786" t="s">
        <v>1086</v>
      </c>
      <c r="E786" s="2">
        <v>3.7</v>
      </c>
      <c r="F786" s="2">
        <v>3.7</v>
      </c>
      <c r="G786" t="s">
        <v>2113</v>
      </c>
      <c r="I786" t="s">
        <v>109</v>
      </c>
    </row>
    <row r="787" spans="1:9">
      <c r="A787" t="s">
        <v>108</v>
      </c>
      <c r="B787" t="s">
        <v>106</v>
      </c>
      <c r="C787" t="s">
        <v>134</v>
      </c>
      <c r="D787" t="s">
        <v>1086</v>
      </c>
      <c r="E787" s="2">
        <v>3.7</v>
      </c>
      <c r="F787" s="2">
        <v>3.7</v>
      </c>
      <c r="G787" t="s">
        <v>2113</v>
      </c>
      <c r="I787" t="s">
        <v>109</v>
      </c>
    </row>
    <row r="788" spans="1:9">
      <c r="A788" t="s">
        <v>108</v>
      </c>
      <c r="B788" t="s">
        <v>106</v>
      </c>
      <c r="C788" t="s">
        <v>22</v>
      </c>
      <c r="D788" t="s">
        <v>1183</v>
      </c>
      <c r="E788" s="2">
        <v>3.4</v>
      </c>
      <c r="F788" s="2">
        <v>3.4</v>
      </c>
      <c r="G788" t="s">
        <v>2113</v>
      </c>
      <c r="I788" t="s">
        <v>109</v>
      </c>
    </row>
    <row r="789" spans="1:9">
      <c r="A789" t="s">
        <v>108</v>
      </c>
      <c r="B789" t="s">
        <v>106</v>
      </c>
      <c r="C789" t="s">
        <v>134</v>
      </c>
      <c r="D789" t="s">
        <v>1183</v>
      </c>
      <c r="E789" s="2">
        <v>3.5</v>
      </c>
      <c r="F789" s="2">
        <v>3.5</v>
      </c>
      <c r="G789" t="s">
        <v>2113</v>
      </c>
      <c r="I789" t="s">
        <v>109</v>
      </c>
    </row>
    <row r="790" spans="1:9">
      <c r="A790" t="s">
        <v>108</v>
      </c>
      <c r="B790" t="s">
        <v>106</v>
      </c>
      <c r="C790" t="s">
        <v>22</v>
      </c>
      <c r="D790" t="s">
        <v>1276</v>
      </c>
      <c r="E790" s="2">
        <v>3.1</v>
      </c>
      <c r="F790" s="2">
        <v>3.1</v>
      </c>
      <c r="G790" t="s">
        <v>2113</v>
      </c>
      <c r="I790" t="s">
        <v>109</v>
      </c>
    </row>
    <row r="791" spans="1:9">
      <c r="A791" t="s">
        <v>108</v>
      </c>
      <c r="B791" t="s">
        <v>106</v>
      </c>
      <c r="C791" t="s">
        <v>134</v>
      </c>
      <c r="D791" t="s">
        <v>1276</v>
      </c>
      <c r="E791" s="2">
        <v>3.1</v>
      </c>
      <c r="F791" s="2">
        <v>3.1</v>
      </c>
      <c r="G791" t="s">
        <v>2113</v>
      </c>
      <c r="I791" t="s">
        <v>109</v>
      </c>
    </row>
    <row r="792" spans="1:9">
      <c r="A792" t="s">
        <v>108</v>
      </c>
      <c r="B792" t="s">
        <v>106</v>
      </c>
      <c r="C792" t="s">
        <v>22</v>
      </c>
      <c r="D792" t="s">
        <v>21</v>
      </c>
      <c r="E792" s="2">
        <v>3</v>
      </c>
      <c r="F792" s="2">
        <v>3</v>
      </c>
      <c r="G792" t="s">
        <v>2113</v>
      </c>
      <c r="I792" t="s">
        <v>109</v>
      </c>
    </row>
    <row r="793" spans="1:9">
      <c r="A793" t="s">
        <v>108</v>
      </c>
      <c r="B793" t="s">
        <v>106</v>
      </c>
      <c r="C793" t="s">
        <v>134</v>
      </c>
      <c r="D793" t="s">
        <v>21</v>
      </c>
      <c r="E793" s="2">
        <v>3</v>
      </c>
      <c r="F793" s="2">
        <v>3</v>
      </c>
      <c r="G793" t="s">
        <v>2113</v>
      </c>
      <c r="I793" t="s">
        <v>109</v>
      </c>
    </row>
    <row r="794" spans="1:9">
      <c r="A794" t="s">
        <v>108</v>
      </c>
      <c r="B794" t="s">
        <v>106</v>
      </c>
      <c r="C794" t="s">
        <v>22</v>
      </c>
      <c r="D794" t="s">
        <v>1469</v>
      </c>
      <c r="E794" s="2">
        <v>3</v>
      </c>
      <c r="F794" s="2">
        <v>3</v>
      </c>
      <c r="G794" t="s">
        <v>2113</v>
      </c>
      <c r="I794" t="s">
        <v>109</v>
      </c>
    </row>
    <row r="795" spans="1:9">
      <c r="A795" t="s">
        <v>108</v>
      </c>
      <c r="B795" t="s">
        <v>106</v>
      </c>
      <c r="C795" t="s">
        <v>134</v>
      </c>
      <c r="D795" t="s">
        <v>1469</v>
      </c>
      <c r="E795" s="2">
        <v>3</v>
      </c>
      <c r="F795" s="2">
        <v>3</v>
      </c>
      <c r="G795" t="s">
        <v>2113</v>
      </c>
      <c r="I795" t="s">
        <v>109</v>
      </c>
    </row>
    <row r="796" spans="1:9">
      <c r="A796" t="s">
        <v>108</v>
      </c>
      <c r="B796" t="s">
        <v>106</v>
      </c>
      <c r="C796" t="s">
        <v>22</v>
      </c>
      <c r="D796" t="s">
        <v>1566</v>
      </c>
      <c r="E796" s="2">
        <v>3</v>
      </c>
      <c r="F796" s="2">
        <v>3</v>
      </c>
      <c r="G796" t="s">
        <v>2113</v>
      </c>
      <c r="I796" t="s">
        <v>109</v>
      </c>
    </row>
    <row r="797" spans="1:9">
      <c r="A797" t="s">
        <v>108</v>
      </c>
      <c r="B797" t="s">
        <v>106</v>
      </c>
      <c r="C797" t="s">
        <v>134</v>
      </c>
      <c r="D797" t="s">
        <v>1566</v>
      </c>
      <c r="E797" s="2">
        <v>3</v>
      </c>
      <c r="F797" s="2">
        <v>3</v>
      </c>
      <c r="G797" t="s">
        <v>2113</v>
      </c>
      <c r="I797" t="s">
        <v>109</v>
      </c>
    </row>
    <row r="798" spans="1:9">
      <c r="A798" t="s">
        <v>108</v>
      </c>
      <c r="B798" t="s">
        <v>106</v>
      </c>
      <c r="C798" t="s">
        <v>22</v>
      </c>
      <c r="D798" t="s">
        <v>1663</v>
      </c>
      <c r="E798" s="2">
        <v>3</v>
      </c>
      <c r="F798" s="2">
        <v>3</v>
      </c>
      <c r="G798" t="s">
        <v>2113</v>
      </c>
      <c r="I798" t="s">
        <v>109</v>
      </c>
    </row>
    <row r="799" spans="1:9">
      <c r="A799" t="s">
        <v>108</v>
      </c>
      <c r="B799" t="s">
        <v>106</v>
      </c>
      <c r="C799" t="s">
        <v>134</v>
      </c>
      <c r="D799" t="s">
        <v>1663</v>
      </c>
      <c r="E799" s="2">
        <v>3</v>
      </c>
      <c r="F799" s="2">
        <v>3</v>
      </c>
      <c r="G799" t="s">
        <v>2113</v>
      </c>
      <c r="I799" t="s">
        <v>109</v>
      </c>
    </row>
    <row r="800" spans="1:9">
      <c r="A800" t="s">
        <v>110</v>
      </c>
      <c r="B800" t="s">
        <v>108</v>
      </c>
      <c r="C800" t="s">
        <v>22</v>
      </c>
      <c r="D800" t="s">
        <v>670</v>
      </c>
      <c r="E800" s="2">
        <v>4.5</v>
      </c>
      <c r="F800" s="2">
        <v>4.5</v>
      </c>
      <c r="G800" t="s">
        <v>2113</v>
      </c>
      <c r="I800" t="s">
        <v>111</v>
      </c>
    </row>
    <row r="801" spans="1:9">
      <c r="A801" t="s">
        <v>110</v>
      </c>
      <c r="B801" t="s">
        <v>108</v>
      </c>
      <c r="C801" t="s">
        <v>134</v>
      </c>
      <c r="D801" t="s">
        <v>670</v>
      </c>
      <c r="E801" s="2">
        <v>3.7</v>
      </c>
      <c r="F801" s="2">
        <v>3.7</v>
      </c>
      <c r="G801" t="s">
        <v>2113</v>
      </c>
      <c r="I801" t="s">
        <v>111</v>
      </c>
    </row>
    <row r="802" spans="1:9">
      <c r="A802" t="s">
        <v>110</v>
      </c>
      <c r="B802" t="s">
        <v>108</v>
      </c>
      <c r="C802" t="s">
        <v>22</v>
      </c>
      <c r="D802" t="s">
        <v>771</v>
      </c>
      <c r="E802" s="2">
        <v>3.7</v>
      </c>
      <c r="F802" s="2">
        <v>3.7</v>
      </c>
      <c r="G802" t="s">
        <v>2113</v>
      </c>
      <c r="I802" t="s">
        <v>111</v>
      </c>
    </row>
    <row r="803" spans="1:9">
      <c r="A803" t="s">
        <v>110</v>
      </c>
      <c r="B803" t="s">
        <v>108</v>
      </c>
      <c r="C803" t="s">
        <v>134</v>
      </c>
      <c r="D803" t="s">
        <v>771</v>
      </c>
      <c r="E803" s="2">
        <v>3.6</v>
      </c>
      <c r="F803" s="2">
        <v>3.6</v>
      </c>
      <c r="G803" t="s">
        <v>2113</v>
      </c>
      <c r="I803" t="s">
        <v>111</v>
      </c>
    </row>
    <row r="804" spans="1:9">
      <c r="A804" t="s">
        <v>110</v>
      </c>
      <c r="B804" t="s">
        <v>108</v>
      </c>
      <c r="C804" t="s">
        <v>22</v>
      </c>
      <c r="D804" t="s">
        <v>876</v>
      </c>
      <c r="E804" s="2">
        <v>4.2</v>
      </c>
      <c r="F804" s="2">
        <v>4.2</v>
      </c>
      <c r="G804" t="s">
        <v>2113</v>
      </c>
      <c r="I804" t="s">
        <v>111</v>
      </c>
    </row>
    <row r="805" spans="1:9">
      <c r="A805" t="s">
        <v>110</v>
      </c>
      <c r="B805" t="s">
        <v>108</v>
      </c>
      <c r="C805" t="s">
        <v>134</v>
      </c>
      <c r="D805" t="s">
        <v>876</v>
      </c>
      <c r="E805" s="2">
        <v>4.0999999999999996</v>
      </c>
      <c r="F805" s="2">
        <v>4.0999999999999996</v>
      </c>
      <c r="G805" t="s">
        <v>2113</v>
      </c>
      <c r="I805" t="s">
        <v>111</v>
      </c>
    </row>
    <row r="806" spans="1:9">
      <c r="A806" t="s">
        <v>110</v>
      </c>
      <c r="B806" t="s">
        <v>108</v>
      </c>
      <c r="C806" t="s">
        <v>22</v>
      </c>
      <c r="D806" t="s">
        <v>981</v>
      </c>
      <c r="E806" s="2">
        <v>3.6</v>
      </c>
      <c r="F806" s="2">
        <v>3.6</v>
      </c>
      <c r="G806" t="s">
        <v>2113</v>
      </c>
      <c r="I806" t="s">
        <v>111</v>
      </c>
    </row>
    <row r="807" spans="1:9">
      <c r="A807" t="s">
        <v>110</v>
      </c>
      <c r="B807" t="s">
        <v>108</v>
      </c>
      <c r="C807" t="s">
        <v>134</v>
      </c>
      <c r="D807" t="s">
        <v>981</v>
      </c>
      <c r="E807" s="2">
        <v>4.2</v>
      </c>
      <c r="F807" s="2">
        <v>4.2</v>
      </c>
      <c r="G807" t="s">
        <v>2113</v>
      </c>
      <c r="I807" t="s">
        <v>111</v>
      </c>
    </row>
    <row r="808" spans="1:9">
      <c r="A808" t="s">
        <v>110</v>
      </c>
      <c r="B808" t="s">
        <v>108</v>
      </c>
      <c r="C808" t="s">
        <v>22</v>
      </c>
      <c r="D808" t="s">
        <v>1086</v>
      </c>
      <c r="E808" s="2">
        <v>3.6</v>
      </c>
      <c r="F808" s="2">
        <v>3.6</v>
      </c>
      <c r="G808" t="s">
        <v>2113</v>
      </c>
      <c r="I808" t="s">
        <v>111</v>
      </c>
    </row>
    <row r="809" spans="1:9">
      <c r="A809" t="s">
        <v>110</v>
      </c>
      <c r="B809" t="s">
        <v>108</v>
      </c>
      <c r="C809" t="s">
        <v>134</v>
      </c>
      <c r="D809" t="s">
        <v>1086</v>
      </c>
      <c r="E809" s="2">
        <v>4</v>
      </c>
      <c r="F809" s="2">
        <v>4</v>
      </c>
      <c r="G809" t="s">
        <v>2113</v>
      </c>
      <c r="I809" t="s">
        <v>111</v>
      </c>
    </row>
    <row r="810" spans="1:9">
      <c r="A810" t="s">
        <v>110</v>
      </c>
      <c r="B810" t="s">
        <v>108</v>
      </c>
      <c r="C810" t="s">
        <v>22</v>
      </c>
      <c r="D810" t="s">
        <v>1183</v>
      </c>
      <c r="E810" s="2">
        <v>3.4</v>
      </c>
      <c r="F810" s="2">
        <v>3.4</v>
      </c>
      <c r="G810" t="s">
        <v>2113</v>
      </c>
      <c r="I810" t="s">
        <v>111</v>
      </c>
    </row>
    <row r="811" spans="1:9">
      <c r="A811" t="s">
        <v>110</v>
      </c>
      <c r="B811" t="s">
        <v>108</v>
      </c>
      <c r="C811" t="s">
        <v>134</v>
      </c>
      <c r="D811" t="s">
        <v>1183</v>
      </c>
      <c r="E811" s="2">
        <v>3.6</v>
      </c>
      <c r="F811" s="2">
        <v>3.6</v>
      </c>
      <c r="G811" t="s">
        <v>2113</v>
      </c>
      <c r="I811" t="s">
        <v>111</v>
      </c>
    </row>
    <row r="812" spans="1:9">
      <c r="A812" t="s">
        <v>110</v>
      </c>
      <c r="B812" t="s">
        <v>108</v>
      </c>
      <c r="C812" t="s">
        <v>22</v>
      </c>
      <c r="D812" t="s">
        <v>1276</v>
      </c>
      <c r="E812" s="2">
        <v>3.1</v>
      </c>
      <c r="F812" s="2">
        <v>3.1</v>
      </c>
      <c r="G812" t="s">
        <v>2113</v>
      </c>
      <c r="I812" t="s">
        <v>111</v>
      </c>
    </row>
    <row r="813" spans="1:9">
      <c r="A813" t="s">
        <v>110</v>
      </c>
      <c r="B813" t="s">
        <v>108</v>
      </c>
      <c r="C813" t="s">
        <v>134</v>
      </c>
      <c r="D813" t="s">
        <v>1276</v>
      </c>
      <c r="E813" s="2">
        <v>3.2</v>
      </c>
      <c r="F813" s="2">
        <v>3.2</v>
      </c>
      <c r="G813" t="s">
        <v>2113</v>
      </c>
      <c r="I813" t="s">
        <v>111</v>
      </c>
    </row>
    <row r="814" spans="1:9">
      <c r="A814" t="s">
        <v>110</v>
      </c>
      <c r="B814" t="s">
        <v>108</v>
      </c>
      <c r="C814" t="s">
        <v>22</v>
      </c>
      <c r="D814" t="s">
        <v>21</v>
      </c>
      <c r="E814" s="2">
        <v>3</v>
      </c>
      <c r="F814" s="2">
        <v>3</v>
      </c>
      <c r="G814" t="s">
        <v>2113</v>
      </c>
      <c r="I814" t="s">
        <v>111</v>
      </c>
    </row>
    <row r="815" spans="1:9">
      <c r="A815" t="s">
        <v>110</v>
      </c>
      <c r="B815" t="s">
        <v>108</v>
      </c>
      <c r="C815" t="s">
        <v>134</v>
      </c>
      <c r="D815" t="s">
        <v>21</v>
      </c>
      <c r="E815" s="2">
        <v>3</v>
      </c>
      <c r="F815" s="2">
        <v>3</v>
      </c>
      <c r="G815" t="s">
        <v>2113</v>
      </c>
      <c r="I815" t="s">
        <v>111</v>
      </c>
    </row>
    <row r="816" spans="1:9">
      <c r="A816" t="s">
        <v>110</v>
      </c>
      <c r="B816" t="s">
        <v>108</v>
      </c>
      <c r="C816" t="s">
        <v>22</v>
      </c>
      <c r="D816" t="s">
        <v>1469</v>
      </c>
      <c r="E816" s="2">
        <v>3</v>
      </c>
      <c r="F816" s="2">
        <v>3</v>
      </c>
      <c r="G816" t="s">
        <v>2113</v>
      </c>
      <c r="I816" t="s">
        <v>111</v>
      </c>
    </row>
    <row r="817" spans="1:9">
      <c r="A817" t="s">
        <v>110</v>
      </c>
      <c r="B817" t="s">
        <v>108</v>
      </c>
      <c r="C817" t="s">
        <v>134</v>
      </c>
      <c r="D817" t="s">
        <v>1469</v>
      </c>
      <c r="E817" s="2">
        <v>3</v>
      </c>
      <c r="F817" s="2">
        <v>3</v>
      </c>
      <c r="G817" t="s">
        <v>2113</v>
      </c>
      <c r="I817" t="s">
        <v>111</v>
      </c>
    </row>
    <row r="818" spans="1:9">
      <c r="A818" t="s">
        <v>110</v>
      </c>
      <c r="B818" t="s">
        <v>108</v>
      </c>
      <c r="C818" t="s">
        <v>22</v>
      </c>
      <c r="D818" t="s">
        <v>1566</v>
      </c>
      <c r="E818" s="2">
        <v>3</v>
      </c>
      <c r="F818" s="2">
        <v>3</v>
      </c>
      <c r="G818" t="s">
        <v>2113</v>
      </c>
      <c r="I818" t="s">
        <v>111</v>
      </c>
    </row>
    <row r="819" spans="1:9">
      <c r="A819" t="s">
        <v>110</v>
      </c>
      <c r="B819" t="s">
        <v>108</v>
      </c>
      <c r="C819" t="s">
        <v>134</v>
      </c>
      <c r="D819" t="s">
        <v>1566</v>
      </c>
      <c r="E819" s="2">
        <v>3</v>
      </c>
      <c r="F819" s="2">
        <v>3</v>
      </c>
      <c r="G819" t="s">
        <v>2113</v>
      </c>
      <c r="I819" t="s">
        <v>111</v>
      </c>
    </row>
    <row r="820" spans="1:9">
      <c r="A820" t="s">
        <v>110</v>
      </c>
      <c r="B820" t="s">
        <v>108</v>
      </c>
      <c r="C820" t="s">
        <v>22</v>
      </c>
      <c r="D820" t="s">
        <v>1663</v>
      </c>
      <c r="E820" s="2">
        <v>3</v>
      </c>
      <c r="F820" s="2">
        <v>3</v>
      </c>
      <c r="G820" t="s">
        <v>2113</v>
      </c>
      <c r="I820" t="s">
        <v>111</v>
      </c>
    </row>
    <row r="821" spans="1:9">
      <c r="A821" t="s">
        <v>110</v>
      </c>
      <c r="B821" t="s">
        <v>108</v>
      </c>
      <c r="C821" t="s">
        <v>134</v>
      </c>
      <c r="D821" t="s">
        <v>1663</v>
      </c>
      <c r="E821" s="2">
        <v>3</v>
      </c>
      <c r="F821" s="2">
        <v>3</v>
      </c>
      <c r="G821" t="s">
        <v>2113</v>
      </c>
      <c r="I821" t="s">
        <v>111</v>
      </c>
    </row>
    <row r="822" spans="1:9">
      <c r="A822" t="s">
        <v>110</v>
      </c>
      <c r="B822" t="s">
        <v>108</v>
      </c>
      <c r="C822" t="s">
        <v>22</v>
      </c>
      <c r="D822" t="s">
        <v>1760</v>
      </c>
      <c r="E822" s="2">
        <v>3</v>
      </c>
      <c r="F822" s="2">
        <v>3</v>
      </c>
      <c r="G822" t="s">
        <v>2113</v>
      </c>
      <c r="I822" t="s">
        <v>111</v>
      </c>
    </row>
    <row r="823" spans="1:9">
      <c r="A823" t="s">
        <v>110</v>
      </c>
      <c r="B823" t="s">
        <v>108</v>
      </c>
      <c r="C823" t="s">
        <v>134</v>
      </c>
      <c r="D823" t="s">
        <v>1760</v>
      </c>
      <c r="E823" s="2">
        <v>3</v>
      </c>
      <c r="F823" s="2">
        <v>3</v>
      </c>
      <c r="G823" t="s">
        <v>2113</v>
      </c>
      <c r="I823" t="s">
        <v>111</v>
      </c>
    </row>
    <row r="824" spans="1:9">
      <c r="A824" t="s">
        <v>112</v>
      </c>
      <c r="B824" t="s">
        <v>110</v>
      </c>
      <c r="C824" t="s">
        <v>22</v>
      </c>
      <c r="D824" t="s">
        <v>771</v>
      </c>
      <c r="E824" s="2">
        <v>3.7</v>
      </c>
      <c r="F824" s="2">
        <v>3.7</v>
      </c>
      <c r="G824" t="s">
        <v>2113</v>
      </c>
      <c r="I824" t="s">
        <v>113</v>
      </c>
    </row>
    <row r="825" spans="1:9">
      <c r="A825" t="s">
        <v>112</v>
      </c>
      <c r="B825" t="s">
        <v>110</v>
      </c>
      <c r="C825" t="s">
        <v>134</v>
      </c>
      <c r="D825" t="s">
        <v>771</v>
      </c>
      <c r="E825" s="2">
        <v>3.6</v>
      </c>
      <c r="F825" s="2">
        <v>3.6</v>
      </c>
      <c r="G825" t="s">
        <v>2113</v>
      </c>
      <c r="I825" t="s">
        <v>113</v>
      </c>
    </row>
    <row r="826" spans="1:9">
      <c r="A826" t="s">
        <v>112</v>
      </c>
      <c r="B826" t="s">
        <v>110</v>
      </c>
      <c r="C826" t="s">
        <v>22</v>
      </c>
      <c r="D826" t="s">
        <v>876</v>
      </c>
      <c r="E826" s="2">
        <v>4.2</v>
      </c>
      <c r="F826" s="2">
        <v>4.2</v>
      </c>
      <c r="G826" t="s">
        <v>2113</v>
      </c>
      <c r="I826" t="s">
        <v>113</v>
      </c>
    </row>
    <row r="827" spans="1:9">
      <c r="A827" t="s">
        <v>112</v>
      </c>
      <c r="B827" t="s">
        <v>110</v>
      </c>
      <c r="C827" t="s">
        <v>134</v>
      </c>
      <c r="D827" t="s">
        <v>876</v>
      </c>
      <c r="E827" s="2">
        <v>4.0999999999999996</v>
      </c>
      <c r="F827" s="2">
        <v>4.0999999999999996</v>
      </c>
      <c r="G827" t="s">
        <v>2113</v>
      </c>
      <c r="I827" t="s">
        <v>113</v>
      </c>
    </row>
    <row r="828" spans="1:9">
      <c r="A828" t="s">
        <v>112</v>
      </c>
      <c r="B828" t="s">
        <v>110</v>
      </c>
      <c r="C828" t="s">
        <v>22</v>
      </c>
      <c r="D828" t="s">
        <v>981</v>
      </c>
      <c r="E828" s="2">
        <v>3.6</v>
      </c>
      <c r="F828" s="2">
        <v>3.6</v>
      </c>
      <c r="G828" t="s">
        <v>2113</v>
      </c>
      <c r="I828" t="s">
        <v>113</v>
      </c>
    </row>
    <row r="829" spans="1:9">
      <c r="A829" t="s">
        <v>112</v>
      </c>
      <c r="B829" t="s">
        <v>110</v>
      </c>
      <c r="C829" t="s">
        <v>134</v>
      </c>
      <c r="D829" t="s">
        <v>981</v>
      </c>
      <c r="E829" s="2">
        <v>4.2</v>
      </c>
      <c r="F829" s="2">
        <v>4.2</v>
      </c>
      <c r="G829" t="s">
        <v>2113</v>
      </c>
      <c r="I829" t="s">
        <v>113</v>
      </c>
    </row>
    <row r="830" spans="1:9">
      <c r="A830" t="s">
        <v>112</v>
      </c>
      <c r="B830" t="s">
        <v>110</v>
      </c>
      <c r="C830" t="s">
        <v>22</v>
      </c>
      <c r="D830" t="s">
        <v>1086</v>
      </c>
      <c r="E830" s="2">
        <v>3.5</v>
      </c>
      <c r="F830" s="2">
        <v>3.5</v>
      </c>
      <c r="G830" t="s">
        <v>2113</v>
      </c>
      <c r="I830" t="s">
        <v>113</v>
      </c>
    </row>
    <row r="831" spans="1:9">
      <c r="A831" t="s">
        <v>112</v>
      </c>
      <c r="B831" t="s">
        <v>110</v>
      </c>
      <c r="C831" t="s">
        <v>134</v>
      </c>
      <c r="D831" t="s">
        <v>1086</v>
      </c>
      <c r="E831" s="2">
        <v>4.0999999999999996</v>
      </c>
      <c r="F831" s="2">
        <v>4.0999999999999996</v>
      </c>
      <c r="G831" t="s">
        <v>2113</v>
      </c>
      <c r="I831" t="s">
        <v>113</v>
      </c>
    </row>
    <row r="832" spans="1:9">
      <c r="A832" t="s">
        <v>112</v>
      </c>
      <c r="B832" t="s">
        <v>110</v>
      </c>
      <c r="C832" t="s">
        <v>22</v>
      </c>
      <c r="D832" t="s">
        <v>1183</v>
      </c>
      <c r="E832" s="2">
        <v>3.5</v>
      </c>
      <c r="F832" s="2">
        <v>3.5</v>
      </c>
      <c r="G832" t="s">
        <v>2113</v>
      </c>
      <c r="I832" t="s">
        <v>113</v>
      </c>
    </row>
    <row r="833" spans="1:9">
      <c r="A833" t="s">
        <v>112</v>
      </c>
      <c r="B833" t="s">
        <v>110</v>
      </c>
      <c r="C833" t="s">
        <v>134</v>
      </c>
      <c r="D833" t="s">
        <v>1183</v>
      </c>
      <c r="E833" s="2">
        <v>3.8</v>
      </c>
      <c r="F833" s="2">
        <v>3.8</v>
      </c>
      <c r="G833" t="s">
        <v>2113</v>
      </c>
      <c r="I833" t="s">
        <v>113</v>
      </c>
    </row>
    <row r="834" spans="1:9">
      <c r="A834" t="s">
        <v>112</v>
      </c>
      <c r="B834" t="s">
        <v>110</v>
      </c>
      <c r="C834" t="s">
        <v>22</v>
      </c>
      <c r="D834" t="s">
        <v>1276</v>
      </c>
      <c r="E834" s="2">
        <v>3.2</v>
      </c>
      <c r="F834" s="2">
        <v>3.2</v>
      </c>
      <c r="G834" t="s">
        <v>2113</v>
      </c>
      <c r="I834" t="s">
        <v>113</v>
      </c>
    </row>
    <row r="835" spans="1:9">
      <c r="A835" t="s">
        <v>112</v>
      </c>
      <c r="B835" t="s">
        <v>110</v>
      </c>
      <c r="C835" t="s">
        <v>134</v>
      </c>
      <c r="D835" t="s">
        <v>1276</v>
      </c>
      <c r="E835" s="2">
        <v>3.3</v>
      </c>
      <c r="F835" s="2">
        <v>3.3</v>
      </c>
      <c r="G835" t="s">
        <v>2113</v>
      </c>
      <c r="I835" t="s">
        <v>113</v>
      </c>
    </row>
    <row r="836" spans="1:9">
      <c r="A836" t="s">
        <v>112</v>
      </c>
      <c r="B836" t="s">
        <v>110</v>
      </c>
      <c r="C836" t="s">
        <v>22</v>
      </c>
      <c r="D836" t="s">
        <v>21</v>
      </c>
      <c r="E836" s="2">
        <v>3</v>
      </c>
      <c r="F836" s="2">
        <v>3</v>
      </c>
      <c r="G836" t="s">
        <v>2113</v>
      </c>
      <c r="I836" t="s">
        <v>113</v>
      </c>
    </row>
    <row r="837" spans="1:9">
      <c r="A837" t="s">
        <v>112</v>
      </c>
      <c r="B837" t="s">
        <v>110</v>
      </c>
      <c r="C837" t="s">
        <v>134</v>
      </c>
      <c r="D837" t="s">
        <v>21</v>
      </c>
      <c r="E837" s="2">
        <v>3</v>
      </c>
      <c r="F837" s="2">
        <v>3</v>
      </c>
      <c r="G837" t="s">
        <v>2113</v>
      </c>
      <c r="I837" t="s">
        <v>113</v>
      </c>
    </row>
    <row r="838" spans="1:9">
      <c r="A838" t="s">
        <v>112</v>
      </c>
      <c r="B838" t="s">
        <v>110</v>
      </c>
      <c r="C838" t="s">
        <v>22</v>
      </c>
      <c r="D838" t="s">
        <v>1469</v>
      </c>
      <c r="E838" s="2">
        <v>3</v>
      </c>
      <c r="F838" s="2">
        <v>3</v>
      </c>
      <c r="G838" t="s">
        <v>2113</v>
      </c>
      <c r="I838" t="s">
        <v>113</v>
      </c>
    </row>
    <row r="839" spans="1:9">
      <c r="A839" t="s">
        <v>112</v>
      </c>
      <c r="B839" t="s">
        <v>110</v>
      </c>
      <c r="C839" t="s">
        <v>134</v>
      </c>
      <c r="D839" t="s">
        <v>1469</v>
      </c>
      <c r="E839" s="2">
        <v>3</v>
      </c>
      <c r="F839" s="2">
        <v>3</v>
      </c>
      <c r="G839" t="s">
        <v>2113</v>
      </c>
      <c r="I839" t="s">
        <v>113</v>
      </c>
    </row>
    <row r="840" spans="1:9">
      <c r="A840" t="s">
        <v>112</v>
      </c>
      <c r="B840" t="s">
        <v>110</v>
      </c>
      <c r="C840" t="s">
        <v>22</v>
      </c>
      <c r="D840" t="s">
        <v>1566</v>
      </c>
      <c r="E840" s="2">
        <v>3</v>
      </c>
      <c r="F840" s="2">
        <v>3</v>
      </c>
      <c r="G840" t="s">
        <v>2113</v>
      </c>
      <c r="I840" t="s">
        <v>113</v>
      </c>
    </row>
    <row r="841" spans="1:9">
      <c r="A841" t="s">
        <v>112</v>
      </c>
      <c r="B841" t="s">
        <v>110</v>
      </c>
      <c r="C841" t="s">
        <v>134</v>
      </c>
      <c r="D841" t="s">
        <v>1566</v>
      </c>
      <c r="E841" s="2">
        <v>3</v>
      </c>
      <c r="F841" s="2">
        <v>3</v>
      </c>
      <c r="G841" t="s">
        <v>2113</v>
      </c>
      <c r="I841" t="s">
        <v>113</v>
      </c>
    </row>
    <row r="842" spans="1:9">
      <c r="A842" t="s">
        <v>112</v>
      </c>
      <c r="B842" t="s">
        <v>110</v>
      </c>
      <c r="C842" t="s">
        <v>22</v>
      </c>
      <c r="D842" t="s">
        <v>1663</v>
      </c>
      <c r="E842" s="2">
        <v>3</v>
      </c>
      <c r="F842" s="2">
        <v>3</v>
      </c>
      <c r="G842" t="s">
        <v>2113</v>
      </c>
      <c r="I842" t="s">
        <v>113</v>
      </c>
    </row>
    <row r="843" spans="1:9">
      <c r="A843" t="s">
        <v>112</v>
      </c>
      <c r="B843" t="s">
        <v>110</v>
      </c>
      <c r="C843" t="s">
        <v>134</v>
      </c>
      <c r="D843" t="s">
        <v>1663</v>
      </c>
      <c r="E843" s="2">
        <v>3</v>
      </c>
      <c r="F843" s="2">
        <v>3</v>
      </c>
      <c r="G843" t="s">
        <v>2113</v>
      </c>
      <c r="I843" t="s">
        <v>113</v>
      </c>
    </row>
    <row r="844" spans="1:9">
      <c r="A844" t="s">
        <v>112</v>
      </c>
      <c r="B844" t="s">
        <v>110</v>
      </c>
      <c r="C844" t="s">
        <v>22</v>
      </c>
      <c r="D844" t="s">
        <v>1760</v>
      </c>
      <c r="E844" s="2">
        <v>3</v>
      </c>
      <c r="F844" s="2">
        <v>3</v>
      </c>
      <c r="G844" t="s">
        <v>2113</v>
      </c>
      <c r="I844" t="s">
        <v>113</v>
      </c>
    </row>
    <row r="845" spans="1:9">
      <c r="A845" t="s">
        <v>112</v>
      </c>
      <c r="B845" t="s">
        <v>110</v>
      </c>
      <c r="C845" t="s">
        <v>134</v>
      </c>
      <c r="D845" t="s">
        <v>1760</v>
      </c>
      <c r="E845" s="2">
        <v>3</v>
      </c>
      <c r="F845" s="2">
        <v>3</v>
      </c>
      <c r="G845" t="s">
        <v>2113</v>
      </c>
      <c r="I845" t="s">
        <v>113</v>
      </c>
    </row>
    <row r="846" spans="1:9">
      <c r="A846" t="s">
        <v>114</v>
      </c>
      <c r="B846" t="s">
        <v>112</v>
      </c>
      <c r="C846" t="s">
        <v>22</v>
      </c>
      <c r="D846" t="s">
        <v>771</v>
      </c>
      <c r="E846" s="2">
        <v>3.7</v>
      </c>
      <c r="F846" s="2">
        <v>3.7</v>
      </c>
      <c r="G846" t="s">
        <v>2113</v>
      </c>
      <c r="I846" t="s">
        <v>115</v>
      </c>
    </row>
    <row r="847" spans="1:9">
      <c r="A847" t="s">
        <v>114</v>
      </c>
      <c r="B847" t="s">
        <v>112</v>
      </c>
      <c r="C847" t="s">
        <v>134</v>
      </c>
      <c r="D847" t="s">
        <v>771</v>
      </c>
      <c r="E847" s="2">
        <v>3.6</v>
      </c>
      <c r="F847" s="2">
        <v>3.6</v>
      </c>
      <c r="G847" t="s">
        <v>2113</v>
      </c>
      <c r="I847" t="s">
        <v>115</v>
      </c>
    </row>
    <row r="848" spans="1:9">
      <c r="A848" t="s">
        <v>114</v>
      </c>
      <c r="B848" t="s">
        <v>112</v>
      </c>
      <c r="C848" t="s">
        <v>22</v>
      </c>
      <c r="D848" t="s">
        <v>876</v>
      </c>
      <c r="E848" s="2">
        <v>4.2</v>
      </c>
      <c r="F848" s="2">
        <v>4.2</v>
      </c>
      <c r="G848" t="s">
        <v>2113</v>
      </c>
      <c r="I848" t="s">
        <v>115</v>
      </c>
    </row>
    <row r="849" spans="1:9">
      <c r="A849" t="s">
        <v>114</v>
      </c>
      <c r="B849" t="s">
        <v>112</v>
      </c>
      <c r="C849" t="s">
        <v>134</v>
      </c>
      <c r="D849" t="s">
        <v>876</v>
      </c>
      <c r="E849" s="2">
        <v>4.0999999999999996</v>
      </c>
      <c r="F849" s="2">
        <v>4.0999999999999996</v>
      </c>
      <c r="G849" t="s">
        <v>2113</v>
      </c>
      <c r="I849" t="s">
        <v>115</v>
      </c>
    </row>
    <row r="850" spans="1:9">
      <c r="A850" t="s">
        <v>114</v>
      </c>
      <c r="B850" t="s">
        <v>112</v>
      </c>
      <c r="C850" t="s">
        <v>22</v>
      </c>
      <c r="D850" t="s">
        <v>981</v>
      </c>
      <c r="E850" s="2">
        <v>3.6</v>
      </c>
      <c r="F850" s="2">
        <v>3.6</v>
      </c>
      <c r="G850" t="s">
        <v>2113</v>
      </c>
      <c r="I850" t="s">
        <v>115</v>
      </c>
    </row>
    <row r="851" spans="1:9">
      <c r="A851" t="s">
        <v>114</v>
      </c>
      <c r="B851" t="s">
        <v>112</v>
      </c>
      <c r="C851" t="s">
        <v>134</v>
      </c>
      <c r="D851" t="s">
        <v>981</v>
      </c>
      <c r="E851" s="2">
        <v>4.2</v>
      </c>
      <c r="F851" s="2">
        <v>4.2</v>
      </c>
      <c r="G851" t="s">
        <v>2113</v>
      </c>
      <c r="I851" t="s">
        <v>115</v>
      </c>
    </row>
    <row r="852" spans="1:9">
      <c r="A852" t="s">
        <v>114</v>
      </c>
      <c r="B852" t="s">
        <v>112</v>
      </c>
      <c r="C852" t="s">
        <v>22</v>
      </c>
      <c r="D852" t="s">
        <v>1086</v>
      </c>
      <c r="E852" s="2">
        <v>3.7</v>
      </c>
      <c r="F852" s="2">
        <v>3.7</v>
      </c>
      <c r="G852" t="s">
        <v>2113</v>
      </c>
      <c r="I852" t="s">
        <v>115</v>
      </c>
    </row>
    <row r="853" spans="1:9">
      <c r="A853" t="s">
        <v>114</v>
      </c>
      <c r="B853" t="s">
        <v>112</v>
      </c>
      <c r="C853" t="s">
        <v>134</v>
      </c>
      <c r="D853" t="s">
        <v>1086</v>
      </c>
      <c r="E853" s="2">
        <v>4.3</v>
      </c>
      <c r="F853" s="2">
        <v>4.3</v>
      </c>
      <c r="G853" t="s">
        <v>2113</v>
      </c>
      <c r="I853" t="s">
        <v>115</v>
      </c>
    </row>
    <row r="854" spans="1:9">
      <c r="A854" t="s">
        <v>114</v>
      </c>
      <c r="B854" t="s">
        <v>112</v>
      </c>
      <c r="C854" t="s">
        <v>22</v>
      </c>
      <c r="D854" t="s">
        <v>1183</v>
      </c>
      <c r="E854" s="2">
        <v>3.7</v>
      </c>
      <c r="F854" s="2">
        <v>3.7</v>
      </c>
      <c r="G854" t="s">
        <v>2113</v>
      </c>
      <c r="I854" t="s">
        <v>115</v>
      </c>
    </row>
    <row r="855" spans="1:9">
      <c r="A855" t="s">
        <v>114</v>
      </c>
      <c r="B855" t="s">
        <v>112</v>
      </c>
      <c r="C855" t="s">
        <v>134</v>
      </c>
      <c r="D855" t="s">
        <v>1183</v>
      </c>
      <c r="E855" s="2">
        <v>4</v>
      </c>
      <c r="F855" s="2">
        <v>4</v>
      </c>
      <c r="G855" t="s">
        <v>2113</v>
      </c>
      <c r="I855" t="s">
        <v>115</v>
      </c>
    </row>
    <row r="856" spans="1:9">
      <c r="A856" t="s">
        <v>114</v>
      </c>
      <c r="B856" t="s">
        <v>112</v>
      </c>
      <c r="C856" t="s">
        <v>22</v>
      </c>
      <c r="D856" t="s">
        <v>1276</v>
      </c>
      <c r="E856" s="2">
        <v>3.3</v>
      </c>
      <c r="F856" s="2">
        <v>3.3</v>
      </c>
      <c r="G856" t="s">
        <v>2113</v>
      </c>
      <c r="I856" t="s">
        <v>115</v>
      </c>
    </row>
    <row r="857" spans="1:9">
      <c r="A857" t="s">
        <v>114</v>
      </c>
      <c r="B857" t="s">
        <v>112</v>
      </c>
      <c r="C857" t="s">
        <v>134</v>
      </c>
      <c r="D857" t="s">
        <v>1276</v>
      </c>
      <c r="E857" s="2">
        <v>3.4</v>
      </c>
      <c r="F857" s="2">
        <v>3.4</v>
      </c>
      <c r="G857" t="s">
        <v>2113</v>
      </c>
      <c r="I857" t="s">
        <v>115</v>
      </c>
    </row>
    <row r="858" spans="1:9">
      <c r="A858" t="s">
        <v>114</v>
      </c>
      <c r="B858" t="s">
        <v>112</v>
      </c>
      <c r="C858" t="s">
        <v>22</v>
      </c>
      <c r="D858" t="s">
        <v>21</v>
      </c>
      <c r="E858" s="2">
        <v>3</v>
      </c>
      <c r="F858" s="2">
        <v>3</v>
      </c>
      <c r="G858" t="s">
        <v>2113</v>
      </c>
      <c r="I858" t="s">
        <v>115</v>
      </c>
    </row>
    <row r="859" spans="1:9">
      <c r="A859" t="s">
        <v>114</v>
      </c>
      <c r="B859" t="s">
        <v>112</v>
      </c>
      <c r="C859" t="s">
        <v>134</v>
      </c>
      <c r="D859" t="s">
        <v>21</v>
      </c>
      <c r="E859" s="2">
        <v>3</v>
      </c>
      <c r="F859" s="2">
        <v>3</v>
      </c>
      <c r="G859" t="s">
        <v>2113</v>
      </c>
      <c r="I859" t="s">
        <v>115</v>
      </c>
    </row>
    <row r="860" spans="1:9">
      <c r="A860" t="s">
        <v>114</v>
      </c>
      <c r="B860" t="s">
        <v>112</v>
      </c>
      <c r="C860" t="s">
        <v>22</v>
      </c>
      <c r="D860" t="s">
        <v>1469</v>
      </c>
      <c r="E860" s="2">
        <v>3</v>
      </c>
      <c r="F860" s="2">
        <v>3</v>
      </c>
      <c r="G860" t="s">
        <v>2113</v>
      </c>
      <c r="I860" t="s">
        <v>115</v>
      </c>
    </row>
    <row r="861" spans="1:9">
      <c r="A861" t="s">
        <v>114</v>
      </c>
      <c r="B861" t="s">
        <v>112</v>
      </c>
      <c r="C861" t="s">
        <v>134</v>
      </c>
      <c r="D861" t="s">
        <v>1469</v>
      </c>
      <c r="E861" s="2">
        <v>3</v>
      </c>
      <c r="F861" s="2">
        <v>3</v>
      </c>
      <c r="G861" t="s">
        <v>2113</v>
      </c>
      <c r="I861" t="s">
        <v>115</v>
      </c>
    </row>
    <row r="862" spans="1:9">
      <c r="A862" t="s">
        <v>114</v>
      </c>
      <c r="B862" t="s">
        <v>112</v>
      </c>
      <c r="C862" t="s">
        <v>22</v>
      </c>
      <c r="D862" t="s">
        <v>1566</v>
      </c>
      <c r="E862" s="2">
        <v>3</v>
      </c>
      <c r="F862" s="2">
        <v>3</v>
      </c>
      <c r="G862" t="s">
        <v>2113</v>
      </c>
      <c r="I862" t="s">
        <v>115</v>
      </c>
    </row>
    <row r="863" spans="1:9">
      <c r="A863" t="s">
        <v>114</v>
      </c>
      <c r="B863" t="s">
        <v>112</v>
      </c>
      <c r="C863" t="s">
        <v>134</v>
      </c>
      <c r="D863" t="s">
        <v>1566</v>
      </c>
      <c r="E863" s="2">
        <v>3</v>
      </c>
      <c r="F863" s="2">
        <v>3</v>
      </c>
      <c r="G863" t="s">
        <v>2113</v>
      </c>
      <c r="I863" t="s">
        <v>115</v>
      </c>
    </row>
    <row r="864" spans="1:9">
      <c r="A864" t="s">
        <v>114</v>
      </c>
      <c r="B864" t="s">
        <v>112</v>
      </c>
      <c r="C864" t="s">
        <v>22</v>
      </c>
      <c r="D864" t="s">
        <v>1663</v>
      </c>
      <c r="E864" s="2">
        <v>3</v>
      </c>
      <c r="F864" s="2">
        <v>3</v>
      </c>
      <c r="G864" t="s">
        <v>2113</v>
      </c>
      <c r="I864" t="s">
        <v>115</v>
      </c>
    </row>
    <row r="865" spans="1:9">
      <c r="A865" t="s">
        <v>114</v>
      </c>
      <c r="B865" t="s">
        <v>112</v>
      </c>
      <c r="C865" t="s">
        <v>134</v>
      </c>
      <c r="D865" t="s">
        <v>1663</v>
      </c>
      <c r="E865" s="2">
        <v>3</v>
      </c>
      <c r="F865" s="2">
        <v>3</v>
      </c>
      <c r="G865" t="s">
        <v>2113</v>
      </c>
      <c r="I865" t="s">
        <v>115</v>
      </c>
    </row>
    <row r="866" spans="1:9">
      <c r="A866" t="s">
        <v>114</v>
      </c>
      <c r="B866" t="s">
        <v>112</v>
      </c>
      <c r="C866" t="s">
        <v>22</v>
      </c>
      <c r="D866" t="s">
        <v>1760</v>
      </c>
      <c r="E866" s="2">
        <v>3</v>
      </c>
      <c r="F866" s="2">
        <v>3</v>
      </c>
      <c r="G866" t="s">
        <v>2113</v>
      </c>
      <c r="I866" t="s">
        <v>115</v>
      </c>
    </row>
    <row r="867" spans="1:9">
      <c r="A867" t="s">
        <v>114</v>
      </c>
      <c r="B867" t="s">
        <v>112</v>
      </c>
      <c r="C867" t="s">
        <v>134</v>
      </c>
      <c r="D867" t="s">
        <v>1760</v>
      </c>
      <c r="E867" s="2">
        <v>3</v>
      </c>
      <c r="F867" s="2">
        <v>3</v>
      </c>
      <c r="G867" t="s">
        <v>2113</v>
      </c>
      <c r="I867" t="s">
        <v>115</v>
      </c>
    </row>
    <row r="868" spans="1:9">
      <c r="A868" t="s">
        <v>114</v>
      </c>
      <c r="B868" t="s">
        <v>112</v>
      </c>
      <c r="C868" t="s">
        <v>22</v>
      </c>
      <c r="D868" t="s">
        <v>1857</v>
      </c>
      <c r="E868" s="2">
        <v>3</v>
      </c>
      <c r="F868" s="2">
        <v>3</v>
      </c>
      <c r="G868" t="s">
        <v>2113</v>
      </c>
      <c r="I868" t="s">
        <v>115</v>
      </c>
    </row>
    <row r="869" spans="1:9">
      <c r="A869" t="s">
        <v>114</v>
      </c>
      <c r="B869" t="s">
        <v>112</v>
      </c>
      <c r="C869" t="s">
        <v>134</v>
      </c>
      <c r="D869" t="s">
        <v>1857</v>
      </c>
      <c r="E869" s="2">
        <v>3</v>
      </c>
      <c r="F869" s="2">
        <v>3</v>
      </c>
      <c r="G869" t="s">
        <v>2113</v>
      </c>
      <c r="I869" t="s">
        <v>115</v>
      </c>
    </row>
    <row r="870" spans="1:9">
      <c r="A870" t="s">
        <v>116</v>
      </c>
      <c r="B870" t="s">
        <v>114</v>
      </c>
      <c r="C870" t="s">
        <v>22</v>
      </c>
      <c r="D870" t="s">
        <v>876</v>
      </c>
      <c r="E870" s="2">
        <v>4.2</v>
      </c>
      <c r="F870" s="2">
        <v>4.2</v>
      </c>
      <c r="G870" t="s">
        <v>2113</v>
      </c>
      <c r="I870" t="s">
        <v>117</v>
      </c>
    </row>
    <row r="871" spans="1:9">
      <c r="A871" t="s">
        <v>116</v>
      </c>
      <c r="B871" t="s">
        <v>114</v>
      </c>
      <c r="C871" t="s">
        <v>134</v>
      </c>
      <c r="D871" t="s">
        <v>876</v>
      </c>
      <c r="E871" s="2">
        <v>4.0999999999999996</v>
      </c>
      <c r="F871" s="2">
        <v>4.0999999999999996</v>
      </c>
      <c r="G871" t="s">
        <v>2113</v>
      </c>
      <c r="I871" t="s">
        <v>117</v>
      </c>
    </row>
    <row r="872" spans="1:9">
      <c r="A872" t="s">
        <v>116</v>
      </c>
      <c r="B872" t="s">
        <v>114</v>
      </c>
      <c r="C872" t="s">
        <v>22</v>
      </c>
      <c r="D872" t="s">
        <v>981</v>
      </c>
      <c r="E872" s="2">
        <v>3.6</v>
      </c>
      <c r="F872" s="2">
        <v>3.6</v>
      </c>
      <c r="G872" t="s">
        <v>2113</v>
      </c>
      <c r="I872" t="s">
        <v>117</v>
      </c>
    </row>
    <row r="873" spans="1:9">
      <c r="A873" t="s">
        <v>116</v>
      </c>
      <c r="B873" t="s">
        <v>114</v>
      </c>
      <c r="C873" t="s">
        <v>134</v>
      </c>
      <c r="D873" t="s">
        <v>981</v>
      </c>
      <c r="E873" s="2">
        <v>4.2</v>
      </c>
      <c r="F873" s="2">
        <v>4.2</v>
      </c>
      <c r="G873" t="s">
        <v>2113</v>
      </c>
      <c r="I873" t="s">
        <v>117</v>
      </c>
    </row>
    <row r="874" spans="1:9">
      <c r="A874" t="s">
        <v>116</v>
      </c>
      <c r="B874" t="s">
        <v>114</v>
      </c>
      <c r="C874" t="s">
        <v>22</v>
      </c>
      <c r="D874" t="s">
        <v>1086</v>
      </c>
      <c r="E874" s="2">
        <v>3.7</v>
      </c>
      <c r="F874" s="2">
        <v>3.7</v>
      </c>
      <c r="G874" t="s">
        <v>2113</v>
      </c>
      <c r="I874" t="s">
        <v>117</v>
      </c>
    </row>
    <row r="875" spans="1:9">
      <c r="A875" t="s">
        <v>116</v>
      </c>
      <c r="B875" t="s">
        <v>114</v>
      </c>
      <c r="C875" t="s">
        <v>134</v>
      </c>
      <c r="D875" t="s">
        <v>1086</v>
      </c>
      <c r="E875" s="2">
        <v>4.3</v>
      </c>
      <c r="F875" s="2">
        <v>4.3</v>
      </c>
      <c r="G875" t="s">
        <v>2113</v>
      </c>
      <c r="I875" t="s">
        <v>117</v>
      </c>
    </row>
    <row r="876" spans="1:9">
      <c r="A876" t="s">
        <v>116</v>
      </c>
      <c r="B876" t="s">
        <v>114</v>
      </c>
      <c r="C876" t="s">
        <v>22</v>
      </c>
      <c r="D876" t="s">
        <v>1183</v>
      </c>
      <c r="E876" s="2">
        <v>4</v>
      </c>
      <c r="F876" s="2">
        <v>4</v>
      </c>
      <c r="G876" t="s">
        <v>2113</v>
      </c>
      <c r="I876" t="s">
        <v>117</v>
      </c>
    </row>
    <row r="877" spans="1:9">
      <c r="A877" t="s">
        <v>116</v>
      </c>
      <c r="B877" t="s">
        <v>114</v>
      </c>
      <c r="C877" t="s">
        <v>134</v>
      </c>
      <c r="D877" t="s">
        <v>1183</v>
      </c>
      <c r="E877" s="2">
        <v>4.4000000000000004</v>
      </c>
      <c r="F877" s="2">
        <v>4.4000000000000004</v>
      </c>
      <c r="G877" t="s">
        <v>2113</v>
      </c>
      <c r="I877" t="s">
        <v>117</v>
      </c>
    </row>
    <row r="878" spans="1:9">
      <c r="A878" t="s">
        <v>116</v>
      </c>
      <c r="B878" t="s">
        <v>114</v>
      </c>
      <c r="C878" t="s">
        <v>22</v>
      </c>
      <c r="D878" t="s">
        <v>1276</v>
      </c>
      <c r="E878" s="2">
        <v>3.8</v>
      </c>
      <c r="F878" s="2">
        <v>3.8</v>
      </c>
      <c r="G878" t="s">
        <v>2113</v>
      </c>
      <c r="I878" t="s">
        <v>117</v>
      </c>
    </row>
    <row r="879" spans="1:9">
      <c r="A879" t="s">
        <v>116</v>
      </c>
      <c r="B879" t="s">
        <v>114</v>
      </c>
      <c r="C879" t="s">
        <v>134</v>
      </c>
      <c r="D879" t="s">
        <v>1276</v>
      </c>
      <c r="E879" s="2">
        <v>4</v>
      </c>
      <c r="F879" s="2">
        <v>4</v>
      </c>
      <c r="G879" t="s">
        <v>2113</v>
      </c>
      <c r="I879" t="s">
        <v>117</v>
      </c>
    </row>
    <row r="880" spans="1:9">
      <c r="A880" t="s">
        <v>116</v>
      </c>
      <c r="B880" t="s">
        <v>114</v>
      </c>
      <c r="C880" t="s">
        <v>22</v>
      </c>
      <c r="D880" t="s">
        <v>21</v>
      </c>
      <c r="E880" s="2">
        <v>3.6</v>
      </c>
      <c r="F880" s="2">
        <v>3.6</v>
      </c>
      <c r="G880" t="s">
        <v>2113</v>
      </c>
      <c r="I880" t="s">
        <v>117</v>
      </c>
    </row>
    <row r="881" spans="1:9">
      <c r="A881" t="s">
        <v>116</v>
      </c>
      <c r="B881" t="s">
        <v>114</v>
      </c>
      <c r="C881" t="s">
        <v>134</v>
      </c>
      <c r="D881" t="s">
        <v>21</v>
      </c>
      <c r="E881" s="2">
        <v>3.6</v>
      </c>
      <c r="F881" s="2">
        <v>3.6</v>
      </c>
      <c r="G881" t="s">
        <v>2113</v>
      </c>
      <c r="I881" t="s">
        <v>117</v>
      </c>
    </row>
    <row r="882" spans="1:9">
      <c r="A882" t="s">
        <v>116</v>
      </c>
      <c r="B882" t="s">
        <v>114</v>
      </c>
      <c r="C882" t="s">
        <v>22</v>
      </c>
      <c r="D882" t="s">
        <v>1469</v>
      </c>
      <c r="E882" s="2">
        <v>3.5</v>
      </c>
      <c r="F882" s="2">
        <v>3.5</v>
      </c>
      <c r="G882" t="s">
        <v>2113</v>
      </c>
      <c r="I882" t="s">
        <v>117</v>
      </c>
    </row>
    <row r="883" spans="1:9">
      <c r="A883" t="s">
        <v>116</v>
      </c>
      <c r="B883" t="s">
        <v>114</v>
      </c>
      <c r="C883" t="s">
        <v>134</v>
      </c>
      <c r="D883" t="s">
        <v>1469</v>
      </c>
      <c r="E883" s="2">
        <v>3.4</v>
      </c>
      <c r="F883" s="2">
        <v>3.4</v>
      </c>
      <c r="G883" t="s">
        <v>2113</v>
      </c>
      <c r="I883" t="s">
        <v>117</v>
      </c>
    </row>
    <row r="884" spans="1:9">
      <c r="A884" t="s">
        <v>116</v>
      </c>
      <c r="B884" t="s">
        <v>114</v>
      </c>
      <c r="C884" t="s">
        <v>22</v>
      </c>
      <c r="D884" t="s">
        <v>1566</v>
      </c>
      <c r="E884" s="2">
        <v>3.2</v>
      </c>
      <c r="F884" s="2">
        <v>3.2</v>
      </c>
      <c r="G884" t="s">
        <v>2113</v>
      </c>
      <c r="I884" t="s">
        <v>117</v>
      </c>
    </row>
    <row r="885" spans="1:9">
      <c r="A885" t="s">
        <v>116</v>
      </c>
      <c r="B885" t="s">
        <v>114</v>
      </c>
      <c r="C885" t="s">
        <v>134</v>
      </c>
      <c r="D885" t="s">
        <v>1566</v>
      </c>
      <c r="E885" s="2">
        <v>3.1</v>
      </c>
      <c r="F885" s="2">
        <v>3.1</v>
      </c>
      <c r="G885" t="s">
        <v>2113</v>
      </c>
      <c r="I885" t="s">
        <v>117</v>
      </c>
    </row>
    <row r="886" spans="1:9">
      <c r="A886" t="s">
        <v>116</v>
      </c>
      <c r="B886" t="s">
        <v>114</v>
      </c>
      <c r="C886" t="s">
        <v>22</v>
      </c>
      <c r="D886" t="s">
        <v>1663</v>
      </c>
      <c r="E886" s="2">
        <v>3</v>
      </c>
      <c r="F886" s="2">
        <v>3</v>
      </c>
      <c r="G886" t="s">
        <v>2113</v>
      </c>
      <c r="I886" t="s">
        <v>117</v>
      </c>
    </row>
    <row r="887" spans="1:9">
      <c r="A887" t="s">
        <v>116</v>
      </c>
      <c r="B887" t="s">
        <v>114</v>
      </c>
      <c r="C887" t="s">
        <v>134</v>
      </c>
      <c r="D887" t="s">
        <v>1663</v>
      </c>
      <c r="E887" s="2">
        <v>3</v>
      </c>
      <c r="F887" s="2">
        <v>3</v>
      </c>
      <c r="G887" t="s">
        <v>2113</v>
      </c>
      <c r="I887" t="s">
        <v>117</v>
      </c>
    </row>
    <row r="888" spans="1:9">
      <c r="A888" t="s">
        <v>116</v>
      </c>
      <c r="B888" t="s">
        <v>114</v>
      </c>
      <c r="C888" t="s">
        <v>22</v>
      </c>
      <c r="D888" t="s">
        <v>1760</v>
      </c>
      <c r="E888" s="2">
        <v>3</v>
      </c>
      <c r="F888" s="2">
        <v>3</v>
      </c>
      <c r="G888" t="s">
        <v>2113</v>
      </c>
      <c r="I888" t="s">
        <v>117</v>
      </c>
    </row>
    <row r="889" spans="1:9">
      <c r="A889" t="s">
        <v>116</v>
      </c>
      <c r="B889" t="s">
        <v>114</v>
      </c>
      <c r="C889" t="s">
        <v>134</v>
      </c>
      <c r="D889" t="s">
        <v>1760</v>
      </c>
      <c r="E889" s="2">
        <v>3</v>
      </c>
      <c r="F889" s="2">
        <v>3</v>
      </c>
      <c r="G889" t="s">
        <v>2113</v>
      </c>
      <c r="I889" t="s">
        <v>117</v>
      </c>
    </row>
    <row r="890" spans="1:9">
      <c r="A890" t="s">
        <v>116</v>
      </c>
      <c r="B890" t="s">
        <v>114</v>
      </c>
      <c r="C890" t="s">
        <v>22</v>
      </c>
      <c r="D890" t="s">
        <v>1857</v>
      </c>
      <c r="E890" s="2">
        <v>3</v>
      </c>
      <c r="F890" s="2">
        <v>3</v>
      </c>
      <c r="G890" t="s">
        <v>2113</v>
      </c>
      <c r="I890" t="s">
        <v>117</v>
      </c>
    </row>
    <row r="891" spans="1:9">
      <c r="A891" t="s">
        <v>116</v>
      </c>
      <c r="B891" t="s">
        <v>114</v>
      </c>
      <c r="C891" t="s">
        <v>134</v>
      </c>
      <c r="D891" t="s">
        <v>1857</v>
      </c>
      <c r="E891" s="2">
        <v>3</v>
      </c>
      <c r="F891" s="2">
        <v>3</v>
      </c>
      <c r="G891" t="s">
        <v>2113</v>
      </c>
      <c r="I891" t="s">
        <v>117</v>
      </c>
    </row>
    <row r="892" spans="1:9">
      <c r="A892" t="s">
        <v>118</v>
      </c>
      <c r="B892" t="s">
        <v>116</v>
      </c>
      <c r="C892" t="s">
        <v>22</v>
      </c>
      <c r="D892" t="s">
        <v>876</v>
      </c>
      <c r="E892" s="2">
        <v>4.2</v>
      </c>
      <c r="F892" s="2">
        <v>4.2</v>
      </c>
      <c r="G892" t="s">
        <v>2113</v>
      </c>
      <c r="I892" t="s">
        <v>119</v>
      </c>
    </row>
    <row r="893" spans="1:9">
      <c r="A893" t="s">
        <v>118</v>
      </c>
      <c r="B893" t="s">
        <v>116</v>
      </c>
      <c r="C893" t="s">
        <v>134</v>
      </c>
      <c r="D893" t="s">
        <v>876</v>
      </c>
      <c r="E893" s="2">
        <v>4.0999999999999996</v>
      </c>
      <c r="F893" s="2">
        <v>4.0999999999999996</v>
      </c>
      <c r="G893" t="s">
        <v>2113</v>
      </c>
      <c r="I893" t="s">
        <v>119</v>
      </c>
    </row>
    <row r="894" spans="1:9">
      <c r="A894" t="s">
        <v>118</v>
      </c>
      <c r="B894" t="s">
        <v>116</v>
      </c>
      <c r="C894" t="s">
        <v>22</v>
      </c>
      <c r="D894" t="s">
        <v>981</v>
      </c>
      <c r="E894" s="2">
        <v>3.6</v>
      </c>
      <c r="F894" s="2">
        <v>3.6</v>
      </c>
      <c r="G894" t="s">
        <v>2113</v>
      </c>
      <c r="I894" t="s">
        <v>119</v>
      </c>
    </row>
    <row r="895" spans="1:9">
      <c r="A895" t="s">
        <v>118</v>
      </c>
      <c r="B895" t="s">
        <v>116</v>
      </c>
      <c r="C895" t="s">
        <v>134</v>
      </c>
      <c r="D895" t="s">
        <v>981</v>
      </c>
      <c r="E895" s="2">
        <v>4.2</v>
      </c>
      <c r="F895" s="2">
        <v>4.2</v>
      </c>
      <c r="G895" t="s">
        <v>2113</v>
      </c>
      <c r="I895" t="s">
        <v>119</v>
      </c>
    </row>
    <row r="896" spans="1:9">
      <c r="A896" t="s">
        <v>118</v>
      </c>
      <c r="B896" t="s">
        <v>116</v>
      </c>
      <c r="C896" t="s">
        <v>22</v>
      </c>
      <c r="D896" t="s">
        <v>1086</v>
      </c>
      <c r="E896" s="2">
        <v>3.7</v>
      </c>
      <c r="F896" s="2">
        <v>3.7</v>
      </c>
      <c r="G896" t="s">
        <v>2113</v>
      </c>
      <c r="I896" t="s">
        <v>119</v>
      </c>
    </row>
    <row r="897" spans="1:9">
      <c r="A897" t="s">
        <v>118</v>
      </c>
      <c r="B897" t="s">
        <v>116</v>
      </c>
      <c r="C897" t="s">
        <v>134</v>
      </c>
      <c r="D897" t="s">
        <v>1086</v>
      </c>
      <c r="E897" s="2">
        <v>4.3</v>
      </c>
      <c r="F897" s="2">
        <v>4.3</v>
      </c>
      <c r="G897" t="s">
        <v>2113</v>
      </c>
      <c r="I897" t="s">
        <v>119</v>
      </c>
    </row>
    <row r="898" spans="1:9">
      <c r="A898" t="s">
        <v>118</v>
      </c>
      <c r="B898" t="s">
        <v>116</v>
      </c>
      <c r="C898" t="s">
        <v>22</v>
      </c>
      <c r="D898" t="s">
        <v>1183</v>
      </c>
      <c r="E898" s="2">
        <v>4.0999999999999996</v>
      </c>
      <c r="F898" s="2">
        <v>4.0999999999999996</v>
      </c>
      <c r="G898" t="s">
        <v>2113</v>
      </c>
      <c r="I898" t="s">
        <v>119</v>
      </c>
    </row>
    <row r="899" spans="1:9">
      <c r="A899" t="s">
        <v>118</v>
      </c>
      <c r="B899" t="s">
        <v>116</v>
      </c>
      <c r="C899" t="s">
        <v>134</v>
      </c>
      <c r="D899" t="s">
        <v>1183</v>
      </c>
      <c r="E899" s="2">
        <v>4.5</v>
      </c>
      <c r="F899" s="2">
        <v>4.5</v>
      </c>
      <c r="G899" t="s">
        <v>2113</v>
      </c>
      <c r="I899" t="s">
        <v>119</v>
      </c>
    </row>
    <row r="900" spans="1:9">
      <c r="A900" t="s">
        <v>118</v>
      </c>
      <c r="B900" t="s">
        <v>116</v>
      </c>
      <c r="C900" t="s">
        <v>22</v>
      </c>
      <c r="D900" t="s">
        <v>1276</v>
      </c>
      <c r="E900" s="2">
        <v>4</v>
      </c>
      <c r="F900" s="2">
        <v>4</v>
      </c>
      <c r="G900" t="s">
        <v>2113</v>
      </c>
      <c r="I900" t="s">
        <v>119</v>
      </c>
    </row>
    <row r="901" spans="1:9">
      <c r="A901" t="s">
        <v>118</v>
      </c>
      <c r="B901" t="s">
        <v>116</v>
      </c>
      <c r="C901" t="s">
        <v>134</v>
      </c>
      <c r="D901" t="s">
        <v>1276</v>
      </c>
      <c r="E901" s="2">
        <v>4.0999999999999996</v>
      </c>
      <c r="F901" s="2">
        <v>4.0999999999999996</v>
      </c>
      <c r="G901" t="s">
        <v>2113</v>
      </c>
      <c r="I901" t="s">
        <v>119</v>
      </c>
    </row>
    <row r="902" spans="1:9">
      <c r="A902" t="s">
        <v>118</v>
      </c>
      <c r="B902" t="s">
        <v>116</v>
      </c>
      <c r="C902" t="s">
        <v>22</v>
      </c>
      <c r="D902" t="s">
        <v>21</v>
      </c>
      <c r="E902" s="2">
        <v>3.7</v>
      </c>
      <c r="F902" s="2">
        <v>3.7</v>
      </c>
      <c r="G902" t="s">
        <v>2113</v>
      </c>
      <c r="I902" t="s">
        <v>119</v>
      </c>
    </row>
    <row r="903" spans="1:9">
      <c r="A903" t="s">
        <v>118</v>
      </c>
      <c r="B903" t="s">
        <v>116</v>
      </c>
      <c r="C903" t="s">
        <v>134</v>
      </c>
      <c r="D903" t="s">
        <v>21</v>
      </c>
      <c r="E903" s="2">
        <v>3.7</v>
      </c>
      <c r="F903" s="2">
        <v>3.7</v>
      </c>
      <c r="G903" t="s">
        <v>2113</v>
      </c>
      <c r="I903" t="s">
        <v>119</v>
      </c>
    </row>
    <row r="904" spans="1:9">
      <c r="A904" t="s">
        <v>118</v>
      </c>
      <c r="B904" t="s">
        <v>116</v>
      </c>
      <c r="C904" t="s">
        <v>22</v>
      </c>
      <c r="D904" t="s">
        <v>1469</v>
      </c>
      <c r="E904" s="2">
        <v>3.5</v>
      </c>
      <c r="F904" s="2">
        <v>3.5</v>
      </c>
      <c r="G904" t="s">
        <v>2113</v>
      </c>
      <c r="I904" t="s">
        <v>119</v>
      </c>
    </row>
    <row r="905" spans="1:9">
      <c r="A905" t="s">
        <v>118</v>
      </c>
      <c r="B905" t="s">
        <v>116</v>
      </c>
      <c r="C905" t="s">
        <v>134</v>
      </c>
      <c r="D905" t="s">
        <v>1469</v>
      </c>
      <c r="E905" s="2">
        <v>3.4</v>
      </c>
      <c r="F905" s="2">
        <v>3.4</v>
      </c>
      <c r="G905" t="s">
        <v>2113</v>
      </c>
      <c r="I905" t="s">
        <v>119</v>
      </c>
    </row>
    <row r="906" spans="1:9">
      <c r="A906" t="s">
        <v>118</v>
      </c>
      <c r="B906" t="s">
        <v>116</v>
      </c>
      <c r="C906" t="s">
        <v>22</v>
      </c>
      <c r="D906" t="s">
        <v>1566</v>
      </c>
      <c r="E906" s="2">
        <v>3.2</v>
      </c>
      <c r="F906" s="2">
        <v>3.2</v>
      </c>
      <c r="G906" t="s">
        <v>2113</v>
      </c>
      <c r="I906" t="s">
        <v>119</v>
      </c>
    </row>
    <row r="907" spans="1:9">
      <c r="A907" t="s">
        <v>118</v>
      </c>
      <c r="B907" t="s">
        <v>116</v>
      </c>
      <c r="C907" t="s">
        <v>134</v>
      </c>
      <c r="D907" t="s">
        <v>1566</v>
      </c>
      <c r="E907" s="2">
        <v>3.1</v>
      </c>
      <c r="F907" s="2">
        <v>3.1</v>
      </c>
      <c r="G907" t="s">
        <v>2113</v>
      </c>
      <c r="I907" t="s">
        <v>119</v>
      </c>
    </row>
    <row r="908" spans="1:9">
      <c r="A908" t="s">
        <v>118</v>
      </c>
      <c r="B908" t="s">
        <v>116</v>
      </c>
      <c r="C908" t="s">
        <v>22</v>
      </c>
      <c r="D908" t="s">
        <v>1663</v>
      </c>
      <c r="E908" s="2">
        <v>3</v>
      </c>
      <c r="F908" s="2">
        <v>3</v>
      </c>
      <c r="G908" t="s">
        <v>2113</v>
      </c>
      <c r="I908" t="s">
        <v>119</v>
      </c>
    </row>
    <row r="909" spans="1:9">
      <c r="A909" t="s">
        <v>118</v>
      </c>
      <c r="B909" t="s">
        <v>116</v>
      </c>
      <c r="C909" t="s">
        <v>134</v>
      </c>
      <c r="D909" t="s">
        <v>1663</v>
      </c>
      <c r="E909" s="2">
        <v>3</v>
      </c>
      <c r="F909" s="2">
        <v>3</v>
      </c>
      <c r="G909" t="s">
        <v>2113</v>
      </c>
      <c r="I909" t="s">
        <v>119</v>
      </c>
    </row>
    <row r="910" spans="1:9">
      <c r="A910" t="s">
        <v>118</v>
      </c>
      <c r="B910" t="s">
        <v>116</v>
      </c>
      <c r="C910" t="s">
        <v>22</v>
      </c>
      <c r="D910" t="s">
        <v>1760</v>
      </c>
      <c r="E910" s="2">
        <v>3</v>
      </c>
      <c r="F910" s="2">
        <v>3</v>
      </c>
      <c r="G910" t="s">
        <v>2113</v>
      </c>
      <c r="I910" t="s">
        <v>119</v>
      </c>
    </row>
    <row r="911" spans="1:9">
      <c r="A911" t="s">
        <v>118</v>
      </c>
      <c r="B911" t="s">
        <v>116</v>
      </c>
      <c r="C911" t="s">
        <v>134</v>
      </c>
      <c r="D911" t="s">
        <v>1760</v>
      </c>
      <c r="E911" s="2">
        <v>3</v>
      </c>
      <c r="F911" s="2">
        <v>3</v>
      </c>
      <c r="G911" t="s">
        <v>2113</v>
      </c>
      <c r="I911" t="s">
        <v>119</v>
      </c>
    </row>
    <row r="912" spans="1:9">
      <c r="A912" t="s">
        <v>118</v>
      </c>
      <c r="B912" t="s">
        <v>116</v>
      </c>
      <c r="C912" t="s">
        <v>22</v>
      </c>
      <c r="D912" t="s">
        <v>1857</v>
      </c>
      <c r="E912" s="2">
        <v>3</v>
      </c>
      <c r="F912" s="2">
        <v>3</v>
      </c>
      <c r="G912" t="s">
        <v>2113</v>
      </c>
      <c r="I912" t="s">
        <v>119</v>
      </c>
    </row>
    <row r="913" spans="1:9">
      <c r="A913" t="s">
        <v>118</v>
      </c>
      <c r="B913" t="s">
        <v>116</v>
      </c>
      <c r="C913" t="s">
        <v>134</v>
      </c>
      <c r="D913" t="s">
        <v>1857</v>
      </c>
      <c r="E913" s="2">
        <v>3</v>
      </c>
      <c r="F913" s="2">
        <v>3</v>
      </c>
      <c r="G913" t="s">
        <v>2113</v>
      </c>
      <c r="I913" t="s">
        <v>119</v>
      </c>
    </row>
    <row r="914" spans="1:9">
      <c r="A914" t="s">
        <v>118</v>
      </c>
      <c r="B914" t="s">
        <v>116</v>
      </c>
      <c r="C914" t="s">
        <v>22</v>
      </c>
      <c r="D914" t="s">
        <v>1954</v>
      </c>
      <c r="E914" s="2">
        <v>3</v>
      </c>
      <c r="F914" s="2">
        <v>3</v>
      </c>
      <c r="G914" t="s">
        <v>2113</v>
      </c>
      <c r="I914" t="s">
        <v>119</v>
      </c>
    </row>
    <row r="915" spans="1:9">
      <c r="A915" t="s">
        <v>118</v>
      </c>
      <c r="B915" t="s">
        <v>116</v>
      </c>
      <c r="C915" t="s">
        <v>134</v>
      </c>
      <c r="D915" t="s">
        <v>1954</v>
      </c>
      <c r="E915" s="2">
        <v>3</v>
      </c>
      <c r="F915" s="2">
        <v>3</v>
      </c>
      <c r="G915" t="s">
        <v>2113</v>
      </c>
      <c r="I915" t="s">
        <v>119</v>
      </c>
    </row>
    <row r="916" spans="1:9">
      <c r="A916" t="s">
        <v>120</v>
      </c>
      <c r="B916" t="s">
        <v>118</v>
      </c>
      <c r="C916" t="s">
        <v>22</v>
      </c>
      <c r="D916" t="s">
        <v>981</v>
      </c>
      <c r="E916" s="2">
        <v>3.6</v>
      </c>
      <c r="F916" s="2">
        <v>3.6</v>
      </c>
      <c r="G916" t="s">
        <v>2113</v>
      </c>
      <c r="I916" t="s">
        <v>121</v>
      </c>
    </row>
    <row r="917" spans="1:9">
      <c r="A917" t="s">
        <v>120</v>
      </c>
      <c r="B917" t="s">
        <v>118</v>
      </c>
      <c r="C917" t="s">
        <v>134</v>
      </c>
      <c r="D917" t="s">
        <v>981</v>
      </c>
      <c r="E917" s="2">
        <v>4.2</v>
      </c>
      <c r="F917" s="2">
        <v>4.2</v>
      </c>
      <c r="G917" t="s">
        <v>2113</v>
      </c>
      <c r="I917" t="s">
        <v>121</v>
      </c>
    </row>
    <row r="918" spans="1:9">
      <c r="A918" t="s">
        <v>120</v>
      </c>
      <c r="B918" t="s">
        <v>118</v>
      </c>
      <c r="C918" t="s">
        <v>22</v>
      </c>
      <c r="D918" t="s">
        <v>1086</v>
      </c>
      <c r="E918" s="2">
        <v>3.7</v>
      </c>
      <c r="F918" s="2">
        <v>3.7</v>
      </c>
      <c r="G918" t="s">
        <v>2113</v>
      </c>
      <c r="I918" t="s">
        <v>121</v>
      </c>
    </row>
    <row r="919" spans="1:9">
      <c r="A919" t="s">
        <v>120</v>
      </c>
      <c r="B919" t="s">
        <v>118</v>
      </c>
      <c r="C919" t="s">
        <v>134</v>
      </c>
      <c r="D919" t="s">
        <v>1086</v>
      </c>
      <c r="E919" s="2">
        <v>4.3</v>
      </c>
      <c r="F919" s="2">
        <v>4.3</v>
      </c>
      <c r="G919" t="s">
        <v>2113</v>
      </c>
      <c r="I919" t="s">
        <v>121</v>
      </c>
    </row>
    <row r="920" spans="1:9">
      <c r="A920" t="s">
        <v>120</v>
      </c>
      <c r="B920" t="s">
        <v>118</v>
      </c>
      <c r="C920" t="s">
        <v>22</v>
      </c>
      <c r="D920" t="s">
        <v>1183</v>
      </c>
      <c r="E920" s="2">
        <v>4.0999999999999996</v>
      </c>
      <c r="F920" s="2">
        <v>4.0999999999999996</v>
      </c>
      <c r="G920" t="s">
        <v>2113</v>
      </c>
      <c r="I920" t="s">
        <v>121</v>
      </c>
    </row>
    <row r="921" spans="1:9">
      <c r="A921" t="s">
        <v>120</v>
      </c>
      <c r="B921" t="s">
        <v>118</v>
      </c>
      <c r="C921" t="s">
        <v>134</v>
      </c>
      <c r="D921" t="s">
        <v>1183</v>
      </c>
      <c r="E921" s="2">
        <v>4.5</v>
      </c>
      <c r="F921" s="2">
        <v>4.5</v>
      </c>
      <c r="G921" t="s">
        <v>2113</v>
      </c>
      <c r="I921" t="s">
        <v>121</v>
      </c>
    </row>
    <row r="922" spans="1:9">
      <c r="A922" t="s">
        <v>120</v>
      </c>
      <c r="B922" t="s">
        <v>118</v>
      </c>
      <c r="C922" t="s">
        <v>22</v>
      </c>
      <c r="D922" t="s">
        <v>1276</v>
      </c>
      <c r="E922" s="2">
        <v>4.0999999999999996</v>
      </c>
      <c r="F922" s="2">
        <v>4.0999999999999996</v>
      </c>
      <c r="G922" t="s">
        <v>2113</v>
      </c>
      <c r="I922" t="s">
        <v>121</v>
      </c>
    </row>
    <row r="923" spans="1:9">
      <c r="A923" t="s">
        <v>120</v>
      </c>
      <c r="B923" t="s">
        <v>118</v>
      </c>
      <c r="C923" t="s">
        <v>134</v>
      </c>
      <c r="D923" t="s">
        <v>1276</v>
      </c>
      <c r="E923" s="2">
        <v>4.0999999999999996</v>
      </c>
      <c r="F923" s="2">
        <v>4.0999999999999996</v>
      </c>
      <c r="G923" t="s">
        <v>2113</v>
      </c>
      <c r="I923" t="s">
        <v>121</v>
      </c>
    </row>
    <row r="924" spans="1:9">
      <c r="A924" t="s">
        <v>120</v>
      </c>
      <c r="B924" t="s">
        <v>118</v>
      </c>
      <c r="C924" t="s">
        <v>22</v>
      </c>
      <c r="D924" t="s">
        <v>21</v>
      </c>
      <c r="E924" s="2">
        <v>3.8</v>
      </c>
      <c r="F924" s="2">
        <v>3.8</v>
      </c>
      <c r="G924" t="s">
        <v>2113</v>
      </c>
      <c r="I924" t="s">
        <v>121</v>
      </c>
    </row>
    <row r="925" spans="1:9">
      <c r="A925" t="s">
        <v>120</v>
      </c>
      <c r="B925" t="s">
        <v>118</v>
      </c>
      <c r="C925" t="s">
        <v>134</v>
      </c>
      <c r="D925" t="s">
        <v>21</v>
      </c>
      <c r="E925" s="2">
        <v>3.7</v>
      </c>
      <c r="F925" s="2">
        <v>3.7</v>
      </c>
      <c r="G925" t="s">
        <v>2113</v>
      </c>
      <c r="I925" t="s">
        <v>121</v>
      </c>
    </row>
    <row r="926" spans="1:9">
      <c r="A926" t="s">
        <v>120</v>
      </c>
      <c r="B926" t="s">
        <v>118</v>
      </c>
      <c r="C926" t="s">
        <v>22</v>
      </c>
      <c r="D926" t="s">
        <v>1469</v>
      </c>
      <c r="E926" s="2">
        <v>3.5</v>
      </c>
      <c r="F926" s="2">
        <v>3.5</v>
      </c>
      <c r="G926" t="s">
        <v>2113</v>
      </c>
      <c r="I926" t="s">
        <v>121</v>
      </c>
    </row>
    <row r="927" spans="1:9">
      <c r="A927" t="s">
        <v>120</v>
      </c>
      <c r="B927" t="s">
        <v>118</v>
      </c>
      <c r="C927" t="s">
        <v>134</v>
      </c>
      <c r="D927" t="s">
        <v>1469</v>
      </c>
      <c r="E927" s="2">
        <v>3.4</v>
      </c>
      <c r="F927" s="2">
        <v>3.4</v>
      </c>
      <c r="G927" t="s">
        <v>2113</v>
      </c>
      <c r="I927" t="s">
        <v>121</v>
      </c>
    </row>
    <row r="928" spans="1:9">
      <c r="A928" t="s">
        <v>120</v>
      </c>
      <c r="B928" t="s">
        <v>118</v>
      </c>
      <c r="C928" t="s">
        <v>22</v>
      </c>
      <c r="D928" t="s">
        <v>1566</v>
      </c>
      <c r="E928" s="2">
        <v>3.2</v>
      </c>
      <c r="F928" s="2">
        <v>3.2</v>
      </c>
      <c r="G928" t="s">
        <v>2113</v>
      </c>
      <c r="I928" t="s">
        <v>121</v>
      </c>
    </row>
    <row r="929" spans="1:9">
      <c r="A929" t="s">
        <v>120</v>
      </c>
      <c r="B929" t="s">
        <v>118</v>
      </c>
      <c r="C929" t="s">
        <v>134</v>
      </c>
      <c r="D929" t="s">
        <v>1566</v>
      </c>
      <c r="E929" s="2">
        <v>3.1</v>
      </c>
      <c r="F929" s="2">
        <v>3.1</v>
      </c>
      <c r="G929" t="s">
        <v>2113</v>
      </c>
      <c r="I929" t="s">
        <v>121</v>
      </c>
    </row>
    <row r="930" spans="1:9">
      <c r="A930" t="s">
        <v>120</v>
      </c>
      <c r="B930" t="s">
        <v>118</v>
      </c>
      <c r="C930" t="s">
        <v>22</v>
      </c>
      <c r="D930" t="s">
        <v>1663</v>
      </c>
      <c r="E930" s="2">
        <v>3</v>
      </c>
      <c r="F930" s="2">
        <v>3</v>
      </c>
      <c r="G930" t="s">
        <v>2113</v>
      </c>
      <c r="I930" t="s">
        <v>121</v>
      </c>
    </row>
    <row r="931" spans="1:9">
      <c r="A931" t="s">
        <v>120</v>
      </c>
      <c r="B931" t="s">
        <v>118</v>
      </c>
      <c r="C931" t="s">
        <v>134</v>
      </c>
      <c r="D931" t="s">
        <v>1663</v>
      </c>
      <c r="E931" s="2">
        <v>3</v>
      </c>
      <c r="F931" s="2">
        <v>3</v>
      </c>
      <c r="G931" t="s">
        <v>2113</v>
      </c>
      <c r="I931" t="s">
        <v>121</v>
      </c>
    </row>
    <row r="932" spans="1:9">
      <c r="A932" t="s">
        <v>120</v>
      </c>
      <c r="B932" t="s">
        <v>118</v>
      </c>
      <c r="C932" t="s">
        <v>22</v>
      </c>
      <c r="D932" t="s">
        <v>1760</v>
      </c>
      <c r="E932" s="2">
        <v>3</v>
      </c>
      <c r="F932" s="2">
        <v>3</v>
      </c>
      <c r="G932" t="s">
        <v>2113</v>
      </c>
      <c r="I932" t="s">
        <v>121</v>
      </c>
    </row>
    <row r="933" spans="1:9">
      <c r="A933" t="s">
        <v>120</v>
      </c>
      <c r="B933" t="s">
        <v>118</v>
      </c>
      <c r="C933" t="s">
        <v>134</v>
      </c>
      <c r="D933" t="s">
        <v>1760</v>
      </c>
      <c r="E933" s="2">
        <v>3</v>
      </c>
      <c r="F933" s="2">
        <v>3</v>
      </c>
      <c r="G933" t="s">
        <v>2113</v>
      </c>
      <c r="I933" t="s">
        <v>121</v>
      </c>
    </row>
    <row r="934" spans="1:9">
      <c r="A934" t="s">
        <v>120</v>
      </c>
      <c r="B934" t="s">
        <v>118</v>
      </c>
      <c r="C934" t="s">
        <v>22</v>
      </c>
      <c r="D934" t="s">
        <v>1857</v>
      </c>
      <c r="E934" s="2">
        <v>3</v>
      </c>
      <c r="F934" s="2">
        <v>3</v>
      </c>
      <c r="G934" t="s">
        <v>2113</v>
      </c>
      <c r="I934" t="s">
        <v>121</v>
      </c>
    </row>
    <row r="935" spans="1:9">
      <c r="A935" t="s">
        <v>120</v>
      </c>
      <c r="B935" t="s">
        <v>118</v>
      </c>
      <c r="C935" t="s">
        <v>134</v>
      </c>
      <c r="D935" t="s">
        <v>1857</v>
      </c>
      <c r="E935" s="2">
        <v>3</v>
      </c>
      <c r="F935" s="2">
        <v>3</v>
      </c>
      <c r="G935" t="s">
        <v>2113</v>
      </c>
      <c r="I935" t="s">
        <v>121</v>
      </c>
    </row>
    <row r="936" spans="1:9">
      <c r="A936" t="s">
        <v>120</v>
      </c>
      <c r="B936" t="s">
        <v>118</v>
      </c>
      <c r="C936" t="s">
        <v>22</v>
      </c>
      <c r="D936" t="s">
        <v>1954</v>
      </c>
      <c r="E936" s="2">
        <v>3</v>
      </c>
      <c r="F936" s="2">
        <v>3</v>
      </c>
      <c r="G936" t="s">
        <v>2113</v>
      </c>
      <c r="I936" t="s">
        <v>121</v>
      </c>
    </row>
    <row r="937" spans="1:9">
      <c r="A937" t="s">
        <v>120</v>
      </c>
      <c r="B937" t="s">
        <v>118</v>
      </c>
      <c r="C937" t="s">
        <v>134</v>
      </c>
      <c r="D937" t="s">
        <v>1954</v>
      </c>
      <c r="E937" s="2">
        <v>3</v>
      </c>
      <c r="F937" s="2">
        <v>3</v>
      </c>
      <c r="G937" t="s">
        <v>2113</v>
      </c>
      <c r="I937" t="s">
        <v>121</v>
      </c>
    </row>
    <row r="938" spans="1:9">
      <c r="A938" t="s">
        <v>122</v>
      </c>
      <c r="B938" t="s">
        <v>120</v>
      </c>
      <c r="C938" t="s">
        <v>22</v>
      </c>
      <c r="D938" t="s">
        <v>981</v>
      </c>
      <c r="E938" s="2">
        <v>3.6</v>
      </c>
      <c r="F938" s="2">
        <v>3.6</v>
      </c>
      <c r="G938" t="s">
        <v>2113</v>
      </c>
      <c r="I938" t="s">
        <v>123</v>
      </c>
    </row>
    <row r="939" spans="1:9">
      <c r="A939" t="s">
        <v>122</v>
      </c>
      <c r="B939" t="s">
        <v>120</v>
      </c>
      <c r="C939" t="s">
        <v>134</v>
      </c>
      <c r="D939" t="s">
        <v>981</v>
      </c>
      <c r="E939" s="2">
        <v>4.2</v>
      </c>
      <c r="F939" s="2">
        <v>4.2</v>
      </c>
      <c r="G939" t="s">
        <v>2113</v>
      </c>
      <c r="I939" t="s">
        <v>123</v>
      </c>
    </row>
    <row r="940" spans="1:9">
      <c r="A940" t="s">
        <v>122</v>
      </c>
      <c r="B940" t="s">
        <v>120</v>
      </c>
      <c r="C940" t="s">
        <v>22</v>
      </c>
      <c r="D940" t="s">
        <v>1086</v>
      </c>
      <c r="E940" s="2">
        <v>3.7</v>
      </c>
      <c r="F940" s="2">
        <v>3.7</v>
      </c>
      <c r="G940" t="s">
        <v>2113</v>
      </c>
      <c r="I940" t="s">
        <v>123</v>
      </c>
    </row>
    <row r="941" spans="1:9">
      <c r="A941" t="s">
        <v>122</v>
      </c>
      <c r="B941" t="s">
        <v>120</v>
      </c>
      <c r="C941" t="s">
        <v>134</v>
      </c>
      <c r="D941" t="s">
        <v>1086</v>
      </c>
      <c r="E941" s="2">
        <v>4.3</v>
      </c>
      <c r="F941" s="2">
        <v>4.3</v>
      </c>
      <c r="G941" t="s">
        <v>2113</v>
      </c>
      <c r="I941" t="s">
        <v>123</v>
      </c>
    </row>
    <row r="942" spans="1:9">
      <c r="A942" t="s">
        <v>122</v>
      </c>
      <c r="B942" t="s">
        <v>120</v>
      </c>
      <c r="C942" t="s">
        <v>22</v>
      </c>
      <c r="D942" t="s">
        <v>1183</v>
      </c>
      <c r="E942" s="2">
        <v>4.0999999999999996</v>
      </c>
      <c r="F942" s="2">
        <v>4.0999999999999996</v>
      </c>
      <c r="G942" t="s">
        <v>2113</v>
      </c>
      <c r="I942" t="s">
        <v>123</v>
      </c>
    </row>
    <row r="943" spans="1:9">
      <c r="A943" t="s">
        <v>122</v>
      </c>
      <c r="B943" t="s">
        <v>120</v>
      </c>
      <c r="C943" t="s">
        <v>134</v>
      </c>
      <c r="D943" t="s">
        <v>1183</v>
      </c>
      <c r="E943" s="2">
        <v>4.5</v>
      </c>
      <c r="F943" s="2">
        <v>4.5</v>
      </c>
      <c r="G943" t="s">
        <v>2113</v>
      </c>
      <c r="I943" t="s">
        <v>123</v>
      </c>
    </row>
    <row r="944" spans="1:9">
      <c r="A944" t="s">
        <v>122</v>
      </c>
      <c r="B944" t="s">
        <v>120</v>
      </c>
      <c r="C944" t="s">
        <v>22</v>
      </c>
      <c r="D944" t="s">
        <v>1276</v>
      </c>
      <c r="E944" s="2">
        <v>4</v>
      </c>
      <c r="F944" s="2">
        <v>4</v>
      </c>
      <c r="G944" t="s">
        <v>2113</v>
      </c>
      <c r="I944" t="s">
        <v>123</v>
      </c>
    </row>
    <row r="945" spans="1:9">
      <c r="A945" t="s">
        <v>122</v>
      </c>
      <c r="B945" t="s">
        <v>120</v>
      </c>
      <c r="C945" t="s">
        <v>134</v>
      </c>
      <c r="D945" t="s">
        <v>1276</v>
      </c>
      <c r="E945" s="2">
        <v>4.2</v>
      </c>
      <c r="F945" s="2">
        <v>4.2</v>
      </c>
      <c r="G945" t="s">
        <v>2113</v>
      </c>
      <c r="I945" t="s">
        <v>123</v>
      </c>
    </row>
    <row r="946" spans="1:9">
      <c r="A946" t="s">
        <v>122</v>
      </c>
      <c r="B946" t="s">
        <v>120</v>
      </c>
      <c r="C946" t="s">
        <v>22</v>
      </c>
      <c r="D946" t="s">
        <v>21</v>
      </c>
      <c r="E946" s="2">
        <v>3.8</v>
      </c>
      <c r="F946" s="2">
        <v>3.8</v>
      </c>
      <c r="G946" t="s">
        <v>2113</v>
      </c>
      <c r="I946" t="s">
        <v>123</v>
      </c>
    </row>
    <row r="947" spans="1:9">
      <c r="A947" t="s">
        <v>122</v>
      </c>
      <c r="B947" t="s">
        <v>120</v>
      </c>
      <c r="C947" t="s">
        <v>134</v>
      </c>
      <c r="D947" t="s">
        <v>21</v>
      </c>
      <c r="E947" s="2">
        <v>3.8</v>
      </c>
      <c r="F947" s="2">
        <v>3.8</v>
      </c>
      <c r="G947" t="s">
        <v>2113</v>
      </c>
      <c r="I947" t="s">
        <v>123</v>
      </c>
    </row>
    <row r="948" spans="1:9">
      <c r="A948" t="s">
        <v>122</v>
      </c>
      <c r="B948" t="s">
        <v>120</v>
      </c>
      <c r="C948" t="s">
        <v>22</v>
      </c>
      <c r="D948" t="s">
        <v>1469</v>
      </c>
      <c r="E948" s="2">
        <v>3.5</v>
      </c>
      <c r="F948" s="2">
        <v>3.5</v>
      </c>
      <c r="G948" t="s">
        <v>2113</v>
      </c>
      <c r="I948" t="s">
        <v>123</v>
      </c>
    </row>
    <row r="949" spans="1:9">
      <c r="A949" t="s">
        <v>122</v>
      </c>
      <c r="B949" t="s">
        <v>120</v>
      </c>
      <c r="C949" t="s">
        <v>134</v>
      </c>
      <c r="D949" t="s">
        <v>1469</v>
      </c>
      <c r="E949" s="2">
        <v>3.5</v>
      </c>
      <c r="F949" s="2">
        <v>3.5</v>
      </c>
      <c r="G949" t="s">
        <v>2113</v>
      </c>
      <c r="I949" t="s">
        <v>123</v>
      </c>
    </row>
    <row r="950" spans="1:9">
      <c r="A950" t="s">
        <v>122</v>
      </c>
      <c r="B950" t="s">
        <v>120</v>
      </c>
      <c r="C950" t="s">
        <v>22</v>
      </c>
      <c r="D950" t="s">
        <v>1566</v>
      </c>
      <c r="E950" s="2">
        <v>3.2</v>
      </c>
      <c r="F950" s="2">
        <v>3.2</v>
      </c>
      <c r="G950" t="s">
        <v>2113</v>
      </c>
      <c r="I950" t="s">
        <v>123</v>
      </c>
    </row>
    <row r="951" spans="1:9">
      <c r="A951" t="s">
        <v>122</v>
      </c>
      <c r="B951" t="s">
        <v>120</v>
      </c>
      <c r="C951" t="s">
        <v>134</v>
      </c>
      <c r="D951" t="s">
        <v>1566</v>
      </c>
      <c r="E951" s="2">
        <v>3.1</v>
      </c>
      <c r="F951" s="2">
        <v>3.1</v>
      </c>
      <c r="G951" t="s">
        <v>2113</v>
      </c>
      <c r="I951" t="s">
        <v>123</v>
      </c>
    </row>
    <row r="952" spans="1:9">
      <c r="A952" t="s">
        <v>122</v>
      </c>
      <c r="B952" t="s">
        <v>120</v>
      </c>
      <c r="C952" t="s">
        <v>22</v>
      </c>
      <c r="D952" t="s">
        <v>1663</v>
      </c>
      <c r="E952" s="2">
        <v>3</v>
      </c>
      <c r="F952" s="2">
        <v>3</v>
      </c>
      <c r="G952" t="s">
        <v>2113</v>
      </c>
      <c r="I952" t="s">
        <v>123</v>
      </c>
    </row>
    <row r="953" spans="1:9">
      <c r="A953" t="s">
        <v>122</v>
      </c>
      <c r="B953" t="s">
        <v>120</v>
      </c>
      <c r="C953" t="s">
        <v>134</v>
      </c>
      <c r="D953" t="s">
        <v>1663</v>
      </c>
      <c r="E953" s="2">
        <v>3</v>
      </c>
      <c r="F953" s="2">
        <v>3</v>
      </c>
      <c r="G953" t="s">
        <v>2113</v>
      </c>
      <c r="I953" t="s">
        <v>123</v>
      </c>
    </row>
    <row r="954" spans="1:9">
      <c r="A954" t="s">
        <v>122</v>
      </c>
      <c r="B954" t="s">
        <v>120</v>
      </c>
      <c r="C954" t="s">
        <v>22</v>
      </c>
      <c r="D954" t="s">
        <v>1760</v>
      </c>
      <c r="E954" s="2">
        <v>3</v>
      </c>
      <c r="F954" s="2">
        <v>3</v>
      </c>
      <c r="G954" t="s">
        <v>2113</v>
      </c>
      <c r="I954" t="s">
        <v>123</v>
      </c>
    </row>
    <row r="955" spans="1:9">
      <c r="A955" t="s">
        <v>122</v>
      </c>
      <c r="B955" t="s">
        <v>120</v>
      </c>
      <c r="C955" t="s">
        <v>134</v>
      </c>
      <c r="D955" t="s">
        <v>1760</v>
      </c>
      <c r="E955" s="2">
        <v>3</v>
      </c>
      <c r="F955" s="2">
        <v>3</v>
      </c>
      <c r="G955" t="s">
        <v>2113</v>
      </c>
      <c r="I955" t="s">
        <v>123</v>
      </c>
    </row>
    <row r="956" spans="1:9">
      <c r="A956" t="s">
        <v>122</v>
      </c>
      <c r="B956" t="s">
        <v>120</v>
      </c>
      <c r="C956" t="s">
        <v>22</v>
      </c>
      <c r="D956" t="s">
        <v>1857</v>
      </c>
      <c r="E956" s="2">
        <v>3</v>
      </c>
      <c r="F956" s="2">
        <v>3</v>
      </c>
      <c r="G956" t="s">
        <v>2113</v>
      </c>
      <c r="I956" t="s">
        <v>123</v>
      </c>
    </row>
    <row r="957" spans="1:9">
      <c r="A957" t="s">
        <v>122</v>
      </c>
      <c r="B957" t="s">
        <v>120</v>
      </c>
      <c r="C957" t="s">
        <v>134</v>
      </c>
      <c r="D957" t="s">
        <v>1857</v>
      </c>
      <c r="E957" s="2">
        <v>3</v>
      </c>
      <c r="F957" s="2">
        <v>3</v>
      </c>
      <c r="G957" t="s">
        <v>2113</v>
      </c>
      <c r="I957" t="s">
        <v>123</v>
      </c>
    </row>
    <row r="958" spans="1:9">
      <c r="A958" t="s">
        <v>122</v>
      </c>
      <c r="B958" t="s">
        <v>120</v>
      </c>
      <c r="C958" t="s">
        <v>22</v>
      </c>
      <c r="D958" t="s">
        <v>1954</v>
      </c>
      <c r="E958" s="2">
        <v>3</v>
      </c>
      <c r="F958" s="2">
        <v>3</v>
      </c>
      <c r="G958" t="s">
        <v>2113</v>
      </c>
      <c r="I958" t="s">
        <v>123</v>
      </c>
    </row>
    <row r="959" spans="1:9">
      <c r="A959" t="s">
        <v>122</v>
      </c>
      <c r="B959" t="s">
        <v>120</v>
      </c>
      <c r="C959" t="s">
        <v>134</v>
      </c>
      <c r="D959" t="s">
        <v>1954</v>
      </c>
      <c r="E959" s="2">
        <v>3</v>
      </c>
      <c r="F959" s="2">
        <v>3</v>
      </c>
      <c r="G959" t="s">
        <v>2113</v>
      </c>
      <c r="I959" t="s">
        <v>123</v>
      </c>
    </row>
    <row r="960" spans="1:9">
      <c r="A960" t="s">
        <v>122</v>
      </c>
      <c r="B960" t="s">
        <v>120</v>
      </c>
      <c r="C960" t="s">
        <v>22</v>
      </c>
      <c r="D960" t="s">
        <v>2051</v>
      </c>
      <c r="E960" s="2">
        <v>3</v>
      </c>
      <c r="F960" s="2">
        <v>3</v>
      </c>
      <c r="G960" t="s">
        <v>2113</v>
      </c>
      <c r="I960" t="s">
        <v>123</v>
      </c>
    </row>
    <row r="961" spans="1:9">
      <c r="A961" t="s">
        <v>122</v>
      </c>
      <c r="B961" t="s">
        <v>120</v>
      </c>
      <c r="C961" t="s">
        <v>134</v>
      </c>
      <c r="D961" t="s">
        <v>2051</v>
      </c>
      <c r="E961" s="2">
        <v>3</v>
      </c>
      <c r="F961" s="2">
        <v>3</v>
      </c>
      <c r="G961" t="s">
        <v>2113</v>
      </c>
      <c r="I961" t="s">
        <v>123</v>
      </c>
    </row>
  </sheetData>
  <conditionalFormatting sqref="G2:G961">
    <cfRule type="containsText" dxfId="1" priority="1" operator="containsText" text="Diferencia"/>
    <cfRule type="containsText" dxfId="0" priority="2" operator="containsText" text="Coincide"/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5"/>
  <sheetViews>
    <sheetView showGridLines="0" workbookViewId="0"/>
  </sheetViews>
  <sheetFormatPr defaultRowHeight="13.8"/>
  <cols>
    <col min="1" max="1" width="20" customWidth="1"/>
    <col min="2" max="2" width="31" customWidth="1"/>
    <col min="3" max="3" width="68" customWidth="1"/>
  </cols>
  <sheetData>
    <row r="1" spans="1:3" ht="31.95" customHeight="1">
      <c r="A1" s="10" t="s">
        <v>125</v>
      </c>
      <c r="B1" s="10" t="s">
        <v>126</v>
      </c>
      <c r="C1" s="10" t="s">
        <v>2114</v>
      </c>
    </row>
    <row r="2" spans="1:3">
      <c r="A2" t="s">
        <v>22</v>
      </c>
      <c r="B2" t="s">
        <v>22</v>
      </c>
      <c r="C2" t="s">
        <v>2115</v>
      </c>
    </row>
    <row r="3" spans="1:3">
      <c r="A3" t="s">
        <v>134</v>
      </c>
      <c r="B3" t="s">
        <v>24</v>
      </c>
      <c r="C3" t="s">
        <v>2115</v>
      </c>
    </row>
    <row r="4" spans="1:3">
      <c r="A4" t="s">
        <v>210</v>
      </c>
      <c r="B4" t="s">
        <v>25</v>
      </c>
      <c r="C4" t="s">
        <v>2116</v>
      </c>
    </row>
    <row r="5" spans="1:3">
      <c r="A5" t="s">
        <v>212</v>
      </c>
      <c r="B5" t="s">
        <v>26</v>
      </c>
      <c r="C5" t="s">
        <v>2116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0AF59-59ED-426B-85F0-135EED226B3E}">
  <dimension ref="A1:O101"/>
  <sheetViews>
    <sheetView showGridLines="0" topLeftCell="A71" workbookViewId="0">
      <selection activeCell="F88" sqref="F87:F88"/>
    </sheetView>
  </sheetViews>
  <sheetFormatPr defaultRowHeight="13.8"/>
  <cols>
    <col min="1" max="1" width="14.09765625" bestFit="1" customWidth="1"/>
    <col min="2" max="2" width="7.59765625" bestFit="1" customWidth="1"/>
    <col min="3" max="3" width="15.5" bestFit="1" customWidth="1"/>
    <col min="4" max="4" width="15.69921875" bestFit="1" customWidth="1"/>
    <col min="5" max="5" width="21" bestFit="1" customWidth="1"/>
    <col min="6" max="6" width="17.796875" bestFit="1" customWidth="1"/>
    <col min="7" max="7" width="18.59765625" bestFit="1" customWidth="1"/>
    <col min="8" max="8" width="18" bestFit="1" customWidth="1"/>
    <col min="9" max="9" width="15.5" bestFit="1" customWidth="1"/>
    <col min="10" max="10" width="19.296875" bestFit="1" customWidth="1"/>
    <col min="11" max="11" width="20.59765625" bestFit="1" customWidth="1"/>
    <col min="12" max="12" width="25.69921875" bestFit="1" customWidth="1"/>
    <col min="13" max="13" width="23.296875" bestFit="1" customWidth="1"/>
    <col min="14" max="14" width="18.09765625" bestFit="1" customWidth="1"/>
    <col min="15" max="15" width="130" bestFit="1" customWidth="1"/>
  </cols>
  <sheetData>
    <row r="1" spans="1:15" ht="18.600000000000001" thickBot="1">
      <c r="A1" s="67" t="s">
        <v>2450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</row>
    <row r="2" spans="1:15" ht="15" thickTop="1">
      <c r="A2" s="68" t="s">
        <v>2473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</row>
    <row r="4" spans="1:15" ht="14.4">
      <c r="A4" s="38" t="s">
        <v>125</v>
      </c>
      <c r="B4" s="38" t="s">
        <v>129</v>
      </c>
      <c r="C4" s="38" t="s">
        <v>2451</v>
      </c>
      <c r="D4" s="38" t="s">
        <v>2452</v>
      </c>
      <c r="E4" s="38" t="s">
        <v>2453</v>
      </c>
      <c r="F4" s="38" t="s">
        <v>2454</v>
      </c>
      <c r="G4" s="38" t="s">
        <v>2455</v>
      </c>
      <c r="H4" s="38" t="s">
        <v>2456</v>
      </c>
      <c r="I4" s="38" t="s">
        <v>2457</v>
      </c>
      <c r="J4" s="38" t="s">
        <v>2458</v>
      </c>
      <c r="K4" s="38" t="s">
        <v>2459</v>
      </c>
      <c r="L4" s="38" t="s">
        <v>2460</v>
      </c>
      <c r="M4" s="38" t="s">
        <v>2461</v>
      </c>
      <c r="N4" s="38" t="s">
        <v>2107</v>
      </c>
      <c r="O4" s="38" t="s">
        <v>2462</v>
      </c>
    </row>
    <row r="5" spans="1:15" ht="14.4">
      <c r="A5" t="s">
        <v>22</v>
      </c>
      <c r="B5" t="s">
        <v>132</v>
      </c>
      <c r="C5" s="36">
        <v>44286</v>
      </c>
      <c r="D5" t="s">
        <v>54</v>
      </c>
      <c r="E5" s="36">
        <v>44693</v>
      </c>
      <c r="F5" s="39">
        <v>4</v>
      </c>
      <c r="G5" s="39">
        <v>3.98751928638801</v>
      </c>
      <c r="H5" s="39">
        <v>4</v>
      </c>
      <c r="I5" s="39">
        <v>1.2480713611989991E-2</v>
      </c>
      <c r="J5" s="39">
        <v>1.2480713611989991E-2</v>
      </c>
      <c r="K5" s="39">
        <v>0</v>
      </c>
      <c r="L5" t="s">
        <v>40</v>
      </c>
      <c r="M5">
        <v>7</v>
      </c>
      <c r="N5" t="s">
        <v>2463</v>
      </c>
      <c r="O5" t="s">
        <v>55</v>
      </c>
    </row>
    <row r="6" spans="1:15" ht="14.4">
      <c r="A6" t="s">
        <v>22</v>
      </c>
      <c r="B6" t="s">
        <v>136</v>
      </c>
      <c r="C6" s="36">
        <v>44377</v>
      </c>
      <c r="D6" t="s">
        <v>58</v>
      </c>
      <c r="E6" s="36">
        <v>44784</v>
      </c>
      <c r="F6" s="39">
        <v>6</v>
      </c>
      <c r="G6" s="39">
        <v>5.95211196886964</v>
      </c>
      <c r="H6" s="39">
        <v>6</v>
      </c>
      <c r="I6" s="39">
        <v>4.7888031130359998E-2</v>
      </c>
      <c r="J6" s="39">
        <v>4.7888031130359998E-2</v>
      </c>
      <c r="K6" s="39">
        <v>0</v>
      </c>
      <c r="L6" t="s">
        <v>40</v>
      </c>
      <c r="M6">
        <v>9</v>
      </c>
      <c r="N6" t="s">
        <v>2463</v>
      </c>
      <c r="O6" t="s">
        <v>59</v>
      </c>
    </row>
    <row r="7" spans="1:15" ht="14.4">
      <c r="A7" t="s">
        <v>22</v>
      </c>
      <c r="B7" t="s">
        <v>139</v>
      </c>
      <c r="C7" s="36">
        <v>44469</v>
      </c>
      <c r="D7" t="s">
        <v>62</v>
      </c>
      <c r="E7" s="36">
        <v>44875</v>
      </c>
      <c r="F7" s="39">
        <v>5.8</v>
      </c>
      <c r="G7" s="39">
        <v>5.7994898353559599</v>
      </c>
      <c r="H7" s="39">
        <v>5.8</v>
      </c>
      <c r="I7" s="39">
        <v>5.1016464403996764E-4</v>
      </c>
      <c r="J7" s="39">
        <v>5.1016464403996764E-4</v>
      </c>
      <c r="K7" s="39">
        <v>0</v>
      </c>
      <c r="L7" t="s">
        <v>40</v>
      </c>
      <c r="M7">
        <v>9</v>
      </c>
      <c r="N7" t="s">
        <v>2463</v>
      </c>
      <c r="O7" t="s">
        <v>63</v>
      </c>
    </row>
    <row r="8" spans="1:15" ht="14.4">
      <c r="A8" t="s">
        <v>22</v>
      </c>
      <c r="B8" t="s">
        <v>142</v>
      </c>
      <c r="C8" s="36">
        <v>44561</v>
      </c>
      <c r="D8" t="s">
        <v>64</v>
      </c>
      <c r="E8" s="36">
        <v>44910</v>
      </c>
      <c r="F8" s="39">
        <v>7</v>
      </c>
      <c r="G8" s="39">
        <v>6.9904955934671396</v>
      </c>
      <c r="H8" s="39">
        <v>7</v>
      </c>
      <c r="I8" s="39">
        <v>9.5044065328604432E-3</v>
      </c>
      <c r="J8" s="39">
        <v>9.5044065328604432E-3</v>
      </c>
      <c r="K8" s="39">
        <v>0</v>
      </c>
      <c r="L8" t="s">
        <v>40</v>
      </c>
      <c r="M8">
        <v>8</v>
      </c>
      <c r="N8" t="s">
        <v>2463</v>
      </c>
      <c r="O8" t="s">
        <v>65</v>
      </c>
    </row>
    <row r="9" spans="1:15" ht="14.4">
      <c r="A9" t="s">
        <v>22</v>
      </c>
      <c r="B9" t="s">
        <v>145</v>
      </c>
      <c r="C9" s="36">
        <v>44651</v>
      </c>
      <c r="D9" t="s">
        <v>70</v>
      </c>
      <c r="E9" s="36">
        <v>45064</v>
      </c>
      <c r="F9" s="39">
        <v>7.3</v>
      </c>
      <c r="G9" s="39">
        <v>7.2688554428562497</v>
      </c>
      <c r="H9" s="39">
        <v>7.3</v>
      </c>
      <c r="I9" s="39">
        <v>3.1144557143750085E-2</v>
      </c>
      <c r="J9" s="39">
        <v>3.1144557143750085E-2</v>
      </c>
      <c r="K9" s="39">
        <v>0</v>
      </c>
      <c r="L9" t="s">
        <v>40</v>
      </c>
      <c r="M9">
        <v>9</v>
      </c>
      <c r="N9" t="s">
        <v>2463</v>
      </c>
      <c r="O9" t="s">
        <v>71</v>
      </c>
    </row>
    <row r="10" spans="1:15" ht="14.4">
      <c r="A10" t="s">
        <v>22</v>
      </c>
      <c r="B10" t="s">
        <v>148</v>
      </c>
      <c r="C10" s="36">
        <v>44742</v>
      </c>
      <c r="D10" t="s">
        <v>74</v>
      </c>
      <c r="E10" s="36">
        <v>45148</v>
      </c>
      <c r="F10" s="39">
        <v>7.8</v>
      </c>
      <c r="G10" s="39">
        <v>7.7742597600310503</v>
      </c>
      <c r="H10" s="39">
        <v>7.8</v>
      </c>
      <c r="I10" s="39">
        <v>2.5740239968949474E-2</v>
      </c>
      <c r="J10" s="39">
        <v>2.5740239968949474E-2</v>
      </c>
      <c r="K10" s="39">
        <v>0</v>
      </c>
      <c r="L10" t="s">
        <v>40</v>
      </c>
      <c r="M10">
        <v>9</v>
      </c>
      <c r="N10" t="s">
        <v>2463</v>
      </c>
      <c r="O10" t="s">
        <v>75</v>
      </c>
    </row>
    <row r="11" spans="1:15" ht="14.4">
      <c r="A11" t="s">
        <v>22</v>
      </c>
      <c r="B11" t="s">
        <v>151</v>
      </c>
      <c r="C11" s="36">
        <v>44834</v>
      </c>
      <c r="D11" t="s">
        <v>78</v>
      </c>
      <c r="E11" s="36">
        <v>45239</v>
      </c>
      <c r="F11" s="39">
        <v>8.5</v>
      </c>
      <c r="G11" s="39">
        <v>8.5159359639022298</v>
      </c>
      <c r="H11" s="39">
        <v>8.5</v>
      </c>
      <c r="I11" s="39">
        <v>-1.5935963902229844E-2</v>
      </c>
      <c r="J11" s="39">
        <v>1.5935963902229844E-2</v>
      </c>
      <c r="K11" s="39">
        <v>0</v>
      </c>
      <c r="L11" t="s">
        <v>40</v>
      </c>
      <c r="M11">
        <v>9</v>
      </c>
      <c r="N11" t="s">
        <v>2463</v>
      </c>
      <c r="O11" t="s">
        <v>79</v>
      </c>
    </row>
    <row r="12" spans="1:15" ht="14.4">
      <c r="A12" t="s">
        <v>22</v>
      </c>
      <c r="B12" t="s">
        <v>154</v>
      </c>
      <c r="C12" s="36">
        <v>44926</v>
      </c>
      <c r="D12" t="s">
        <v>80</v>
      </c>
      <c r="E12" s="36">
        <v>45274</v>
      </c>
      <c r="F12" s="39">
        <v>8</v>
      </c>
      <c r="G12" s="39">
        <v>8.0050778692391198</v>
      </c>
      <c r="H12" s="39">
        <v>8</v>
      </c>
      <c r="I12" s="39">
        <v>-5.0778692391197922E-3</v>
      </c>
      <c r="J12" s="39">
        <v>5.0778692391197922E-3</v>
      </c>
      <c r="K12" s="39">
        <v>0</v>
      </c>
      <c r="L12" t="s">
        <v>40</v>
      </c>
      <c r="M12">
        <v>8</v>
      </c>
      <c r="N12" t="s">
        <v>2463</v>
      </c>
      <c r="O12" t="s">
        <v>81</v>
      </c>
    </row>
    <row r="13" spans="1:15" ht="14.4">
      <c r="A13" t="s">
        <v>22</v>
      </c>
      <c r="B13" t="s">
        <v>157</v>
      </c>
      <c r="C13" s="36">
        <v>45016</v>
      </c>
      <c r="D13" t="s">
        <v>82</v>
      </c>
      <c r="E13" s="36">
        <v>45330</v>
      </c>
      <c r="F13" s="39">
        <v>7.5</v>
      </c>
      <c r="G13" s="39">
        <v>7.4561378947309596</v>
      </c>
      <c r="H13" s="39">
        <v>7.5</v>
      </c>
      <c r="I13" s="39">
        <v>4.3862105269040441E-2</v>
      </c>
      <c r="J13" s="39">
        <v>4.3862105269040441E-2</v>
      </c>
      <c r="K13" s="39">
        <v>0</v>
      </c>
      <c r="L13" t="s">
        <v>40</v>
      </c>
      <c r="M13">
        <v>7</v>
      </c>
      <c r="N13" t="s">
        <v>2463</v>
      </c>
      <c r="O13" t="s">
        <v>83</v>
      </c>
    </row>
    <row r="14" spans="1:15" ht="14.4">
      <c r="A14" t="s">
        <v>22</v>
      </c>
      <c r="B14" t="s">
        <v>160</v>
      </c>
      <c r="C14" s="36">
        <v>45107</v>
      </c>
      <c r="D14" t="s">
        <v>84</v>
      </c>
      <c r="E14" s="36">
        <v>45372</v>
      </c>
      <c r="F14" s="39">
        <v>5.7</v>
      </c>
      <c r="G14" s="39">
        <v>5.7124012366884402</v>
      </c>
      <c r="H14" s="39">
        <v>5.7</v>
      </c>
      <c r="I14" s="39">
        <v>-1.2401236688440065E-2</v>
      </c>
      <c r="J14" s="39">
        <v>1.2401236688440065E-2</v>
      </c>
      <c r="K14" s="39">
        <v>0</v>
      </c>
      <c r="L14" t="s">
        <v>40</v>
      </c>
      <c r="M14">
        <v>6</v>
      </c>
      <c r="N14" t="s">
        <v>2463</v>
      </c>
      <c r="O14" t="s">
        <v>85</v>
      </c>
    </row>
    <row r="15" spans="1:15" ht="14.4">
      <c r="A15" t="s">
        <v>22</v>
      </c>
      <c r="B15" t="s">
        <v>183</v>
      </c>
      <c r="C15" s="36">
        <v>45199</v>
      </c>
      <c r="D15" t="s">
        <v>90</v>
      </c>
      <c r="E15" s="36">
        <v>45512</v>
      </c>
      <c r="F15" s="39">
        <v>4.5999999999999996</v>
      </c>
      <c r="G15" s="39">
        <v>4.6253655856642002</v>
      </c>
      <c r="H15" s="39">
        <v>4.5999999999999996</v>
      </c>
      <c r="I15" s="39">
        <v>-2.5365585664200552E-2</v>
      </c>
      <c r="J15" s="39">
        <v>2.5365585664200552E-2</v>
      </c>
      <c r="K15" s="39">
        <v>0</v>
      </c>
      <c r="L15" t="s">
        <v>40</v>
      </c>
      <c r="M15">
        <v>7</v>
      </c>
      <c r="N15" t="s">
        <v>2463</v>
      </c>
      <c r="O15" t="s">
        <v>91</v>
      </c>
    </row>
    <row r="16" spans="1:15" ht="14.4">
      <c r="A16" t="s">
        <v>22</v>
      </c>
      <c r="B16" t="s">
        <v>254</v>
      </c>
      <c r="C16" s="36">
        <v>45291</v>
      </c>
      <c r="D16" t="s">
        <v>94</v>
      </c>
      <c r="E16" s="36">
        <v>45610</v>
      </c>
      <c r="F16" s="39">
        <v>4.4000000000000004</v>
      </c>
      <c r="G16" s="39">
        <v>4.4145482076818103</v>
      </c>
      <c r="H16" s="39">
        <v>4.4000000000000004</v>
      </c>
      <c r="I16" s="39">
        <v>-1.4548207681809977E-2</v>
      </c>
      <c r="J16" s="39">
        <v>1.4548207681809977E-2</v>
      </c>
      <c r="K16" s="39">
        <v>0</v>
      </c>
      <c r="L16" t="s">
        <v>40</v>
      </c>
      <c r="M16">
        <v>7</v>
      </c>
      <c r="N16" t="s">
        <v>2463</v>
      </c>
      <c r="O16" t="s">
        <v>95</v>
      </c>
    </row>
    <row r="17" spans="1:15" ht="14.4">
      <c r="A17" t="s">
        <v>22</v>
      </c>
      <c r="B17" t="s">
        <v>355</v>
      </c>
      <c r="C17" s="36">
        <v>45382</v>
      </c>
      <c r="D17" t="s">
        <v>98</v>
      </c>
      <c r="E17" s="36">
        <v>45694</v>
      </c>
      <c r="F17" s="39">
        <v>4.5999999999999996</v>
      </c>
      <c r="G17" s="39">
        <v>4.5678282100523502</v>
      </c>
      <c r="H17" s="39">
        <v>4.5999999999999996</v>
      </c>
      <c r="I17" s="39">
        <v>3.2171789947649465E-2</v>
      </c>
      <c r="J17" s="39">
        <v>3.2171789947649465E-2</v>
      </c>
      <c r="K17" s="39">
        <v>0</v>
      </c>
      <c r="L17" t="s">
        <v>40</v>
      </c>
      <c r="M17">
        <v>7</v>
      </c>
      <c r="N17" t="s">
        <v>2463</v>
      </c>
      <c r="O17" t="s">
        <v>99</v>
      </c>
    </row>
    <row r="18" spans="1:15" ht="14.4">
      <c r="A18" t="s">
        <v>22</v>
      </c>
      <c r="B18" t="s">
        <v>460</v>
      </c>
      <c r="C18" s="36">
        <v>45473</v>
      </c>
      <c r="D18" t="s">
        <v>102</v>
      </c>
      <c r="E18" s="36">
        <v>45792</v>
      </c>
      <c r="F18" s="39">
        <v>4.8</v>
      </c>
      <c r="G18" s="39">
        <v>4.7719940415066802</v>
      </c>
      <c r="H18" s="39">
        <v>4.8</v>
      </c>
      <c r="I18" s="39">
        <v>2.800595849331966E-2</v>
      </c>
      <c r="J18" s="39">
        <v>2.800595849331966E-2</v>
      </c>
      <c r="K18" s="39">
        <v>0</v>
      </c>
      <c r="L18" t="s">
        <v>40</v>
      </c>
      <c r="M18">
        <v>7</v>
      </c>
      <c r="N18" t="s">
        <v>2463</v>
      </c>
      <c r="O18" t="s">
        <v>103</v>
      </c>
    </row>
    <row r="19" spans="1:15" ht="14.4">
      <c r="A19" t="s">
        <v>22</v>
      </c>
      <c r="B19" t="s">
        <v>565</v>
      </c>
      <c r="C19" s="36">
        <v>45565</v>
      </c>
      <c r="D19" t="s">
        <v>106</v>
      </c>
      <c r="E19" s="36">
        <v>45876</v>
      </c>
      <c r="F19" s="39">
        <v>5</v>
      </c>
      <c r="G19" s="39">
        <v>5.0448266009776299</v>
      </c>
      <c r="H19" s="39">
        <v>5</v>
      </c>
      <c r="I19" s="39">
        <v>-4.4826600977629916E-2</v>
      </c>
      <c r="J19" s="39">
        <v>4.4826600977629916E-2</v>
      </c>
      <c r="K19" s="39">
        <v>0</v>
      </c>
      <c r="L19" t="s">
        <v>40</v>
      </c>
      <c r="M19">
        <v>7</v>
      </c>
      <c r="N19" t="s">
        <v>2463</v>
      </c>
      <c r="O19" t="s">
        <v>107</v>
      </c>
    </row>
    <row r="20" spans="1:15" ht="14.4">
      <c r="A20" t="s">
        <v>22</v>
      </c>
      <c r="B20" t="s">
        <v>670</v>
      </c>
      <c r="C20" s="36">
        <v>45657</v>
      </c>
      <c r="D20" t="s">
        <v>110</v>
      </c>
      <c r="E20" s="36">
        <v>45967</v>
      </c>
      <c r="F20" s="39">
        <v>4.5</v>
      </c>
      <c r="G20" s="39">
        <v>4.5062837990299798</v>
      </c>
      <c r="H20" s="39">
        <v>4.5</v>
      </c>
      <c r="I20" s="39">
        <v>-6.2837990299797752E-3</v>
      </c>
      <c r="J20" s="39">
        <v>6.2837990299797752E-3</v>
      </c>
      <c r="K20" s="39">
        <v>0</v>
      </c>
      <c r="L20" t="s">
        <v>40</v>
      </c>
      <c r="M20">
        <v>7</v>
      </c>
      <c r="N20" t="s">
        <v>2463</v>
      </c>
      <c r="O20" t="s">
        <v>111</v>
      </c>
    </row>
    <row r="21" spans="1:15" ht="14.4">
      <c r="A21" t="s">
        <v>22</v>
      </c>
      <c r="B21" t="s">
        <v>771</v>
      </c>
      <c r="C21" s="36">
        <v>45747</v>
      </c>
      <c r="D21" t="s">
        <v>114</v>
      </c>
      <c r="E21" s="36">
        <v>46058</v>
      </c>
      <c r="F21" s="39">
        <v>3.7</v>
      </c>
      <c r="G21" s="39">
        <v>3.72015021143728</v>
      </c>
      <c r="H21" s="39">
        <v>3.7</v>
      </c>
      <c r="I21" s="39">
        <v>-2.0150211437279797E-2</v>
      </c>
      <c r="J21" s="39">
        <v>2.0150211437279797E-2</v>
      </c>
      <c r="K21" s="39">
        <v>0</v>
      </c>
      <c r="L21" t="s">
        <v>40</v>
      </c>
      <c r="M21">
        <v>7</v>
      </c>
      <c r="N21" t="s">
        <v>2463</v>
      </c>
      <c r="O21" t="s">
        <v>115</v>
      </c>
    </row>
    <row r="22" spans="1:15" ht="14.4">
      <c r="A22" t="s">
        <v>22</v>
      </c>
      <c r="B22" t="s">
        <v>876</v>
      </c>
      <c r="C22" s="36">
        <v>45838</v>
      </c>
      <c r="D22" t="s">
        <v>118</v>
      </c>
      <c r="E22" s="36">
        <v>46149</v>
      </c>
      <c r="F22" s="39">
        <v>4.2</v>
      </c>
      <c r="G22" s="39">
        <v>4.2231469143981597</v>
      </c>
      <c r="H22" s="39">
        <v>4.2</v>
      </c>
      <c r="I22" s="39">
        <v>-2.3146914398159524E-2</v>
      </c>
      <c r="J22" s="39">
        <v>2.3146914398159524E-2</v>
      </c>
      <c r="K22" s="39">
        <v>0</v>
      </c>
      <c r="L22" t="s">
        <v>40</v>
      </c>
      <c r="M22">
        <v>7</v>
      </c>
      <c r="N22" t="s">
        <v>2463</v>
      </c>
      <c r="O22" t="s">
        <v>119</v>
      </c>
    </row>
    <row r="23" spans="1:15" ht="14.4">
      <c r="A23" t="s">
        <v>22</v>
      </c>
      <c r="B23" t="s">
        <v>981</v>
      </c>
      <c r="C23" s="36">
        <v>45930</v>
      </c>
      <c r="D23" t="s">
        <v>122</v>
      </c>
      <c r="E23" s="36">
        <v>46240</v>
      </c>
      <c r="F23" s="39">
        <v>3.6</v>
      </c>
      <c r="G23" s="39">
        <v>3.6138555633968399</v>
      </c>
      <c r="H23" s="39">
        <v>3.6</v>
      </c>
      <c r="I23" s="39">
        <v>-1.3855563396839798E-2</v>
      </c>
      <c r="J23" s="39">
        <v>1.3855563396839798E-2</v>
      </c>
      <c r="K23" s="39">
        <v>0</v>
      </c>
      <c r="L23" t="s">
        <v>40</v>
      </c>
      <c r="M23">
        <v>7</v>
      </c>
      <c r="N23" t="s">
        <v>2463</v>
      </c>
      <c r="O23" t="s">
        <v>123</v>
      </c>
    </row>
    <row r="24" spans="1:15" ht="14.4">
      <c r="A24" t="s">
        <v>22</v>
      </c>
      <c r="B24" t="s">
        <v>1086</v>
      </c>
      <c r="C24" s="36">
        <v>46022</v>
      </c>
      <c r="D24" t="s">
        <v>122</v>
      </c>
      <c r="E24" s="36">
        <v>46240</v>
      </c>
      <c r="F24" s="39">
        <v>3.7</v>
      </c>
      <c r="G24" s="39">
        <v>3.6860657785885902</v>
      </c>
      <c r="H24" s="39">
        <v>3.7</v>
      </c>
      <c r="I24" s="39">
        <v>1.3934221411409986E-2</v>
      </c>
      <c r="J24" s="39">
        <v>1.3934221411409986E-2</v>
      </c>
      <c r="K24" s="39">
        <v>0</v>
      </c>
      <c r="L24" t="s">
        <v>40</v>
      </c>
      <c r="M24">
        <v>5</v>
      </c>
      <c r="N24" t="s">
        <v>2463</v>
      </c>
      <c r="O24" t="s">
        <v>123</v>
      </c>
    </row>
    <row r="25" spans="1:15" ht="14.4">
      <c r="A25" t="s">
        <v>22</v>
      </c>
      <c r="B25" t="s">
        <v>1183</v>
      </c>
      <c r="C25" s="36">
        <v>46112</v>
      </c>
      <c r="D25" t="s">
        <v>122</v>
      </c>
      <c r="E25" s="36">
        <v>46240</v>
      </c>
      <c r="F25" s="39">
        <v>4.0999999999999996</v>
      </c>
      <c r="G25" s="39">
        <v>4.1344929486101201</v>
      </c>
      <c r="H25" s="39">
        <v>4.0999999999999996</v>
      </c>
      <c r="I25" s="39">
        <v>-3.4492948610120422E-2</v>
      </c>
      <c r="J25" s="39">
        <v>3.4492948610120422E-2</v>
      </c>
      <c r="K25" s="39">
        <v>0</v>
      </c>
      <c r="L25" t="s">
        <v>40</v>
      </c>
      <c r="M25">
        <v>3</v>
      </c>
      <c r="N25" t="s">
        <v>2463</v>
      </c>
      <c r="O25" t="s">
        <v>123</v>
      </c>
    </row>
    <row r="26" spans="1:15" ht="14.4">
      <c r="A26" t="s">
        <v>22</v>
      </c>
      <c r="B26" t="s">
        <v>1276</v>
      </c>
      <c r="C26" s="36">
        <v>46203</v>
      </c>
      <c r="D26" t="s">
        <v>122</v>
      </c>
      <c r="E26" s="36">
        <v>46240</v>
      </c>
      <c r="F26" s="39">
        <v>3.9</v>
      </c>
      <c r="G26" s="39">
        <v>3.9167978059075699</v>
      </c>
      <c r="H26" s="39">
        <v>3.9</v>
      </c>
      <c r="I26" s="39">
        <v>-1.6797805907569963E-2</v>
      </c>
      <c r="J26" s="39">
        <v>1.6797805907569963E-2</v>
      </c>
      <c r="K26" s="39">
        <v>0</v>
      </c>
      <c r="L26" t="s">
        <v>40</v>
      </c>
      <c r="M26">
        <v>1</v>
      </c>
      <c r="N26" t="s">
        <v>2463</v>
      </c>
      <c r="O26" t="s">
        <v>123</v>
      </c>
    </row>
    <row r="27" spans="1:15" ht="14.4">
      <c r="A27" t="s">
        <v>210</v>
      </c>
      <c r="B27" t="s">
        <v>132</v>
      </c>
      <c r="C27" s="36">
        <v>44286</v>
      </c>
      <c r="D27" t="s">
        <v>54</v>
      </c>
      <c r="E27" s="36">
        <v>44693</v>
      </c>
      <c r="F27" s="39">
        <v>6.1</v>
      </c>
      <c r="G27" s="39">
        <v>8.8050453774858806</v>
      </c>
      <c r="H27" s="39">
        <v>8.8000000000000007</v>
      </c>
      <c r="I27" s="39">
        <v>-2.7050453774858809</v>
      </c>
      <c r="J27" s="39">
        <v>2.7050453774858809</v>
      </c>
      <c r="K27" s="43">
        <v>-2.7000000000000011</v>
      </c>
      <c r="L27" t="s">
        <v>40</v>
      </c>
      <c r="M27">
        <v>4</v>
      </c>
      <c r="N27" t="s">
        <v>2464</v>
      </c>
      <c r="O27" t="s">
        <v>55</v>
      </c>
    </row>
    <row r="28" spans="1:15" ht="14.4">
      <c r="A28" t="s">
        <v>210</v>
      </c>
      <c r="B28" t="s">
        <v>136</v>
      </c>
      <c r="C28" s="36">
        <v>44377</v>
      </c>
      <c r="D28" t="s">
        <v>58</v>
      </c>
      <c r="E28" s="36">
        <v>44784</v>
      </c>
      <c r="F28" s="39">
        <v>8.6999999999999993</v>
      </c>
      <c r="G28" s="39">
        <v>8.6002271163499309</v>
      </c>
      <c r="H28" s="39">
        <v>8.6</v>
      </c>
      <c r="I28" s="39">
        <v>9.9772883650068422E-2</v>
      </c>
      <c r="J28" s="39">
        <v>9.9772883650068422E-2</v>
      </c>
      <c r="K28" s="43">
        <v>9.9999999999999645E-2</v>
      </c>
      <c r="L28" t="s">
        <v>40</v>
      </c>
      <c r="M28">
        <v>6</v>
      </c>
      <c r="N28" t="s">
        <v>2465</v>
      </c>
      <c r="O28" t="s">
        <v>59</v>
      </c>
    </row>
    <row r="29" spans="1:15" ht="14.4">
      <c r="A29" t="s">
        <v>210</v>
      </c>
      <c r="B29" t="s">
        <v>139</v>
      </c>
      <c r="C29" s="36">
        <v>44469</v>
      </c>
      <c r="D29" t="s">
        <v>62</v>
      </c>
      <c r="E29" s="36">
        <v>44875</v>
      </c>
      <c r="F29" s="39">
        <v>5.8</v>
      </c>
      <c r="G29" s="39">
        <v>5.2715171382995196</v>
      </c>
      <c r="H29" s="39">
        <v>5.3</v>
      </c>
      <c r="I29" s="39">
        <v>0.5284828617004802</v>
      </c>
      <c r="J29" s="39">
        <v>0.5284828617004802</v>
      </c>
      <c r="K29" s="43">
        <v>0.5</v>
      </c>
      <c r="L29" t="s">
        <v>40</v>
      </c>
      <c r="M29">
        <v>8</v>
      </c>
      <c r="N29" t="s">
        <v>2464</v>
      </c>
      <c r="O29" t="s">
        <v>63</v>
      </c>
    </row>
    <row r="30" spans="1:15" ht="14.4">
      <c r="A30" t="s">
        <v>210</v>
      </c>
      <c r="B30" t="s">
        <v>142</v>
      </c>
      <c r="C30" s="36">
        <v>44561</v>
      </c>
      <c r="D30" t="s">
        <v>64</v>
      </c>
      <c r="E30" s="36">
        <v>44910</v>
      </c>
      <c r="F30" s="39">
        <v>8.1</v>
      </c>
      <c r="G30" s="39">
        <v>6.7825289123671304</v>
      </c>
      <c r="H30" s="39">
        <v>6.8</v>
      </c>
      <c r="I30" s="39">
        <v>1.3174710876328692</v>
      </c>
      <c r="J30" s="39">
        <v>1.3174710876328692</v>
      </c>
      <c r="K30" s="43">
        <v>1.2999999999999998</v>
      </c>
      <c r="L30" t="s">
        <v>40</v>
      </c>
      <c r="M30">
        <v>8</v>
      </c>
      <c r="N30" t="s">
        <v>2464</v>
      </c>
      <c r="O30" t="s">
        <v>65</v>
      </c>
    </row>
    <row r="31" spans="1:15" ht="14.4">
      <c r="A31" t="s">
        <v>210</v>
      </c>
      <c r="B31" t="s">
        <v>145</v>
      </c>
      <c r="C31" s="36">
        <v>44651</v>
      </c>
      <c r="D31" t="s">
        <v>70</v>
      </c>
      <c r="E31" s="36">
        <v>45064</v>
      </c>
      <c r="F31" s="39">
        <v>7.4</v>
      </c>
      <c r="G31" s="39">
        <v>9.2051982242139907</v>
      </c>
      <c r="H31" s="39">
        <v>9.1999999999999993</v>
      </c>
      <c r="I31" s="39">
        <v>-1.8051982242139903</v>
      </c>
      <c r="J31" s="39">
        <v>1.8051982242139903</v>
      </c>
      <c r="K31" s="43">
        <v>-1.7999999999999989</v>
      </c>
      <c r="L31" t="s">
        <v>40</v>
      </c>
      <c r="M31">
        <v>9</v>
      </c>
      <c r="N31" t="s">
        <v>2464</v>
      </c>
      <c r="O31" t="s">
        <v>71</v>
      </c>
    </row>
    <row r="32" spans="1:15" ht="14.4">
      <c r="A32" t="s">
        <v>210</v>
      </c>
      <c r="B32" t="s">
        <v>148</v>
      </c>
      <c r="C32" s="36">
        <v>44742</v>
      </c>
      <c r="D32" t="s">
        <v>74</v>
      </c>
      <c r="E32" s="36">
        <v>45148</v>
      </c>
      <c r="F32" s="39">
        <v>10.8</v>
      </c>
      <c r="G32" s="39">
        <v>10.7696713231653</v>
      </c>
      <c r="H32" s="39">
        <v>10.8</v>
      </c>
      <c r="I32" s="39">
        <v>3.0328676834701085E-2</v>
      </c>
      <c r="J32" s="39">
        <v>3.0328676834701085E-2</v>
      </c>
      <c r="K32" s="43">
        <v>0</v>
      </c>
      <c r="L32" t="s">
        <v>40</v>
      </c>
      <c r="M32">
        <v>9</v>
      </c>
      <c r="N32" t="s">
        <v>2463</v>
      </c>
      <c r="O32" t="s">
        <v>75</v>
      </c>
    </row>
    <row r="33" spans="1:15" ht="14.4">
      <c r="A33" t="s">
        <v>210</v>
      </c>
      <c r="B33" t="s">
        <v>151</v>
      </c>
      <c r="C33" s="36">
        <v>44834</v>
      </c>
      <c r="D33" t="s">
        <v>78</v>
      </c>
      <c r="E33" s="36">
        <v>45239</v>
      </c>
      <c r="F33" s="39">
        <v>8.6999999999999993</v>
      </c>
      <c r="G33" s="39">
        <v>8.0811093140157109</v>
      </c>
      <c r="H33" s="39">
        <v>8.1</v>
      </c>
      <c r="I33" s="39">
        <v>0.61889068598428842</v>
      </c>
      <c r="J33" s="39">
        <v>0.61889068598428842</v>
      </c>
      <c r="K33" s="43">
        <v>0.59999999999999964</v>
      </c>
      <c r="L33" t="s">
        <v>40</v>
      </c>
      <c r="M33">
        <v>9</v>
      </c>
      <c r="N33" t="s">
        <v>2464</v>
      </c>
      <c r="O33" t="s">
        <v>79</v>
      </c>
    </row>
    <row r="34" spans="1:15" ht="14.4">
      <c r="A34" t="s">
        <v>210</v>
      </c>
      <c r="B34" t="s">
        <v>154</v>
      </c>
      <c r="C34" s="36">
        <v>44926</v>
      </c>
      <c r="D34" t="s">
        <v>80</v>
      </c>
      <c r="E34" s="36">
        <v>45274</v>
      </c>
      <c r="F34" s="39">
        <v>6.2</v>
      </c>
      <c r="G34" s="39">
        <v>3.3559453800877002</v>
      </c>
      <c r="H34" s="39">
        <v>3.4</v>
      </c>
      <c r="I34" s="39">
        <v>2.8440546199123</v>
      </c>
      <c r="J34" s="39">
        <v>2.8440546199123</v>
      </c>
      <c r="K34" s="43">
        <v>2.8000000000000003</v>
      </c>
      <c r="L34" t="s">
        <v>40</v>
      </c>
      <c r="M34">
        <v>8</v>
      </c>
      <c r="N34" t="s">
        <v>2464</v>
      </c>
      <c r="O34" t="s">
        <v>81</v>
      </c>
    </row>
    <row r="35" spans="1:15" ht="14.4">
      <c r="A35" t="s">
        <v>210</v>
      </c>
      <c r="B35" t="s">
        <v>157</v>
      </c>
      <c r="C35" s="36">
        <v>45016</v>
      </c>
      <c r="D35" t="s">
        <v>82</v>
      </c>
      <c r="E35" s="36">
        <v>45330</v>
      </c>
      <c r="F35" s="39">
        <v>4.9000000000000004</v>
      </c>
      <c r="G35" s="39">
        <v>5.3367510758205903</v>
      </c>
      <c r="H35" s="39">
        <v>5.3</v>
      </c>
      <c r="I35" s="39">
        <v>-0.43675107582058992</v>
      </c>
      <c r="J35" s="39">
        <v>0.43675107582058992</v>
      </c>
      <c r="K35" s="43">
        <v>-0.39999999999999947</v>
      </c>
      <c r="L35" t="s">
        <v>40</v>
      </c>
      <c r="M35">
        <v>7</v>
      </c>
      <c r="N35" t="s">
        <v>2464</v>
      </c>
      <c r="O35" t="s">
        <v>83</v>
      </c>
    </row>
    <row r="36" spans="1:15" ht="14.4">
      <c r="A36" t="s">
        <v>210</v>
      </c>
      <c r="B36" t="s">
        <v>160</v>
      </c>
      <c r="C36" s="36">
        <v>45107</v>
      </c>
      <c r="D36" t="s">
        <v>84</v>
      </c>
      <c r="E36" s="36">
        <v>45372</v>
      </c>
      <c r="F36" s="39">
        <v>3.6</v>
      </c>
      <c r="G36" s="39">
        <v>3.5168119539777298</v>
      </c>
      <c r="H36" s="39">
        <v>3.5</v>
      </c>
      <c r="I36" s="39">
        <v>8.3188046022270257E-2</v>
      </c>
      <c r="J36" s="39">
        <v>8.3188046022270257E-2</v>
      </c>
      <c r="K36" s="43">
        <v>0.10000000000000009</v>
      </c>
      <c r="L36" t="s">
        <v>40</v>
      </c>
      <c r="M36">
        <v>6</v>
      </c>
      <c r="N36" t="s">
        <v>2465</v>
      </c>
      <c r="O36" t="s">
        <v>85</v>
      </c>
    </row>
    <row r="37" spans="1:15" ht="14.4">
      <c r="A37" t="s">
        <v>210</v>
      </c>
      <c r="B37" t="s">
        <v>183</v>
      </c>
      <c r="C37" s="36">
        <v>45199</v>
      </c>
      <c r="D37" t="s">
        <v>90</v>
      </c>
      <c r="E37" s="36">
        <v>45512</v>
      </c>
      <c r="F37" s="39">
        <v>3.9</v>
      </c>
      <c r="G37" s="39">
        <v>5.6287508604557797</v>
      </c>
      <c r="H37" s="39">
        <v>5.6</v>
      </c>
      <c r="I37" s="39">
        <v>-1.7287508604557797</v>
      </c>
      <c r="J37" s="39">
        <v>1.7287508604557797</v>
      </c>
      <c r="K37" s="43">
        <v>-1.6999999999999997</v>
      </c>
      <c r="L37" t="s">
        <v>40</v>
      </c>
      <c r="M37">
        <v>7</v>
      </c>
      <c r="N37" t="s">
        <v>2464</v>
      </c>
      <c r="O37" t="s">
        <v>91</v>
      </c>
    </row>
    <row r="38" spans="1:15" ht="14.4">
      <c r="A38" t="s">
        <v>210</v>
      </c>
      <c r="B38" t="s">
        <v>254</v>
      </c>
      <c r="C38" s="36">
        <v>45291</v>
      </c>
      <c r="D38" t="s">
        <v>94</v>
      </c>
      <c r="E38" s="36">
        <v>45610</v>
      </c>
      <c r="F38" s="39">
        <v>5.3</v>
      </c>
      <c r="G38" s="39">
        <v>4.1752944182191296</v>
      </c>
      <c r="H38" s="39">
        <v>4.2</v>
      </c>
      <c r="I38" s="39">
        <v>1.1247055817808702</v>
      </c>
      <c r="J38" s="39">
        <v>1.1247055817808702</v>
      </c>
      <c r="K38" s="43">
        <v>1.0999999999999996</v>
      </c>
      <c r="L38" t="s">
        <v>40</v>
      </c>
      <c r="M38">
        <v>7</v>
      </c>
      <c r="N38" t="s">
        <v>2464</v>
      </c>
      <c r="O38" t="s">
        <v>95</v>
      </c>
    </row>
    <row r="39" spans="1:15" ht="14.4">
      <c r="A39" t="s">
        <v>210</v>
      </c>
      <c r="B39" t="s">
        <v>355</v>
      </c>
      <c r="C39" s="36">
        <v>45382</v>
      </c>
      <c r="D39" t="s">
        <v>98</v>
      </c>
      <c r="E39" s="36">
        <v>45694</v>
      </c>
      <c r="F39" s="39">
        <v>5.5</v>
      </c>
      <c r="G39" s="39">
        <v>4.3740693899813703</v>
      </c>
      <c r="H39" s="39">
        <v>4.4000000000000004</v>
      </c>
      <c r="I39" s="39">
        <v>1.1259306100186297</v>
      </c>
      <c r="J39" s="39">
        <v>1.1259306100186297</v>
      </c>
      <c r="K39" s="43">
        <v>1.0999999999999996</v>
      </c>
      <c r="L39" t="s">
        <v>40</v>
      </c>
      <c r="M39">
        <v>7</v>
      </c>
      <c r="N39" t="s">
        <v>2464</v>
      </c>
      <c r="O39" t="s">
        <v>99</v>
      </c>
    </row>
    <row r="40" spans="1:15" ht="14.4">
      <c r="A40" t="s">
        <v>210</v>
      </c>
      <c r="B40" t="s">
        <v>460</v>
      </c>
      <c r="C40" s="36">
        <v>45473</v>
      </c>
      <c r="D40" t="s">
        <v>102</v>
      </c>
      <c r="E40" s="36">
        <v>45792</v>
      </c>
      <c r="F40" s="39">
        <v>3.9</v>
      </c>
      <c r="G40" s="39">
        <v>5.7356661868208603</v>
      </c>
      <c r="H40" s="39">
        <v>5.7</v>
      </c>
      <c r="I40" s="39">
        <v>-1.8356661868208604</v>
      </c>
      <c r="J40" s="39">
        <v>1.8356661868208604</v>
      </c>
      <c r="K40" s="43">
        <v>-1.8000000000000003</v>
      </c>
      <c r="L40" t="s">
        <v>40</v>
      </c>
      <c r="M40">
        <v>7</v>
      </c>
      <c r="N40" t="s">
        <v>2464</v>
      </c>
      <c r="O40" t="s">
        <v>103</v>
      </c>
    </row>
    <row r="41" spans="1:15" ht="14.4">
      <c r="A41" t="s">
        <v>210</v>
      </c>
      <c r="B41" t="s">
        <v>565</v>
      </c>
      <c r="C41" s="36">
        <v>45565</v>
      </c>
      <c r="D41" t="s">
        <v>106</v>
      </c>
      <c r="E41" s="36">
        <v>45876</v>
      </c>
      <c r="F41" s="39">
        <v>5.3</v>
      </c>
      <c r="G41" s="39">
        <v>4.0452181836562202</v>
      </c>
      <c r="H41" s="39">
        <v>4</v>
      </c>
      <c r="I41" s="39">
        <v>1.2547818163437796</v>
      </c>
      <c r="J41" s="39">
        <v>1.2547818163437796</v>
      </c>
      <c r="K41" s="43">
        <v>1.2999999999999998</v>
      </c>
      <c r="L41" t="s">
        <v>40</v>
      </c>
      <c r="M41">
        <v>7</v>
      </c>
      <c r="N41" t="s">
        <v>2464</v>
      </c>
      <c r="O41" t="s">
        <v>107</v>
      </c>
    </row>
    <row r="42" spans="1:15" ht="14.4">
      <c r="A42" t="s">
        <v>210</v>
      </c>
      <c r="B42" t="s">
        <v>670</v>
      </c>
      <c r="C42" s="36">
        <v>45657</v>
      </c>
      <c r="D42" t="s">
        <v>110</v>
      </c>
      <c r="E42" s="36">
        <v>45967</v>
      </c>
      <c r="F42" s="39">
        <v>3.3</v>
      </c>
      <c r="G42" s="39">
        <v>2.7165284615579002</v>
      </c>
      <c r="H42" s="39">
        <v>2.7</v>
      </c>
      <c r="I42" s="39">
        <v>0.58347153844209965</v>
      </c>
      <c r="J42" s="39">
        <v>0.58347153844209965</v>
      </c>
      <c r="K42" s="43">
        <v>0.59999999999999964</v>
      </c>
      <c r="L42" t="s">
        <v>40</v>
      </c>
      <c r="M42">
        <v>7</v>
      </c>
      <c r="N42" t="s">
        <v>2464</v>
      </c>
      <c r="O42" t="s">
        <v>111</v>
      </c>
    </row>
    <row r="43" spans="1:15" ht="14.4">
      <c r="A43" t="s">
        <v>210</v>
      </c>
      <c r="B43" t="s">
        <v>771</v>
      </c>
      <c r="C43" s="36">
        <v>45747</v>
      </c>
      <c r="D43" t="s">
        <v>114</v>
      </c>
      <c r="E43" s="36">
        <v>46058</v>
      </c>
      <c r="F43" s="39">
        <v>2.8</v>
      </c>
      <c r="G43" s="39">
        <v>2.7364486936038999</v>
      </c>
      <c r="H43" s="39">
        <v>2.7</v>
      </c>
      <c r="I43" s="39">
        <v>6.355130639609996E-2</v>
      </c>
      <c r="J43" s="39">
        <v>6.355130639609996E-2</v>
      </c>
      <c r="K43" s="43">
        <v>9.9999999999999645E-2</v>
      </c>
      <c r="L43" t="s">
        <v>40</v>
      </c>
      <c r="M43">
        <v>7</v>
      </c>
      <c r="N43" t="s">
        <v>2465</v>
      </c>
      <c r="O43" t="s">
        <v>115</v>
      </c>
    </row>
    <row r="44" spans="1:15" ht="14.4">
      <c r="A44" t="s">
        <v>210</v>
      </c>
      <c r="B44" t="s">
        <v>876</v>
      </c>
      <c r="C44" s="36">
        <v>45838</v>
      </c>
      <c r="D44" t="s">
        <v>118</v>
      </c>
      <c r="E44" s="36">
        <v>46149</v>
      </c>
      <c r="F44" s="39">
        <v>5.3</v>
      </c>
      <c r="G44" s="39">
        <v>7.8550507028232897</v>
      </c>
      <c r="H44" s="39">
        <v>7.9</v>
      </c>
      <c r="I44" s="39">
        <v>-2.5550507028232898</v>
      </c>
      <c r="J44" s="39">
        <v>2.5550507028232898</v>
      </c>
      <c r="K44" s="43">
        <v>-2.6000000000000005</v>
      </c>
      <c r="L44" t="s">
        <v>40</v>
      </c>
      <c r="M44">
        <v>7</v>
      </c>
      <c r="N44" t="s">
        <v>2464</v>
      </c>
      <c r="O44" t="s">
        <v>119</v>
      </c>
    </row>
    <row r="45" spans="1:15" ht="14.4">
      <c r="A45" t="s">
        <v>210</v>
      </c>
      <c r="B45" t="s">
        <v>981</v>
      </c>
      <c r="C45" s="36">
        <v>45930</v>
      </c>
      <c r="D45" t="s">
        <v>122</v>
      </c>
      <c r="E45" s="36">
        <v>46240</v>
      </c>
      <c r="F45" s="39">
        <v>3.6</v>
      </c>
      <c r="G45" s="39">
        <v>1.84021453399699</v>
      </c>
      <c r="H45" s="39">
        <v>1.8</v>
      </c>
      <c r="I45" s="39">
        <v>1.7597854660030101</v>
      </c>
      <c r="J45" s="39">
        <v>1.7597854660030101</v>
      </c>
      <c r="K45" s="43">
        <v>1.8</v>
      </c>
      <c r="L45" t="s">
        <v>40</v>
      </c>
      <c r="M45">
        <v>7</v>
      </c>
      <c r="N45" t="s">
        <v>2464</v>
      </c>
      <c r="O45" t="s">
        <v>123</v>
      </c>
    </row>
    <row r="46" spans="1:15" ht="14.4">
      <c r="A46" t="s">
        <v>210</v>
      </c>
      <c r="B46" t="s">
        <v>1086</v>
      </c>
      <c r="C46" s="36">
        <v>46022</v>
      </c>
      <c r="D46" t="s">
        <v>122</v>
      </c>
      <c r="E46" s="36">
        <v>46240</v>
      </c>
      <c r="F46" s="39">
        <v>3.4</v>
      </c>
      <c r="G46" s="39">
        <v>2.4461699368274701</v>
      </c>
      <c r="H46" s="39">
        <v>2.4</v>
      </c>
      <c r="I46" s="39">
        <v>0.95383006317252983</v>
      </c>
      <c r="J46" s="39">
        <v>0.95383006317252983</v>
      </c>
      <c r="K46" s="43">
        <v>1</v>
      </c>
      <c r="L46" t="s">
        <v>40</v>
      </c>
      <c r="M46">
        <v>5</v>
      </c>
      <c r="N46" t="s">
        <v>2464</v>
      </c>
      <c r="O46" t="s">
        <v>123</v>
      </c>
    </row>
    <row r="47" spans="1:15" ht="14.4">
      <c r="A47" t="s">
        <v>210</v>
      </c>
      <c r="B47" t="s">
        <v>1183</v>
      </c>
      <c r="C47" s="36">
        <v>46112</v>
      </c>
      <c r="D47" t="s">
        <v>122</v>
      </c>
      <c r="E47" s="36">
        <v>46240</v>
      </c>
      <c r="F47" s="39">
        <v>4.5</v>
      </c>
      <c r="G47" s="39">
        <v>6.3289543867507598</v>
      </c>
      <c r="H47" s="39">
        <v>6.3</v>
      </c>
      <c r="I47" s="39">
        <v>-1.8289543867507598</v>
      </c>
      <c r="J47" s="39">
        <v>1.8289543867507598</v>
      </c>
      <c r="K47" s="43">
        <v>-1.7999999999999998</v>
      </c>
      <c r="L47" t="s">
        <v>40</v>
      </c>
      <c r="M47">
        <v>3</v>
      </c>
      <c r="N47" t="s">
        <v>2464</v>
      </c>
      <c r="O47" t="s">
        <v>123</v>
      </c>
    </row>
    <row r="48" spans="1:15" ht="14.4">
      <c r="A48" t="s">
        <v>210</v>
      </c>
      <c r="B48" t="s">
        <v>1276</v>
      </c>
      <c r="C48" s="36">
        <v>46203</v>
      </c>
      <c r="D48" t="s">
        <v>122</v>
      </c>
      <c r="E48" s="36">
        <v>46240</v>
      </c>
      <c r="F48" s="39">
        <v>4.0999999999999996</v>
      </c>
      <c r="G48" s="39">
        <v>2.9067542084310101</v>
      </c>
      <c r="H48" s="39">
        <v>2.9</v>
      </c>
      <c r="I48" s="39">
        <v>1.1932457915689896</v>
      </c>
      <c r="J48" s="39">
        <v>1.1932457915689896</v>
      </c>
      <c r="K48" s="43">
        <v>1.1999999999999997</v>
      </c>
      <c r="L48" t="s">
        <v>40</v>
      </c>
      <c r="M48">
        <v>1</v>
      </c>
      <c r="N48" t="s">
        <v>2464</v>
      </c>
      <c r="O48" t="s">
        <v>123</v>
      </c>
    </row>
    <row r="49" spans="1:15" ht="14.4">
      <c r="A49" t="s">
        <v>134</v>
      </c>
      <c r="B49" t="s">
        <v>132</v>
      </c>
      <c r="C49" s="36">
        <v>44286</v>
      </c>
      <c r="D49" t="s">
        <v>54</v>
      </c>
      <c r="E49" s="36">
        <v>44693</v>
      </c>
      <c r="F49" s="39">
        <v>3.9</v>
      </c>
      <c r="G49" s="39">
        <v>3.94347457288502</v>
      </c>
      <c r="H49" s="39">
        <v>3.9</v>
      </c>
      <c r="I49" s="39">
        <v>-4.3474572885020102E-2</v>
      </c>
      <c r="J49" s="39">
        <v>4.3474572885020102E-2</v>
      </c>
      <c r="K49" s="39">
        <v>0</v>
      </c>
      <c r="L49" t="s">
        <v>40</v>
      </c>
      <c r="M49">
        <v>7</v>
      </c>
      <c r="N49" t="s">
        <v>2463</v>
      </c>
      <c r="O49" t="s">
        <v>55</v>
      </c>
    </row>
    <row r="50" spans="1:15" ht="14.4">
      <c r="A50" t="s">
        <v>134</v>
      </c>
      <c r="B50" t="s">
        <v>136</v>
      </c>
      <c r="C50" s="36">
        <v>44377</v>
      </c>
      <c r="D50" t="s">
        <v>58</v>
      </c>
      <c r="E50" s="36">
        <v>44784</v>
      </c>
      <c r="F50" s="39">
        <v>4.4000000000000004</v>
      </c>
      <c r="G50" s="39">
        <v>4.3596302606461199</v>
      </c>
      <c r="H50" s="39">
        <v>4.4000000000000004</v>
      </c>
      <c r="I50" s="39">
        <v>4.0369739353880441E-2</v>
      </c>
      <c r="J50" s="39">
        <v>4.0369739353880441E-2</v>
      </c>
      <c r="K50" s="39">
        <v>0</v>
      </c>
      <c r="L50" t="s">
        <v>40</v>
      </c>
      <c r="M50">
        <v>9</v>
      </c>
      <c r="N50" t="s">
        <v>2463</v>
      </c>
      <c r="O50" t="s">
        <v>59</v>
      </c>
    </row>
    <row r="51" spans="1:15" ht="14.4">
      <c r="A51" t="s">
        <v>134</v>
      </c>
      <c r="B51" t="s">
        <v>139</v>
      </c>
      <c r="C51" s="36">
        <v>44469</v>
      </c>
      <c r="D51" t="s">
        <v>62</v>
      </c>
      <c r="E51" s="36">
        <v>44875</v>
      </c>
      <c r="F51" s="39">
        <v>4.8</v>
      </c>
      <c r="G51" s="39">
        <v>4.78733364418005</v>
      </c>
      <c r="H51" s="39">
        <v>4.8</v>
      </c>
      <c r="I51" s="39">
        <v>1.2666355819949793E-2</v>
      </c>
      <c r="J51" s="39">
        <v>1.2666355819949793E-2</v>
      </c>
      <c r="K51" s="39">
        <v>0</v>
      </c>
      <c r="L51" t="s">
        <v>40</v>
      </c>
      <c r="M51">
        <v>9</v>
      </c>
      <c r="N51" t="s">
        <v>2463</v>
      </c>
      <c r="O51" t="s">
        <v>63</v>
      </c>
    </row>
    <row r="52" spans="1:15" ht="14.4">
      <c r="A52" t="s">
        <v>134</v>
      </c>
      <c r="B52" t="s">
        <v>142</v>
      </c>
      <c r="C52" s="36">
        <v>44561</v>
      </c>
      <c r="D52" t="s">
        <v>64</v>
      </c>
      <c r="E52" s="36">
        <v>44910</v>
      </c>
      <c r="F52" s="39">
        <v>5.6</v>
      </c>
      <c r="G52" s="39">
        <v>5.5986136826486703</v>
      </c>
      <c r="H52" s="39">
        <v>5.6</v>
      </c>
      <c r="I52" s="39">
        <v>1.3863173513293248E-3</v>
      </c>
      <c r="J52" s="39">
        <v>1.3863173513293248E-3</v>
      </c>
      <c r="K52" s="39">
        <v>0</v>
      </c>
      <c r="L52" t="s">
        <v>40</v>
      </c>
      <c r="M52">
        <v>8</v>
      </c>
      <c r="N52" t="s">
        <v>2463</v>
      </c>
      <c r="O52" t="s">
        <v>65</v>
      </c>
    </row>
    <row r="53" spans="1:15" ht="14.4">
      <c r="A53" t="s">
        <v>134</v>
      </c>
      <c r="B53" t="s">
        <v>145</v>
      </c>
      <c r="C53" s="36">
        <v>44651</v>
      </c>
      <c r="D53" t="s">
        <v>70</v>
      </c>
      <c r="E53" s="36">
        <v>45064</v>
      </c>
      <c r="F53" s="39">
        <v>6.5</v>
      </c>
      <c r="G53" s="39">
        <v>6.5269575133606299</v>
      </c>
      <c r="H53" s="39">
        <v>6.5</v>
      </c>
      <c r="I53" s="39">
        <v>-2.6957513360629903E-2</v>
      </c>
      <c r="J53" s="39">
        <v>2.6957513360629903E-2</v>
      </c>
      <c r="K53" s="39">
        <v>0</v>
      </c>
      <c r="L53" t="s">
        <v>40</v>
      </c>
      <c r="M53">
        <v>9</v>
      </c>
      <c r="N53" t="s">
        <v>2463</v>
      </c>
      <c r="O53" t="s">
        <v>71</v>
      </c>
    </row>
    <row r="54" spans="1:15" ht="14.4">
      <c r="A54" t="s">
        <v>134</v>
      </c>
      <c r="B54" t="s">
        <v>148</v>
      </c>
      <c r="C54" s="36">
        <v>44742</v>
      </c>
      <c r="D54" t="s">
        <v>74</v>
      </c>
      <c r="E54" s="36">
        <v>45148</v>
      </c>
      <c r="F54" s="39">
        <v>7.3</v>
      </c>
      <c r="G54" s="39">
        <v>7.33115287003654</v>
      </c>
      <c r="H54" s="39">
        <v>7.3</v>
      </c>
      <c r="I54" s="39">
        <v>-3.1152870036540214E-2</v>
      </c>
      <c r="J54" s="39">
        <v>3.1152870036540214E-2</v>
      </c>
      <c r="K54" s="39">
        <v>0</v>
      </c>
      <c r="L54" t="s">
        <v>40</v>
      </c>
      <c r="M54">
        <v>9</v>
      </c>
      <c r="N54" t="s">
        <v>2463</v>
      </c>
      <c r="O54" t="s">
        <v>75</v>
      </c>
    </row>
    <row r="55" spans="1:15" ht="14.4">
      <c r="A55" t="s">
        <v>134</v>
      </c>
      <c r="B55" t="s">
        <v>151</v>
      </c>
      <c r="C55" s="36">
        <v>44834</v>
      </c>
      <c r="D55" t="s">
        <v>78</v>
      </c>
      <c r="E55" s="36">
        <v>45239</v>
      </c>
      <c r="F55" s="39">
        <v>8</v>
      </c>
      <c r="G55" s="39">
        <v>7.9948525108863002</v>
      </c>
      <c r="H55" s="39">
        <v>8</v>
      </c>
      <c r="I55" s="39">
        <v>5.1474891136997769E-3</v>
      </c>
      <c r="J55" s="39">
        <v>5.1474891136997769E-3</v>
      </c>
      <c r="K55" s="39">
        <v>0</v>
      </c>
      <c r="L55" t="s">
        <v>40</v>
      </c>
      <c r="M55">
        <v>9</v>
      </c>
      <c r="N55" t="s">
        <v>2463</v>
      </c>
      <c r="O55" t="s">
        <v>79</v>
      </c>
    </row>
    <row r="56" spans="1:15" ht="14.4">
      <c r="A56" t="s">
        <v>134</v>
      </c>
      <c r="B56" t="s">
        <v>154</v>
      </c>
      <c r="C56" s="36">
        <v>44926</v>
      </c>
      <c r="D56" t="s">
        <v>80</v>
      </c>
      <c r="E56" s="36">
        <v>45274</v>
      </c>
      <c r="F56" s="39">
        <v>8.4</v>
      </c>
      <c r="G56" s="39">
        <v>8.4281157060642506</v>
      </c>
      <c r="H56" s="39">
        <v>8.4</v>
      </c>
      <c r="I56" s="39">
        <v>-2.811570606425029E-2</v>
      </c>
      <c r="J56" s="39">
        <v>2.811570606425029E-2</v>
      </c>
      <c r="K56" s="39">
        <v>0</v>
      </c>
      <c r="L56" t="s">
        <v>40</v>
      </c>
      <c r="M56">
        <v>8</v>
      </c>
      <c r="N56" t="s">
        <v>2463</v>
      </c>
      <c r="O56" t="s">
        <v>81</v>
      </c>
    </row>
    <row r="57" spans="1:15" ht="14.4">
      <c r="A57" t="s">
        <v>134</v>
      </c>
      <c r="B57" t="s">
        <v>157</v>
      </c>
      <c r="C57" s="36">
        <v>45016</v>
      </c>
      <c r="D57" t="s">
        <v>82</v>
      </c>
      <c r="E57" s="36">
        <v>45330</v>
      </c>
      <c r="F57" s="39">
        <v>8.3000000000000007</v>
      </c>
      <c r="G57" s="39">
        <v>8.2774613758376905</v>
      </c>
      <c r="H57" s="39">
        <v>8.3000000000000007</v>
      </c>
      <c r="I57" s="39">
        <v>2.2538624162310228E-2</v>
      </c>
      <c r="J57" s="39">
        <v>2.2538624162310228E-2</v>
      </c>
      <c r="K57" s="39">
        <v>0</v>
      </c>
      <c r="L57" t="s">
        <v>40</v>
      </c>
      <c r="M57">
        <v>7</v>
      </c>
      <c r="N57" t="s">
        <v>2463</v>
      </c>
      <c r="O57" t="s">
        <v>83</v>
      </c>
    </row>
    <row r="58" spans="1:15" ht="14.4">
      <c r="A58" t="s">
        <v>134</v>
      </c>
      <c r="B58" t="s">
        <v>160</v>
      </c>
      <c r="C58" s="36">
        <v>45107</v>
      </c>
      <c r="D58" t="s">
        <v>84</v>
      </c>
      <c r="E58" s="36">
        <v>45372</v>
      </c>
      <c r="F58" s="39">
        <v>7.3</v>
      </c>
      <c r="G58" s="39">
        <v>7.3121164987637099</v>
      </c>
      <c r="H58" s="39">
        <v>7.3</v>
      </c>
      <c r="I58" s="39">
        <v>-1.2116498763710126E-2</v>
      </c>
      <c r="J58" s="39">
        <v>1.2116498763710126E-2</v>
      </c>
      <c r="K58" s="39">
        <v>0</v>
      </c>
      <c r="L58" t="s">
        <v>40</v>
      </c>
      <c r="M58">
        <v>6</v>
      </c>
      <c r="N58" t="s">
        <v>2463</v>
      </c>
      <c r="O58" t="s">
        <v>85</v>
      </c>
    </row>
    <row r="59" spans="1:15" ht="14.4">
      <c r="A59" t="s">
        <v>134</v>
      </c>
      <c r="B59" t="s">
        <v>183</v>
      </c>
      <c r="C59" s="36">
        <v>45199</v>
      </c>
      <c r="D59" t="s">
        <v>90</v>
      </c>
      <c r="E59" s="36">
        <v>45512</v>
      </c>
      <c r="F59" s="39">
        <v>6.2</v>
      </c>
      <c r="G59" s="39">
        <v>6.15766877737396</v>
      </c>
      <c r="H59" s="39">
        <v>6.2</v>
      </c>
      <c r="I59" s="39">
        <v>4.2331222626040166E-2</v>
      </c>
      <c r="J59" s="39">
        <v>4.2331222626040166E-2</v>
      </c>
      <c r="K59" s="39">
        <v>0</v>
      </c>
      <c r="L59" t="s">
        <v>40</v>
      </c>
      <c r="M59">
        <v>7</v>
      </c>
      <c r="N59" t="s">
        <v>2463</v>
      </c>
      <c r="O59" t="s">
        <v>91</v>
      </c>
    </row>
    <row r="60" spans="1:15" ht="14.4">
      <c r="A60" t="s">
        <v>134</v>
      </c>
      <c r="B60" t="s">
        <v>254</v>
      </c>
      <c r="C60" s="36">
        <v>45291</v>
      </c>
      <c r="D60" t="s">
        <v>94</v>
      </c>
      <c r="E60" s="36">
        <v>45610</v>
      </c>
      <c r="F60" s="39">
        <v>5.3</v>
      </c>
      <c r="G60" s="39">
        <v>5.2975282101066901</v>
      </c>
      <c r="H60" s="39">
        <v>5.3</v>
      </c>
      <c r="I60" s="39">
        <v>2.4717898933097615E-3</v>
      </c>
      <c r="J60" s="39">
        <v>2.4717898933097615E-3</v>
      </c>
      <c r="K60" s="39">
        <v>0</v>
      </c>
      <c r="L60" t="s">
        <v>40</v>
      </c>
      <c r="M60">
        <v>7</v>
      </c>
      <c r="N60" t="s">
        <v>2463</v>
      </c>
      <c r="O60" t="s">
        <v>95</v>
      </c>
    </row>
    <row r="61" spans="1:15" ht="14.4">
      <c r="A61" t="s">
        <v>134</v>
      </c>
      <c r="B61" t="s">
        <v>355</v>
      </c>
      <c r="C61" s="36">
        <v>45382</v>
      </c>
      <c r="D61" t="s">
        <v>98</v>
      </c>
      <c r="E61" s="36">
        <v>45694</v>
      </c>
      <c r="F61" s="39">
        <v>4.7</v>
      </c>
      <c r="G61" s="39">
        <v>4.6522504505803299</v>
      </c>
      <c r="H61" s="39">
        <v>4.7</v>
      </c>
      <c r="I61" s="39">
        <v>4.7749549419670245E-2</v>
      </c>
      <c r="J61" s="39">
        <v>4.7749549419670245E-2</v>
      </c>
      <c r="K61" s="39">
        <v>0</v>
      </c>
      <c r="L61" t="s">
        <v>40</v>
      </c>
      <c r="M61">
        <v>7</v>
      </c>
      <c r="N61" t="s">
        <v>2463</v>
      </c>
      <c r="O61" t="s">
        <v>99</v>
      </c>
    </row>
    <row r="62" spans="1:15" ht="14.4">
      <c r="A62" t="s">
        <v>134</v>
      </c>
      <c r="B62" t="s">
        <v>460</v>
      </c>
      <c r="C62" s="36">
        <v>45473</v>
      </c>
      <c r="D62" t="s">
        <v>102</v>
      </c>
      <c r="E62" s="36">
        <v>45792</v>
      </c>
      <c r="F62" s="39">
        <v>4.2</v>
      </c>
      <c r="G62" s="39">
        <v>4.2330858800600604</v>
      </c>
      <c r="H62" s="39">
        <v>4.2</v>
      </c>
      <c r="I62" s="39">
        <v>-3.3085880060060191E-2</v>
      </c>
      <c r="J62" s="39">
        <v>3.3085880060060191E-2</v>
      </c>
      <c r="K62" s="39">
        <v>0</v>
      </c>
      <c r="L62" t="s">
        <v>40</v>
      </c>
      <c r="M62">
        <v>7</v>
      </c>
      <c r="N62" t="s">
        <v>2463</v>
      </c>
      <c r="O62" t="s">
        <v>103</v>
      </c>
    </row>
    <row r="63" spans="1:15" ht="14.4">
      <c r="A63" t="s">
        <v>134</v>
      </c>
      <c r="B63" t="s">
        <v>565</v>
      </c>
      <c r="C63" s="36">
        <v>45565</v>
      </c>
      <c r="D63" t="s">
        <v>106</v>
      </c>
      <c r="E63" s="36">
        <v>45876</v>
      </c>
      <c r="F63" s="39">
        <v>4</v>
      </c>
      <c r="G63" s="39">
        <v>3.9852038165367301</v>
      </c>
      <c r="H63" s="39">
        <v>4</v>
      </c>
      <c r="I63" s="39">
        <v>1.4796183463269941E-2</v>
      </c>
      <c r="J63" s="39">
        <v>1.4796183463269941E-2</v>
      </c>
      <c r="K63" s="39">
        <v>0</v>
      </c>
      <c r="L63" t="s">
        <v>40</v>
      </c>
      <c r="M63">
        <v>7</v>
      </c>
      <c r="N63" t="s">
        <v>2463</v>
      </c>
      <c r="O63" t="s">
        <v>107</v>
      </c>
    </row>
    <row r="64" spans="1:15" ht="14.4">
      <c r="A64" t="s">
        <v>134</v>
      </c>
      <c r="B64" t="s">
        <v>670</v>
      </c>
      <c r="C64" s="36">
        <v>45657</v>
      </c>
      <c r="D64" t="s">
        <v>110</v>
      </c>
      <c r="E64" s="36">
        <v>45967</v>
      </c>
      <c r="F64" s="39">
        <v>3.7</v>
      </c>
      <c r="G64" s="39">
        <v>3.6768176923765798</v>
      </c>
      <c r="H64" s="39">
        <v>3.7</v>
      </c>
      <c r="I64" s="39">
        <v>2.3182307623420328E-2</v>
      </c>
      <c r="J64" s="39">
        <v>2.3182307623420328E-2</v>
      </c>
      <c r="K64" s="39">
        <v>0</v>
      </c>
      <c r="L64" t="s">
        <v>40</v>
      </c>
      <c r="M64">
        <v>7</v>
      </c>
      <c r="N64" t="s">
        <v>2463</v>
      </c>
      <c r="O64" t="s">
        <v>111</v>
      </c>
    </row>
    <row r="65" spans="1:15" ht="14.4">
      <c r="A65" t="s">
        <v>134</v>
      </c>
      <c r="B65" t="s">
        <v>771</v>
      </c>
      <c r="C65" s="36">
        <v>45747</v>
      </c>
      <c r="D65" t="s">
        <v>114</v>
      </c>
      <c r="E65" s="36">
        <v>46058</v>
      </c>
      <c r="F65" s="39">
        <v>3.6</v>
      </c>
      <c r="G65" s="39">
        <v>3.6493362624865102</v>
      </c>
      <c r="H65" s="39">
        <v>3.6</v>
      </c>
      <c r="I65" s="39">
        <v>-4.933626248651013E-2</v>
      </c>
      <c r="J65" s="39">
        <v>4.933626248651013E-2</v>
      </c>
      <c r="K65" s="39">
        <v>0</v>
      </c>
      <c r="L65" t="s">
        <v>40</v>
      </c>
      <c r="M65">
        <v>7</v>
      </c>
      <c r="N65" t="s">
        <v>2463</v>
      </c>
      <c r="O65" t="s">
        <v>115</v>
      </c>
    </row>
    <row r="66" spans="1:15" ht="14.4">
      <c r="A66" t="s">
        <v>134</v>
      </c>
      <c r="B66" t="s">
        <v>876</v>
      </c>
      <c r="C66" s="36">
        <v>45838</v>
      </c>
      <c r="D66" t="s">
        <v>118</v>
      </c>
      <c r="E66" s="36">
        <v>46149</v>
      </c>
      <c r="F66" s="39">
        <v>4.0999999999999996</v>
      </c>
      <c r="G66" s="39">
        <v>4.0777552239504198</v>
      </c>
      <c r="H66" s="39">
        <v>4.0999999999999996</v>
      </c>
      <c r="I66" s="39">
        <v>2.2244776049579862E-2</v>
      </c>
      <c r="J66" s="39">
        <v>2.2244776049579862E-2</v>
      </c>
      <c r="K66" s="39">
        <v>0</v>
      </c>
      <c r="L66" t="s">
        <v>40</v>
      </c>
      <c r="M66">
        <v>7</v>
      </c>
      <c r="N66" t="s">
        <v>2463</v>
      </c>
      <c r="O66" t="s">
        <v>119</v>
      </c>
    </row>
    <row r="67" spans="1:15" ht="14.4">
      <c r="A67" t="s">
        <v>134</v>
      </c>
      <c r="B67" t="s">
        <v>981</v>
      </c>
      <c r="C67" s="36">
        <v>45930</v>
      </c>
      <c r="D67" t="s">
        <v>122</v>
      </c>
      <c r="E67" s="36">
        <v>46240</v>
      </c>
      <c r="F67" s="39">
        <v>4.2</v>
      </c>
      <c r="G67" s="39">
        <v>4.2453780400096797</v>
      </c>
      <c r="H67" s="39">
        <v>4.2</v>
      </c>
      <c r="I67" s="39">
        <v>-4.5378040009679488E-2</v>
      </c>
      <c r="J67" s="39">
        <v>4.5378040009679488E-2</v>
      </c>
      <c r="K67" s="39">
        <v>0</v>
      </c>
      <c r="L67" t="s">
        <v>40</v>
      </c>
      <c r="M67">
        <v>7</v>
      </c>
      <c r="N67" t="s">
        <v>2463</v>
      </c>
      <c r="O67" t="s">
        <v>123</v>
      </c>
    </row>
    <row r="68" spans="1:15" ht="14.4">
      <c r="A68" t="s">
        <v>134</v>
      </c>
      <c r="B68" t="s">
        <v>1086</v>
      </c>
      <c r="C68" s="36">
        <v>46022</v>
      </c>
      <c r="D68" t="s">
        <v>122</v>
      </c>
      <c r="E68" s="36">
        <v>46240</v>
      </c>
      <c r="F68" s="39">
        <v>4.3</v>
      </c>
      <c r="G68" s="39">
        <v>4.3465392284195703</v>
      </c>
      <c r="H68" s="39">
        <v>4.3</v>
      </c>
      <c r="I68" s="39">
        <v>-4.6539228419570478E-2</v>
      </c>
      <c r="J68" s="39">
        <v>4.6539228419570478E-2</v>
      </c>
      <c r="K68" s="39">
        <v>0</v>
      </c>
      <c r="L68" t="s">
        <v>40</v>
      </c>
      <c r="M68">
        <v>5</v>
      </c>
      <c r="N68" t="s">
        <v>2463</v>
      </c>
      <c r="O68" t="s">
        <v>123</v>
      </c>
    </row>
    <row r="69" spans="1:15" ht="14.4">
      <c r="A69" t="s">
        <v>134</v>
      </c>
      <c r="B69" t="s">
        <v>1183</v>
      </c>
      <c r="C69" s="36">
        <v>46112</v>
      </c>
      <c r="D69" t="s">
        <v>122</v>
      </c>
      <c r="E69" s="36">
        <v>46240</v>
      </c>
      <c r="F69" s="39">
        <v>4.5</v>
      </c>
      <c r="G69" s="39">
        <v>4.4885504074078799</v>
      </c>
      <c r="H69" s="39">
        <v>4.5</v>
      </c>
      <c r="I69" s="39">
        <v>1.1449592592120084E-2</v>
      </c>
      <c r="J69" s="39">
        <v>1.1449592592120084E-2</v>
      </c>
      <c r="K69" s="39">
        <v>0</v>
      </c>
      <c r="L69" t="s">
        <v>40</v>
      </c>
      <c r="M69">
        <v>3</v>
      </c>
      <c r="N69" t="s">
        <v>2463</v>
      </c>
      <c r="O69" t="s">
        <v>123</v>
      </c>
    </row>
    <row r="70" spans="1:15" ht="14.4">
      <c r="A70" t="s">
        <v>134</v>
      </c>
      <c r="B70" t="s">
        <v>1276</v>
      </c>
      <c r="C70" s="36">
        <v>46203</v>
      </c>
      <c r="D70" t="s">
        <v>122</v>
      </c>
      <c r="E70" s="36">
        <v>46240</v>
      </c>
      <c r="F70" s="39">
        <v>4.2</v>
      </c>
      <c r="G70" s="39">
        <v>4.1596197337262497</v>
      </c>
      <c r="H70" s="39">
        <v>4.2</v>
      </c>
      <c r="I70" s="39">
        <v>4.0380266273750465E-2</v>
      </c>
      <c r="J70" s="39">
        <v>4.0380266273750465E-2</v>
      </c>
      <c r="K70" s="39">
        <v>0</v>
      </c>
      <c r="L70" t="s">
        <v>40</v>
      </c>
      <c r="M70">
        <v>1</v>
      </c>
      <c r="N70" t="s">
        <v>2463</v>
      </c>
      <c r="O70" t="s">
        <v>123</v>
      </c>
    </row>
    <row r="71" spans="1:15" ht="14.4">
      <c r="A71" t="s">
        <v>212</v>
      </c>
      <c r="B71" t="s">
        <v>132</v>
      </c>
      <c r="C71" s="36">
        <v>44286</v>
      </c>
      <c r="D71" t="s">
        <v>54</v>
      </c>
      <c r="E71" s="36">
        <v>44693</v>
      </c>
      <c r="F71" s="39">
        <v>4.2</v>
      </c>
      <c r="G71" s="39">
        <v>4.0203176104932004</v>
      </c>
      <c r="H71" s="39">
        <v>4</v>
      </c>
      <c r="I71" s="39">
        <v>0.17968238950679982</v>
      </c>
      <c r="J71" s="39">
        <v>0.17968238950679982</v>
      </c>
      <c r="K71" s="43">
        <v>0.20000000000000018</v>
      </c>
      <c r="L71" t="s">
        <v>40</v>
      </c>
      <c r="M71">
        <v>4</v>
      </c>
      <c r="N71" t="s">
        <v>2464</v>
      </c>
      <c r="O71" t="s">
        <v>55</v>
      </c>
    </row>
    <row r="72" spans="1:15" ht="14.4">
      <c r="A72" t="s">
        <v>212</v>
      </c>
      <c r="B72" t="s">
        <v>136</v>
      </c>
      <c r="C72" s="36">
        <v>44377</v>
      </c>
      <c r="D72" t="s">
        <v>58</v>
      </c>
      <c r="E72" s="36">
        <v>44784</v>
      </c>
      <c r="F72" s="39">
        <v>5.3</v>
      </c>
      <c r="G72" s="39">
        <v>6.6310962724426501</v>
      </c>
      <c r="H72" s="39">
        <v>6.6</v>
      </c>
      <c r="I72" s="39">
        <v>-1.3310962724426503</v>
      </c>
      <c r="J72" s="39">
        <v>1.3310962724426503</v>
      </c>
      <c r="K72" s="43">
        <v>-1.2999999999999998</v>
      </c>
      <c r="L72" t="s">
        <v>40</v>
      </c>
      <c r="M72">
        <v>6</v>
      </c>
      <c r="N72" t="s">
        <v>2464</v>
      </c>
      <c r="O72" t="s">
        <v>59</v>
      </c>
    </row>
    <row r="73" spans="1:15" ht="14.4">
      <c r="A73" t="s">
        <v>212</v>
      </c>
      <c r="B73" t="s">
        <v>139</v>
      </c>
      <c r="C73" s="36">
        <v>44469</v>
      </c>
      <c r="D73" t="s">
        <v>62</v>
      </c>
      <c r="E73" s="36">
        <v>44875</v>
      </c>
      <c r="F73" s="39">
        <v>5.9</v>
      </c>
      <c r="G73" s="39">
        <v>5.9651868683366702</v>
      </c>
      <c r="H73" s="39">
        <v>6</v>
      </c>
      <c r="I73" s="39">
        <v>-6.5186868336669868E-2</v>
      </c>
      <c r="J73" s="39">
        <v>6.5186868336669868E-2</v>
      </c>
      <c r="K73" s="43">
        <v>-9.9999999999999645E-2</v>
      </c>
      <c r="L73" t="s">
        <v>40</v>
      </c>
      <c r="M73">
        <v>8</v>
      </c>
      <c r="N73" t="s">
        <v>2465</v>
      </c>
      <c r="O73" t="s">
        <v>63</v>
      </c>
    </row>
    <row r="74" spans="1:15" ht="14.4">
      <c r="A74" t="s">
        <v>212</v>
      </c>
      <c r="B74" t="s">
        <v>142</v>
      </c>
      <c r="C74" s="36">
        <v>44561</v>
      </c>
      <c r="D74" t="s">
        <v>64</v>
      </c>
      <c r="E74" s="36">
        <v>44910</v>
      </c>
      <c r="F74" s="39">
        <v>6.5</v>
      </c>
      <c r="G74" s="39">
        <v>7.1530584693075401</v>
      </c>
      <c r="H74" s="39">
        <v>7.2</v>
      </c>
      <c r="I74" s="39">
        <v>-0.65305846930754008</v>
      </c>
      <c r="J74" s="39">
        <v>0.65305846930754008</v>
      </c>
      <c r="K74" s="43">
        <v>-0.70000000000000018</v>
      </c>
      <c r="L74" t="s">
        <v>40</v>
      </c>
      <c r="M74">
        <v>8</v>
      </c>
      <c r="N74" t="s">
        <v>2464</v>
      </c>
      <c r="O74" t="s">
        <v>65</v>
      </c>
    </row>
    <row r="75" spans="1:15" ht="14.4">
      <c r="A75" t="s">
        <v>212</v>
      </c>
      <c r="B75" t="s">
        <v>145</v>
      </c>
      <c r="C75" s="36">
        <v>44651</v>
      </c>
      <c r="D75" t="s">
        <v>70</v>
      </c>
      <c r="E75" s="36">
        <v>45064</v>
      </c>
      <c r="F75" s="39">
        <v>7.7</v>
      </c>
      <c r="G75" s="39">
        <v>7.3745650265832898</v>
      </c>
      <c r="H75" s="39">
        <v>7.4</v>
      </c>
      <c r="I75" s="39">
        <v>0.32543497341671035</v>
      </c>
      <c r="J75" s="39">
        <v>0.32543497341671035</v>
      </c>
      <c r="K75" s="43">
        <v>0.29999999999999982</v>
      </c>
      <c r="L75" t="s">
        <v>40</v>
      </c>
      <c r="M75">
        <v>9</v>
      </c>
      <c r="N75" t="s">
        <v>2464</v>
      </c>
      <c r="O75" t="s">
        <v>71</v>
      </c>
    </row>
    <row r="76" spans="1:15" ht="14.4">
      <c r="A76" t="s">
        <v>212</v>
      </c>
      <c r="B76" t="s">
        <v>148</v>
      </c>
      <c r="C76" s="36">
        <v>44742</v>
      </c>
      <c r="D76" t="s">
        <v>74</v>
      </c>
      <c r="E76" s="36">
        <v>45148</v>
      </c>
      <c r="F76" s="39">
        <v>8.8000000000000007</v>
      </c>
      <c r="G76" s="39">
        <v>9.5167554797748206</v>
      </c>
      <c r="H76" s="39">
        <v>9.5</v>
      </c>
      <c r="I76" s="39">
        <v>-0.7167554797748199</v>
      </c>
      <c r="J76" s="39">
        <v>0.7167554797748199</v>
      </c>
      <c r="K76" s="43">
        <v>-0.69999999999999929</v>
      </c>
      <c r="L76" t="s">
        <v>40</v>
      </c>
      <c r="M76">
        <v>9</v>
      </c>
      <c r="N76" t="s">
        <v>2464</v>
      </c>
      <c r="O76" t="s">
        <v>75</v>
      </c>
    </row>
    <row r="77" spans="1:15" ht="14.4">
      <c r="A77" t="s">
        <v>212</v>
      </c>
      <c r="B77" t="s">
        <v>151</v>
      </c>
      <c r="C77" s="36">
        <v>44834</v>
      </c>
      <c r="D77" t="s">
        <v>78</v>
      </c>
      <c r="E77" s="36">
        <v>45239</v>
      </c>
      <c r="F77" s="39">
        <v>8.9</v>
      </c>
      <c r="G77" s="39">
        <v>9.0949297672791491</v>
      </c>
      <c r="H77" s="39">
        <v>9.1</v>
      </c>
      <c r="I77" s="39">
        <v>-0.19492976727914879</v>
      </c>
      <c r="J77" s="39">
        <v>0.19492976727914879</v>
      </c>
      <c r="K77" s="43">
        <v>-0.19999999999999929</v>
      </c>
      <c r="L77" t="s">
        <v>40</v>
      </c>
      <c r="M77">
        <v>9</v>
      </c>
      <c r="N77" t="s">
        <v>2464</v>
      </c>
      <c r="O77" t="s">
        <v>79</v>
      </c>
    </row>
    <row r="78" spans="1:15" ht="14.4">
      <c r="A78" t="s">
        <v>212</v>
      </c>
      <c r="B78" t="s">
        <v>154</v>
      </c>
      <c r="C78" s="36">
        <v>44926</v>
      </c>
      <c r="D78" t="s">
        <v>80</v>
      </c>
      <c r="E78" s="36">
        <v>45274</v>
      </c>
      <c r="F78" s="39">
        <v>8.3000000000000007</v>
      </c>
      <c r="G78" s="39">
        <v>7.4154153336639697</v>
      </c>
      <c r="H78" s="39">
        <v>7.4</v>
      </c>
      <c r="I78" s="39">
        <v>0.88458466633603106</v>
      </c>
      <c r="J78" s="39">
        <v>0.88458466633603106</v>
      </c>
      <c r="K78" s="43">
        <v>0.90000000000000036</v>
      </c>
      <c r="L78" t="s">
        <v>40</v>
      </c>
      <c r="M78">
        <v>8</v>
      </c>
      <c r="N78" t="s">
        <v>2464</v>
      </c>
      <c r="O78" t="s">
        <v>81</v>
      </c>
    </row>
    <row r="79" spans="1:15" ht="14.4">
      <c r="A79" t="s">
        <v>212</v>
      </c>
      <c r="B79" t="s">
        <v>157</v>
      </c>
      <c r="C79" s="36">
        <v>45016</v>
      </c>
      <c r="D79" t="s">
        <v>82</v>
      </c>
      <c r="E79" s="36">
        <v>45330</v>
      </c>
      <c r="F79" s="39">
        <v>7.2</v>
      </c>
      <c r="G79" s="39">
        <v>6.3553237144236201</v>
      </c>
      <c r="H79" s="39">
        <v>6.4</v>
      </c>
      <c r="I79" s="39">
        <v>0.84467628557638008</v>
      </c>
      <c r="J79" s="39">
        <v>0.84467628557638008</v>
      </c>
      <c r="K79" s="43">
        <v>0.79999999999999982</v>
      </c>
      <c r="L79" t="s">
        <v>40</v>
      </c>
      <c r="M79">
        <v>7</v>
      </c>
      <c r="N79" t="s">
        <v>2464</v>
      </c>
      <c r="O79" t="s">
        <v>83</v>
      </c>
    </row>
    <row r="80" spans="1:15" ht="14.4">
      <c r="A80" t="s">
        <v>212</v>
      </c>
      <c r="B80" t="s">
        <v>160</v>
      </c>
      <c r="C80" s="36">
        <v>45107</v>
      </c>
      <c r="D80" t="s">
        <v>84</v>
      </c>
      <c r="E80" s="36">
        <v>45372</v>
      </c>
      <c r="F80" s="39">
        <v>4.9000000000000004</v>
      </c>
      <c r="G80" s="39">
        <v>4.7259014814200304</v>
      </c>
      <c r="H80" s="39">
        <v>4.7</v>
      </c>
      <c r="I80" s="39">
        <v>0.17409851857996994</v>
      </c>
      <c r="J80" s="39">
        <v>0.17409851857996994</v>
      </c>
      <c r="K80" s="43">
        <v>0.20000000000000018</v>
      </c>
      <c r="L80" t="s">
        <v>40</v>
      </c>
      <c r="M80">
        <v>6</v>
      </c>
      <c r="N80" t="s">
        <v>2464</v>
      </c>
      <c r="O80" t="s">
        <v>85</v>
      </c>
    </row>
    <row r="81" spans="1:15" ht="14.4">
      <c r="A81" t="s">
        <v>212</v>
      </c>
      <c r="B81" t="s">
        <v>183</v>
      </c>
      <c r="C81" s="36">
        <v>45199</v>
      </c>
      <c r="D81" t="s">
        <v>90</v>
      </c>
      <c r="E81" s="36">
        <v>45512</v>
      </c>
      <c r="F81" s="39">
        <v>4.4000000000000004</v>
      </c>
      <c r="G81" s="39">
        <v>4.5565418436157996</v>
      </c>
      <c r="H81" s="39">
        <v>4.5999999999999996</v>
      </c>
      <c r="I81" s="39">
        <v>-0.15654184361579926</v>
      </c>
      <c r="J81" s="39">
        <v>0.15654184361579926</v>
      </c>
      <c r="K81" s="43">
        <v>-0.19999999999999929</v>
      </c>
      <c r="L81" t="s">
        <v>40</v>
      </c>
      <c r="M81">
        <v>7</v>
      </c>
      <c r="N81" t="s">
        <v>2464</v>
      </c>
      <c r="O81" t="s">
        <v>91</v>
      </c>
    </row>
    <row r="82" spans="1:15" ht="14.4">
      <c r="A82" t="s">
        <v>212</v>
      </c>
      <c r="B82" t="s">
        <v>254</v>
      </c>
      <c r="C82" s="36">
        <v>45291</v>
      </c>
      <c r="D82" t="s">
        <v>94</v>
      </c>
      <c r="E82" s="36">
        <v>45610</v>
      </c>
      <c r="F82" s="39">
        <v>4.5999999999999996</v>
      </c>
      <c r="G82" s="39">
        <v>4.7232366503173298</v>
      </c>
      <c r="H82" s="39">
        <v>4.7</v>
      </c>
      <c r="I82" s="39">
        <v>-0.12323665031733011</v>
      </c>
      <c r="J82" s="39">
        <v>0.12323665031733011</v>
      </c>
      <c r="K82" s="43">
        <v>-0.10000000000000053</v>
      </c>
      <c r="L82" t="s">
        <v>40</v>
      </c>
      <c r="M82">
        <v>7</v>
      </c>
      <c r="N82" t="s">
        <v>2465</v>
      </c>
      <c r="O82" t="s">
        <v>95</v>
      </c>
    </row>
    <row r="83" spans="1:15" ht="14.4">
      <c r="A83" t="s">
        <v>212</v>
      </c>
      <c r="B83" t="s">
        <v>355</v>
      </c>
      <c r="C83" s="36">
        <v>45382</v>
      </c>
      <c r="D83" t="s">
        <v>98</v>
      </c>
      <c r="E83" s="36">
        <v>45694</v>
      </c>
      <c r="F83" s="39">
        <v>4.3</v>
      </c>
      <c r="G83" s="39">
        <v>4.1974295127073598</v>
      </c>
      <c r="H83" s="39">
        <v>4.2</v>
      </c>
      <c r="I83" s="39">
        <v>0.10257048729264007</v>
      </c>
      <c r="J83" s="39">
        <v>0.10257048729264007</v>
      </c>
      <c r="K83" s="43">
        <v>9.9999999999999645E-2</v>
      </c>
      <c r="L83" t="s">
        <v>40</v>
      </c>
      <c r="M83">
        <v>7</v>
      </c>
      <c r="N83" t="s">
        <v>2465</v>
      </c>
      <c r="O83" t="s">
        <v>99</v>
      </c>
    </row>
    <row r="84" spans="1:15" ht="14.4">
      <c r="A84" t="s">
        <v>212</v>
      </c>
      <c r="B84" t="s">
        <v>460</v>
      </c>
      <c r="C84" s="36">
        <v>45473</v>
      </c>
      <c r="D84" t="s">
        <v>102</v>
      </c>
      <c r="E84" s="36">
        <v>45792</v>
      </c>
      <c r="F84" s="39">
        <v>3.5</v>
      </c>
      <c r="G84" s="39">
        <v>3.0316062436262401</v>
      </c>
      <c r="H84" s="39">
        <v>3</v>
      </c>
      <c r="I84" s="39">
        <v>0.46839375637375991</v>
      </c>
      <c r="J84" s="39">
        <v>0.46839375637375991</v>
      </c>
      <c r="K84" s="43">
        <v>0.5</v>
      </c>
      <c r="L84" t="s">
        <v>40</v>
      </c>
      <c r="M84">
        <v>7</v>
      </c>
      <c r="N84" t="s">
        <v>2464</v>
      </c>
      <c r="O84" t="s">
        <v>103</v>
      </c>
    </row>
    <row r="85" spans="1:15" ht="14.4">
      <c r="A85" t="s">
        <v>212</v>
      </c>
      <c r="B85" t="s">
        <v>565</v>
      </c>
      <c r="C85" s="36">
        <v>45565</v>
      </c>
      <c r="D85" t="s">
        <v>106</v>
      </c>
      <c r="E85" s="36">
        <v>45876</v>
      </c>
      <c r="F85" s="39">
        <v>3.6</v>
      </c>
      <c r="G85" s="39">
        <v>3.7064483618935302</v>
      </c>
      <c r="H85" s="39">
        <v>3.7</v>
      </c>
      <c r="I85" s="39">
        <v>-0.10644836189353013</v>
      </c>
      <c r="J85" s="39">
        <v>0.10644836189353013</v>
      </c>
      <c r="K85" s="43">
        <v>-0.10000000000000009</v>
      </c>
      <c r="L85" t="s">
        <v>40</v>
      </c>
      <c r="M85">
        <v>7</v>
      </c>
      <c r="N85" t="s">
        <v>2465</v>
      </c>
      <c r="O85" t="s">
        <v>107</v>
      </c>
    </row>
    <row r="86" spans="1:15" ht="14.4">
      <c r="A86" t="s">
        <v>212</v>
      </c>
      <c r="B86" t="s">
        <v>670</v>
      </c>
      <c r="C86" s="36">
        <v>45657</v>
      </c>
      <c r="D86" t="s">
        <v>110</v>
      </c>
      <c r="E86" s="36">
        <v>45967</v>
      </c>
      <c r="F86" s="39">
        <v>3.6</v>
      </c>
      <c r="G86" s="39">
        <v>3.6693857838332899</v>
      </c>
      <c r="H86" s="39">
        <v>3.7</v>
      </c>
      <c r="I86" s="39">
        <v>-6.938578383328986E-2</v>
      </c>
      <c r="J86" s="39">
        <v>6.938578383328986E-2</v>
      </c>
      <c r="K86" s="43">
        <v>-0.10000000000000009</v>
      </c>
      <c r="L86" t="s">
        <v>40</v>
      </c>
      <c r="M86">
        <v>7</v>
      </c>
      <c r="N86" t="s">
        <v>2465</v>
      </c>
      <c r="O86" t="s">
        <v>111</v>
      </c>
    </row>
    <row r="87" spans="1:15" ht="14.4">
      <c r="A87" t="s">
        <v>212</v>
      </c>
      <c r="B87" t="s">
        <v>771</v>
      </c>
      <c r="C87" s="36">
        <v>45747</v>
      </c>
      <c r="D87" t="s">
        <v>114</v>
      </c>
      <c r="E87" s="36">
        <v>46058</v>
      </c>
      <c r="F87" s="39">
        <v>4.3</v>
      </c>
      <c r="G87" s="39">
        <v>4.1610974034367301</v>
      </c>
      <c r="H87" s="39">
        <v>4.2</v>
      </c>
      <c r="I87" s="39">
        <v>0.13890259656326975</v>
      </c>
      <c r="J87" s="39">
        <v>0.13890259656326975</v>
      </c>
      <c r="K87" s="43">
        <v>9.9999999999999645E-2</v>
      </c>
      <c r="L87" t="s">
        <v>40</v>
      </c>
      <c r="M87">
        <v>7</v>
      </c>
      <c r="N87" t="s">
        <v>2465</v>
      </c>
      <c r="O87" t="s">
        <v>115</v>
      </c>
    </row>
    <row r="88" spans="1:15" ht="14.4">
      <c r="A88" t="s">
        <v>212</v>
      </c>
      <c r="B88" t="s">
        <v>876</v>
      </c>
      <c r="C88" s="36">
        <v>45838</v>
      </c>
      <c r="D88" t="s">
        <v>118</v>
      </c>
      <c r="E88" s="36">
        <v>46149</v>
      </c>
      <c r="F88" s="39">
        <v>4.9000000000000004</v>
      </c>
      <c r="G88" s="39">
        <v>5.43486692349913</v>
      </c>
      <c r="H88" s="39">
        <v>5.4</v>
      </c>
      <c r="I88" s="39">
        <v>-0.53486692349912968</v>
      </c>
      <c r="J88" s="39">
        <v>0.53486692349912968</v>
      </c>
      <c r="K88" s="43">
        <v>-0.5</v>
      </c>
      <c r="L88" t="s">
        <v>40</v>
      </c>
      <c r="M88">
        <v>7</v>
      </c>
      <c r="N88" t="s">
        <v>2464</v>
      </c>
      <c r="O88" t="s">
        <v>119</v>
      </c>
    </row>
    <row r="89" spans="1:15" ht="14.4">
      <c r="A89" t="s">
        <v>212</v>
      </c>
      <c r="B89" t="s">
        <v>981</v>
      </c>
      <c r="C89" s="36">
        <v>45930</v>
      </c>
      <c r="D89" t="s">
        <v>122</v>
      </c>
      <c r="E89" s="36">
        <v>46240</v>
      </c>
      <c r="F89" s="39">
        <v>4.4000000000000004</v>
      </c>
      <c r="G89" s="39">
        <v>3.8554421739568401</v>
      </c>
      <c r="H89" s="39">
        <v>3.9</v>
      </c>
      <c r="I89" s="39">
        <v>0.54455782604316028</v>
      </c>
      <c r="J89" s="39">
        <v>0.54455782604316028</v>
      </c>
      <c r="K89" s="43">
        <v>0.50000000000000044</v>
      </c>
      <c r="L89" t="s">
        <v>40</v>
      </c>
      <c r="M89">
        <v>7</v>
      </c>
      <c r="N89" t="s">
        <v>2464</v>
      </c>
      <c r="O89" t="s">
        <v>123</v>
      </c>
    </row>
    <row r="90" spans="1:15" ht="14.4">
      <c r="A90" t="s">
        <v>212</v>
      </c>
      <c r="B90" t="s">
        <v>1086</v>
      </c>
      <c r="C90" s="36">
        <v>46022</v>
      </c>
      <c r="D90" t="s">
        <v>122</v>
      </c>
      <c r="E90" s="36">
        <v>46240</v>
      </c>
      <c r="F90" s="39">
        <v>4</v>
      </c>
      <c r="G90" s="39">
        <v>3.8581241405997599</v>
      </c>
      <c r="H90" s="39">
        <v>3.9</v>
      </c>
      <c r="I90" s="39">
        <v>0.14187585940024006</v>
      </c>
      <c r="J90" s="39">
        <v>0.14187585940024006</v>
      </c>
      <c r="K90" s="43">
        <v>0.10000000000000009</v>
      </c>
      <c r="L90" t="s">
        <v>40</v>
      </c>
      <c r="M90">
        <v>5</v>
      </c>
      <c r="N90" t="s">
        <v>2465</v>
      </c>
      <c r="O90" t="s">
        <v>123</v>
      </c>
    </row>
    <row r="91" spans="1:15" ht="14.4">
      <c r="A91" t="s">
        <v>212</v>
      </c>
      <c r="B91" t="s">
        <v>1183</v>
      </c>
      <c r="C91" s="36">
        <v>46112</v>
      </c>
      <c r="D91" t="s">
        <v>122</v>
      </c>
      <c r="E91" s="36">
        <v>46240</v>
      </c>
      <c r="F91" s="39">
        <v>4.5999999999999996</v>
      </c>
      <c r="G91" s="39">
        <v>4.6573074720535503</v>
      </c>
      <c r="H91" s="39">
        <v>4.7</v>
      </c>
      <c r="I91" s="39">
        <v>-5.730747205355069E-2</v>
      </c>
      <c r="J91" s="39">
        <v>5.730747205355069E-2</v>
      </c>
      <c r="K91" s="43">
        <v>-0.10000000000000053</v>
      </c>
      <c r="L91" t="s">
        <v>40</v>
      </c>
      <c r="M91">
        <v>3</v>
      </c>
      <c r="N91" t="s">
        <v>2465</v>
      </c>
      <c r="O91" t="s">
        <v>123</v>
      </c>
    </row>
    <row r="92" spans="1:15" ht="14.4">
      <c r="A92" t="s">
        <v>212</v>
      </c>
      <c r="B92" t="s">
        <v>1276</v>
      </c>
      <c r="C92" s="36">
        <v>46203</v>
      </c>
      <c r="D92" t="s">
        <v>122</v>
      </c>
      <c r="E92" s="36">
        <v>46240</v>
      </c>
      <c r="F92" s="39">
        <v>3.7</v>
      </c>
      <c r="G92" s="39">
        <v>3.7593325870935299</v>
      </c>
      <c r="H92" s="39">
        <v>3.8</v>
      </c>
      <c r="I92" s="39">
        <v>-5.9332587093529732E-2</v>
      </c>
      <c r="J92" s="39">
        <v>5.9332587093529732E-2</v>
      </c>
      <c r="K92" s="43">
        <v>-9.9999999999999645E-2</v>
      </c>
      <c r="L92" t="s">
        <v>40</v>
      </c>
      <c r="M92">
        <v>1</v>
      </c>
      <c r="N92" t="s">
        <v>2465</v>
      </c>
      <c r="O92" t="s">
        <v>123</v>
      </c>
    </row>
    <row r="93" spans="1:15" ht="14.4">
      <c r="C93" s="36"/>
      <c r="E93" s="36"/>
      <c r="F93" s="39"/>
      <c r="G93" s="39"/>
      <c r="H93" s="39"/>
      <c r="I93" s="39"/>
      <c r="J93" s="39"/>
      <c r="K93" s="39"/>
    </row>
    <row r="94" spans="1:15" ht="14.4">
      <c r="C94" s="36"/>
      <c r="E94" s="36"/>
      <c r="F94" s="39"/>
      <c r="G94" s="39"/>
      <c r="H94" s="40"/>
      <c r="I94" s="40"/>
      <c r="J94" s="40"/>
      <c r="K94" s="40"/>
      <c r="L94" s="37"/>
      <c r="M94" s="37"/>
      <c r="N94" s="37"/>
      <c r="O94" s="37"/>
    </row>
    <row r="95" spans="1:15" ht="15" thickBot="1">
      <c r="A95" s="42" t="s">
        <v>2466</v>
      </c>
      <c r="B95" s="42" t="s">
        <v>2467</v>
      </c>
      <c r="C95" s="42" t="s">
        <v>2468</v>
      </c>
      <c r="D95" s="42" t="s">
        <v>2469</v>
      </c>
      <c r="E95" s="42" t="s">
        <v>2470</v>
      </c>
      <c r="F95" s="42" t="s">
        <v>2471</v>
      </c>
      <c r="G95" s="42" t="s">
        <v>2472</v>
      </c>
    </row>
    <row r="96" spans="1:15" ht="14.4" thickTop="1">
      <c r="A96" t="s">
        <v>22</v>
      </c>
      <c r="B96">
        <v>22</v>
      </c>
      <c r="C96">
        <v>22</v>
      </c>
      <c r="D96">
        <v>0</v>
      </c>
      <c r="E96">
        <v>0</v>
      </c>
      <c r="F96">
        <v>2.1732949776670406E-2</v>
      </c>
      <c r="G96">
        <v>22</v>
      </c>
    </row>
    <row r="97" spans="1:7" ht="15" thickBot="1">
      <c r="A97" s="41" t="s">
        <v>134</v>
      </c>
      <c r="B97" s="41">
        <v>22</v>
      </c>
      <c r="C97" s="41">
        <v>22</v>
      </c>
      <c r="D97" s="41">
        <v>0</v>
      </c>
      <c r="E97" s="41">
        <v>0</v>
      </c>
      <c r="F97" s="41">
        <v>2.740321753765006E-2</v>
      </c>
      <c r="G97" s="41">
        <v>22</v>
      </c>
    </row>
    <row r="98" spans="1:7" ht="14.4" thickTop="1">
      <c r="A98" t="s">
        <v>210</v>
      </c>
      <c r="B98">
        <v>22</v>
      </c>
      <c r="C98">
        <v>1</v>
      </c>
      <c r="D98">
        <v>3</v>
      </c>
      <c r="E98">
        <v>18</v>
      </c>
      <c r="F98" s="35">
        <v>1.2034958113560972</v>
      </c>
      <c r="G98">
        <v>22</v>
      </c>
    </row>
    <row r="99" spans="1:7">
      <c r="A99" t="s">
        <v>212</v>
      </c>
      <c r="B99">
        <v>22</v>
      </c>
      <c r="C99">
        <v>0</v>
      </c>
      <c r="D99">
        <v>9</v>
      </c>
      <c r="E99">
        <v>13</v>
      </c>
      <c r="F99" s="35">
        <v>0.35786017447890683</v>
      </c>
      <c r="G99">
        <v>22</v>
      </c>
    </row>
    <row r="100" spans="1:7">
      <c r="F100" s="35"/>
    </row>
    <row r="101" spans="1:7">
      <c r="F101" s="35"/>
    </row>
  </sheetData>
  <mergeCells count="2">
    <mergeCell ref="A1:O1"/>
    <mergeCell ref="A2:O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56A8C-FA3E-4044-8CD0-A34C2611EC15}">
  <dimension ref="A1:X1286"/>
  <sheetViews>
    <sheetView showGridLines="0" topLeftCell="F1" workbookViewId="0">
      <selection activeCell="X4" sqref="X4"/>
    </sheetView>
  </sheetViews>
  <sheetFormatPr defaultRowHeight="13.8"/>
  <cols>
    <col min="3" max="3" width="14.296875" bestFit="1" customWidth="1"/>
    <col min="5" max="5" width="19.796875" bestFit="1" customWidth="1"/>
    <col min="7" max="7" width="17.09765625" bestFit="1" customWidth="1"/>
  </cols>
  <sheetData>
    <row r="1" spans="1:24" ht="18.600000000000001" thickBot="1">
      <c r="A1" s="67" t="s">
        <v>2474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</row>
    <row r="2" spans="1:24" ht="14.4" thickTop="1">
      <c r="A2" t="s">
        <v>2475</v>
      </c>
    </row>
    <row r="4" spans="1:24" ht="14.4">
      <c r="A4" s="44" t="s">
        <v>125</v>
      </c>
      <c r="B4" s="44" t="s">
        <v>29</v>
      </c>
      <c r="C4" s="44" t="s">
        <v>30</v>
      </c>
      <c r="D4" s="44" t="s">
        <v>2476</v>
      </c>
      <c r="E4" s="44" t="s">
        <v>2451</v>
      </c>
      <c r="F4" s="44" t="s">
        <v>2477</v>
      </c>
      <c r="G4" s="44" t="s">
        <v>2478</v>
      </c>
      <c r="H4" s="44" t="s">
        <v>2479</v>
      </c>
      <c r="I4" s="44" t="s">
        <v>2480</v>
      </c>
      <c r="J4" s="44" t="s">
        <v>2481</v>
      </c>
      <c r="K4" s="44" t="s">
        <v>2482</v>
      </c>
      <c r="L4" s="44" t="s">
        <v>2483</v>
      </c>
      <c r="M4" s="44" t="s">
        <v>2484</v>
      </c>
      <c r="N4" s="44" t="s">
        <v>2485</v>
      </c>
      <c r="O4" s="44" t="s">
        <v>2486</v>
      </c>
      <c r="P4" s="44" t="s">
        <v>2487</v>
      </c>
      <c r="Q4" s="44" t="s">
        <v>2488</v>
      </c>
      <c r="R4" s="44" t="s">
        <v>2489</v>
      </c>
      <c r="S4" s="44" t="s">
        <v>2490</v>
      </c>
      <c r="T4" s="44" t="s">
        <v>2491</v>
      </c>
      <c r="U4" s="44" t="s">
        <v>2492</v>
      </c>
      <c r="V4" s="44" t="s">
        <v>2493</v>
      </c>
      <c r="W4" s="44" t="s">
        <v>2494</v>
      </c>
      <c r="X4" s="44" t="s">
        <v>34</v>
      </c>
    </row>
    <row r="5" spans="1:24">
      <c r="A5" t="s">
        <v>22</v>
      </c>
      <c r="B5" t="s">
        <v>39</v>
      </c>
      <c r="C5" s="36">
        <v>44420</v>
      </c>
      <c r="D5" t="s">
        <v>139</v>
      </c>
      <c r="E5" s="36">
        <v>44469</v>
      </c>
      <c r="F5" t="s">
        <v>43</v>
      </c>
      <c r="G5" s="36">
        <v>44469</v>
      </c>
      <c r="H5">
        <v>1</v>
      </c>
      <c r="I5" t="s">
        <v>2495</v>
      </c>
      <c r="J5">
        <v>5.6</v>
      </c>
      <c r="K5">
        <v>5.8</v>
      </c>
      <c r="L5">
        <v>3</v>
      </c>
      <c r="M5">
        <v>2.5999999999999996</v>
      </c>
      <c r="N5">
        <v>2.5999999999999996</v>
      </c>
      <c r="O5">
        <v>-0.20000000000000018</v>
      </c>
      <c r="P5">
        <v>0.20000000000000018</v>
      </c>
      <c r="Q5">
        <v>4.000000000000007E-2</v>
      </c>
      <c r="T5" t="s">
        <v>136</v>
      </c>
      <c r="U5">
        <v>6</v>
      </c>
      <c r="V5">
        <v>3</v>
      </c>
      <c r="W5" t="s">
        <v>2496</v>
      </c>
      <c r="X5" t="s">
        <v>42</v>
      </c>
    </row>
    <row r="6" spans="1:24">
      <c r="A6" t="s">
        <v>22</v>
      </c>
      <c r="B6" t="s">
        <v>43</v>
      </c>
      <c r="C6" s="36">
        <v>44469</v>
      </c>
      <c r="D6" t="s">
        <v>139</v>
      </c>
      <c r="E6" s="36">
        <v>44469</v>
      </c>
      <c r="F6" t="s">
        <v>43</v>
      </c>
      <c r="G6" s="36">
        <v>44469</v>
      </c>
      <c r="H6">
        <v>0</v>
      </c>
      <c r="I6" t="s">
        <v>2497</v>
      </c>
      <c r="J6">
        <v>5.8</v>
      </c>
      <c r="K6">
        <v>5.8</v>
      </c>
      <c r="L6">
        <v>3</v>
      </c>
      <c r="M6">
        <v>2.8</v>
      </c>
      <c r="N6">
        <v>2.8</v>
      </c>
      <c r="O6">
        <v>0</v>
      </c>
      <c r="P6">
        <v>0</v>
      </c>
      <c r="Q6">
        <v>0</v>
      </c>
      <c r="R6">
        <v>0.20000000000000018</v>
      </c>
      <c r="S6">
        <v>0.20000000000000018</v>
      </c>
      <c r="T6" t="s">
        <v>136</v>
      </c>
      <c r="U6">
        <v>6</v>
      </c>
      <c r="V6">
        <v>3</v>
      </c>
      <c r="W6" t="s">
        <v>2496</v>
      </c>
      <c r="X6" t="s">
        <v>44</v>
      </c>
    </row>
    <row r="7" spans="1:24">
      <c r="A7" t="s">
        <v>22</v>
      </c>
      <c r="B7" t="s">
        <v>39</v>
      </c>
      <c r="C7" s="36">
        <v>44420</v>
      </c>
      <c r="D7" t="s">
        <v>142</v>
      </c>
      <c r="E7" s="36">
        <v>44561</v>
      </c>
      <c r="F7" t="s">
        <v>47</v>
      </c>
      <c r="G7" s="36">
        <v>44546</v>
      </c>
      <c r="H7">
        <v>3</v>
      </c>
      <c r="I7" t="s">
        <v>2498</v>
      </c>
      <c r="J7">
        <v>5.7</v>
      </c>
      <c r="K7">
        <v>7</v>
      </c>
      <c r="L7">
        <v>3</v>
      </c>
      <c r="M7">
        <v>2.7</v>
      </c>
      <c r="N7">
        <v>2.7</v>
      </c>
      <c r="O7">
        <v>-1.2999999999999998</v>
      </c>
      <c r="P7">
        <v>1.2999999999999998</v>
      </c>
      <c r="Q7">
        <v>1.6899999999999995</v>
      </c>
      <c r="T7" t="s">
        <v>136</v>
      </c>
      <c r="U7">
        <v>6</v>
      </c>
      <c r="V7">
        <v>3</v>
      </c>
      <c r="W7" t="s">
        <v>2496</v>
      </c>
      <c r="X7" t="s">
        <v>42</v>
      </c>
    </row>
    <row r="8" spans="1:24">
      <c r="A8" t="s">
        <v>22</v>
      </c>
      <c r="B8" t="s">
        <v>43</v>
      </c>
      <c r="C8" s="36">
        <v>44469</v>
      </c>
      <c r="D8" t="s">
        <v>142</v>
      </c>
      <c r="E8" s="36">
        <v>44561</v>
      </c>
      <c r="F8" t="s">
        <v>47</v>
      </c>
      <c r="G8" s="36">
        <v>44546</v>
      </c>
      <c r="H8">
        <v>2</v>
      </c>
      <c r="I8" t="s">
        <v>2499</v>
      </c>
      <c r="J8">
        <v>6.2</v>
      </c>
      <c r="K8">
        <v>7</v>
      </c>
      <c r="L8">
        <v>3</v>
      </c>
      <c r="M8">
        <v>3.2</v>
      </c>
      <c r="N8">
        <v>3.2</v>
      </c>
      <c r="O8">
        <v>-0.79999999999999982</v>
      </c>
      <c r="P8">
        <v>0.79999999999999982</v>
      </c>
      <c r="Q8">
        <v>0.63999999999999968</v>
      </c>
      <c r="R8">
        <v>0.5</v>
      </c>
      <c r="S8">
        <v>0.5</v>
      </c>
      <c r="T8" t="s">
        <v>136</v>
      </c>
      <c r="U8">
        <v>6</v>
      </c>
      <c r="V8">
        <v>3</v>
      </c>
      <c r="W8" t="s">
        <v>2496</v>
      </c>
      <c r="X8" t="s">
        <v>44</v>
      </c>
    </row>
    <row r="9" spans="1:24">
      <c r="A9" t="s">
        <v>22</v>
      </c>
      <c r="B9" t="s">
        <v>45</v>
      </c>
      <c r="C9" s="36">
        <v>44511</v>
      </c>
      <c r="D9" t="s">
        <v>142</v>
      </c>
      <c r="E9" s="36">
        <v>44561</v>
      </c>
      <c r="F9" t="s">
        <v>47</v>
      </c>
      <c r="G9" s="36">
        <v>44546</v>
      </c>
      <c r="H9">
        <v>1</v>
      </c>
      <c r="I9" t="s">
        <v>2495</v>
      </c>
      <c r="J9">
        <v>6.8</v>
      </c>
      <c r="K9">
        <v>7</v>
      </c>
      <c r="L9">
        <v>3</v>
      </c>
      <c r="M9">
        <v>3.8</v>
      </c>
      <c r="N9">
        <v>3.8</v>
      </c>
      <c r="O9">
        <v>-0.20000000000000018</v>
      </c>
      <c r="P9">
        <v>0.20000000000000018</v>
      </c>
      <c r="Q9">
        <v>4.000000000000007E-2</v>
      </c>
      <c r="R9">
        <v>0.59999999999999964</v>
      </c>
      <c r="S9">
        <v>0.59999999999999964</v>
      </c>
      <c r="T9" t="s">
        <v>139</v>
      </c>
      <c r="U9">
        <v>5.8</v>
      </c>
      <c r="V9">
        <v>2.8</v>
      </c>
      <c r="W9" t="s">
        <v>2496</v>
      </c>
      <c r="X9" t="s">
        <v>46</v>
      </c>
    </row>
    <row r="10" spans="1:24">
      <c r="A10" t="s">
        <v>22</v>
      </c>
      <c r="B10" t="s">
        <v>47</v>
      </c>
      <c r="C10" s="36">
        <v>44546</v>
      </c>
      <c r="D10" t="s">
        <v>142</v>
      </c>
      <c r="E10" s="36">
        <v>44561</v>
      </c>
      <c r="F10" t="s">
        <v>47</v>
      </c>
      <c r="G10" s="36">
        <v>44546</v>
      </c>
      <c r="H10">
        <v>0</v>
      </c>
      <c r="I10" t="s">
        <v>2497</v>
      </c>
      <c r="J10">
        <v>7.1</v>
      </c>
      <c r="K10">
        <v>7</v>
      </c>
      <c r="L10">
        <v>3</v>
      </c>
      <c r="M10">
        <v>4.0999999999999996</v>
      </c>
      <c r="N10">
        <v>4.0999999999999996</v>
      </c>
      <c r="O10">
        <v>9.9999999999999645E-2</v>
      </c>
      <c r="P10">
        <v>9.9999999999999645E-2</v>
      </c>
      <c r="Q10">
        <v>9.9999999999999291E-3</v>
      </c>
      <c r="R10">
        <v>0.29999999999999982</v>
      </c>
      <c r="S10">
        <v>0.29999999999999982</v>
      </c>
      <c r="T10" t="s">
        <v>139</v>
      </c>
      <c r="U10">
        <v>5.8</v>
      </c>
      <c r="V10">
        <v>2.8</v>
      </c>
      <c r="W10" t="s">
        <v>2496</v>
      </c>
      <c r="X10" t="s">
        <v>49</v>
      </c>
    </row>
    <row r="11" spans="1:24">
      <c r="A11" t="s">
        <v>22</v>
      </c>
      <c r="B11" t="s">
        <v>39</v>
      </c>
      <c r="C11" s="36">
        <v>44420</v>
      </c>
      <c r="D11" t="s">
        <v>145</v>
      </c>
      <c r="E11" s="36">
        <v>44651</v>
      </c>
      <c r="F11" t="s">
        <v>52</v>
      </c>
      <c r="G11" s="36">
        <v>44644</v>
      </c>
      <c r="H11">
        <v>5</v>
      </c>
      <c r="I11" t="s">
        <v>2500</v>
      </c>
      <c r="J11">
        <v>5.2</v>
      </c>
      <c r="K11">
        <v>7.3</v>
      </c>
      <c r="L11">
        <v>3</v>
      </c>
      <c r="M11">
        <v>2.2000000000000002</v>
      </c>
      <c r="N11">
        <v>2.2000000000000002</v>
      </c>
      <c r="O11">
        <v>-2.0999999999999996</v>
      </c>
      <c r="P11">
        <v>2.0999999999999996</v>
      </c>
      <c r="Q11">
        <v>4.4099999999999984</v>
      </c>
      <c r="T11" t="s">
        <v>136</v>
      </c>
      <c r="U11">
        <v>6</v>
      </c>
      <c r="V11">
        <v>3</v>
      </c>
      <c r="W11" t="s">
        <v>2496</v>
      </c>
      <c r="X11" t="s">
        <v>42</v>
      </c>
    </row>
    <row r="12" spans="1:24">
      <c r="A12" t="s">
        <v>22</v>
      </c>
      <c r="B12" t="s">
        <v>43</v>
      </c>
      <c r="C12" s="36">
        <v>44469</v>
      </c>
      <c r="D12" t="s">
        <v>145</v>
      </c>
      <c r="E12" s="36">
        <v>44651</v>
      </c>
      <c r="F12" t="s">
        <v>52</v>
      </c>
      <c r="G12" s="36">
        <v>44644</v>
      </c>
      <c r="H12">
        <v>4</v>
      </c>
      <c r="I12" t="s">
        <v>2501</v>
      </c>
      <c r="J12">
        <v>5.6</v>
      </c>
      <c r="K12">
        <v>7.3</v>
      </c>
      <c r="L12">
        <v>3</v>
      </c>
      <c r="M12">
        <v>2.5999999999999996</v>
      </c>
      <c r="N12">
        <v>2.5999999999999996</v>
      </c>
      <c r="O12">
        <v>-1.7000000000000002</v>
      </c>
      <c r="P12">
        <v>1.7000000000000002</v>
      </c>
      <c r="Q12">
        <v>2.8900000000000006</v>
      </c>
      <c r="R12">
        <v>0.39999999999999947</v>
      </c>
      <c r="S12">
        <v>0.39999999999999947</v>
      </c>
      <c r="T12" t="s">
        <v>136</v>
      </c>
      <c r="U12">
        <v>6</v>
      </c>
      <c r="V12">
        <v>3</v>
      </c>
      <c r="W12" t="s">
        <v>2496</v>
      </c>
      <c r="X12" t="s">
        <v>44</v>
      </c>
    </row>
    <row r="13" spans="1:24">
      <c r="A13" t="s">
        <v>22</v>
      </c>
      <c r="B13" t="s">
        <v>45</v>
      </c>
      <c r="C13" s="36">
        <v>44511</v>
      </c>
      <c r="D13" t="s">
        <v>145</v>
      </c>
      <c r="E13" s="36">
        <v>44651</v>
      </c>
      <c r="F13" t="s">
        <v>52</v>
      </c>
      <c r="G13" s="36">
        <v>44644</v>
      </c>
      <c r="H13">
        <v>3</v>
      </c>
      <c r="I13" t="s">
        <v>2498</v>
      </c>
      <c r="J13">
        <v>6.3</v>
      </c>
      <c r="K13">
        <v>7.3</v>
      </c>
      <c r="L13">
        <v>3</v>
      </c>
      <c r="M13">
        <v>3.3</v>
      </c>
      <c r="N13">
        <v>3.3</v>
      </c>
      <c r="O13">
        <v>-1</v>
      </c>
      <c r="P13">
        <v>1</v>
      </c>
      <c r="Q13">
        <v>1</v>
      </c>
      <c r="R13">
        <v>0.70000000000000018</v>
      </c>
      <c r="S13">
        <v>0.70000000000000018</v>
      </c>
      <c r="T13" t="s">
        <v>139</v>
      </c>
      <c r="U13">
        <v>5.8</v>
      </c>
      <c r="V13">
        <v>2.8</v>
      </c>
      <c r="W13" t="s">
        <v>2496</v>
      </c>
      <c r="X13" t="s">
        <v>46</v>
      </c>
    </row>
    <row r="14" spans="1:24">
      <c r="A14" t="s">
        <v>22</v>
      </c>
      <c r="B14" t="s">
        <v>47</v>
      </c>
      <c r="C14" s="36">
        <v>44546</v>
      </c>
      <c r="D14" t="s">
        <v>145</v>
      </c>
      <c r="E14" s="36">
        <v>44651</v>
      </c>
      <c r="F14" t="s">
        <v>52</v>
      </c>
      <c r="G14" s="36">
        <v>44644</v>
      </c>
      <c r="H14">
        <v>2</v>
      </c>
      <c r="I14" t="s">
        <v>2499</v>
      </c>
      <c r="J14">
        <v>6.7</v>
      </c>
      <c r="K14">
        <v>7.3</v>
      </c>
      <c r="L14">
        <v>3</v>
      </c>
      <c r="M14">
        <v>3.7</v>
      </c>
      <c r="N14">
        <v>3.7</v>
      </c>
      <c r="O14">
        <v>-0.59999999999999964</v>
      </c>
      <c r="P14">
        <v>0.59999999999999964</v>
      </c>
      <c r="Q14">
        <v>0.3599999999999996</v>
      </c>
      <c r="R14">
        <v>0.40000000000000036</v>
      </c>
      <c r="S14">
        <v>0.40000000000000036</v>
      </c>
      <c r="T14" t="s">
        <v>139</v>
      </c>
      <c r="U14">
        <v>5.8</v>
      </c>
      <c r="V14">
        <v>2.8</v>
      </c>
      <c r="W14" t="s">
        <v>2496</v>
      </c>
      <c r="X14" t="s">
        <v>49</v>
      </c>
    </row>
    <row r="15" spans="1:24">
      <c r="A15" t="s">
        <v>22</v>
      </c>
      <c r="B15" t="s">
        <v>50</v>
      </c>
      <c r="C15" s="36">
        <v>44602</v>
      </c>
      <c r="D15" t="s">
        <v>145</v>
      </c>
      <c r="E15" s="36">
        <v>44651</v>
      </c>
      <c r="F15" t="s">
        <v>52</v>
      </c>
      <c r="G15" s="36">
        <v>44644</v>
      </c>
      <c r="H15">
        <v>1</v>
      </c>
      <c r="I15" t="s">
        <v>2495</v>
      </c>
      <c r="J15">
        <v>6.9</v>
      </c>
      <c r="K15">
        <v>7.3</v>
      </c>
      <c r="L15">
        <v>3</v>
      </c>
      <c r="M15">
        <v>3.9000000000000004</v>
      </c>
      <c r="N15">
        <v>3.9000000000000004</v>
      </c>
      <c r="O15">
        <v>-0.39999999999999947</v>
      </c>
      <c r="P15">
        <v>0.39999999999999947</v>
      </c>
      <c r="Q15">
        <v>0.15999999999999959</v>
      </c>
      <c r="R15">
        <v>0.20000000000000018</v>
      </c>
      <c r="S15">
        <v>0.20000000000000018</v>
      </c>
      <c r="T15" t="s">
        <v>142</v>
      </c>
      <c r="U15">
        <v>7</v>
      </c>
      <c r="V15">
        <v>4</v>
      </c>
      <c r="W15" t="s">
        <v>2496</v>
      </c>
      <c r="X15" t="s">
        <v>51</v>
      </c>
    </row>
    <row r="16" spans="1:24">
      <c r="A16" t="s">
        <v>22</v>
      </c>
      <c r="B16" t="s">
        <v>52</v>
      </c>
      <c r="C16" s="36">
        <v>44644</v>
      </c>
      <c r="D16" t="s">
        <v>145</v>
      </c>
      <c r="E16" s="36">
        <v>44651</v>
      </c>
      <c r="F16" t="s">
        <v>52</v>
      </c>
      <c r="G16" s="36">
        <v>44644</v>
      </c>
      <c r="H16">
        <v>0</v>
      </c>
      <c r="I16" t="s">
        <v>2497</v>
      </c>
      <c r="J16">
        <v>7.2</v>
      </c>
      <c r="K16">
        <v>7.3</v>
      </c>
      <c r="L16">
        <v>3</v>
      </c>
      <c r="M16">
        <v>4.2</v>
      </c>
      <c r="N16">
        <v>4.2</v>
      </c>
      <c r="O16">
        <v>-9.9999999999999645E-2</v>
      </c>
      <c r="P16">
        <v>9.9999999999999645E-2</v>
      </c>
      <c r="Q16">
        <v>9.9999999999999291E-3</v>
      </c>
      <c r="R16">
        <v>0.29999999999999982</v>
      </c>
      <c r="S16">
        <v>0.29999999999999982</v>
      </c>
      <c r="T16" t="s">
        <v>142</v>
      </c>
      <c r="U16">
        <v>7</v>
      </c>
      <c r="V16">
        <v>4</v>
      </c>
      <c r="W16" t="s">
        <v>2496</v>
      </c>
      <c r="X16" t="s">
        <v>53</v>
      </c>
    </row>
    <row r="17" spans="1:24">
      <c r="A17" t="s">
        <v>22</v>
      </c>
      <c r="B17" t="s">
        <v>39</v>
      </c>
      <c r="C17" s="36">
        <v>44420</v>
      </c>
      <c r="D17" t="s">
        <v>148</v>
      </c>
      <c r="E17" s="36">
        <v>44742</v>
      </c>
      <c r="F17" t="s">
        <v>56</v>
      </c>
      <c r="G17" s="36">
        <v>44735</v>
      </c>
      <c r="H17">
        <v>7</v>
      </c>
      <c r="I17" t="s">
        <v>2502</v>
      </c>
      <c r="J17">
        <v>3.9</v>
      </c>
      <c r="K17">
        <v>7.8</v>
      </c>
      <c r="L17">
        <v>3</v>
      </c>
      <c r="M17">
        <v>0.89999999999999991</v>
      </c>
      <c r="N17">
        <v>0.89999999999999991</v>
      </c>
      <c r="O17">
        <v>-3.9</v>
      </c>
      <c r="P17">
        <v>3.9</v>
      </c>
      <c r="Q17">
        <v>15.209999999999999</v>
      </c>
      <c r="T17" t="s">
        <v>136</v>
      </c>
      <c r="U17">
        <v>6</v>
      </c>
      <c r="V17">
        <v>3</v>
      </c>
      <c r="W17" t="s">
        <v>2496</v>
      </c>
      <c r="X17" t="s">
        <v>42</v>
      </c>
    </row>
    <row r="18" spans="1:24">
      <c r="A18" t="s">
        <v>22</v>
      </c>
      <c r="B18" t="s">
        <v>43</v>
      </c>
      <c r="C18" s="36">
        <v>44469</v>
      </c>
      <c r="D18" t="s">
        <v>148</v>
      </c>
      <c r="E18" s="36">
        <v>44742</v>
      </c>
      <c r="F18" t="s">
        <v>56</v>
      </c>
      <c r="G18" s="36">
        <v>44735</v>
      </c>
      <c r="H18">
        <v>6</v>
      </c>
      <c r="I18" t="s">
        <v>2503</v>
      </c>
      <c r="J18">
        <v>4.3</v>
      </c>
      <c r="K18">
        <v>7.8</v>
      </c>
      <c r="L18">
        <v>3</v>
      </c>
      <c r="M18">
        <v>1.2999999999999998</v>
      </c>
      <c r="N18">
        <v>1.2999999999999998</v>
      </c>
      <c r="O18">
        <v>-3.5</v>
      </c>
      <c r="P18">
        <v>3.5</v>
      </c>
      <c r="Q18">
        <v>12.25</v>
      </c>
      <c r="R18">
        <v>0.39999999999999991</v>
      </c>
      <c r="S18">
        <v>0.39999999999999991</v>
      </c>
      <c r="T18" t="s">
        <v>136</v>
      </c>
      <c r="U18">
        <v>6</v>
      </c>
      <c r="V18">
        <v>3</v>
      </c>
      <c r="W18" t="s">
        <v>2496</v>
      </c>
      <c r="X18" t="s">
        <v>44</v>
      </c>
    </row>
    <row r="19" spans="1:24">
      <c r="A19" t="s">
        <v>22</v>
      </c>
      <c r="B19" t="s">
        <v>45</v>
      </c>
      <c r="C19" s="36">
        <v>44511</v>
      </c>
      <c r="D19" t="s">
        <v>148</v>
      </c>
      <c r="E19" s="36">
        <v>44742</v>
      </c>
      <c r="F19" t="s">
        <v>56</v>
      </c>
      <c r="G19" s="36">
        <v>44735</v>
      </c>
      <c r="H19">
        <v>5</v>
      </c>
      <c r="I19" t="s">
        <v>2500</v>
      </c>
      <c r="J19">
        <v>4.8</v>
      </c>
      <c r="K19">
        <v>7.8</v>
      </c>
      <c r="L19">
        <v>3</v>
      </c>
      <c r="M19">
        <v>1.7999999999999998</v>
      </c>
      <c r="N19">
        <v>1.7999999999999998</v>
      </c>
      <c r="O19">
        <v>-3</v>
      </c>
      <c r="P19">
        <v>3</v>
      </c>
      <c r="Q19">
        <v>9</v>
      </c>
      <c r="R19">
        <v>0.5</v>
      </c>
      <c r="S19">
        <v>0.5</v>
      </c>
      <c r="T19" t="s">
        <v>139</v>
      </c>
      <c r="U19">
        <v>5.8</v>
      </c>
      <c r="V19">
        <v>2.8</v>
      </c>
      <c r="W19" t="s">
        <v>2496</v>
      </c>
      <c r="X19" t="s">
        <v>46</v>
      </c>
    </row>
    <row r="20" spans="1:24">
      <c r="A20" t="s">
        <v>22</v>
      </c>
      <c r="B20" t="s">
        <v>47</v>
      </c>
      <c r="C20" s="36">
        <v>44546</v>
      </c>
      <c r="D20" t="s">
        <v>148</v>
      </c>
      <c r="E20" s="36">
        <v>44742</v>
      </c>
      <c r="F20" t="s">
        <v>56</v>
      </c>
      <c r="G20" s="36">
        <v>44735</v>
      </c>
      <c r="H20">
        <v>4</v>
      </c>
      <c r="I20" t="s">
        <v>2501</v>
      </c>
      <c r="J20">
        <v>5.0999999999999996</v>
      </c>
      <c r="K20">
        <v>7.8</v>
      </c>
      <c r="L20">
        <v>3</v>
      </c>
      <c r="M20">
        <v>2.0999999999999996</v>
      </c>
      <c r="N20">
        <v>2.0999999999999996</v>
      </c>
      <c r="O20">
        <v>-2.7</v>
      </c>
      <c r="P20">
        <v>2.7</v>
      </c>
      <c r="Q20">
        <v>7.2900000000000009</v>
      </c>
      <c r="R20">
        <v>0.29999999999999982</v>
      </c>
      <c r="S20">
        <v>0.29999999999999982</v>
      </c>
      <c r="T20" t="s">
        <v>139</v>
      </c>
      <c r="U20">
        <v>5.8</v>
      </c>
      <c r="V20">
        <v>2.8</v>
      </c>
      <c r="W20" t="s">
        <v>2496</v>
      </c>
      <c r="X20" t="s">
        <v>49</v>
      </c>
    </row>
    <row r="21" spans="1:24">
      <c r="A21" t="s">
        <v>22</v>
      </c>
      <c r="B21" t="s">
        <v>50</v>
      </c>
      <c r="C21" s="36">
        <v>44602</v>
      </c>
      <c r="D21" t="s">
        <v>148</v>
      </c>
      <c r="E21" s="36">
        <v>44742</v>
      </c>
      <c r="F21" t="s">
        <v>56</v>
      </c>
      <c r="G21" s="36">
        <v>44735</v>
      </c>
      <c r="H21">
        <v>3</v>
      </c>
      <c r="I21" t="s">
        <v>2498</v>
      </c>
      <c r="J21">
        <v>5.4</v>
      </c>
      <c r="K21">
        <v>7.8</v>
      </c>
      <c r="L21">
        <v>3</v>
      </c>
      <c r="M21">
        <v>2.4000000000000004</v>
      </c>
      <c r="N21">
        <v>2.4000000000000004</v>
      </c>
      <c r="O21">
        <v>-2.3999999999999995</v>
      </c>
      <c r="P21">
        <v>2.3999999999999995</v>
      </c>
      <c r="Q21">
        <v>5.7599999999999971</v>
      </c>
      <c r="R21">
        <v>0.30000000000000071</v>
      </c>
      <c r="S21">
        <v>0.30000000000000071</v>
      </c>
      <c r="T21" t="s">
        <v>142</v>
      </c>
      <c r="U21">
        <v>7</v>
      </c>
      <c r="V21">
        <v>4</v>
      </c>
      <c r="W21" t="s">
        <v>2496</v>
      </c>
      <c r="X21" t="s">
        <v>51</v>
      </c>
    </row>
    <row r="22" spans="1:24">
      <c r="A22" t="s">
        <v>22</v>
      </c>
      <c r="B22" t="s">
        <v>52</v>
      </c>
      <c r="C22" s="36">
        <v>44644</v>
      </c>
      <c r="D22" t="s">
        <v>148</v>
      </c>
      <c r="E22" s="36">
        <v>44742</v>
      </c>
      <c r="F22" t="s">
        <v>56</v>
      </c>
      <c r="G22" s="36">
        <v>44735</v>
      </c>
      <c r="H22">
        <v>2</v>
      </c>
      <c r="I22" t="s">
        <v>2499</v>
      </c>
      <c r="J22">
        <v>6.9</v>
      </c>
      <c r="K22">
        <v>7.8</v>
      </c>
      <c r="L22">
        <v>3</v>
      </c>
      <c r="M22">
        <v>3.9000000000000004</v>
      </c>
      <c r="N22">
        <v>3.9000000000000004</v>
      </c>
      <c r="O22">
        <v>-0.89999999999999947</v>
      </c>
      <c r="P22">
        <v>0.89999999999999947</v>
      </c>
      <c r="Q22">
        <v>0.80999999999999905</v>
      </c>
      <c r="R22">
        <v>1.5</v>
      </c>
      <c r="S22">
        <v>1.5</v>
      </c>
      <c r="T22" t="s">
        <v>142</v>
      </c>
      <c r="U22">
        <v>7</v>
      </c>
      <c r="V22">
        <v>4</v>
      </c>
      <c r="W22" t="s">
        <v>2496</v>
      </c>
      <c r="X22" t="s">
        <v>53</v>
      </c>
    </row>
    <row r="23" spans="1:24">
      <c r="A23" t="s">
        <v>22</v>
      </c>
      <c r="B23" t="s">
        <v>54</v>
      </c>
      <c r="C23" s="36">
        <v>44693</v>
      </c>
      <c r="D23" t="s">
        <v>148</v>
      </c>
      <c r="E23" s="36">
        <v>44742</v>
      </c>
      <c r="F23" t="s">
        <v>56</v>
      </c>
      <c r="G23" s="36">
        <v>44735</v>
      </c>
      <c r="H23">
        <v>1</v>
      </c>
      <c r="I23" t="s">
        <v>2495</v>
      </c>
      <c r="J23">
        <v>7.6</v>
      </c>
      <c r="K23">
        <v>7.8</v>
      </c>
      <c r="L23">
        <v>3</v>
      </c>
      <c r="M23">
        <v>4.5999999999999996</v>
      </c>
      <c r="N23">
        <v>4.5999999999999996</v>
      </c>
      <c r="O23">
        <v>-0.20000000000000018</v>
      </c>
      <c r="P23">
        <v>0.20000000000000018</v>
      </c>
      <c r="Q23">
        <v>4.000000000000007E-2</v>
      </c>
      <c r="R23">
        <v>0.69999999999999929</v>
      </c>
      <c r="S23">
        <v>0.69999999999999929</v>
      </c>
      <c r="T23" t="s">
        <v>145</v>
      </c>
      <c r="U23">
        <v>7.3</v>
      </c>
      <c r="V23">
        <v>4.3</v>
      </c>
      <c r="W23" t="s">
        <v>2496</v>
      </c>
      <c r="X23" t="s">
        <v>55</v>
      </c>
    </row>
    <row r="24" spans="1:24">
      <c r="A24" t="s">
        <v>22</v>
      </c>
      <c r="B24" t="s">
        <v>56</v>
      </c>
      <c r="C24" s="36">
        <v>44735</v>
      </c>
      <c r="D24" t="s">
        <v>148</v>
      </c>
      <c r="E24" s="36">
        <v>44742</v>
      </c>
      <c r="F24" t="s">
        <v>56</v>
      </c>
      <c r="G24" s="36">
        <v>44735</v>
      </c>
      <c r="H24">
        <v>0</v>
      </c>
      <c r="I24" t="s">
        <v>2497</v>
      </c>
      <c r="J24">
        <v>7.8</v>
      </c>
      <c r="K24">
        <v>7.8</v>
      </c>
      <c r="L24">
        <v>3</v>
      </c>
      <c r="M24">
        <v>4.8</v>
      </c>
      <c r="N24">
        <v>4.8</v>
      </c>
      <c r="O24">
        <v>0</v>
      </c>
      <c r="P24">
        <v>0</v>
      </c>
      <c r="Q24">
        <v>0</v>
      </c>
      <c r="R24">
        <v>0.20000000000000018</v>
      </c>
      <c r="S24">
        <v>0.20000000000000018</v>
      </c>
      <c r="T24" t="s">
        <v>145</v>
      </c>
      <c r="U24">
        <v>7.3</v>
      </c>
      <c r="V24">
        <v>4.3</v>
      </c>
      <c r="W24" t="s">
        <v>2496</v>
      </c>
      <c r="X24" t="s">
        <v>57</v>
      </c>
    </row>
    <row r="25" spans="1:24">
      <c r="A25" t="s">
        <v>22</v>
      </c>
      <c r="B25" t="s">
        <v>39</v>
      </c>
      <c r="C25" s="36">
        <v>44420</v>
      </c>
      <c r="D25" t="s">
        <v>151</v>
      </c>
      <c r="E25" s="36">
        <v>44834</v>
      </c>
      <c r="F25" t="s">
        <v>60</v>
      </c>
      <c r="G25" s="36">
        <v>44833</v>
      </c>
      <c r="H25">
        <v>9</v>
      </c>
      <c r="I25" t="s">
        <v>2504</v>
      </c>
      <c r="J25">
        <v>3.2</v>
      </c>
      <c r="K25">
        <v>8.5</v>
      </c>
      <c r="L25">
        <v>3</v>
      </c>
      <c r="M25">
        <v>0.20000000000000018</v>
      </c>
      <c r="N25">
        <v>0.20000000000000018</v>
      </c>
      <c r="O25">
        <v>-5.3</v>
      </c>
      <c r="P25">
        <v>5.3</v>
      </c>
      <c r="Q25">
        <v>28.09</v>
      </c>
      <c r="T25" t="s">
        <v>136</v>
      </c>
      <c r="U25">
        <v>6</v>
      </c>
      <c r="V25">
        <v>3</v>
      </c>
      <c r="W25" t="s">
        <v>2496</v>
      </c>
      <c r="X25" t="s">
        <v>42</v>
      </c>
    </row>
    <row r="26" spans="1:24">
      <c r="A26" t="s">
        <v>22</v>
      </c>
      <c r="B26" t="s">
        <v>43</v>
      </c>
      <c r="C26" s="36">
        <v>44469</v>
      </c>
      <c r="D26" t="s">
        <v>151</v>
      </c>
      <c r="E26" s="36">
        <v>44834</v>
      </c>
      <c r="F26" t="s">
        <v>60</v>
      </c>
      <c r="G26" s="36">
        <v>44833</v>
      </c>
      <c r="H26">
        <v>8</v>
      </c>
      <c r="I26" t="s">
        <v>2505</v>
      </c>
      <c r="J26">
        <v>3.5</v>
      </c>
      <c r="K26">
        <v>8.5</v>
      </c>
      <c r="L26">
        <v>3</v>
      </c>
      <c r="M26">
        <v>0.5</v>
      </c>
      <c r="N26">
        <v>0.5</v>
      </c>
      <c r="O26">
        <v>-5</v>
      </c>
      <c r="P26">
        <v>5</v>
      </c>
      <c r="Q26">
        <v>25</v>
      </c>
      <c r="R26">
        <v>0.29999999999999982</v>
      </c>
      <c r="S26">
        <v>0.29999999999999982</v>
      </c>
      <c r="T26" t="s">
        <v>136</v>
      </c>
      <c r="U26">
        <v>6</v>
      </c>
      <c r="V26">
        <v>3</v>
      </c>
      <c r="W26" t="s">
        <v>2496</v>
      </c>
      <c r="X26" t="s">
        <v>44</v>
      </c>
    </row>
    <row r="27" spans="1:24">
      <c r="A27" t="s">
        <v>22</v>
      </c>
      <c r="B27" t="s">
        <v>45</v>
      </c>
      <c r="C27" s="36">
        <v>44511</v>
      </c>
      <c r="D27" t="s">
        <v>151</v>
      </c>
      <c r="E27" s="36">
        <v>44834</v>
      </c>
      <c r="F27" t="s">
        <v>60</v>
      </c>
      <c r="G27" s="36">
        <v>44833</v>
      </c>
      <c r="H27">
        <v>7</v>
      </c>
      <c r="I27" t="s">
        <v>2502</v>
      </c>
      <c r="J27">
        <v>3.9</v>
      </c>
      <c r="K27">
        <v>8.5</v>
      </c>
      <c r="L27">
        <v>3</v>
      </c>
      <c r="M27">
        <v>0.89999999999999991</v>
      </c>
      <c r="N27">
        <v>0.89999999999999991</v>
      </c>
      <c r="O27">
        <v>-4.5999999999999996</v>
      </c>
      <c r="P27">
        <v>4.5999999999999996</v>
      </c>
      <c r="Q27">
        <v>21.159999999999997</v>
      </c>
      <c r="R27">
        <v>0.39999999999999991</v>
      </c>
      <c r="S27">
        <v>0.39999999999999991</v>
      </c>
      <c r="T27" t="s">
        <v>139</v>
      </c>
      <c r="U27">
        <v>5.8</v>
      </c>
      <c r="V27">
        <v>2.8</v>
      </c>
      <c r="W27" t="s">
        <v>2496</v>
      </c>
      <c r="X27" t="s">
        <v>46</v>
      </c>
    </row>
    <row r="28" spans="1:24">
      <c r="A28" t="s">
        <v>22</v>
      </c>
      <c r="B28" t="s">
        <v>47</v>
      </c>
      <c r="C28" s="36">
        <v>44546</v>
      </c>
      <c r="D28" t="s">
        <v>151</v>
      </c>
      <c r="E28" s="36">
        <v>44834</v>
      </c>
      <c r="F28" t="s">
        <v>60</v>
      </c>
      <c r="G28" s="36">
        <v>44833</v>
      </c>
      <c r="H28">
        <v>6</v>
      </c>
      <c r="I28" t="s">
        <v>2503</v>
      </c>
      <c r="J28">
        <v>4.3</v>
      </c>
      <c r="K28">
        <v>8.5</v>
      </c>
      <c r="L28">
        <v>3</v>
      </c>
      <c r="M28">
        <v>1.2999999999999998</v>
      </c>
      <c r="N28">
        <v>1.2999999999999998</v>
      </c>
      <c r="O28">
        <v>-4.2</v>
      </c>
      <c r="P28">
        <v>4.2</v>
      </c>
      <c r="Q28">
        <v>17.64</v>
      </c>
      <c r="R28">
        <v>0.39999999999999991</v>
      </c>
      <c r="S28">
        <v>0.39999999999999991</v>
      </c>
      <c r="T28" t="s">
        <v>139</v>
      </c>
      <c r="U28">
        <v>5.8</v>
      </c>
      <c r="V28">
        <v>2.8</v>
      </c>
      <c r="W28" t="s">
        <v>2496</v>
      </c>
      <c r="X28" t="s">
        <v>49</v>
      </c>
    </row>
    <row r="29" spans="1:24">
      <c r="A29" t="s">
        <v>22</v>
      </c>
      <c r="B29" t="s">
        <v>50</v>
      </c>
      <c r="C29" s="36">
        <v>44602</v>
      </c>
      <c r="D29" t="s">
        <v>151</v>
      </c>
      <c r="E29" s="36">
        <v>44834</v>
      </c>
      <c r="F29" t="s">
        <v>60</v>
      </c>
      <c r="G29" s="36">
        <v>44833</v>
      </c>
      <c r="H29">
        <v>5</v>
      </c>
      <c r="I29" t="s">
        <v>2500</v>
      </c>
      <c r="J29">
        <v>4.5999999999999996</v>
      </c>
      <c r="K29">
        <v>8.5</v>
      </c>
      <c r="L29">
        <v>3</v>
      </c>
      <c r="M29">
        <v>1.5999999999999996</v>
      </c>
      <c r="N29">
        <v>1.5999999999999996</v>
      </c>
      <c r="O29">
        <v>-3.9000000000000004</v>
      </c>
      <c r="P29">
        <v>3.9000000000000004</v>
      </c>
      <c r="Q29">
        <v>15.210000000000003</v>
      </c>
      <c r="R29">
        <v>0.29999999999999982</v>
      </c>
      <c r="S29">
        <v>0.29999999999999982</v>
      </c>
      <c r="T29" t="s">
        <v>142</v>
      </c>
      <c r="U29">
        <v>7</v>
      </c>
      <c r="V29">
        <v>4</v>
      </c>
      <c r="W29" t="s">
        <v>2496</v>
      </c>
      <c r="X29" t="s">
        <v>51</v>
      </c>
    </row>
    <row r="30" spans="1:24">
      <c r="A30" t="s">
        <v>22</v>
      </c>
      <c r="B30" t="s">
        <v>52</v>
      </c>
      <c r="C30" s="36">
        <v>44644</v>
      </c>
      <c r="D30" t="s">
        <v>151</v>
      </c>
      <c r="E30" s="36">
        <v>44834</v>
      </c>
      <c r="F30" t="s">
        <v>60</v>
      </c>
      <c r="G30" s="36">
        <v>44833</v>
      </c>
      <c r="H30">
        <v>4</v>
      </c>
      <c r="I30" t="s">
        <v>2501</v>
      </c>
      <c r="J30">
        <v>6.1</v>
      </c>
      <c r="K30">
        <v>8.5</v>
      </c>
      <c r="L30">
        <v>3</v>
      </c>
      <c r="M30">
        <v>3.0999999999999996</v>
      </c>
      <c r="N30">
        <v>3.0999999999999996</v>
      </c>
      <c r="O30">
        <v>-2.4000000000000004</v>
      </c>
      <c r="P30">
        <v>2.4000000000000004</v>
      </c>
      <c r="Q30">
        <v>5.7600000000000016</v>
      </c>
      <c r="R30">
        <v>1.5</v>
      </c>
      <c r="S30">
        <v>1.5</v>
      </c>
      <c r="T30" t="s">
        <v>142</v>
      </c>
      <c r="U30">
        <v>7</v>
      </c>
      <c r="V30">
        <v>4</v>
      </c>
      <c r="W30" t="s">
        <v>2496</v>
      </c>
      <c r="X30" t="s">
        <v>53</v>
      </c>
    </row>
    <row r="31" spans="1:24">
      <c r="A31" t="s">
        <v>22</v>
      </c>
      <c r="B31" t="s">
        <v>54</v>
      </c>
      <c r="C31" s="36">
        <v>44693</v>
      </c>
      <c r="D31" t="s">
        <v>151</v>
      </c>
      <c r="E31" s="36">
        <v>44834</v>
      </c>
      <c r="F31" t="s">
        <v>60</v>
      </c>
      <c r="G31" s="36">
        <v>44833</v>
      </c>
      <c r="H31">
        <v>3</v>
      </c>
      <c r="I31" t="s">
        <v>2498</v>
      </c>
      <c r="J31">
        <v>7</v>
      </c>
      <c r="K31">
        <v>8.5</v>
      </c>
      <c r="L31">
        <v>3</v>
      </c>
      <c r="M31">
        <v>4</v>
      </c>
      <c r="N31">
        <v>4</v>
      </c>
      <c r="O31">
        <v>-1.5</v>
      </c>
      <c r="P31">
        <v>1.5</v>
      </c>
      <c r="Q31">
        <v>2.25</v>
      </c>
      <c r="R31">
        <v>0.90000000000000036</v>
      </c>
      <c r="S31">
        <v>0.90000000000000036</v>
      </c>
      <c r="T31" t="s">
        <v>145</v>
      </c>
      <c r="U31">
        <v>7.3</v>
      </c>
      <c r="V31">
        <v>4.3</v>
      </c>
      <c r="W31" t="s">
        <v>2496</v>
      </c>
      <c r="X31" t="s">
        <v>55</v>
      </c>
    </row>
    <row r="32" spans="1:24">
      <c r="A32" t="s">
        <v>22</v>
      </c>
      <c r="B32" t="s">
        <v>56</v>
      </c>
      <c r="C32" s="36">
        <v>44735</v>
      </c>
      <c r="D32" t="s">
        <v>151</v>
      </c>
      <c r="E32" s="36">
        <v>44834</v>
      </c>
      <c r="F32" t="s">
        <v>60</v>
      </c>
      <c r="G32" s="36">
        <v>44833</v>
      </c>
      <c r="H32">
        <v>2</v>
      </c>
      <c r="I32" t="s">
        <v>2499</v>
      </c>
      <c r="J32">
        <v>8.1</v>
      </c>
      <c r="K32">
        <v>8.5</v>
      </c>
      <c r="L32">
        <v>3</v>
      </c>
      <c r="M32">
        <v>5.0999999999999996</v>
      </c>
      <c r="N32">
        <v>5.0999999999999996</v>
      </c>
      <c r="O32">
        <v>-0.40000000000000036</v>
      </c>
      <c r="P32">
        <v>0.40000000000000036</v>
      </c>
      <c r="Q32">
        <v>0.16000000000000028</v>
      </c>
      <c r="R32">
        <v>1.0999999999999996</v>
      </c>
      <c r="S32">
        <v>1.0999999999999996</v>
      </c>
      <c r="T32" t="s">
        <v>145</v>
      </c>
      <c r="U32">
        <v>7.3</v>
      </c>
      <c r="V32">
        <v>4.3</v>
      </c>
      <c r="W32" t="s">
        <v>2496</v>
      </c>
      <c r="X32" t="s">
        <v>57</v>
      </c>
    </row>
    <row r="33" spans="1:24">
      <c r="A33" t="s">
        <v>22</v>
      </c>
      <c r="B33" t="s">
        <v>58</v>
      </c>
      <c r="C33" s="36">
        <v>44784</v>
      </c>
      <c r="D33" t="s">
        <v>151</v>
      </c>
      <c r="E33" s="36">
        <v>44834</v>
      </c>
      <c r="F33" t="s">
        <v>60</v>
      </c>
      <c r="G33" s="36">
        <v>44833</v>
      </c>
      <c r="H33">
        <v>1</v>
      </c>
      <c r="I33" t="s">
        <v>2495</v>
      </c>
      <c r="J33">
        <v>8.5</v>
      </c>
      <c r="K33">
        <v>8.5</v>
      </c>
      <c r="L33">
        <v>3</v>
      </c>
      <c r="M33">
        <v>5.5</v>
      </c>
      <c r="N33">
        <v>5.5</v>
      </c>
      <c r="O33">
        <v>0</v>
      </c>
      <c r="P33">
        <v>0</v>
      </c>
      <c r="Q33">
        <v>0</v>
      </c>
      <c r="R33">
        <v>0.40000000000000036</v>
      </c>
      <c r="S33">
        <v>0.40000000000000036</v>
      </c>
      <c r="T33" t="s">
        <v>148</v>
      </c>
      <c r="U33">
        <v>7.8</v>
      </c>
      <c r="V33">
        <v>4.8</v>
      </c>
      <c r="W33" t="s">
        <v>2496</v>
      </c>
      <c r="X33" t="s">
        <v>59</v>
      </c>
    </row>
    <row r="34" spans="1:24">
      <c r="A34" t="s">
        <v>22</v>
      </c>
      <c r="B34" t="s">
        <v>60</v>
      </c>
      <c r="C34" s="36">
        <v>44833</v>
      </c>
      <c r="D34" t="s">
        <v>151</v>
      </c>
      <c r="E34" s="36">
        <v>44834</v>
      </c>
      <c r="F34" t="s">
        <v>60</v>
      </c>
      <c r="G34" s="36">
        <v>44833</v>
      </c>
      <c r="H34">
        <v>0</v>
      </c>
      <c r="I34" t="s">
        <v>2497</v>
      </c>
      <c r="J34">
        <v>8.6</v>
      </c>
      <c r="K34">
        <v>8.5</v>
      </c>
      <c r="L34">
        <v>3</v>
      </c>
      <c r="M34">
        <v>5.6</v>
      </c>
      <c r="N34">
        <v>5.6</v>
      </c>
      <c r="O34">
        <v>9.9999999999999645E-2</v>
      </c>
      <c r="P34">
        <v>9.9999999999999645E-2</v>
      </c>
      <c r="Q34">
        <v>9.9999999999999291E-3</v>
      </c>
      <c r="R34">
        <v>9.9999999999999645E-2</v>
      </c>
      <c r="S34">
        <v>9.9999999999999645E-2</v>
      </c>
      <c r="T34" t="s">
        <v>148</v>
      </c>
      <c r="U34">
        <v>7.8</v>
      </c>
      <c r="V34">
        <v>4.8</v>
      </c>
      <c r="W34" t="s">
        <v>2496</v>
      </c>
      <c r="X34" t="s">
        <v>61</v>
      </c>
    </row>
    <row r="35" spans="1:24">
      <c r="A35" t="s">
        <v>22</v>
      </c>
      <c r="B35" t="s">
        <v>39</v>
      </c>
      <c r="C35" s="36">
        <v>44420</v>
      </c>
      <c r="D35" t="s">
        <v>154</v>
      </c>
      <c r="E35" s="36">
        <v>44926</v>
      </c>
      <c r="F35" t="s">
        <v>64</v>
      </c>
      <c r="G35" s="36">
        <v>44910</v>
      </c>
      <c r="H35">
        <v>11</v>
      </c>
      <c r="I35" t="s">
        <v>2506</v>
      </c>
      <c r="J35">
        <v>3.4</v>
      </c>
      <c r="K35">
        <v>8</v>
      </c>
      <c r="L35">
        <v>3</v>
      </c>
      <c r="M35">
        <v>0.39999999999999991</v>
      </c>
      <c r="N35">
        <v>0.39999999999999991</v>
      </c>
      <c r="O35">
        <v>-4.5999999999999996</v>
      </c>
      <c r="P35">
        <v>4.5999999999999996</v>
      </c>
      <c r="Q35">
        <v>21.159999999999997</v>
      </c>
      <c r="T35" t="s">
        <v>136</v>
      </c>
      <c r="U35">
        <v>6</v>
      </c>
      <c r="V35">
        <v>3</v>
      </c>
      <c r="W35" t="s">
        <v>2496</v>
      </c>
      <c r="X35" t="s">
        <v>42</v>
      </c>
    </row>
    <row r="36" spans="1:24">
      <c r="A36" t="s">
        <v>22</v>
      </c>
      <c r="B36" t="s">
        <v>43</v>
      </c>
      <c r="C36" s="36">
        <v>44469</v>
      </c>
      <c r="D36" t="s">
        <v>154</v>
      </c>
      <c r="E36" s="36">
        <v>44926</v>
      </c>
      <c r="F36" t="s">
        <v>64</v>
      </c>
      <c r="G36" s="36">
        <v>44910</v>
      </c>
      <c r="H36">
        <v>10</v>
      </c>
      <c r="I36" t="s">
        <v>2507</v>
      </c>
      <c r="J36">
        <v>3.4</v>
      </c>
      <c r="K36">
        <v>8</v>
      </c>
      <c r="L36">
        <v>3</v>
      </c>
      <c r="M36">
        <v>0.39999999999999991</v>
      </c>
      <c r="N36">
        <v>0.39999999999999991</v>
      </c>
      <c r="O36">
        <v>-4.5999999999999996</v>
      </c>
      <c r="P36">
        <v>4.5999999999999996</v>
      </c>
      <c r="Q36">
        <v>21.159999999999997</v>
      </c>
      <c r="R36">
        <v>0</v>
      </c>
      <c r="S36">
        <v>0</v>
      </c>
      <c r="T36" t="s">
        <v>136</v>
      </c>
      <c r="U36">
        <v>6</v>
      </c>
      <c r="V36">
        <v>3</v>
      </c>
      <c r="W36" t="s">
        <v>2496</v>
      </c>
      <c r="X36" t="s">
        <v>44</v>
      </c>
    </row>
    <row r="37" spans="1:24">
      <c r="A37" t="s">
        <v>22</v>
      </c>
      <c r="B37" t="s">
        <v>45</v>
      </c>
      <c r="C37" s="36">
        <v>44511</v>
      </c>
      <c r="D37" t="s">
        <v>154</v>
      </c>
      <c r="E37" s="36">
        <v>44926</v>
      </c>
      <c r="F37" t="s">
        <v>64</v>
      </c>
      <c r="G37" s="36">
        <v>44910</v>
      </c>
      <c r="H37">
        <v>9</v>
      </c>
      <c r="I37" t="s">
        <v>2504</v>
      </c>
      <c r="J37">
        <v>3.3</v>
      </c>
      <c r="K37">
        <v>8</v>
      </c>
      <c r="L37">
        <v>3</v>
      </c>
      <c r="M37">
        <v>0.29999999999999982</v>
      </c>
      <c r="N37">
        <v>0.29999999999999982</v>
      </c>
      <c r="O37">
        <v>-4.7</v>
      </c>
      <c r="P37">
        <v>4.7</v>
      </c>
      <c r="Q37">
        <v>22.090000000000003</v>
      </c>
      <c r="R37">
        <v>-0.10000000000000009</v>
      </c>
      <c r="S37">
        <v>0.10000000000000009</v>
      </c>
      <c r="T37" t="s">
        <v>139</v>
      </c>
      <c r="U37">
        <v>5.8</v>
      </c>
      <c r="V37">
        <v>2.8</v>
      </c>
      <c r="W37" t="s">
        <v>2496</v>
      </c>
      <c r="X37" t="s">
        <v>46</v>
      </c>
    </row>
    <row r="38" spans="1:24">
      <c r="A38" t="s">
        <v>22</v>
      </c>
      <c r="B38" t="s">
        <v>47</v>
      </c>
      <c r="C38" s="36">
        <v>44546</v>
      </c>
      <c r="D38" t="s">
        <v>154</v>
      </c>
      <c r="E38" s="36">
        <v>44926</v>
      </c>
      <c r="F38" t="s">
        <v>64</v>
      </c>
      <c r="G38" s="36">
        <v>44910</v>
      </c>
      <c r="H38">
        <v>8</v>
      </c>
      <c r="I38" t="s">
        <v>2505</v>
      </c>
      <c r="J38">
        <v>3.5</v>
      </c>
      <c r="K38">
        <v>8</v>
      </c>
      <c r="L38">
        <v>3</v>
      </c>
      <c r="M38">
        <v>0.5</v>
      </c>
      <c r="N38">
        <v>0.5</v>
      </c>
      <c r="O38">
        <v>-4.5</v>
      </c>
      <c r="P38">
        <v>4.5</v>
      </c>
      <c r="Q38">
        <v>20.25</v>
      </c>
      <c r="R38">
        <v>0.20000000000000018</v>
      </c>
      <c r="S38">
        <v>0.20000000000000018</v>
      </c>
      <c r="T38" t="s">
        <v>139</v>
      </c>
      <c r="U38">
        <v>5.8</v>
      </c>
      <c r="V38">
        <v>2.8</v>
      </c>
      <c r="W38" t="s">
        <v>2496</v>
      </c>
      <c r="X38" t="s">
        <v>49</v>
      </c>
    </row>
    <row r="39" spans="1:24">
      <c r="A39" t="s">
        <v>22</v>
      </c>
      <c r="B39" t="s">
        <v>50</v>
      </c>
      <c r="C39" s="36">
        <v>44602</v>
      </c>
      <c r="D39" t="s">
        <v>154</v>
      </c>
      <c r="E39" s="36">
        <v>44926</v>
      </c>
      <c r="F39" t="s">
        <v>64</v>
      </c>
      <c r="G39" s="36">
        <v>44910</v>
      </c>
      <c r="H39">
        <v>7</v>
      </c>
      <c r="I39" t="s">
        <v>2502</v>
      </c>
      <c r="J39">
        <v>4</v>
      </c>
      <c r="K39">
        <v>8</v>
      </c>
      <c r="L39">
        <v>3</v>
      </c>
      <c r="M39">
        <v>1</v>
      </c>
      <c r="N39">
        <v>1</v>
      </c>
      <c r="O39">
        <v>-4</v>
      </c>
      <c r="P39">
        <v>4</v>
      </c>
      <c r="Q39">
        <v>16</v>
      </c>
      <c r="R39">
        <v>0.5</v>
      </c>
      <c r="S39">
        <v>0.5</v>
      </c>
      <c r="T39" t="s">
        <v>142</v>
      </c>
      <c r="U39">
        <v>7</v>
      </c>
      <c r="V39">
        <v>4</v>
      </c>
      <c r="W39" t="s">
        <v>2496</v>
      </c>
      <c r="X39" t="s">
        <v>51</v>
      </c>
    </row>
    <row r="40" spans="1:24">
      <c r="A40" t="s">
        <v>22</v>
      </c>
      <c r="B40" t="s">
        <v>52</v>
      </c>
      <c r="C40" s="36">
        <v>44644</v>
      </c>
      <c r="D40" t="s">
        <v>154</v>
      </c>
      <c r="E40" s="36">
        <v>44926</v>
      </c>
      <c r="F40" t="s">
        <v>64</v>
      </c>
      <c r="G40" s="36">
        <v>44910</v>
      </c>
      <c r="H40">
        <v>6</v>
      </c>
      <c r="I40" t="s">
        <v>2503</v>
      </c>
      <c r="J40">
        <v>5.5</v>
      </c>
      <c r="K40">
        <v>8</v>
      </c>
      <c r="L40">
        <v>3</v>
      </c>
      <c r="M40">
        <v>2.5</v>
      </c>
      <c r="N40">
        <v>2.5</v>
      </c>
      <c r="O40">
        <v>-2.5</v>
      </c>
      <c r="P40">
        <v>2.5</v>
      </c>
      <c r="Q40">
        <v>6.25</v>
      </c>
      <c r="R40">
        <v>1.5</v>
      </c>
      <c r="S40">
        <v>1.5</v>
      </c>
      <c r="T40" t="s">
        <v>142</v>
      </c>
      <c r="U40">
        <v>7</v>
      </c>
      <c r="V40">
        <v>4</v>
      </c>
      <c r="W40" t="s">
        <v>2496</v>
      </c>
      <c r="X40" t="s">
        <v>53</v>
      </c>
    </row>
    <row r="41" spans="1:24">
      <c r="A41" t="s">
        <v>22</v>
      </c>
      <c r="B41" t="s">
        <v>54</v>
      </c>
      <c r="C41" s="36">
        <v>44693</v>
      </c>
      <c r="D41" t="s">
        <v>154</v>
      </c>
      <c r="E41" s="36">
        <v>44926</v>
      </c>
      <c r="F41" t="s">
        <v>64</v>
      </c>
      <c r="G41" s="36">
        <v>44910</v>
      </c>
      <c r="H41">
        <v>5</v>
      </c>
      <c r="I41" t="s">
        <v>2500</v>
      </c>
      <c r="J41">
        <v>6.4</v>
      </c>
      <c r="K41">
        <v>8</v>
      </c>
      <c r="L41">
        <v>3</v>
      </c>
      <c r="M41">
        <v>3.4000000000000004</v>
      </c>
      <c r="N41">
        <v>3.4000000000000004</v>
      </c>
      <c r="O41">
        <v>-1.5999999999999996</v>
      </c>
      <c r="P41">
        <v>1.5999999999999996</v>
      </c>
      <c r="Q41">
        <v>2.5599999999999987</v>
      </c>
      <c r="R41">
        <v>0.90000000000000036</v>
      </c>
      <c r="S41">
        <v>0.90000000000000036</v>
      </c>
      <c r="T41" t="s">
        <v>145</v>
      </c>
      <c r="U41">
        <v>7.3</v>
      </c>
      <c r="V41">
        <v>4.3</v>
      </c>
      <c r="W41" t="s">
        <v>2496</v>
      </c>
      <c r="X41" t="s">
        <v>55</v>
      </c>
    </row>
    <row r="42" spans="1:24">
      <c r="A42" t="s">
        <v>22</v>
      </c>
      <c r="B42" t="s">
        <v>56</v>
      </c>
      <c r="C42" s="36">
        <v>44735</v>
      </c>
      <c r="D42" t="s">
        <v>154</v>
      </c>
      <c r="E42" s="36">
        <v>44926</v>
      </c>
      <c r="F42" t="s">
        <v>64</v>
      </c>
      <c r="G42" s="36">
        <v>44910</v>
      </c>
      <c r="H42">
        <v>4</v>
      </c>
      <c r="I42" t="s">
        <v>2501</v>
      </c>
      <c r="J42">
        <v>7.5</v>
      </c>
      <c r="K42">
        <v>8</v>
      </c>
      <c r="L42">
        <v>3</v>
      </c>
      <c r="M42">
        <v>4.5</v>
      </c>
      <c r="N42">
        <v>4.5</v>
      </c>
      <c r="O42">
        <v>-0.5</v>
      </c>
      <c r="P42">
        <v>0.5</v>
      </c>
      <c r="Q42">
        <v>0.25</v>
      </c>
      <c r="R42">
        <v>1.0999999999999996</v>
      </c>
      <c r="S42">
        <v>1.0999999999999996</v>
      </c>
      <c r="T42" t="s">
        <v>145</v>
      </c>
      <c r="U42">
        <v>7.3</v>
      </c>
      <c r="V42">
        <v>4.3</v>
      </c>
      <c r="W42" t="s">
        <v>2496</v>
      </c>
      <c r="X42" t="s">
        <v>57</v>
      </c>
    </row>
    <row r="43" spans="1:24">
      <c r="A43" t="s">
        <v>22</v>
      </c>
      <c r="B43" t="s">
        <v>58</v>
      </c>
      <c r="C43" s="36">
        <v>44784</v>
      </c>
      <c r="D43" t="s">
        <v>154</v>
      </c>
      <c r="E43" s="36">
        <v>44926</v>
      </c>
      <c r="F43" t="s">
        <v>64</v>
      </c>
      <c r="G43" s="36">
        <v>44910</v>
      </c>
      <c r="H43">
        <v>3</v>
      </c>
      <c r="I43" t="s">
        <v>2498</v>
      </c>
      <c r="J43">
        <v>8.1</v>
      </c>
      <c r="K43">
        <v>8</v>
      </c>
      <c r="L43">
        <v>3</v>
      </c>
      <c r="M43">
        <v>5.0999999999999996</v>
      </c>
      <c r="N43">
        <v>5.0999999999999996</v>
      </c>
      <c r="O43">
        <v>9.9999999999999645E-2</v>
      </c>
      <c r="P43">
        <v>9.9999999999999645E-2</v>
      </c>
      <c r="Q43">
        <v>9.9999999999999291E-3</v>
      </c>
      <c r="R43">
        <v>0.59999999999999964</v>
      </c>
      <c r="S43">
        <v>0.59999999999999964</v>
      </c>
      <c r="T43" t="s">
        <v>148</v>
      </c>
      <c r="U43">
        <v>7.8</v>
      </c>
      <c r="V43">
        <v>4.8</v>
      </c>
      <c r="W43" t="s">
        <v>2496</v>
      </c>
      <c r="X43" t="s">
        <v>59</v>
      </c>
    </row>
    <row r="44" spans="1:24">
      <c r="A44" t="s">
        <v>22</v>
      </c>
      <c r="B44" t="s">
        <v>60</v>
      </c>
      <c r="C44" s="36">
        <v>44833</v>
      </c>
      <c r="D44" t="s">
        <v>154</v>
      </c>
      <c r="E44" s="36">
        <v>44926</v>
      </c>
      <c r="F44" t="s">
        <v>64</v>
      </c>
      <c r="G44" s="36">
        <v>44910</v>
      </c>
      <c r="H44">
        <v>2</v>
      </c>
      <c r="I44" t="s">
        <v>2499</v>
      </c>
      <c r="J44">
        <v>8.6</v>
      </c>
      <c r="K44">
        <v>8</v>
      </c>
      <c r="L44">
        <v>3</v>
      </c>
      <c r="M44">
        <v>5.6</v>
      </c>
      <c r="N44">
        <v>5.6</v>
      </c>
      <c r="O44">
        <v>0.59999999999999964</v>
      </c>
      <c r="P44">
        <v>0.59999999999999964</v>
      </c>
      <c r="Q44">
        <v>0.3599999999999996</v>
      </c>
      <c r="R44">
        <v>0.5</v>
      </c>
      <c r="S44">
        <v>0.5</v>
      </c>
      <c r="T44" t="s">
        <v>148</v>
      </c>
      <c r="U44">
        <v>7.8</v>
      </c>
      <c r="V44">
        <v>4.8</v>
      </c>
      <c r="W44" t="s">
        <v>2496</v>
      </c>
      <c r="X44" t="s">
        <v>61</v>
      </c>
    </row>
    <row r="45" spans="1:24">
      <c r="A45" t="s">
        <v>22</v>
      </c>
      <c r="B45" t="s">
        <v>62</v>
      </c>
      <c r="C45" s="36">
        <v>44875</v>
      </c>
      <c r="D45" t="s">
        <v>154</v>
      </c>
      <c r="E45" s="36">
        <v>44926</v>
      </c>
      <c r="F45" t="s">
        <v>64</v>
      </c>
      <c r="G45" s="36">
        <v>44910</v>
      </c>
      <c r="H45">
        <v>1</v>
      </c>
      <c r="I45" t="s">
        <v>2495</v>
      </c>
      <c r="J45">
        <v>8.3000000000000007</v>
      </c>
      <c r="K45">
        <v>8</v>
      </c>
      <c r="L45">
        <v>3</v>
      </c>
      <c r="M45">
        <v>5.3000000000000007</v>
      </c>
      <c r="N45">
        <v>5.3000000000000007</v>
      </c>
      <c r="O45">
        <v>0.30000000000000071</v>
      </c>
      <c r="P45">
        <v>0.30000000000000071</v>
      </c>
      <c r="Q45">
        <v>9.0000000000000427E-2</v>
      </c>
      <c r="R45">
        <v>-0.29999999999999893</v>
      </c>
      <c r="S45">
        <v>0.29999999999999893</v>
      </c>
      <c r="T45" t="s">
        <v>151</v>
      </c>
      <c r="U45">
        <v>8.5</v>
      </c>
      <c r="V45">
        <v>5.5</v>
      </c>
      <c r="W45" t="s">
        <v>2496</v>
      </c>
      <c r="X45" t="s">
        <v>63</v>
      </c>
    </row>
    <row r="46" spans="1:24">
      <c r="A46" t="s">
        <v>22</v>
      </c>
      <c r="B46" t="s">
        <v>64</v>
      </c>
      <c r="C46" s="36">
        <v>44910</v>
      </c>
      <c r="D46" t="s">
        <v>154</v>
      </c>
      <c r="E46" s="36">
        <v>44926</v>
      </c>
      <c r="F46" t="s">
        <v>64</v>
      </c>
      <c r="G46" s="36">
        <v>44910</v>
      </c>
      <c r="H46">
        <v>0</v>
      </c>
      <c r="I46" t="s">
        <v>2497</v>
      </c>
      <c r="J46">
        <v>8.1</v>
      </c>
      <c r="K46">
        <v>8</v>
      </c>
      <c r="L46">
        <v>3</v>
      </c>
      <c r="M46">
        <v>5.0999999999999996</v>
      </c>
      <c r="N46">
        <v>5.0999999999999996</v>
      </c>
      <c r="O46">
        <v>9.9999999999999645E-2</v>
      </c>
      <c r="P46">
        <v>9.9999999999999645E-2</v>
      </c>
      <c r="Q46">
        <v>9.9999999999999291E-3</v>
      </c>
      <c r="R46">
        <v>-0.20000000000000107</v>
      </c>
      <c r="S46">
        <v>0.20000000000000107</v>
      </c>
      <c r="T46" t="s">
        <v>151</v>
      </c>
      <c r="U46">
        <v>8.5</v>
      </c>
      <c r="V46">
        <v>5.5</v>
      </c>
      <c r="W46" t="s">
        <v>2496</v>
      </c>
      <c r="X46" t="s">
        <v>65</v>
      </c>
    </row>
    <row r="47" spans="1:24">
      <c r="A47" t="s">
        <v>22</v>
      </c>
      <c r="B47" t="s">
        <v>39</v>
      </c>
      <c r="C47" s="36">
        <v>44420</v>
      </c>
      <c r="D47" t="s">
        <v>157</v>
      </c>
      <c r="E47" s="36">
        <v>45016</v>
      </c>
      <c r="F47" t="s">
        <v>68</v>
      </c>
      <c r="G47" s="36">
        <v>45015</v>
      </c>
      <c r="H47">
        <v>13</v>
      </c>
      <c r="I47" t="s">
        <v>2508</v>
      </c>
      <c r="J47">
        <v>3.1</v>
      </c>
      <c r="K47">
        <v>7.5</v>
      </c>
      <c r="L47">
        <v>3</v>
      </c>
      <c r="M47">
        <v>0.10000000000000009</v>
      </c>
      <c r="N47">
        <v>0.10000000000000009</v>
      </c>
      <c r="O47">
        <v>-4.4000000000000004</v>
      </c>
      <c r="P47">
        <v>4.4000000000000004</v>
      </c>
      <c r="Q47">
        <v>19.360000000000003</v>
      </c>
      <c r="T47" t="s">
        <v>136</v>
      </c>
      <c r="U47">
        <v>6</v>
      </c>
      <c r="V47">
        <v>3</v>
      </c>
      <c r="W47" t="s">
        <v>2496</v>
      </c>
      <c r="X47" t="s">
        <v>42</v>
      </c>
    </row>
    <row r="48" spans="1:24">
      <c r="A48" t="s">
        <v>22</v>
      </c>
      <c r="B48" t="s">
        <v>43</v>
      </c>
      <c r="C48" s="36">
        <v>44469</v>
      </c>
      <c r="D48" t="s">
        <v>157</v>
      </c>
      <c r="E48" s="36">
        <v>45016</v>
      </c>
      <c r="F48" t="s">
        <v>68</v>
      </c>
      <c r="G48" s="36">
        <v>45015</v>
      </c>
      <c r="H48">
        <v>12</v>
      </c>
      <c r="I48" t="s">
        <v>2509</v>
      </c>
      <c r="J48">
        <v>3.3</v>
      </c>
      <c r="K48">
        <v>7.5</v>
      </c>
      <c r="L48">
        <v>3</v>
      </c>
      <c r="M48">
        <v>0.29999999999999982</v>
      </c>
      <c r="N48">
        <v>0.29999999999999982</v>
      </c>
      <c r="O48">
        <v>-4.2</v>
      </c>
      <c r="P48">
        <v>4.2</v>
      </c>
      <c r="Q48">
        <v>17.64</v>
      </c>
      <c r="R48">
        <v>0.19999999999999973</v>
      </c>
      <c r="S48">
        <v>0.19999999999999973</v>
      </c>
      <c r="T48" t="s">
        <v>136</v>
      </c>
      <c r="U48">
        <v>6</v>
      </c>
      <c r="V48">
        <v>3</v>
      </c>
      <c r="W48" t="s">
        <v>2496</v>
      </c>
      <c r="X48" t="s">
        <v>44</v>
      </c>
    </row>
    <row r="49" spans="1:24">
      <c r="A49" t="s">
        <v>22</v>
      </c>
      <c r="B49" t="s">
        <v>45</v>
      </c>
      <c r="C49" s="36">
        <v>44511</v>
      </c>
      <c r="D49" t="s">
        <v>157</v>
      </c>
      <c r="E49" s="36">
        <v>45016</v>
      </c>
      <c r="F49" t="s">
        <v>68</v>
      </c>
      <c r="G49" s="36">
        <v>45015</v>
      </c>
      <c r="H49">
        <v>11</v>
      </c>
      <c r="I49" t="s">
        <v>2506</v>
      </c>
      <c r="J49">
        <v>3.2</v>
      </c>
      <c r="K49">
        <v>7.5</v>
      </c>
      <c r="L49">
        <v>3</v>
      </c>
      <c r="M49">
        <v>0.20000000000000018</v>
      </c>
      <c r="N49">
        <v>0.20000000000000018</v>
      </c>
      <c r="O49">
        <v>-4.3</v>
      </c>
      <c r="P49">
        <v>4.3</v>
      </c>
      <c r="Q49">
        <v>18.489999999999998</v>
      </c>
      <c r="R49">
        <v>-9.9999999999999645E-2</v>
      </c>
      <c r="S49">
        <v>9.9999999999999645E-2</v>
      </c>
      <c r="T49" t="s">
        <v>139</v>
      </c>
      <c r="U49">
        <v>5.8</v>
      </c>
      <c r="V49">
        <v>2.8</v>
      </c>
      <c r="W49" t="s">
        <v>2496</v>
      </c>
      <c r="X49" t="s">
        <v>46</v>
      </c>
    </row>
    <row r="50" spans="1:24">
      <c r="A50" t="s">
        <v>22</v>
      </c>
      <c r="B50" t="s">
        <v>47</v>
      </c>
      <c r="C50" s="36">
        <v>44546</v>
      </c>
      <c r="D50" t="s">
        <v>157</v>
      </c>
      <c r="E50" s="36">
        <v>45016</v>
      </c>
      <c r="F50" t="s">
        <v>68</v>
      </c>
      <c r="G50" s="36">
        <v>45015</v>
      </c>
      <c r="H50">
        <v>10</v>
      </c>
      <c r="I50" t="s">
        <v>2507</v>
      </c>
      <c r="J50">
        <v>3.3</v>
      </c>
      <c r="K50">
        <v>7.5</v>
      </c>
      <c r="L50">
        <v>3</v>
      </c>
      <c r="M50">
        <v>0.29999999999999982</v>
      </c>
      <c r="N50">
        <v>0.29999999999999982</v>
      </c>
      <c r="O50">
        <v>-4.2</v>
      </c>
      <c r="P50">
        <v>4.2</v>
      </c>
      <c r="Q50">
        <v>17.64</v>
      </c>
      <c r="R50">
        <v>9.9999999999999645E-2</v>
      </c>
      <c r="S50">
        <v>9.9999999999999645E-2</v>
      </c>
      <c r="T50" t="s">
        <v>139</v>
      </c>
      <c r="U50">
        <v>5.8</v>
      </c>
      <c r="V50">
        <v>2.8</v>
      </c>
      <c r="W50" t="s">
        <v>2496</v>
      </c>
      <c r="X50" t="s">
        <v>49</v>
      </c>
    </row>
    <row r="51" spans="1:24">
      <c r="A51" t="s">
        <v>22</v>
      </c>
      <c r="B51" t="s">
        <v>50</v>
      </c>
      <c r="C51" s="36">
        <v>44602</v>
      </c>
      <c r="D51" t="s">
        <v>157</v>
      </c>
      <c r="E51" s="36">
        <v>45016</v>
      </c>
      <c r="F51" t="s">
        <v>68</v>
      </c>
      <c r="G51" s="36">
        <v>45015</v>
      </c>
      <c r="H51">
        <v>9</v>
      </c>
      <c r="I51" t="s">
        <v>2504</v>
      </c>
      <c r="J51">
        <v>3.4</v>
      </c>
      <c r="K51">
        <v>7.5</v>
      </c>
      <c r="L51">
        <v>3</v>
      </c>
      <c r="M51">
        <v>0.39999999999999991</v>
      </c>
      <c r="N51">
        <v>0.39999999999999991</v>
      </c>
      <c r="O51">
        <v>-4.0999999999999996</v>
      </c>
      <c r="P51">
        <v>4.0999999999999996</v>
      </c>
      <c r="Q51">
        <v>16.809999999999999</v>
      </c>
      <c r="R51">
        <v>0.10000000000000009</v>
      </c>
      <c r="S51">
        <v>0.10000000000000009</v>
      </c>
      <c r="T51" t="s">
        <v>142</v>
      </c>
      <c r="U51">
        <v>7</v>
      </c>
      <c r="V51">
        <v>4</v>
      </c>
      <c r="W51" t="s">
        <v>2496</v>
      </c>
      <c r="X51" t="s">
        <v>51</v>
      </c>
    </row>
    <row r="52" spans="1:24">
      <c r="A52" t="s">
        <v>22</v>
      </c>
      <c r="B52" t="s">
        <v>52</v>
      </c>
      <c r="C52" s="36">
        <v>44644</v>
      </c>
      <c r="D52" t="s">
        <v>157</v>
      </c>
      <c r="E52" s="36">
        <v>45016</v>
      </c>
      <c r="F52" t="s">
        <v>68</v>
      </c>
      <c r="G52" s="36">
        <v>45015</v>
      </c>
      <c r="H52">
        <v>8</v>
      </c>
      <c r="I52" t="s">
        <v>2505</v>
      </c>
      <c r="J52">
        <v>4.5</v>
      </c>
      <c r="K52">
        <v>7.5</v>
      </c>
      <c r="L52">
        <v>3</v>
      </c>
      <c r="M52">
        <v>1.5</v>
      </c>
      <c r="N52">
        <v>1.5</v>
      </c>
      <c r="O52">
        <v>-3</v>
      </c>
      <c r="P52">
        <v>3</v>
      </c>
      <c r="Q52">
        <v>9</v>
      </c>
      <c r="R52">
        <v>1.1000000000000001</v>
      </c>
      <c r="S52">
        <v>1.1000000000000001</v>
      </c>
      <c r="T52" t="s">
        <v>142</v>
      </c>
      <c r="U52">
        <v>7</v>
      </c>
      <c r="V52">
        <v>4</v>
      </c>
      <c r="W52" t="s">
        <v>2496</v>
      </c>
      <c r="X52" t="s">
        <v>53</v>
      </c>
    </row>
    <row r="53" spans="1:24">
      <c r="A53" t="s">
        <v>22</v>
      </c>
      <c r="B53" t="s">
        <v>54</v>
      </c>
      <c r="C53" s="36">
        <v>44693</v>
      </c>
      <c r="D53" t="s">
        <v>157</v>
      </c>
      <c r="E53" s="36">
        <v>45016</v>
      </c>
      <c r="F53" t="s">
        <v>68</v>
      </c>
      <c r="G53" s="36">
        <v>45015</v>
      </c>
      <c r="H53">
        <v>7</v>
      </c>
      <c r="I53" t="s">
        <v>2502</v>
      </c>
      <c r="J53">
        <v>5.3</v>
      </c>
      <c r="K53">
        <v>7.5</v>
      </c>
      <c r="L53">
        <v>3</v>
      </c>
      <c r="M53">
        <v>2.2999999999999998</v>
      </c>
      <c r="N53">
        <v>2.2999999999999998</v>
      </c>
      <c r="O53">
        <v>-2.2000000000000002</v>
      </c>
      <c r="P53">
        <v>2.2000000000000002</v>
      </c>
      <c r="Q53">
        <v>4.8400000000000007</v>
      </c>
      <c r="R53">
        <v>0.79999999999999982</v>
      </c>
      <c r="S53">
        <v>0.79999999999999982</v>
      </c>
      <c r="T53" t="s">
        <v>145</v>
      </c>
      <c r="U53">
        <v>7.3</v>
      </c>
      <c r="V53">
        <v>4.3</v>
      </c>
      <c r="W53" t="s">
        <v>2496</v>
      </c>
      <c r="X53" t="s">
        <v>55</v>
      </c>
    </row>
    <row r="54" spans="1:24">
      <c r="A54" t="s">
        <v>22</v>
      </c>
      <c r="B54" t="s">
        <v>56</v>
      </c>
      <c r="C54" s="36">
        <v>44735</v>
      </c>
      <c r="D54" t="s">
        <v>157</v>
      </c>
      <c r="E54" s="36">
        <v>45016</v>
      </c>
      <c r="F54" t="s">
        <v>68</v>
      </c>
      <c r="G54" s="36">
        <v>45015</v>
      </c>
      <c r="H54">
        <v>6</v>
      </c>
      <c r="I54" t="s">
        <v>2503</v>
      </c>
      <c r="J54">
        <v>6.5</v>
      </c>
      <c r="K54">
        <v>7.5</v>
      </c>
      <c r="L54">
        <v>3</v>
      </c>
      <c r="M54">
        <v>3.5</v>
      </c>
      <c r="N54">
        <v>3.5</v>
      </c>
      <c r="O54">
        <v>-1</v>
      </c>
      <c r="P54">
        <v>1</v>
      </c>
      <c r="Q54">
        <v>1</v>
      </c>
      <c r="R54">
        <v>1.2000000000000002</v>
      </c>
      <c r="S54">
        <v>1.2000000000000002</v>
      </c>
      <c r="T54" t="s">
        <v>145</v>
      </c>
      <c r="U54">
        <v>7.3</v>
      </c>
      <c r="V54">
        <v>4.3</v>
      </c>
      <c r="W54" t="s">
        <v>2496</v>
      </c>
      <c r="X54" t="s">
        <v>57</v>
      </c>
    </row>
    <row r="55" spans="1:24">
      <c r="A55" t="s">
        <v>22</v>
      </c>
      <c r="B55" t="s">
        <v>58</v>
      </c>
      <c r="C55" s="36">
        <v>44784</v>
      </c>
      <c r="D55" t="s">
        <v>157</v>
      </c>
      <c r="E55" s="36">
        <v>45016</v>
      </c>
      <c r="F55" t="s">
        <v>68</v>
      </c>
      <c r="G55" s="36">
        <v>45015</v>
      </c>
      <c r="H55">
        <v>5</v>
      </c>
      <c r="I55" t="s">
        <v>2500</v>
      </c>
      <c r="J55">
        <v>7.1</v>
      </c>
      <c r="K55">
        <v>7.5</v>
      </c>
      <c r="L55">
        <v>3</v>
      </c>
      <c r="M55">
        <v>4.0999999999999996</v>
      </c>
      <c r="N55">
        <v>4.0999999999999996</v>
      </c>
      <c r="O55">
        <v>-0.40000000000000036</v>
      </c>
      <c r="P55">
        <v>0.40000000000000036</v>
      </c>
      <c r="Q55">
        <v>0.16000000000000028</v>
      </c>
      <c r="R55">
        <v>0.59999999999999964</v>
      </c>
      <c r="S55">
        <v>0.59999999999999964</v>
      </c>
      <c r="T55" t="s">
        <v>148</v>
      </c>
      <c r="U55">
        <v>7.8</v>
      </c>
      <c r="V55">
        <v>4.8</v>
      </c>
      <c r="W55" t="s">
        <v>2496</v>
      </c>
      <c r="X55" t="s">
        <v>59</v>
      </c>
    </row>
    <row r="56" spans="1:24">
      <c r="A56" t="s">
        <v>22</v>
      </c>
      <c r="B56" t="s">
        <v>60</v>
      </c>
      <c r="C56" s="36">
        <v>44833</v>
      </c>
      <c r="D56" t="s">
        <v>157</v>
      </c>
      <c r="E56" s="36">
        <v>45016</v>
      </c>
      <c r="F56" t="s">
        <v>68</v>
      </c>
      <c r="G56" s="36">
        <v>45015</v>
      </c>
      <c r="H56">
        <v>4</v>
      </c>
      <c r="I56" t="s">
        <v>2501</v>
      </c>
      <c r="J56">
        <v>7.9</v>
      </c>
      <c r="K56">
        <v>7.5</v>
      </c>
      <c r="L56">
        <v>3</v>
      </c>
      <c r="M56">
        <v>4.9000000000000004</v>
      </c>
      <c r="N56">
        <v>4.9000000000000004</v>
      </c>
      <c r="O56">
        <v>0.40000000000000036</v>
      </c>
      <c r="P56">
        <v>0.40000000000000036</v>
      </c>
      <c r="Q56">
        <v>0.16000000000000028</v>
      </c>
      <c r="R56">
        <v>0.80000000000000071</v>
      </c>
      <c r="S56">
        <v>0.80000000000000071</v>
      </c>
      <c r="T56" t="s">
        <v>148</v>
      </c>
      <c r="U56">
        <v>7.8</v>
      </c>
      <c r="V56">
        <v>4.8</v>
      </c>
      <c r="W56" t="s">
        <v>2496</v>
      </c>
      <c r="X56" t="s">
        <v>61</v>
      </c>
    </row>
    <row r="57" spans="1:24">
      <c r="A57" t="s">
        <v>22</v>
      </c>
      <c r="B57" t="s">
        <v>62</v>
      </c>
      <c r="C57" s="36">
        <v>44875</v>
      </c>
      <c r="D57" t="s">
        <v>157</v>
      </c>
      <c r="E57" s="36">
        <v>45016</v>
      </c>
      <c r="F57" t="s">
        <v>68</v>
      </c>
      <c r="G57" s="36">
        <v>45015</v>
      </c>
      <c r="H57">
        <v>3</v>
      </c>
      <c r="I57" t="s">
        <v>2498</v>
      </c>
      <c r="J57">
        <v>7.6</v>
      </c>
      <c r="K57">
        <v>7.5</v>
      </c>
      <c r="L57">
        <v>3</v>
      </c>
      <c r="M57">
        <v>4.5999999999999996</v>
      </c>
      <c r="N57">
        <v>4.5999999999999996</v>
      </c>
      <c r="O57">
        <v>9.9999999999999645E-2</v>
      </c>
      <c r="P57">
        <v>9.9999999999999645E-2</v>
      </c>
      <c r="Q57">
        <v>9.9999999999999291E-3</v>
      </c>
      <c r="R57">
        <v>-0.30000000000000071</v>
      </c>
      <c r="S57">
        <v>0.30000000000000071</v>
      </c>
      <c r="T57" t="s">
        <v>151</v>
      </c>
      <c r="U57">
        <v>8.5</v>
      </c>
      <c r="V57">
        <v>5.5</v>
      </c>
      <c r="W57" t="s">
        <v>2496</v>
      </c>
      <c r="X57" t="s">
        <v>63</v>
      </c>
    </row>
    <row r="58" spans="1:24">
      <c r="A58" t="s">
        <v>22</v>
      </c>
      <c r="B58" t="s">
        <v>64</v>
      </c>
      <c r="C58" s="36">
        <v>44910</v>
      </c>
      <c r="D58" t="s">
        <v>157</v>
      </c>
      <c r="E58" s="36">
        <v>45016</v>
      </c>
      <c r="F58" t="s">
        <v>68</v>
      </c>
      <c r="G58" s="36">
        <v>45015</v>
      </c>
      <c r="H58">
        <v>2</v>
      </c>
      <c r="I58" t="s">
        <v>2499</v>
      </c>
      <c r="J58">
        <v>7.5</v>
      </c>
      <c r="K58">
        <v>7.5</v>
      </c>
      <c r="L58">
        <v>3</v>
      </c>
      <c r="M58">
        <v>4.5</v>
      </c>
      <c r="N58">
        <v>4.5</v>
      </c>
      <c r="O58">
        <v>0</v>
      </c>
      <c r="P58">
        <v>0</v>
      </c>
      <c r="Q58">
        <v>0</v>
      </c>
      <c r="R58">
        <v>-9.9999999999999645E-2</v>
      </c>
      <c r="S58">
        <v>9.9999999999999645E-2</v>
      </c>
      <c r="T58" t="s">
        <v>151</v>
      </c>
      <c r="U58">
        <v>8.5</v>
      </c>
      <c r="V58">
        <v>5.5</v>
      </c>
      <c r="W58" t="s">
        <v>2496</v>
      </c>
      <c r="X58" t="s">
        <v>65</v>
      </c>
    </row>
    <row r="59" spans="1:24">
      <c r="A59" t="s">
        <v>22</v>
      </c>
      <c r="B59" t="s">
        <v>66</v>
      </c>
      <c r="C59" s="36">
        <v>44966</v>
      </c>
      <c r="D59" t="s">
        <v>157</v>
      </c>
      <c r="E59" s="36">
        <v>45016</v>
      </c>
      <c r="F59" t="s">
        <v>68</v>
      </c>
      <c r="G59" s="36">
        <v>45015</v>
      </c>
      <c r="H59">
        <v>1</v>
      </c>
      <c r="I59" t="s">
        <v>2495</v>
      </c>
      <c r="J59">
        <v>7.7</v>
      </c>
      <c r="K59">
        <v>7.5</v>
      </c>
      <c r="L59">
        <v>3</v>
      </c>
      <c r="M59">
        <v>4.7</v>
      </c>
      <c r="N59">
        <v>4.7</v>
      </c>
      <c r="O59">
        <v>0.20000000000000018</v>
      </c>
      <c r="P59">
        <v>0.20000000000000018</v>
      </c>
      <c r="Q59">
        <v>4.000000000000007E-2</v>
      </c>
      <c r="R59">
        <v>0.20000000000000018</v>
      </c>
      <c r="S59">
        <v>0.20000000000000018</v>
      </c>
      <c r="T59" t="s">
        <v>154</v>
      </c>
      <c r="U59">
        <v>8</v>
      </c>
      <c r="V59">
        <v>5</v>
      </c>
      <c r="W59" t="s">
        <v>2496</v>
      </c>
      <c r="X59" t="s">
        <v>67</v>
      </c>
    </row>
    <row r="60" spans="1:24">
      <c r="A60" t="s">
        <v>22</v>
      </c>
      <c r="B60" t="s">
        <v>68</v>
      </c>
      <c r="C60" s="36">
        <v>45015</v>
      </c>
      <c r="D60" t="s">
        <v>157</v>
      </c>
      <c r="E60" s="36">
        <v>45016</v>
      </c>
      <c r="F60" t="s">
        <v>68</v>
      </c>
      <c r="G60" s="36">
        <v>45015</v>
      </c>
      <c r="H60">
        <v>0</v>
      </c>
      <c r="I60" t="s">
        <v>2497</v>
      </c>
      <c r="J60">
        <v>7.5</v>
      </c>
      <c r="K60">
        <v>7.5</v>
      </c>
      <c r="L60">
        <v>3</v>
      </c>
      <c r="M60">
        <v>4.5</v>
      </c>
      <c r="N60">
        <v>4.5</v>
      </c>
      <c r="O60">
        <v>0</v>
      </c>
      <c r="P60">
        <v>0</v>
      </c>
      <c r="Q60">
        <v>0</v>
      </c>
      <c r="R60">
        <v>-0.20000000000000018</v>
      </c>
      <c r="S60">
        <v>0.20000000000000018</v>
      </c>
      <c r="T60" t="s">
        <v>154</v>
      </c>
      <c r="U60">
        <v>8</v>
      </c>
      <c r="V60">
        <v>5</v>
      </c>
      <c r="W60" t="s">
        <v>2496</v>
      </c>
      <c r="X60" t="s">
        <v>69</v>
      </c>
    </row>
    <row r="61" spans="1:24">
      <c r="A61" t="s">
        <v>22</v>
      </c>
      <c r="B61" t="s">
        <v>39</v>
      </c>
      <c r="C61" s="36">
        <v>44420</v>
      </c>
      <c r="D61" t="s">
        <v>160</v>
      </c>
      <c r="E61" s="36">
        <v>45107</v>
      </c>
      <c r="F61" t="s">
        <v>72</v>
      </c>
      <c r="G61" s="36">
        <v>45099</v>
      </c>
      <c r="H61">
        <v>15</v>
      </c>
      <c r="I61" t="s">
        <v>2510</v>
      </c>
      <c r="J61">
        <v>3.1</v>
      </c>
      <c r="K61">
        <v>5.7</v>
      </c>
      <c r="L61">
        <v>3</v>
      </c>
      <c r="M61">
        <v>0.10000000000000009</v>
      </c>
      <c r="N61">
        <v>0.10000000000000009</v>
      </c>
      <c r="O61">
        <v>-2.6</v>
      </c>
      <c r="P61">
        <v>2.6</v>
      </c>
      <c r="Q61">
        <v>6.7600000000000007</v>
      </c>
      <c r="T61" t="s">
        <v>136</v>
      </c>
      <c r="U61">
        <v>6</v>
      </c>
      <c r="V61">
        <v>3</v>
      </c>
      <c r="W61" t="s">
        <v>2496</v>
      </c>
      <c r="X61" t="s">
        <v>42</v>
      </c>
    </row>
    <row r="62" spans="1:24">
      <c r="A62" t="s">
        <v>22</v>
      </c>
      <c r="B62" t="s">
        <v>43</v>
      </c>
      <c r="C62" s="36">
        <v>44469</v>
      </c>
      <c r="D62" t="s">
        <v>160</v>
      </c>
      <c r="E62" s="36">
        <v>45107</v>
      </c>
      <c r="F62" t="s">
        <v>72</v>
      </c>
      <c r="G62" s="36">
        <v>45099</v>
      </c>
      <c r="H62">
        <v>14</v>
      </c>
      <c r="I62" t="s">
        <v>2511</v>
      </c>
      <c r="J62">
        <v>3.2</v>
      </c>
      <c r="K62">
        <v>5.7</v>
      </c>
      <c r="L62">
        <v>3</v>
      </c>
      <c r="M62">
        <v>0.20000000000000018</v>
      </c>
      <c r="N62">
        <v>0.20000000000000018</v>
      </c>
      <c r="O62">
        <v>-2.5</v>
      </c>
      <c r="P62">
        <v>2.5</v>
      </c>
      <c r="Q62">
        <v>6.25</v>
      </c>
      <c r="R62">
        <v>0.10000000000000009</v>
      </c>
      <c r="S62">
        <v>0.10000000000000009</v>
      </c>
      <c r="T62" t="s">
        <v>136</v>
      </c>
      <c r="U62">
        <v>6</v>
      </c>
      <c r="V62">
        <v>3</v>
      </c>
      <c r="W62" t="s">
        <v>2496</v>
      </c>
      <c r="X62" t="s">
        <v>44</v>
      </c>
    </row>
    <row r="63" spans="1:24">
      <c r="A63" t="s">
        <v>22</v>
      </c>
      <c r="B63" t="s">
        <v>45</v>
      </c>
      <c r="C63" s="36">
        <v>44511</v>
      </c>
      <c r="D63" t="s">
        <v>160</v>
      </c>
      <c r="E63" s="36">
        <v>45107</v>
      </c>
      <c r="F63" t="s">
        <v>72</v>
      </c>
      <c r="G63" s="36">
        <v>45099</v>
      </c>
      <c r="H63">
        <v>13</v>
      </c>
      <c r="I63" t="s">
        <v>2508</v>
      </c>
      <c r="J63">
        <v>3.2</v>
      </c>
      <c r="K63">
        <v>5.7</v>
      </c>
      <c r="L63">
        <v>3</v>
      </c>
      <c r="M63">
        <v>0.20000000000000018</v>
      </c>
      <c r="N63">
        <v>0.20000000000000018</v>
      </c>
      <c r="O63">
        <v>-2.5</v>
      </c>
      <c r="P63">
        <v>2.5</v>
      </c>
      <c r="Q63">
        <v>6.25</v>
      </c>
      <c r="R63">
        <v>0</v>
      </c>
      <c r="S63">
        <v>0</v>
      </c>
      <c r="T63" t="s">
        <v>139</v>
      </c>
      <c r="U63">
        <v>5.8</v>
      </c>
      <c r="V63">
        <v>2.8</v>
      </c>
      <c r="W63" t="s">
        <v>2496</v>
      </c>
      <c r="X63" t="s">
        <v>46</v>
      </c>
    </row>
    <row r="64" spans="1:24">
      <c r="A64" t="s">
        <v>22</v>
      </c>
      <c r="B64" t="s">
        <v>47</v>
      </c>
      <c r="C64" s="36">
        <v>44546</v>
      </c>
      <c r="D64" t="s">
        <v>160</v>
      </c>
      <c r="E64" s="36">
        <v>45107</v>
      </c>
      <c r="F64" t="s">
        <v>72</v>
      </c>
      <c r="G64" s="36">
        <v>45099</v>
      </c>
      <c r="H64">
        <v>12</v>
      </c>
      <c r="I64" t="s">
        <v>2509</v>
      </c>
      <c r="J64">
        <v>3.2</v>
      </c>
      <c r="K64">
        <v>5.7</v>
      </c>
      <c r="L64">
        <v>3</v>
      </c>
      <c r="M64">
        <v>0.20000000000000018</v>
      </c>
      <c r="N64">
        <v>0.20000000000000018</v>
      </c>
      <c r="O64">
        <v>-2.5</v>
      </c>
      <c r="P64">
        <v>2.5</v>
      </c>
      <c r="Q64">
        <v>6.25</v>
      </c>
      <c r="R64">
        <v>0</v>
      </c>
      <c r="S64">
        <v>0</v>
      </c>
      <c r="T64" t="s">
        <v>139</v>
      </c>
      <c r="U64">
        <v>5.8</v>
      </c>
      <c r="V64">
        <v>2.8</v>
      </c>
      <c r="W64" t="s">
        <v>2496</v>
      </c>
      <c r="X64" t="s">
        <v>49</v>
      </c>
    </row>
    <row r="65" spans="1:24">
      <c r="A65" t="s">
        <v>22</v>
      </c>
      <c r="B65" t="s">
        <v>50</v>
      </c>
      <c r="C65" s="36">
        <v>44602</v>
      </c>
      <c r="D65" t="s">
        <v>160</v>
      </c>
      <c r="E65" s="36">
        <v>45107</v>
      </c>
      <c r="F65" t="s">
        <v>72</v>
      </c>
      <c r="G65" s="36">
        <v>45099</v>
      </c>
      <c r="H65">
        <v>11</v>
      </c>
      <c r="I65" t="s">
        <v>2506</v>
      </c>
      <c r="J65">
        <v>3.2</v>
      </c>
      <c r="K65">
        <v>5.7</v>
      </c>
      <c r="L65">
        <v>3</v>
      </c>
      <c r="M65">
        <v>0.20000000000000018</v>
      </c>
      <c r="N65">
        <v>0.20000000000000018</v>
      </c>
      <c r="O65">
        <v>-2.5</v>
      </c>
      <c r="P65">
        <v>2.5</v>
      </c>
      <c r="Q65">
        <v>6.25</v>
      </c>
      <c r="R65">
        <v>0</v>
      </c>
      <c r="S65">
        <v>0</v>
      </c>
      <c r="T65" t="s">
        <v>142</v>
      </c>
      <c r="U65">
        <v>7</v>
      </c>
      <c r="V65">
        <v>4</v>
      </c>
      <c r="W65" t="s">
        <v>2496</v>
      </c>
      <c r="X65" t="s">
        <v>51</v>
      </c>
    </row>
    <row r="66" spans="1:24">
      <c r="A66" t="s">
        <v>22</v>
      </c>
      <c r="B66" t="s">
        <v>52</v>
      </c>
      <c r="C66" s="36">
        <v>44644</v>
      </c>
      <c r="D66" t="s">
        <v>160</v>
      </c>
      <c r="E66" s="36">
        <v>45107</v>
      </c>
      <c r="F66" t="s">
        <v>72</v>
      </c>
      <c r="G66" s="36">
        <v>45099</v>
      </c>
      <c r="H66">
        <v>10</v>
      </c>
      <c r="I66" t="s">
        <v>2507</v>
      </c>
      <c r="J66">
        <v>3.4</v>
      </c>
      <c r="K66">
        <v>5.7</v>
      </c>
      <c r="L66">
        <v>3</v>
      </c>
      <c r="M66">
        <v>0.39999999999999991</v>
      </c>
      <c r="N66">
        <v>0.39999999999999991</v>
      </c>
      <c r="O66">
        <v>-2.3000000000000003</v>
      </c>
      <c r="P66">
        <v>2.3000000000000003</v>
      </c>
      <c r="Q66">
        <v>5.2900000000000009</v>
      </c>
      <c r="R66">
        <v>0.19999999999999973</v>
      </c>
      <c r="S66">
        <v>0.19999999999999973</v>
      </c>
      <c r="T66" t="s">
        <v>142</v>
      </c>
      <c r="U66">
        <v>7</v>
      </c>
      <c r="V66">
        <v>4</v>
      </c>
      <c r="W66" t="s">
        <v>2496</v>
      </c>
      <c r="X66" t="s">
        <v>53</v>
      </c>
    </row>
    <row r="67" spans="1:24">
      <c r="A67" t="s">
        <v>22</v>
      </c>
      <c r="B67" t="s">
        <v>54</v>
      </c>
      <c r="C67" s="36">
        <v>44693</v>
      </c>
      <c r="D67" t="s">
        <v>160</v>
      </c>
      <c r="E67" s="36">
        <v>45107</v>
      </c>
      <c r="F67" t="s">
        <v>72</v>
      </c>
      <c r="G67" s="36">
        <v>45099</v>
      </c>
      <c r="H67">
        <v>9</v>
      </c>
      <c r="I67" t="s">
        <v>2504</v>
      </c>
      <c r="J67">
        <v>3.5</v>
      </c>
      <c r="K67">
        <v>5.7</v>
      </c>
      <c r="L67">
        <v>3</v>
      </c>
      <c r="M67">
        <v>0.5</v>
      </c>
      <c r="N67">
        <v>0.5</v>
      </c>
      <c r="O67">
        <v>-2.2000000000000002</v>
      </c>
      <c r="P67">
        <v>2.2000000000000002</v>
      </c>
      <c r="Q67">
        <v>4.8400000000000007</v>
      </c>
      <c r="R67">
        <v>0.10000000000000009</v>
      </c>
      <c r="S67">
        <v>0.10000000000000009</v>
      </c>
      <c r="T67" t="s">
        <v>145</v>
      </c>
      <c r="U67">
        <v>7.3</v>
      </c>
      <c r="V67">
        <v>4.3</v>
      </c>
      <c r="W67" t="s">
        <v>2496</v>
      </c>
      <c r="X67" t="s">
        <v>55</v>
      </c>
    </row>
    <row r="68" spans="1:24">
      <c r="A68" t="s">
        <v>22</v>
      </c>
      <c r="B68" t="s">
        <v>56</v>
      </c>
      <c r="C68" s="36">
        <v>44735</v>
      </c>
      <c r="D68" t="s">
        <v>160</v>
      </c>
      <c r="E68" s="36">
        <v>45107</v>
      </c>
      <c r="F68" t="s">
        <v>72</v>
      </c>
      <c r="G68" s="36">
        <v>45099</v>
      </c>
      <c r="H68">
        <v>8</v>
      </c>
      <c r="I68" t="s">
        <v>2505</v>
      </c>
      <c r="J68">
        <v>4.4000000000000004</v>
      </c>
      <c r="K68">
        <v>5.7</v>
      </c>
      <c r="L68">
        <v>3</v>
      </c>
      <c r="M68">
        <v>1.4000000000000004</v>
      </c>
      <c r="N68">
        <v>1.4000000000000004</v>
      </c>
      <c r="O68">
        <v>-1.2999999999999998</v>
      </c>
      <c r="P68">
        <v>1.2999999999999998</v>
      </c>
      <c r="Q68">
        <v>1.6899999999999995</v>
      </c>
      <c r="R68">
        <v>0.90000000000000036</v>
      </c>
      <c r="S68">
        <v>0.90000000000000036</v>
      </c>
      <c r="T68" t="s">
        <v>145</v>
      </c>
      <c r="U68">
        <v>7.3</v>
      </c>
      <c r="V68">
        <v>4.3</v>
      </c>
      <c r="W68" t="s">
        <v>2496</v>
      </c>
      <c r="X68" t="s">
        <v>57</v>
      </c>
    </row>
    <row r="69" spans="1:24">
      <c r="A69" t="s">
        <v>22</v>
      </c>
      <c r="B69" t="s">
        <v>58</v>
      </c>
      <c r="C69" s="36">
        <v>44784</v>
      </c>
      <c r="D69" t="s">
        <v>160</v>
      </c>
      <c r="E69" s="36">
        <v>45107</v>
      </c>
      <c r="F69" t="s">
        <v>72</v>
      </c>
      <c r="G69" s="36">
        <v>45099</v>
      </c>
      <c r="H69">
        <v>7</v>
      </c>
      <c r="I69" t="s">
        <v>2502</v>
      </c>
      <c r="J69">
        <v>5</v>
      </c>
      <c r="K69">
        <v>5.7</v>
      </c>
      <c r="L69">
        <v>3</v>
      </c>
      <c r="M69">
        <v>2</v>
      </c>
      <c r="N69">
        <v>2</v>
      </c>
      <c r="O69">
        <v>-0.70000000000000018</v>
      </c>
      <c r="P69">
        <v>0.70000000000000018</v>
      </c>
      <c r="Q69">
        <v>0.49000000000000027</v>
      </c>
      <c r="R69">
        <v>0.59999999999999964</v>
      </c>
      <c r="S69">
        <v>0.59999999999999964</v>
      </c>
      <c r="T69" t="s">
        <v>148</v>
      </c>
      <c r="U69">
        <v>7.8</v>
      </c>
      <c r="V69">
        <v>4.8</v>
      </c>
      <c r="W69" t="s">
        <v>2496</v>
      </c>
      <c r="X69" t="s">
        <v>59</v>
      </c>
    </row>
    <row r="70" spans="1:24">
      <c r="A70" t="s">
        <v>22</v>
      </c>
      <c r="B70" t="s">
        <v>60</v>
      </c>
      <c r="C70" s="36">
        <v>44833</v>
      </c>
      <c r="D70" t="s">
        <v>160</v>
      </c>
      <c r="E70" s="36">
        <v>45107</v>
      </c>
      <c r="F70" t="s">
        <v>72</v>
      </c>
      <c r="G70" s="36">
        <v>45099</v>
      </c>
      <c r="H70">
        <v>6</v>
      </c>
      <c r="I70" t="s">
        <v>2503</v>
      </c>
      <c r="J70">
        <v>6</v>
      </c>
      <c r="K70">
        <v>5.7</v>
      </c>
      <c r="L70">
        <v>3</v>
      </c>
      <c r="M70">
        <v>3</v>
      </c>
      <c r="N70">
        <v>3</v>
      </c>
      <c r="O70">
        <v>0.29999999999999982</v>
      </c>
      <c r="P70">
        <v>0.29999999999999982</v>
      </c>
      <c r="Q70">
        <v>8.99999999999999E-2</v>
      </c>
      <c r="R70">
        <v>1</v>
      </c>
      <c r="S70">
        <v>1</v>
      </c>
      <c r="T70" t="s">
        <v>148</v>
      </c>
      <c r="U70">
        <v>7.8</v>
      </c>
      <c r="V70">
        <v>4.8</v>
      </c>
      <c r="W70" t="s">
        <v>2496</v>
      </c>
      <c r="X70" t="s">
        <v>61</v>
      </c>
    </row>
    <row r="71" spans="1:24">
      <c r="A71" t="s">
        <v>22</v>
      </c>
      <c r="B71" t="s">
        <v>62</v>
      </c>
      <c r="C71" s="36">
        <v>44875</v>
      </c>
      <c r="D71" t="s">
        <v>160</v>
      </c>
      <c r="E71" s="36">
        <v>45107</v>
      </c>
      <c r="F71" t="s">
        <v>72</v>
      </c>
      <c r="G71" s="36">
        <v>45099</v>
      </c>
      <c r="H71">
        <v>5</v>
      </c>
      <c r="I71" t="s">
        <v>2500</v>
      </c>
      <c r="J71">
        <v>5.8</v>
      </c>
      <c r="K71">
        <v>5.7</v>
      </c>
      <c r="L71">
        <v>3</v>
      </c>
      <c r="M71">
        <v>2.8</v>
      </c>
      <c r="N71">
        <v>2.8</v>
      </c>
      <c r="O71">
        <v>9.9999999999999645E-2</v>
      </c>
      <c r="P71">
        <v>9.9999999999999645E-2</v>
      </c>
      <c r="Q71">
        <v>9.9999999999999291E-3</v>
      </c>
      <c r="R71">
        <v>-0.20000000000000018</v>
      </c>
      <c r="S71">
        <v>0.20000000000000018</v>
      </c>
      <c r="T71" t="s">
        <v>151</v>
      </c>
      <c r="U71">
        <v>8.5</v>
      </c>
      <c r="V71">
        <v>5.5</v>
      </c>
      <c r="W71" t="s">
        <v>2496</v>
      </c>
      <c r="X71" t="s">
        <v>63</v>
      </c>
    </row>
    <row r="72" spans="1:24">
      <c r="A72" t="s">
        <v>22</v>
      </c>
      <c r="B72" t="s">
        <v>64</v>
      </c>
      <c r="C72" s="36">
        <v>44910</v>
      </c>
      <c r="D72" t="s">
        <v>160</v>
      </c>
      <c r="E72" s="36">
        <v>45107</v>
      </c>
      <c r="F72" t="s">
        <v>72</v>
      </c>
      <c r="G72" s="36">
        <v>45099</v>
      </c>
      <c r="H72">
        <v>4</v>
      </c>
      <c r="I72" t="s">
        <v>2501</v>
      </c>
      <c r="J72">
        <v>5.9</v>
      </c>
      <c r="K72">
        <v>5.7</v>
      </c>
      <c r="L72">
        <v>3</v>
      </c>
      <c r="M72">
        <v>2.9000000000000004</v>
      </c>
      <c r="N72">
        <v>2.9000000000000004</v>
      </c>
      <c r="O72">
        <v>0.20000000000000018</v>
      </c>
      <c r="P72">
        <v>0.20000000000000018</v>
      </c>
      <c r="Q72">
        <v>4.000000000000007E-2</v>
      </c>
      <c r="R72">
        <v>0.10000000000000053</v>
      </c>
      <c r="S72">
        <v>0.10000000000000053</v>
      </c>
      <c r="T72" t="s">
        <v>151</v>
      </c>
      <c r="U72">
        <v>8.5</v>
      </c>
      <c r="V72">
        <v>5.5</v>
      </c>
      <c r="W72" t="s">
        <v>2496</v>
      </c>
      <c r="X72" t="s">
        <v>65</v>
      </c>
    </row>
    <row r="73" spans="1:24">
      <c r="A73" t="s">
        <v>22</v>
      </c>
      <c r="B73" t="s">
        <v>66</v>
      </c>
      <c r="C73" s="36">
        <v>44966</v>
      </c>
      <c r="D73" t="s">
        <v>160</v>
      </c>
      <c r="E73" s="36">
        <v>45107</v>
      </c>
      <c r="F73" t="s">
        <v>72</v>
      </c>
      <c r="G73" s="36">
        <v>45099</v>
      </c>
      <c r="H73">
        <v>3</v>
      </c>
      <c r="I73" t="s">
        <v>2498</v>
      </c>
      <c r="J73">
        <v>6.4</v>
      </c>
      <c r="K73">
        <v>5.7</v>
      </c>
      <c r="L73">
        <v>3</v>
      </c>
      <c r="M73">
        <v>3.4000000000000004</v>
      </c>
      <c r="N73">
        <v>3.4000000000000004</v>
      </c>
      <c r="O73">
        <v>0.70000000000000018</v>
      </c>
      <c r="P73">
        <v>0.70000000000000018</v>
      </c>
      <c r="Q73">
        <v>0.49000000000000027</v>
      </c>
      <c r="R73">
        <v>0.5</v>
      </c>
      <c r="S73">
        <v>0.5</v>
      </c>
      <c r="T73" t="s">
        <v>154</v>
      </c>
      <c r="U73">
        <v>8</v>
      </c>
      <c r="V73">
        <v>5</v>
      </c>
      <c r="W73" t="s">
        <v>2496</v>
      </c>
      <c r="X73" t="s">
        <v>67</v>
      </c>
    </row>
    <row r="74" spans="1:24">
      <c r="A74" t="s">
        <v>22</v>
      </c>
      <c r="B74" t="s">
        <v>68</v>
      </c>
      <c r="C74" s="36">
        <v>45015</v>
      </c>
      <c r="D74" t="s">
        <v>160</v>
      </c>
      <c r="E74" s="36">
        <v>45107</v>
      </c>
      <c r="F74" t="s">
        <v>72</v>
      </c>
      <c r="G74" s="36">
        <v>45099</v>
      </c>
      <c r="H74">
        <v>2</v>
      </c>
      <c r="I74" t="s">
        <v>2499</v>
      </c>
      <c r="J74">
        <v>6.3</v>
      </c>
      <c r="K74">
        <v>5.7</v>
      </c>
      <c r="L74">
        <v>3</v>
      </c>
      <c r="M74">
        <v>3.3</v>
      </c>
      <c r="N74">
        <v>3.3</v>
      </c>
      <c r="O74">
        <v>0.59999999999999964</v>
      </c>
      <c r="P74">
        <v>0.59999999999999964</v>
      </c>
      <c r="Q74">
        <v>0.3599999999999996</v>
      </c>
      <c r="R74">
        <v>-0.10000000000000053</v>
      </c>
      <c r="S74">
        <v>0.10000000000000053</v>
      </c>
      <c r="T74" t="s">
        <v>154</v>
      </c>
      <c r="U74">
        <v>8</v>
      </c>
      <c r="V74">
        <v>5</v>
      </c>
      <c r="W74" t="s">
        <v>2496</v>
      </c>
      <c r="X74" t="s">
        <v>69</v>
      </c>
    </row>
    <row r="75" spans="1:24">
      <c r="A75" t="s">
        <v>22</v>
      </c>
      <c r="B75" t="s">
        <v>70</v>
      </c>
      <c r="C75" s="36">
        <v>45064</v>
      </c>
      <c r="D75" t="s">
        <v>160</v>
      </c>
      <c r="E75" s="36">
        <v>45107</v>
      </c>
      <c r="F75" t="s">
        <v>72</v>
      </c>
      <c r="G75" s="36">
        <v>45099</v>
      </c>
      <c r="H75">
        <v>1</v>
      </c>
      <c r="I75" t="s">
        <v>2495</v>
      </c>
      <c r="J75">
        <v>6</v>
      </c>
      <c r="K75">
        <v>5.7</v>
      </c>
      <c r="L75">
        <v>3</v>
      </c>
      <c r="M75">
        <v>3</v>
      </c>
      <c r="N75">
        <v>3</v>
      </c>
      <c r="O75">
        <v>0.29999999999999982</v>
      </c>
      <c r="P75">
        <v>0.29999999999999982</v>
      </c>
      <c r="Q75">
        <v>8.99999999999999E-2</v>
      </c>
      <c r="R75">
        <v>-0.29999999999999982</v>
      </c>
      <c r="S75">
        <v>0.29999999999999982</v>
      </c>
      <c r="T75" t="s">
        <v>157</v>
      </c>
      <c r="U75">
        <v>7.5</v>
      </c>
      <c r="V75">
        <v>4.5</v>
      </c>
      <c r="W75" t="s">
        <v>2496</v>
      </c>
      <c r="X75" t="s">
        <v>71</v>
      </c>
    </row>
    <row r="76" spans="1:24">
      <c r="A76" t="s">
        <v>22</v>
      </c>
      <c r="B76" t="s">
        <v>72</v>
      </c>
      <c r="C76" s="36">
        <v>45099</v>
      </c>
      <c r="D76" t="s">
        <v>160</v>
      </c>
      <c r="E76" s="36">
        <v>45107</v>
      </c>
      <c r="F76" t="s">
        <v>72</v>
      </c>
      <c r="G76" s="36">
        <v>45099</v>
      </c>
      <c r="H76">
        <v>0</v>
      </c>
      <c r="I76" t="s">
        <v>2497</v>
      </c>
      <c r="J76">
        <v>5.7</v>
      </c>
      <c r="K76">
        <v>5.7</v>
      </c>
      <c r="L76">
        <v>3</v>
      </c>
      <c r="M76">
        <v>2.7</v>
      </c>
      <c r="N76">
        <v>2.7</v>
      </c>
      <c r="O76">
        <v>0</v>
      </c>
      <c r="P76">
        <v>0</v>
      </c>
      <c r="Q76">
        <v>0</v>
      </c>
      <c r="R76">
        <v>-0.29999999999999982</v>
      </c>
      <c r="S76">
        <v>0.29999999999999982</v>
      </c>
      <c r="T76" t="s">
        <v>157</v>
      </c>
      <c r="U76">
        <v>7.5</v>
      </c>
      <c r="V76">
        <v>4.5</v>
      </c>
      <c r="W76" t="s">
        <v>2496</v>
      </c>
      <c r="X76" t="s">
        <v>73</v>
      </c>
    </row>
    <row r="77" spans="1:24">
      <c r="A77" t="s">
        <v>22</v>
      </c>
      <c r="B77" t="s">
        <v>43</v>
      </c>
      <c r="C77" s="36">
        <v>44469</v>
      </c>
      <c r="D77" t="s">
        <v>183</v>
      </c>
      <c r="E77" s="36">
        <v>45199</v>
      </c>
      <c r="F77" t="s">
        <v>76</v>
      </c>
      <c r="G77" s="36">
        <v>45197</v>
      </c>
      <c r="H77">
        <v>16</v>
      </c>
      <c r="I77" t="s">
        <v>2512</v>
      </c>
      <c r="J77">
        <v>3.1</v>
      </c>
      <c r="K77">
        <v>4.5999999999999996</v>
      </c>
      <c r="L77">
        <v>3</v>
      </c>
      <c r="M77">
        <v>0.10000000000000009</v>
      </c>
      <c r="N77">
        <v>0.10000000000000009</v>
      </c>
      <c r="O77">
        <v>-1.4999999999999996</v>
      </c>
      <c r="P77">
        <v>1.4999999999999996</v>
      </c>
      <c r="Q77">
        <v>2.2499999999999987</v>
      </c>
      <c r="T77" t="s">
        <v>136</v>
      </c>
      <c r="U77">
        <v>6</v>
      </c>
      <c r="V77">
        <v>3</v>
      </c>
      <c r="W77" t="s">
        <v>2496</v>
      </c>
      <c r="X77" t="s">
        <v>44</v>
      </c>
    </row>
    <row r="78" spans="1:24">
      <c r="A78" t="s">
        <v>22</v>
      </c>
      <c r="B78" t="s">
        <v>45</v>
      </c>
      <c r="C78" s="36">
        <v>44511</v>
      </c>
      <c r="D78" t="s">
        <v>183</v>
      </c>
      <c r="E78" s="36">
        <v>45199</v>
      </c>
      <c r="F78" t="s">
        <v>76</v>
      </c>
      <c r="G78" s="36">
        <v>45197</v>
      </c>
      <c r="H78">
        <v>15</v>
      </c>
      <c r="I78" t="s">
        <v>2510</v>
      </c>
      <c r="J78">
        <v>3.1</v>
      </c>
      <c r="K78">
        <v>4.5999999999999996</v>
      </c>
      <c r="L78">
        <v>3</v>
      </c>
      <c r="M78">
        <v>0.10000000000000009</v>
      </c>
      <c r="N78">
        <v>0.10000000000000009</v>
      </c>
      <c r="O78">
        <v>-1.4999999999999996</v>
      </c>
      <c r="P78">
        <v>1.4999999999999996</v>
      </c>
      <c r="Q78">
        <v>2.2499999999999987</v>
      </c>
      <c r="R78">
        <v>0</v>
      </c>
      <c r="S78">
        <v>0</v>
      </c>
      <c r="T78" t="s">
        <v>139</v>
      </c>
      <c r="U78">
        <v>5.8</v>
      </c>
      <c r="V78">
        <v>2.8</v>
      </c>
      <c r="W78" t="s">
        <v>2496</v>
      </c>
      <c r="X78" t="s">
        <v>46</v>
      </c>
    </row>
    <row r="79" spans="1:24">
      <c r="A79" t="s">
        <v>22</v>
      </c>
      <c r="B79" t="s">
        <v>47</v>
      </c>
      <c r="C79" s="36">
        <v>44546</v>
      </c>
      <c r="D79" t="s">
        <v>183</v>
      </c>
      <c r="E79" s="36">
        <v>45199</v>
      </c>
      <c r="F79" t="s">
        <v>76</v>
      </c>
      <c r="G79" s="36">
        <v>45197</v>
      </c>
      <c r="H79">
        <v>14</v>
      </c>
      <c r="I79" t="s">
        <v>2511</v>
      </c>
      <c r="J79">
        <v>3.1</v>
      </c>
      <c r="K79">
        <v>4.5999999999999996</v>
      </c>
      <c r="L79">
        <v>3</v>
      </c>
      <c r="M79">
        <v>0.10000000000000009</v>
      </c>
      <c r="N79">
        <v>0.10000000000000009</v>
      </c>
      <c r="O79">
        <v>-1.4999999999999996</v>
      </c>
      <c r="P79">
        <v>1.4999999999999996</v>
      </c>
      <c r="Q79">
        <v>2.2499999999999987</v>
      </c>
      <c r="R79">
        <v>0</v>
      </c>
      <c r="S79">
        <v>0</v>
      </c>
      <c r="T79" t="s">
        <v>139</v>
      </c>
      <c r="U79">
        <v>5.8</v>
      </c>
      <c r="V79">
        <v>2.8</v>
      </c>
      <c r="W79" t="s">
        <v>2496</v>
      </c>
      <c r="X79" t="s">
        <v>49</v>
      </c>
    </row>
    <row r="80" spans="1:24">
      <c r="A80" t="s">
        <v>22</v>
      </c>
      <c r="B80" t="s">
        <v>50</v>
      </c>
      <c r="C80" s="36">
        <v>44602</v>
      </c>
      <c r="D80" t="s">
        <v>183</v>
      </c>
      <c r="E80" s="36">
        <v>45199</v>
      </c>
      <c r="F80" t="s">
        <v>76</v>
      </c>
      <c r="G80" s="36">
        <v>45197</v>
      </c>
      <c r="H80">
        <v>13</v>
      </c>
      <c r="I80" t="s">
        <v>2508</v>
      </c>
      <c r="J80">
        <v>3.1</v>
      </c>
      <c r="K80">
        <v>4.5999999999999996</v>
      </c>
      <c r="L80">
        <v>3</v>
      </c>
      <c r="M80">
        <v>0.10000000000000009</v>
      </c>
      <c r="N80">
        <v>0.10000000000000009</v>
      </c>
      <c r="O80">
        <v>-1.4999999999999996</v>
      </c>
      <c r="P80">
        <v>1.4999999999999996</v>
      </c>
      <c r="Q80">
        <v>2.2499999999999987</v>
      </c>
      <c r="R80">
        <v>0</v>
      </c>
      <c r="S80">
        <v>0</v>
      </c>
      <c r="T80" t="s">
        <v>142</v>
      </c>
      <c r="U80">
        <v>7</v>
      </c>
      <c r="V80">
        <v>4</v>
      </c>
      <c r="W80" t="s">
        <v>2496</v>
      </c>
      <c r="X80" t="s">
        <v>51</v>
      </c>
    </row>
    <row r="81" spans="1:24">
      <c r="A81" t="s">
        <v>22</v>
      </c>
      <c r="B81" t="s">
        <v>52</v>
      </c>
      <c r="C81" s="36">
        <v>44644</v>
      </c>
      <c r="D81" t="s">
        <v>183</v>
      </c>
      <c r="E81" s="36">
        <v>45199</v>
      </c>
      <c r="F81" t="s">
        <v>76</v>
      </c>
      <c r="G81" s="36">
        <v>45197</v>
      </c>
      <c r="H81">
        <v>12</v>
      </c>
      <c r="I81" t="s">
        <v>2509</v>
      </c>
      <c r="J81">
        <v>3.2</v>
      </c>
      <c r="K81">
        <v>4.5999999999999996</v>
      </c>
      <c r="L81">
        <v>3</v>
      </c>
      <c r="M81">
        <v>0.20000000000000018</v>
      </c>
      <c r="N81">
        <v>0.20000000000000018</v>
      </c>
      <c r="O81">
        <v>-1.3999999999999995</v>
      </c>
      <c r="P81">
        <v>1.3999999999999995</v>
      </c>
      <c r="Q81">
        <v>1.9599999999999984</v>
      </c>
      <c r="R81">
        <v>0.10000000000000009</v>
      </c>
      <c r="S81">
        <v>0.10000000000000009</v>
      </c>
      <c r="T81" t="s">
        <v>142</v>
      </c>
      <c r="U81">
        <v>7</v>
      </c>
      <c r="V81">
        <v>4</v>
      </c>
      <c r="W81" t="s">
        <v>2496</v>
      </c>
      <c r="X81" t="s">
        <v>53</v>
      </c>
    </row>
    <row r="82" spans="1:24">
      <c r="A82" t="s">
        <v>22</v>
      </c>
      <c r="B82" t="s">
        <v>54</v>
      </c>
      <c r="C82" s="36">
        <v>44693</v>
      </c>
      <c r="D82" t="s">
        <v>183</v>
      </c>
      <c r="E82" s="36">
        <v>45199</v>
      </c>
      <c r="F82" t="s">
        <v>76</v>
      </c>
      <c r="G82" s="36">
        <v>45197</v>
      </c>
      <c r="H82">
        <v>11</v>
      </c>
      <c r="I82" t="s">
        <v>2506</v>
      </c>
      <c r="J82">
        <v>3.2</v>
      </c>
      <c r="K82">
        <v>4.5999999999999996</v>
      </c>
      <c r="L82">
        <v>3</v>
      </c>
      <c r="M82">
        <v>0.20000000000000018</v>
      </c>
      <c r="N82">
        <v>0.20000000000000018</v>
      </c>
      <c r="O82">
        <v>-1.3999999999999995</v>
      </c>
      <c r="P82">
        <v>1.3999999999999995</v>
      </c>
      <c r="Q82">
        <v>1.9599999999999984</v>
      </c>
      <c r="R82">
        <v>0</v>
      </c>
      <c r="S82">
        <v>0</v>
      </c>
      <c r="T82" t="s">
        <v>145</v>
      </c>
      <c r="U82">
        <v>7.3</v>
      </c>
      <c r="V82">
        <v>4.3</v>
      </c>
      <c r="W82" t="s">
        <v>2496</v>
      </c>
      <c r="X82" t="s">
        <v>55</v>
      </c>
    </row>
    <row r="83" spans="1:24">
      <c r="A83" t="s">
        <v>22</v>
      </c>
      <c r="B83" t="s">
        <v>56</v>
      </c>
      <c r="C83" s="36">
        <v>44735</v>
      </c>
      <c r="D83" t="s">
        <v>183</v>
      </c>
      <c r="E83" s="36">
        <v>45199</v>
      </c>
      <c r="F83" t="s">
        <v>76</v>
      </c>
      <c r="G83" s="36">
        <v>45197</v>
      </c>
      <c r="H83">
        <v>10</v>
      </c>
      <c r="I83" t="s">
        <v>2507</v>
      </c>
      <c r="J83">
        <v>3.5</v>
      </c>
      <c r="K83">
        <v>4.5999999999999996</v>
      </c>
      <c r="L83">
        <v>3</v>
      </c>
      <c r="M83">
        <v>0.5</v>
      </c>
      <c r="N83">
        <v>0.5</v>
      </c>
      <c r="O83">
        <v>-1.0999999999999996</v>
      </c>
      <c r="P83">
        <v>1.0999999999999996</v>
      </c>
      <c r="Q83">
        <v>1.2099999999999993</v>
      </c>
      <c r="R83">
        <v>0.29999999999999982</v>
      </c>
      <c r="S83">
        <v>0.29999999999999982</v>
      </c>
      <c r="T83" t="s">
        <v>145</v>
      </c>
      <c r="U83">
        <v>7.3</v>
      </c>
      <c r="V83">
        <v>4.3</v>
      </c>
      <c r="W83" t="s">
        <v>2496</v>
      </c>
      <c r="X83" t="s">
        <v>57</v>
      </c>
    </row>
    <row r="84" spans="1:24">
      <c r="A84" t="s">
        <v>22</v>
      </c>
      <c r="B84" t="s">
        <v>58</v>
      </c>
      <c r="C84" s="36">
        <v>44784</v>
      </c>
      <c r="D84" t="s">
        <v>183</v>
      </c>
      <c r="E84" s="36">
        <v>45199</v>
      </c>
      <c r="F84" t="s">
        <v>76</v>
      </c>
      <c r="G84" s="36">
        <v>45197</v>
      </c>
      <c r="H84">
        <v>9</v>
      </c>
      <c r="I84" t="s">
        <v>2504</v>
      </c>
      <c r="J84">
        <v>3.7</v>
      </c>
      <c r="K84">
        <v>4.5999999999999996</v>
      </c>
      <c r="L84">
        <v>3</v>
      </c>
      <c r="M84">
        <v>0.70000000000000018</v>
      </c>
      <c r="N84">
        <v>0.70000000000000018</v>
      </c>
      <c r="O84">
        <v>-0.89999999999999947</v>
      </c>
      <c r="P84">
        <v>0.89999999999999947</v>
      </c>
      <c r="Q84">
        <v>0.80999999999999905</v>
      </c>
      <c r="R84">
        <v>0.20000000000000018</v>
      </c>
      <c r="S84">
        <v>0.20000000000000018</v>
      </c>
      <c r="T84" t="s">
        <v>148</v>
      </c>
      <c r="U84">
        <v>7.8</v>
      </c>
      <c r="V84">
        <v>4.8</v>
      </c>
      <c r="W84" t="s">
        <v>2496</v>
      </c>
      <c r="X84" t="s">
        <v>59</v>
      </c>
    </row>
    <row r="85" spans="1:24">
      <c r="A85" t="s">
        <v>22</v>
      </c>
      <c r="B85" t="s">
        <v>60</v>
      </c>
      <c r="C85" s="36">
        <v>44833</v>
      </c>
      <c r="D85" t="s">
        <v>183</v>
      </c>
      <c r="E85" s="36">
        <v>45199</v>
      </c>
      <c r="F85" t="s">
        <v>76</v>
      </c>
      <c r="G85" s="36">
        <v>45197</v>
      </c>
      <c r="H85">
        <v>8</v>
      </c>
      <c r="I85" t="s">
        <v>2505</v>
      </c>
      <c r="J85">
        <v>4.8</v>
      </c>
      <c r="K85">
        <v>4.5999999999999996</v>
      </c>
      <c r="L85">
        <v>3</v>
      </c>
      <c r="M85">
        <v>1.7999999999999998</v>
      </c>
      <c r="N85">
        <v>1.7999999999999998</v>
      </c>
      <c r="O85">
        <v>0.20000000000000018</v>
      </c>
      <c r="P85">
        <v>0.20000000000000018</v>
      </c>
      <c r="Q85">
        <v>4.000000000000007E-2</v>
      </c>
      <c r="R85">
        <v>1.0999999999999996</v>
      </c>
      <c r="S85">
        <v>1.0999999999999996</v>
      </c>
      <c r="T85" t="s">
        <v>148</v>
      </c>
      <c r="U85">
        <v>7.8</v>
      </c>
      <c r="V85">
        <v>4.8</v>
      </c>
      <c r="W85" t="s">
        <v>2496</v>
      </c>
      <c r="X85" t="s">
        <v>61</v>
      </c>
    </row>
    <row r="86" spans="1:24">
      <c r="A86" t="s">
        <v>22</v>
      </c>
      <c r="B86" t="s">
        <v>62</v>
      </c>
      <c r="C86" s="36">
        <v>44875</v>
      </c>
      <c r="D86" t="s">
        <v>183</v>
      </c>
      <c r="E86" s="36">
        <v>45199</v>
      </c>
      <c r="F86" t="s">
        <v>76</v>
      </c>
      <c r="G86" s="36">
        <v>45197</v>
      </c>
      <c r="H86">
        <v>7</v>
      </c>
      <c r="I86" t="s">
        <v>2502</v>
      </c>
      <c r="J86">
        <v>4.7</v>
      </c>
      <c r="K86">
        <v>4.5999999999999996</v>
      </c>
      <c r="L86">
        <v>3</v>
      </c>
      <c r="M86">
        <v>1.7000000000000002</v>
      </c>
      <c r="N86">
        <v>1.7000000000000002</v>
      </c>
      <c r="O86">
        <v>0.10000000000000053</v>
      </c>
      <c r="P86">
        <v>0.10000000000000053</v>
      </c>
      <c r="Q86">
        <v>1.0000000000000106E-2</v>
      </c>
      <c r="R86">
        <v>-9.9999999999999645E-2</v>
      </c>
      <c r="S86">
        <v>9.9999999999999645E-2</v>
      </c>
      <c r="T86" t="s">
        <v>151</v>
      </c>
      <c r="U86">
        <v>8.5</v>
      </c>
      <c r="V86">
        <v>5.5</v>
      </c>
      <c r="W86" t="s">
        <v>2496</v>
      </c>
      <c r="X86" t="s">
        <v>63</v>
      </c>
    </row>
    <row r="87" spans="1:24">
      <c r="A87" t="s">
        <v>22</v>
      </c>
      <c r="B87" t="s">
        <v>64</v>
      </c>
      <c r="C87" s="36">
        <v>44910</v>
      </c>
      <c r="D87" t="s">
        <v>183</v>
      </c>
      <c r="E87" s="36">
        <v>45199</v>
      </c>
      <c r="F87" t="s">
        <v>76</v>
      </c>
      <c r="G87" s="36">
        <v>45197</v>
      </c>
      <c r="H87">
        <v>6</v>
      </c>
      <c r="I87" t="s">
        <v>2503</v>
      </c>
      <c r="J87">
        <v>4.8</v>
      </c>
      <c r="K87">
        <v>4.5999999999999996</v>
      </c>
      <c r="L87">
        <v>3</v>
      </c>
      <c r="M87">
        <v>1.7999999999999998</v>
      </c>
      <c r="N87">
        <v>1.7999999999999998</v>
      </c>
      <c r="O87">
        <v>0.20000000000000018</v>
      </c>
      <c r="P87">
        <v>0.20000000000000018</v>
      </c>
      <c r="Q87">
        <v>4.000000000000007E-2</v>
      </c>
      <c r="R87">
        <v>9.9999999999999645E-2</v>
      </c>
      <c r="S87">
        <v>9.9999999999999645E-2</v>
      </c>
      <c r="T87" t="s">
        <v>151</v>
      </c>
      <c r="U87">
        <v>8.5</v>
      </c>
      <c r="V87">
        <v>5.5</v>
      </c>
      <c r="W87" t="s">
        <v>2496</v>
      </c>
      <c r="X87" t="s">
        <v>65</v>
      </c>
    </row>
    <row r="88" spans="1:24">
      <c r="A88" t="s">
        <v>22</v>
      </c>
      <c r="B88" t="s">
        <v>66</v>
      </c>
      <c r="C88" s="36">
        <v>44966</v>
      </c>
      <c r="D88" t="s">
        <v>183</v>
      </c>
      <c r="E88" s="36">
        <v>45199</v>
      </c>
      <c r="F88" t="s">
        <v>76</v>
      </c>
      <c r="G88" s="36">
        <v>45197</v>
      </c>
      <c r="H88">
        <v>5</v>
      </c>
      <c r="I88" t="s">
        <v>2500</v>
      </c>
      <c r="J88">
        <v>5.3</v>
      </c>
      <c r="K88">
        <v>4.5999999999999996</v>
      </c>
      <c r="L88">
        <v>3</v>
      </c>
      <c r="M88">
        <v>2.2999999999999998</v>
      </c>
      <c r="N88">
        <v>2.2999999999999998</v>
      </c>
      <c r="O88">
        <v>0.70000000000000018</v>
      </c>
      <c r="P88">
        <v>0.70000000000000018</v>
      </c>
      <c r="Q88">
        <v>0.49000000000000027</v>
      </c>
      <c r="R88">
        <v>0.5</v>
      </c>
      <c r="S88">
        <v>0.5</v>
      </c>
      <c r="T88" t="s">
        <v>154</v>
      </c>
      <c r="U88">
        <v>8</v>
      </c>
      <c r="V88">
        <v>5</v>
      </c>
      <c r="W88" t="s">
        <v>2496</v>
      </c>
      <c r="X88" t="s">
        <v>67</v>
      </c>
    </row>
    <row r="89" spans="1:24">
      <c r="A89" t="s">
        <v>22</v>
      </c>
      <c r="B89" t="s">
        <v>68</v>
      </c>
      <c r="C89" s="36">
        <v>45015</v>
      </c>
      <c r="D89" t="s">
        <v>183</v>
      </c>
      <c r="E89" s="36">
        <v>45199</v>
      </c>
      <c r="F89" t="s">
        <v>76</v>
      </c>
      <c r="G89" s="36">
        <v>45197</v>
      </c>
      <c r="H89">
        <v>4</v>
      </c>
      <c r="I89" t="s">
        <v>2501</v>
      </c>
      <c r="J89">
        <v>5.3</v>
      </c>
      <c r="K89">
        <v>4.5999999999999996</v>
      </c>
      <c r="L89">
        <v>3</v>
      </c>
      <c r="M89">
        <v>2.2999999999999998</v>
      </c>
      <c r="N89">
        <v>2.2999999999999998</v>
      </c>
      <c r="O89">
        <v>0.70000000000000018</v>
      </c>
      <c r="P89">
        <v>0.70000000000000018</v>
      </c>
      <c r="Q89">
        <v>0.49000000000000027</v>
      </c>
      <c r="R89">
        <v>0</v>
      </c>
      <c r="S89">
        <v>0</v>
      </c>
      <c r="T89" t="s">
        <v>154</v>
      </c>
      <c r="U89">
        <v>8</v>
      </c>
      <c r="V89">
        <v>5</v>
      </c>
      <c r="W89" t="s">
        <v>2496</v>
      </c>
      <c r="X89" t="s">
        <v>69</v>
      </c>
    </row>
    <row r="90" spans="1:24">
      <c r="A90" t="s">
        <v>22</v>
      </c>
      <c r="B90" t="s">
        <v>70</v>
      </c>
      <c r="C90" s="36">
        <v>45064</v>
      </c>
      <c r="D90" t="s">
        <v>183</v>
      </c>
      <c r="E90" s="36">
        <v>45199</v>
      </c>
      <c r="F90" t="s">
        <v>76</v>
      </c>
      <c r="G90" s="36">
        <v>45197</v>
      </c>
      <c r="H90">
        <v>3</v>
      </c>
      <c r="I90" t="s">
        <v>2498</v>
      </c>
      <c r="J90">
        <v>5.2</v>
      </c>
      <c r="K90">
        <v>4.5999999999999996</v>
      </c>
      <c r="L90">
        <v>3</v>
      </c>
      <c r="M90">
        <v>2.2000000000000002</v>
      </c>
      <c r="N90">
        <v>2.2000000000000002</v>
      </c>
      <c r="O90">
        <v>0.60000000000000053</v>
      </c>
      <c r="P90">
        <v>0.60000000000000053</v>
      </c>
      <c r="Q90">
        <v>0.36000000000000065</v>
      </c>
      <c r="R90">
        <v>-9.9999999999999645E-2</v>
      </c>
      <c r="S90">
        <v>9.9999999999999645E-2</v>
      </c>
      <c r="T90" t="s">
        <v>157</v>
      </c>
      <c r="U90">
        <v>7.5</v>
      </c>
      <c r="V90">
        <v>4.5</v>
      </c>
      <c r="W90" t="s">
        <v>2496</v>
      </c>
      <c r="X90" t="s">
        <v>71</v>
      </c>
    </row>
    <row r="91" spans="1:24">
      <c r="A91" t="s">
        <v>22</v>
      </c>
      <c r="B91" t="s">
        <v>72</v>
      </c>
      <c r="C91" s="36">
        <v>45099</v>
      </c>
      <c r="D91" t="s">
        <v>183</v>
      </c>
      <c r="E91" s="36">
        <v>45199</v>
      </c>
      <c r="F91" t="s">
        <v>76</v>
      </c>
      <c r="G91" s="36">
        <v>45197</v>
      </c>
      <c r="H91">
        <v>2</v>
      </c>
      <c r="I91" t="s">
        <v>2499</v>
      </c>
      <c r="J91">
        <v>5</v>
      </c>
      <c r="K91">
        <v>4.5999999999999996</v>
      </c>
      <c r="L91">
        <v>3</v>
      </c>
      <c r="M91">
        <v>2</v>
      </c>
      <c r="N91">
        <v>2</v>
      </c>
      <c r="O91">
        <v>0.40000000000000036</v>
      </c>
      <c r="P91">
        <v>0.40000000000000036</v>
      </c>
      <c r="Q91">
        <v>0.16000000000000028</v>
      </c>
      <c r="R91">
        <v>-0.20000000000000018</v>
      </c>
      <c r="S91">
        <v>0.20000000000000018</v>
      </c>
      <c r="T91" t="s">
        <v>157</v>
      </c>
      <c r="U91">
        <v>7.5</v>
      </c>
      <c r="V91">
        <v>4.5</v>
      </c>
      <c r="W91" t="s">
        <v>2496</v>
      </c>
      <c r="X91" t="s">
        <v>73</v>
      </c>
    </row>
    <row r="92" spans="1:24">
      <c r="A92" t="s">
        <v>22</v>
      </c>
      <c r="B92" t="s">
        <v>74</v>
      </c>
      <c r="C92" s="36">
        <v>45148</v>
      </c>
      <c r="D92" t="s">
        <v>183</v>
      </c>
      <c r="E92" s="36">
        <v>45199</v>
      </c>
      <c r="F92" t="s">
        <v>76</v>
      </c>
      <c r="G92" s="36">
        <v>45197</v>
      </c>
      <c r="H92">
        <v>1</v>
      </c>
      <c r="I92" t="s">
        <v>2495</v>
      </c>
      <c r="J92">
        <v>4.7</v>
      </c>
      <c r="K92">
        <v>4.5999999999999996</v>
      </c>
      <c r="L92">
        <v>3</v>
      </c>
      <c r="M92">
        <v>1.7000000000000002</v>
      </c>
      <c r="N92">
        <v>1.7000000000000002</v>
      </c>
      <c r="O92">
        <v>0.10000000000000053</v>
      </c>
      <c r="P92">
        <v>0.10000000000000053</v>
      </c>
      <c r="Q92">
        <v>1.0000000000000106E-2</v>
      </c>
      <c r="R92">
        <v>-0.29999999999999982</v>
      </c>
      <c r="S92">
        <v>0.29999999999999982</v>
      </c>
      <c r="T92" t="s">
        <v>160</v>
      </c>
      <c r="U92">
        <v>5.7</v>
      </c>
      <c r="V92">
        <v>2.7</v>
      </c>
      <c r="W92" t="s">
        <v>2496</v>
      </c>
      <c r="X92" t="s">
        <v>75</v>
      </c>
    </row>
    <row r="93" spans="1:24">
      <c r="A93" t="s">
        <v>22</v>
      </c>
      <c r="B93" t="s">
        <v>76</v>
      </c>
      <c r="C93" s="36">
        <v>45197</v>
      </c>
      <c r="D93" t="s">
        <v>183</v>
      </c>
      <c r="E93" s="36">
        <v>45199</v>
      </c>
      <c r="F93" t="s">
        <v>76</v>
      </c>
      <c r="G93" s="36">
        <v>45197</v>
      </c>
      <c r="H93">
        <v>0</v>
      </c>
      <c r="I93" t="s">
        <v>2497</v>
      </c>
      <c r="J93">
        <v>4.5999999999999996</v>
      </c>
      <c r="K93">
        <v>4.5999999999999996</v>
      </c>
      <c r="L93">
        <v>3</v>
      </c>
      <c r="M93">
        <v>1.5999999999999996</v>
      </c>
      <c r="N93">
        <v>1.5999999999999996</v>
      </c>
      <c r="O93">
        <v>0</v>
      </c>
      <c r="P93">
        <v>0</v>
      </c>
      <c r="Q93">
        <v>0</v>
      </c>
      <c r="R93">
        <v>-0.10000000000000053</v>
      </c>
      <c r="S93">
        <v>0.10000000000000053</v>
      </c>
      <c r="T93" t="s">
        <v>160</v>
      </c>
      <c r="U93">
        <v>5.7</v>
      </c>
      <c r="V93">
        <v>2.7</v>
      </c>
      <c r="W93" t="s">
        <v>2496</v>
      </c>
      <c r="X93" t="s">
        <v>77</v>
      </c>
    </row>
    <row r="94" spans="1:24">
      <c r="A94" t="s">
        <v>22</v>
      </c>
      <c r="B94" t="s">
        <v>47</v>
      </c>
      <c r="C94" s="36">
        <v>44546</v>
      </c>
      <c r="D94" t="s">
        <v>254</v>
      </c>
      <c r="E94" s="36">
        <v>45291</v>
      </c>
      <c r="F94" t="s">
        <v>80</v>
      </c>
      <c r="G94" s="36">
        <v>45274</v>
      </c>
      <c r="H94">
        <v>16</v>
      </c>
      <c r="I94" t="s">
        <v>2512</v>
      </c>
      <c r="J94">
        <v>3</v>
      </c>
      <c r="K94">
        <v>4.4000000000000004</v>
      </c>
      <c r="L94">
        <v>3</v>
      </c>
      <c r="M94">
        <v>0</v>
      </c>
      <c r="N94">
        <v>0</v>
      </c>
      <c r="O94">
        <v>-1.4000000000000004</v>
      </c>
      <c r="P94">
        <v>1.4000000000000004</v>
      </c>
      <c r="Q94">
        <v>1.9600000000000011</v>
      </c>
      <c r="T94" t="s">
        <v>139</v>
      </c>
      <c r="U94">
        <v>5.8</v>
      </c>
      <c r="V94">
        <v>2.8</v>
      </c>
      <c r="W94" t="s">
        <v>2496</v>
      </c>
      <c r="X94" t="s">
        <v>49</v>
      </c>
    </row>
    <row r="95" spans="1:24">
      <c r="A95" t="s">
        <v>22</v>
      </c>
      <c r="B95" t="s">
        <v>50</v>
      </c>
      <c r="C95" s="36">
        <v>44602</v>
      </c>
      <c r="D95" t="s">
        <v>254</v>
      </c>
      <c r="E95" s="36">
        <v>45291</v>
      </c>
      <c r="F95" t="s">
        <v>80</v>
      </c>
      <c r="G95" s="36">
        <v>45274</v>
      </c>
      <c r="H95">
        <v>15</v>
      </c>
      <c r="I95" t="s">
        <v>2510</v>
      </c>
      <c r="J95">
        <v>3.1</v>
      </c>
      <c r="K95">
        <v>4.4000000000000004</v>
      </c>
      <c r="L95">
        <v>3</v>
      </c>
      <c r="M95">
        <v>0.10000000000000009</v>
      </c>
      <c r="N95">
        <v>0.10000000000000009</v>
      </c>
      <c r="O95">
        <v>-1.3000000000000003</v>
      </c>
      <c r="P95">
        <v>1.3000000000000003</v>
      </c>
      <c r="Q95">
        <v>1.6900000000000006</v>
      </c>
      <c r="R95">
        <v>0.10000000000000009</v>
      </c>
      <c r="S95">
        <v>0.10000000000000009</v>
      </c>
      <c r="T95" t="s">
        <v>142</v>
      </c>
      <c r="U95">
        <v>7</v>
      </c>
      <c r="V95">
        <v>4</v>
      </c>
      <c r="W95" t="s">
        <v>2496</v>
      </c>
      <c r="X95" t="s">
        <v>51</v>
      </c>
    </row>
    <row r="96" spans="1:24">
      <c r="A96" t="s">
        <v>22</v>
      </c>
      <c r="B96" t="s">
        <v>52</v>
      </c>
      <c r="C96" s="36">
        <v>44644</v>
      </c>
      <c r="D96" t="s">
        <v>254</v>
      </c>
      <c r="E96" s="36">
        <v>45291</v>
      </c>
      <c r="F96" t="s">
        <v>80</v>
      </c>
      <c r="G96" s="36">
        <v>45274</v>
      </c>
      <c r="H96">
        <v>14</v>
      </c>
      <c r="I96" t="s">
        <v>2511</v>
      </c>
      <c r="J96">
        <v>3.2</v>
      </c>
      <c r="K96">
        <v>4.4000000000000004</v>
      </c>
      <c r="L96">
        <v>3</v>
      </c>
      <c r="M96">
        <v>0.20000000000000018</v>
      </c>
      <c r="N96">
        <v>0.20000000000000018</v>
      </c>
      <c r="O96">
        <v>-1.2000000000000002</v>
      </c>
      <c r="P96">
        <v>1.2000000000000002</v>
      </c>
      <c r="Q96">
        <v>1.4400000000000004</v>
      </c>
      <c r="R96">
        <v>0.10000000000000009</v>
      </c>
      <c r="S96">
        <v>0.10000000000000009</v>
      </c>
      <c r="T96" t="s">
        <v>142</v>
      </c>
      <c r="U96">
        <v>7</v>
      </c>
      <c r="V96">
        <v>4</v>
      </c>
      <c r="W96" t="s">
        <v>2496</v>
      </c>
      <c r="X96" t="s">
        <v>53</v>
      </c>
    </row>
    <row r="97" spans="1:24">
      <c r="A97" t="s">
        <v>22</v>
      </c>
      <c r="B97" t="s">
        <v>54</v>
      </c>
      <c r="C97" s="36">
        <v>44693</v>
      </c>
      <c r="D97" t="s">
        <v>254</v>
      </c>
      <c r="E97" s="36">
        <v>45291</v>
      </c>
      <c r="F97" t="s">
        <v>80</v>
      </c>
      <c r="G97" s="36">
        <v>45274</v>
      </c>
      <c r="H97">
        <v>13</v>
      </c>
      <c r="I97" t="s">
        <v>2508</v>
      </c>
      <c r="J97">
        <v>3.2</v>
      </c>
      <c r="K97">
        <v>4.4000000000000004</v>
      </c>
      <c r="L97">
        <v>3</v>
      </c>
      <c r="M97">
        <v>0.20000000000000018</v>
      </c>
      <c r="N97">
        <v>0.20000000000000018</v>
      </c>
      <c r="O97">
        <v>-1.2000000000000002</v>
      </c>
      <c r="P97">
        <v>1.2000000000000002</v>
      </c>
      <c r="Q97">
        <v>1.4400000000000004</v>
      </c>
      <c r="R97">
        <v>0</v>
      </c>
      <c r="S97">
        <v>0</v>
      </c>
      <c r="T97" t="s">
        <v>145</v>
      </c>
      <c r="U97">
        <v>7.3</v>
      </c>
      <c r="V97">
        <v>4.3</v>
      </c>
      <c r="W97" t="s">
        <v>2496</v>
      </c>
      <c r="X97" t="s">
        <v>55</v>
      </c>
    </row>
    <row r="98" spans="1:24">
      <c r="A98" t="s">
        <v>22</v>
      </c>
      <c r="B98" t="s">
        <v>56</v>
      </c>
      <c r="C98" s="36">
        <v>44735</v>
      </c>
      <c r="D98" t="s">
        <v>254</v>
      </c>
      <c r="E98" s="36">
        <v>45291</v>
      </c>
      <c r="F98" t="s">
        <v>80</v>
      </c>
      <c r="G98" s="36">
        <v>45274</v>
      </c>
      <c r="H98">
        <v>12</v>
      </c>
      <c r="I98" t="s">
        <v>2509</v>
      </c>
      <c r="J98">
        <v>3.2</v>
      </c>
      <c r="K98">
        <v>4.4000000000000004</v>
      </c>
      <c r="L98">
        <v>3</v>
      </c>
      <c r="M98">
        <v>0.20000000000000018</v>
      </c>
      <c r="N98">
        <v>0.20000000000000018</v>
      </c>
      <c r="O98">
        <v>-1.2000000000000002</v>
      </c>
      <c r="P98">
        <v>1.2000000000000002</v>
      </c>
      <c r="Q98">
        <v>1.4400000000000004</v>
      </c>
      <c r="R98">
        <v>0</v>
      </c>
      <c r="S98">
        <v>0</v>
      </c>
      <c r="T98" t="s">
        <v>145</v>
      </c>
      <c r="U98">
        <v>7.3</v>
      </c>
      <c r="V98">
        <v>4.3</v>
      </c>
      <c r="W98" t="s">
        <v>2496</v>
      </c>
      <c r="X98" t="s">
        <v>57</v>
      </c>
    </row>
    <row r="99" spans="1:24">
      <c r="A99" t="s">
        <v>22</v>
      </c>
      <c r="B99" t="s">
        <v>58</v>
      </c>
      <c r="C99" s="36">
        <v>44784</v>
      </c>
      <c r="D99" t="s">
        <v>254</v>
      </c>
      <c r="E99" s="36">
        <v>45291</v>
      </c>
      <c r="F99" t="s">
        <v>80</v>
      </c>
      <c r="G99" s="36">
        <v>45274</v>
      </c>
      <c r="H99">
        <v>11</v>
      </c>
      <c r="I99" t="s">
        <v>2506</v>
      </c>
      <c r="J99">
        <v>3.2</v>
      </c>
      <c r="K99">
        <v>4.4000000000000004</v>
      </c>
      <c r="L99">
        <v>3</v>
      </c>
      <c r="M99">
        <v>0.20000000000000018</v>
      </c>
      <c r="N99">
        <v>0.20000000000000018</v>
      </c>
      <c r="O99">
        <v>-1.2000000000000002</v>
      </c>
      <c r="P99">
        <v>1.2000000000000002</v>
      </c>
      <c r="Q99">
        <v>1.4400000000000004</v>
      </c>
      <c r="R99">
        <v>0</v>
      </c>
      <c r="S99">
        <v>0</v>
      </c>
      <c r="T99" t="s">
        <v>148</v>
      </c>
      <c r="U99">
        <v>7.8</v>
      </c>
      <c r="V99">
        <v>4.8</v>
      </c>
      <c r="W99" t="s">
        <v>2496</v>
      </c>
      <c r="X99" t="s">
        <v>59</v>
      </c>
    </row>
    <row r="100" spans="1:24">
      <c r="A100" t="s">
        <v>22</v>
      </c>
      <c r="B100" t="s">
        <v>60</v>
      </c>
      <c r="C100" s="36">
        <v>44833</v>
      </c>
      <c r="D100" t="s">
        <v>254</v>
      </c>
      <c r="E100" s="36">
        <v>45291</v>
      </c>
      <c r="F100" t="s">
        <v>80</v>
      </c>
      <c r="G100" s="36">
        <v>45274</v>
      </c>
      <c r="H100">
        <v>10</v>
      </c>
      <c r="I100" t="s">
        <v>2507</v>
      </c>
      <c r="J100">
        <v>4</v>
      </c>
      <c r="K100">
        <v>4.4000000000000004</v>
      </c>
      <c r="L100">
        <v>3</v>
      </c>
      <c r="M100">
        <v>1</v>
      </c>
      <c r="N100">
        <v>1</v>
      </c>
      <c r="O100">
        <v>-0.40000000000000036</v>
      </c>
      <c r="P100">
        <v>0.40000000000000036</v>
      </c>
      <c r="Q100">
        <v>0.16000000000000028</v>
      </c>
      <c r="R100">
        <v>0.79999999999999982</v>
      </c>
      <c r="S100">
        <v>0.79999999999999982</v>
      </c>
      <c r="T100" t="s">
        <v>148</v>
      </c>
      <c r="U100">
        <v>7.8</v>
      </c>
      <c r="V100">
        <v>4.8</v>
      </c>
      <c r="W100" t="s">
        <v>2496</v>
      </c>
      <c r="X100" t="s">
        <v>61</v>
      </c>
    </row>
    <row r="101" spans="1:24">
      <c r="A101" t="s">
        <v>22</v>
      </c>
      <c r="B101" t="s">
        <v>62</v>
      </c>
      <c r="C101" s="36">
        <v>44875</v>
      </c>
      <c r="D101" t="s">
        <v>254</v>
      </c>
      <c r="E101" s="36">
        <v>45291</v>
      </c>
      <c r="F101" t="s">
        <v>80</v>
      </c>
      <c r="G101" s="36">
        <v>45274</v>
      </c>
      <c r="H101">
        <v>9</v>
      </c>
      <c r="I101" t="s">
        <v>2504</v>
      </c>
      <c r="J101">
        <v>4.0999999999999996</v>
      </c>
      <c r="K101">
        <v>4.4000000000000004</v>
      </c>
      <c r="L101">
        <v>3</v>
      </c>
      <c r="M101">
        <v>1.0999999999999996</v>
      </c>
      <c r="N101">
        <v>1.0999999999999996</v>
      </c>
      <c r="O101">
        <v>-0.30000000000000071</v>
      </c>
      <c r="P101">
        <v>0.30000000000000071</v>
      </c>
      <c r="Q101">
        <v>9.0000000000000427E-2</v>
      </c>
      <c r="R101">
        <v>9.9999999999999645E-2</v>
      </c>
      <c r="S101">
        <v>9.9999999999999645E-2</v>
      </c>
      <c r="T101" t="s">
        <v>151</v>
      </c>
      <c r="U101">
        <v>8.5</v>
      </c>
      <c r="V101">
        <v>5.5</v>
      </c>
      <c r="W101" t="s">
        <v>2496</v>
      </c>
      <c r="X101" t="s">
        <v>63</v>
      </c>
    </row>
    <row r="102" spans="1:24">
      <c r="A102" t="s">
        <v>22</v>
      </c>
      <c r="B102" t="s">
        <v>64</v>
      </c>
      <c r="C102" s="36">
        <v>44910</v>
      </c>
      <c r="D102" t="s">
        <v>254</v>
      </c>
      <c r="E102" s="36">
        <v>45291</v>
      </c>
      <c r="F102" t="s">
        <v>80</v>
      </c>
      <c r="G102" s="36">
        <v>45274</v>
      </c>
      <c r="H102">
        <v>8</v>
      </c>
      <c r="I102" t="s">
        <v>2505</v>
      </c>
      <c r="J102">
        <v>4.2</v>
      </c>
      <c r="K102">
        <v>4.4000000000000004</v>
      </c>
      <c r="L102">
        <v>3</v>
      </c>
      <c r="M102">
        <v>1.2000000000000002</v>
      </c>
      <c r="N102">
        <v>1.2000000000000002</v>
      </c>
      <c r="O102">
        <v>-0.20000000000000018</v>
      </c>
      <c r="P102">
        <v>0.20000000000000018</v>
      </c>
      <c r="Q102">
        <v>4.000000000000007E-2</v>
      </c>
      <c r="R102">
        <v>0.10000000000000053</v>
      </c>
      <c r="S102">
        <v>0.10000000000000053</v>
      </c>
      <c r="T102" t="s">
        <v>151</v>
      </c>
      <c r="U102">
        <v>8.5</v>
      </c>
      <c r="V102">
        <v>5.5</v>
      </c>
      <c r="W102" t="s">
        <v>2496</v>
      </c>
      <c r="X102" t="s">
        <v>65</v>
      </c>
    </row>
    <row r="103" spans="1:24">
      <c r="A103" t="s">
        <v>22</v>
      </c>
      <c r="B103" t="s">
        <v>66</v>
      </c>
      <c r="C103" s="36">
        <v>44966</v>
      </c>
      <c r="D103" t="s">
        <v>254</v>
      </c>
      <c r="E103" s="36">
        <v>45291</v>
      </c>
      <c r="F103" t="s">
        <v>80</v>
      </c>
      <c r="G103" s="36">
        <v>45274</v>
      </c>
      <c r="H103">
        <v>7</v>
      </c>
      <c r="I103" t="s">
        <v>2502</v>
      </c>
      <c r="J103">
        <v>4.9000000000000004</v>
      </c>
      <c r="K103">
        <v>4.4000000000000004</v>
      </c>
      <c r="L103">
        <v>3</v>
      </c>
      <c r="M103">
        <v>1.9000000000000004</v>
      </c>
      <c r="N103">
        <v>1.9000000000000004</v>
      </c>
      <c r="O103">
        <v>0.5</v>
      </c>
      <c r="P103">
        <v>0.5</v>
      </c>
      <c r="Q103">
        <v>0.25</v>
      </c>
      <c r="R103">
        <v>0.70000000000000018</v>
      </c>
      <c r="S103">
        <v>0.70000000000000018</v>
      </c>
      <c r="T103" t="s">
        <v>154</v>
      </c>
      <c r="U103">
        <v>8</v>
      </c>
      <c r="V103">
        <v>5</v>
      </c>
      <c r="W103" t="s">
        <v>2496</v>
      </c>
      <c r="X103" t="s">
        <v>67</v>
      </c>
    </row>
    <row r="104" spans="1:24">
      <c r="A104" t="s">
        <v>22</v>
      </c>
      <c r="B104" t="s">
        <v>68</v>
      </c>
      <c r="C104" s="36">
        <v>45015</v>
      </c>
      <c r="D104" t="s">
        <v>254</v>
      </c>
      <c r="E104" s="36">
        <v>45291</v>
      </c>
      <c r="F104" t="s">
        <v>80</v>
      </c>
      <c r="G104" s="36">
        <v>45274</v>
      </c>
      <c r="H104">
        <v>6</v>
      </c>
      <c r="I104" t="s">
        <v>2503</v>
      </c>
      <c r="J104">
        <v>4.8</v>
      </c>
      <c r="K104">
        <v>4.4000000000000004</v>
      </c>
      <c r="L104">
        <v>3</v>
      </c>
      <c r="M104">
        <v>1.7999999999999998</v>
      </c>
      <c r="N104">
        <v>1.7999999999999998</v>
      </c>
      <c r="O104">
        <v>0.39999999999999947</v>
      </c>
      <c r="P104">
        <v>0.39999999999999947</v>
      </c>
      <c r="Q104">
        <v>0.15999999999999959</v>
      </c>
      <c r="R104">
        <v>-0.10000000000000053</v>
      </c>
      <c r="S104">
        <v>0.10000000000000053</v>
      </c>
      <c r="T104" t="s">
        <v>154</v>
      </c>
      <c r="U104">
        <v>8</v>
      </c>
      <c r="V104">
        <v>5</v>
      </c>
      <c r="W104" t="s">
        <v>2496</v>
      </c>
      <c r="X104" t="s">
        <v>69</v>
      </c>
    </row>
    <row r="105" spans="1:24">
      <c r="A105" t="s">
        <v>22</v>
      </c>
      <c r="B105" t="s">
        <v>70</v>
      </c>
      <c r="C105" s="36">
        <v>45064</v>
      </c>
      <c r="D105" t="s">
        <v>254</v>
      </c>
      <c r="E105" s="36">
        <v>45291</v>
      </c>
      <c r="F105" t="s">
        <v>80</v>
      </c>
      <c r="G105" s="36">
        <v>45274</v>
      </c>
      <c r="H105">
        <v>5</v>
      </c>
      <c r="I105" t="s">
        <v>2500</v>
      </c>
      <c r="J105">
        <v>4.7</v>
      </c>
      <c r="K105">
        <v>4.4000000000000004</v>
      </c>
      <c r="L105">
        <v>3</v>
      </c>
      <c r="M105">
        <v>1.7000000000000002</v>
      </c>
      <c r="N105">
        <v>1.7000000000000002</v>
      </c>
      <c r="O105">
        <v>0.29999999999999982</v>
      </c>
      <c r="P105">
        <v>0.29999999999999982</v>
      </c>
      <c r="Q105">
        <v>8.99999999999999E-2</v>
      </c>
      <c r="R105">
        <v>-9.9999999999999645E-2</v>
      </c>
      <c r="S105">
        <v>9.9999999999999645E-2</v>
      </c>
      <c r="T105" t="s">
        <v>157</v>
      </c>
      <c r="U105">
        <v>7.5</v>
      </c>
      <c r="V105">
        <v>4.5</v>
      </c>
      <c r="W105" t="s">
        <v>2496</v>
      </c>
      <c r="X105" t="s">
        <v>71</v>
      </c>
    </row>
    <row r="106" spans="1:24">
      <c r="A106" t="s">
        <v>22</v>
      </c>
      <c r="B106" t="s">
        <v>72</v>
      </c>
      <c r="C106" s="36">
        <v>45099</v>
      </c>
      <c r="D106" t="s">
        <v>254</v>
      </c>
      <c r="E106" s="36">
        <v>45291</v>
      </c>
      <c r="F106" t="s">
        <v>80</v>
      </c>
      <c r="G106" s="36">
        <v>45274</v>
      </c>
      <c r="H106">
        <v>4</v>
      </c>
      <c r="I106" t="s">
        <v>2501</v>
      </c>
      <c r="J106">
        <v>4.5999999999999996</v>
      </c>
      <c r="K106">
        <v>4.4000000000000004</v>
      </c>
      <c r="L106">
        <v>3</v>
      </c>
      <c r="M106">
        <v>1.5999999999999996</v>
      </c>
      <c r="N106">
        <v>1.5999999999999996</v>
      </c>
      <c r="O106">
        <v>0.19999999999999929</v>
      </c>
      <c r="P106">
        <v>0.19999999999999929</v>
      </c>
      <c r="Q106">
        <v>3.9999999999999716E-2</v>
      </c>
      <c r="R106">
        <v>-0.10000000000000053</v>
      </c>
      <c r="S106">
        <v>0.10000000000000053</v>
      </c>
      <c r="T106" t="s">
        <v>157</v>
      </c>
      <c r="U106">
        <v>7.5</v>
      </c>
      <c r="V106">
        <v>4.5</v>
      </c>
      <c r="W106" t="s">
        <v>2496</v>
      </c>
      <c r="X106" t="s">
        <v>73</v>
      </c>
    </row>
    <row r="107" spans="1:24">
      <c r="A107" t="s">
        <v>22</v>
      </c>
      <c r="B107" t="s">
        <v>74</v>
      </c>
      <c r="C107" s="36">
        <v>45148</v>
      </c>
      <c r="D107" t="s">
        <v>254</v>
      </c>
      <c r="E107" s="36">
        <v>45291</v>
      </c>
      <c r="F107" t="s">
        <v>80</v>
      </c>
      <c r="G107" s="36">
        <v>45274</v>
      </c>
      <c r="H107">
        <v>3</v>
      </c>
      <c r="I107" t="s">
        <v>2498</v>
      </c>
      <c r="J107">
        <v>4.5999999999999996</v>
      </c>
      <c r="K107">
        <v>4.4000000000000004</v>
      </c>
      <c r="L107">
        <v>3</v>
      </c>
      <c r="M107">
        <v>1.5999999999999996</v>
      </c>
      <c r="N107">
        <v>1.5999999999999996</v>
      </c>
      <c r="O107">
        <v>0.19999999999999929</v>
      </c>
      <c r="P107">
        <v>0.19999999999999929</v>
      </c>
      <c r="Q107">
        <v>3.9999999999999716E-2</v>
      </c>
      <c r="R107">
        <v>0</v>
      </c>
      <c r="S107">
        <v>0</v>
      </c>
      <c r="T107" t="s">
        <v>160</v>
      </c>
      <c r="U107">
        <v>5.7</v>
      </c>
      <c r="V107">
        <v>2.7</v>
      </c>
      <c r="W107" t="s">
        <v>2496</v>
      </c>
      <c r="X107" t="s">
        <v>75</v>
      </c>
    </row>
    <row r="108" spans="1:24">
      <c r="A108" t="s">
        <v>22</v>
      </c>
      <c r="B108" t="s">
        <v>76</v>
      </c>
      <c r="C108" s="36">
        <v>45197</v>
      </c>
      <c r="D108" t="s">
        <v>254</v>
      </c>
      <c r="E108" s="36">
        <v>45291</v>
      </c>
      <c r="F108" t="s">
        <v>80</v>
      </c>
      <c r="G108" s="36">
        <v>45274</v>
      </c>
      <c r="H108">
        <v>2</v>
      </c>
      <c r="I108" t="s">
        <v>2499</v>
      </c>
      <c r="J108">
        <v>4.7</v>
      </c>
      <c r="K108">
        <v>4.4000000000000004</v>
      </c>
      <c r="L108">
        <v>3</v>
      </c>
      <c r="M108">
        <v>1.7000000000000002</v>
      </c>
      <c r="N108">
        <v>1.7000000000000002</v>
      </c>
      <c r="O108">
        <v>0.29999999999999982</v>
      </c>
      <c r="P108">
        <v>0.29999999999999982</v>
      </c>
      <c r="Q108">
        <v>8.99999999999999E-2</v>
      </c>
      <c r="R108">
        <v>0.10000000000000053</v>
      </c>
      <c r="S108">
        <v>0.10000000000000053</v>
      </c>
      <c r="T108" t="s">
        <v>160</v>
      </c>
      <c r="U108">
        <v>5.7</v>
      </c>
      <c r="V108">
        <v>2.7</v>
      </c>
      <c r="W108" t="s">
        <v>2496</v>
      </c>
      <c r="X108" t="s">
        <v>77</v>
      </c>
    </row>
    <row r="109" spans="1:24">
      <c r="A109" t="s">
        <v>22</v>
      </c>
      <c r="B109" t="s">
        <v>78</v>
      </c>
      <c r="C109" s="36">
        <v>45239</v>
      </c>
      <c r="D109" t="s">
        <v>254</v>
      </c>
      <c r="E109" s="36">
        <v>45291</v>
      </c>
      <c r="F109" t="s">
        <v>80</v>
      </c>
      <c r="G109" s="36">
        <v>45274</v>
      </c>
      <c r="H109">
        <v>1</v>
      </c>
      <c r="I109" t="s">
        <v>2495</v>
      </c>
      <c r="J109">
        <v>4.4000000000000004</v>
      </c>
      <c r="K109">
        <v>4.4000000000000004</v>
      </c>
      <c r="L109">
        <v>3</v>
      </c>
      <c r="M109">
        <v>1.4000000000000004</v>
      </c>
      <c r="N109">
        <v>1.4000000000000004</v>
      </c>
      <c r="O109">
        <v>0</v>
      </c>
      <c r="P109">
        <v>0</v>
      </c>
      <c r="Q109">
        <v>0</v>
      </c>
      <c r="R109">
        <v>-0.29999999999999982</v>
      </c>
      <c r="S109">
        <v>0.29999999999999982</v>
      </c>
      <c r="T109" t="s">
        <v>183</v>
      </c>
      <c r="U109">
        <v>4.5999999999999996</v>
      </c>
      <c r="V109">
        <v>1.5999999999999996</v>
      </c>
      <c r="W109" t="s">
        <v>2496</v>
      </c>
      <c r="X109" t="s">
        <v>79</v>
      </c>
    </row>
    <row r="110" spans="1:24">
      <c r="A110" t="s">
        <v>22</v>
      </c>
      <c r="B110" t="s">
        <v>80</v>
      </c>
      <c r="C110" s="36">
        <v>45274</v>
      </c>
      <c r="D110" t="s">
        <v>254</v>
      </c>
      <c r="E110" s="36">
        <v>45291</v>
      </c>
      <c r="F110" t="s">
        <v>80</v>
      </c>
      <c r="G110" s="36">
        <v>45274</v>
      </c>
      <c r="H110">
        <v>0</v>
      </c>
      <c r="I110" t="s">
        <v>2497</v>
      </c>
      <c r="J110">
        <v>4.4000000000000004</v>
      </c>
      <c r="K110">
        <v>4.4000000000000004</v>
      </c>
      <c r="L110">
        <v>3</v>
      </c>
      <c r="M110">
        <v>1.4000000000000004</v>
      </c>
      <c r="N110">
        <v>1.4000000000000004</v>
      </c>
      <c r="O110">
        <v>0</v>
      </c>
      <c r="P110">
        <v>0</v>
      </c>
      <c r="Q110">
        <v>0</v>
      </c>
      <c r="R110">
        <v>0</v>
      </c>
      <c r="S110">
        <v>0</v>
      </c>
      <c r="T110" t="s">
        <v>183</v>
      </c>
      <c r="U110">
        <v>4.5999999999999996</v>
      </c>
      <c r="V110">
        <v>1.5999999999999996</v>
      </c>
      <c r="W110" t="s">
        <v>2496</v>
      </c>
      <c r="X110" t="s">
        <v>81</v>
      </c>
    </row>
    <row r="111" spans="1:24">
      <c r="A111" t="s">
        <v>22</v>
      </c>
      <c r="B111" t="s">
        <v>52</v>
      </c>
      <c r="C111" s="36">
        <v>44644</v>
      </c>
      <c r="D111" t="s">
        <v>355</v>
      </c>
      <c r="E111" s="36">
        <v>45382</v>
      </c>
      <c r="F111" t="s">
        <v>84</v>
      </c>
      <c r="G111" s="36">
        <v>45372</v>
      </c>
      <c r="H111">
        <v>16</v>
      </c>
      <c r="I111" t="s">
        <v>2512</v>
      </c>
      <c r="J111">
        <v>3.1</v>
      </c>
      <c r="K111">
        <v>4.5999999999999996</v>
      </c>
      <c r="L111">
        <v>3</v>
      </c>
      <c r="M111">
        <v>0.10000000000000009</v>
      </c>
      <c r="N111">
        <v>0.10000000000000009</v>
      </c>
      <c r="O111">
        <v>-1.4999999999999996</v>
      </c>
      <c r="P111">
        <v>1.4999999999999996</v>
      </c>
      <c r="Q111">
        <v>2.2499999999999987</v>
      </c>
      <c r="T111" t="s">
        <v>142</v>
      </c>
      <c r="U111">
        <v>7</v>
      </c>
      <c r="V111">
        <v>4</v>
      </c>
      <c r="W111" t="s">
        <v>2496</v>
      </c>
      <c r="X111" t="s">
        <v>53</v>
      </c>
    </row>
    <row r="112" spans="1:24">
      <c r="A112" t="s">
        <v>22</v>
      </c>
      <c r="B112" t="s">
        <v>54</v>
      </c>
      <c r="C112" s="36">
        <v>44693</v>
      </c>
      <c r="D112" t="s">
        <v>355</v>
      </c>
      <c r="E112" s="36">
        <v>45382</v>
      </c>
      <c r="F112" t="s">
        <v>84</v>
      </c>
      <c r="G112" s="36">
        <v>45372</v>
      </c>
      <c r="H112">
        <v>15</v>
      </c>
      <c r="I112" t="s">
        <v>2510</v>
      </c>
      <c r="J112">
        <v>3.1</v>
      </c>
      <c r="K112">
        <v>4.5999999999999996</v>
      </c>
      <c r="L112">
        <v>3</v>
      </c>
      <c r="M112">
        <v>0.10000000000000009</v>
      </c>
      <c r="N112">
        <v>0.10000000000000009</v>
      </c>
      <c r="O112">
        <v>-1.4999999999999996</v>
      </c>
      <c r="P112">
        <v>1.4999999999999996</v>
      </c>
      <c r="Q112">
        <v>2.2499999999999987</v>
      </c>
      <c r="R112">
        <v>0</v>
      </c>
      <c r="S112">
        <v>0</v>
      </c>
      <c r="T112" t="s">
        <v>145</v>
      </c>
      <c r="U112">
        <v>7.3</v>
      </c>
      <c r="V112">
        <v>4.3</v>
      </c>
      <c r="W112" t="s">
        <v>2496</v>
      </c>
      <c r="X112" t="s">
        <v>55</v>
      </c>
    </row>
    <row r="113" spans="1:24">
      <c r="A113" t="s">
        <v>22</v>
      </c>
      <c r="B113" t="s">
        <v>56</v>
      </c>
      <c r="C113" s="36">
        <v>44735</v>
      </c>
      <c r="D113" t="s">
        <v>355</v>
      </c>
      <c r="E113" s="36">
        <v>45382</v>
      </c>
      <c r="F113" t="s">
        <v>84</v>
      </c>
      <c r="G113" s="36">
        <v>45372</v>
      </c>
      <c r="H113">
        <v>14</v>
      </c>
      <c r="I113" t="s">
        <v>2511</v>
      </c>
      <c r="J113">
        <v>3.1</v>
      </c>
      <c r="K113">
        <v>4.5999999999999996</v>
      </c>
      <c r="L113">
        <v>3</v>
      </c>
      <c r="M113">
        <v>0.10000000000000009</v>
      </c>
      <c r="N113">
        <v>0.10000000000000009</v>
      </c>
      <c r="O113">
        <v>-1.4999999999999996</v>
      </c>
      <c r="P113">
        <v>1.4999999999999996</v>
      </c>
      <c r="Q113">
        <v>2.2499999999999987</v>
      </c>
      <c r="R113">
        <v>0</v>
      </c>
      <c r="S113">
        <v>0</v>
      </c>
      <c r="T113" t="s">
        <v>145</v>
      </c>
      <c r="U113">
        <v>7.3</v>
      </c>
      <c r="V113">
        <v>4.3</v>
      </c>
      <c r="W113" t="s">
        <v>2496</v>
      </c>
      <c r="X113" t="s">
        <v>57</v>
      </c>
    </row>
    <row r="114" spans="1:24">
      <c r="A114" t="s">
        <v>22</v>
      </c>
      <c r="B114" t="s">
        <v>58</v>
      </c>
      <c r="C114" s="36">
        <v>44784</v>
      </c>
      <c r="D114" t="s">
        <v>355</v>
      </c>
      <c r="E114" s="36">
        <v>45382</v>
      </c>
      <c r="F114" t="s">
        <v>84</v>
      </c>
      <c r="G114" s="36">
        <v>45372</v>
      </c>
      <c r="H114">
        <v>13</v>
      </c>
      <c r="I114" t="s">
        <v>2508</v>
      </c>
      <c r="J114">
        <v>3.1</v>
      </c>
      <c r="K114">
        <v>4.5999999999999996</v>
      </c>
      <c r="L114">
        <v>3</v>
      </c>
      <c r="M114">
        <v>0.10000000000000009</v>
      </c>
      <c r="N114">
        <v>0.10000000000000009</v>
      </c>
      <c r="O114">
        <v>-1.4999999999999996</v>
      </c>
      <c r="P114">
        <v>1.4999999999999996</v>
      </c>
      <c r="Q114">
        <v>2.2499999999999987</v>
      </c>
      <c r="R114">
        <v>0</v>
      </c>
      <c r="S114">
        <v>0</v>
      </c>
      <c r="T114" t="s">
        <v>148</v>
      </c>
      <c r="U114">
        <v>7.8</v>
      </c>
      <c r="V114">
        <v>4.8</v>
      </c>
      <c r="W114" t="s">
        <v>2496</v>
      </c>
      <c r="X114" t="s">
        <v>59</v>
      </c>
    </row>
    <row r="115" spans="1:24">
      <c r="A115" t="s">
        <v>22</v>
      </c>
      <c r="B115" t="s">
        <v>60</v>
      </c>
      <c r="C115" s="36">
        <v>44833</v>
      </c>
      <c r="D115" t="s">
        <v>355</v>
      </c>
      <c r="E115" s="36">
        <v>45382</v>
      </c>
      <c r="F115" t="s">
        <v>84</v>
      </c>
      <c r="G115" s="36">
        <v>45372</v>
      </c>
      <c r="H115">
        <v>12</v>
      </c>
      <c r="I115" t="s">
        <v>2509</v>
      </c>
      <c r="J115">
        <v>3.7</v>
      </c>
      <c r="K115">
        <v>4.5999999999999996</v>
      </c>
      <c r="L115">
        <v>3</v>
      </c>
      <c r="M115">
        <v>0.70000000000000018</v>
      </c>
      <c r="N115">
        <v>0.70000000000000018</v>
      </c>
      <c r="O115">
        <v>-0.89999999999999947</v>
      </c>
      <c r="P115">
        <v>0.89999999999999947</v>
      </c>
      <c r="Q115">
        <v>0.80999999999999905</v>
      </c>
      <c r="R115">
        <v>0.60000000000000009</v>
      </c>
      <c r="S115">
        <v>0.60000000000000009</v>
      </c>
      <c r="T115" t="s">
        <v>148</v>
      </c>
      <c r="U115">
        <v>7.8</v>
      </c>
      <c r="V115">
        <v>4.8</v>
      </c>
      <c r="W115" t="s">
        <v>2496</v>
      </c>
      <c r="X115" t="s">
        <v>61</v>
      </c>
    </row>
    <row r="116" spans="1:24">
      <c r="A116" t="s">
        <v>22</v>
      </c>
      <c r="B116" t="s">
        <v>62</v>
      </c>
      <c r="C116" s="36">
        <v>44875</v>
      </c>
      <c r="D116" t="s">
        <v>355</v>
      </c>
      <c r="E116" s="36">
        <v>45382</v>
      </c>
      <c r="F116" t="s">
        <v>84</v>
      </c>
      <c r="G116" s="36">
        <v>45372</v>
      </c>
      <c r="H116">
        <v>11</v>
      </c>
      <c r="I116" t="s">
        <v>2506</v>
      </c>
      <c r="J116">
        <v>3.8</v>
      </c>
      <c r="K116">
        <v>4.5999999999999996</v>
      </c>
      <c r="L116">
        <v>3</v>
      </c>
      <c r="M116">
        <v>0.79999999999999982</v>
      </c>
      <c r="N116">
        <v>0.79999999999999982</v>
      </c>
      <c r="O116">
        <v>-0.79999999999999982</v>
      </c>
      <c r="P116">
        <v>0.79999999999999982</v>
      </c>
      <c r="Q116">
        <v>0.63999999999999968</v>
      </c>
      <c r="R116">
        <v>9.9999999999999645E-2</v>
      </c>
      <c r="S116">
        <v>9.9999999999999645E-2</v>
      </c>
      <c r="T116" t="s">
        <v>151</v>
      </c>
      <c r="U116">
        <v>8.5</v>
      </c>
      <c r="V116">
        <v>5.5</v>
      </c>
      <c r="W116" t="s">
        <v>2496</v>
      </c>
      <c r="X116" t="s">
        <v>63</v>
      </c>
    </row>
    <row r="117" spans="1:24">
      <c r="A117" t="s">
        <v>22</v>
      </c>
      <c r="B117" t="s">
        <v>64</v>
      </c>
      <c r="C117" s="36">
        <v>44910</v>
      </c>
      <c r="D117" t="s">
        <v>355</v>
      </c>
      <c r="E117" s="36">
        <v>45382</v>
      </c>
      <c r="F117" t="s">
        <v>84</v>
      </c>
      <c r="G117" s="36">
        <v>45372</v>
      </c>
      <c r="H117">
        <v>10</v>
      </c>
      <c r="I117" t="s">
        <v>2507</v>
      </c>
      <c r="J117">
        <v>3.8</v>
      </c>
      <c r="K117">
        <v>4.5999999999999996</v>
      </c>
      <c r="L117">
        <v>3</v>
      </c>
      <c r="M117">
        <v>0.79999999999999982</v>
      </c>
      <c r="N117">
        <v>0.79999999999999982</v>
      </c>
      <c r="O117">
        <v>-0.79999999999999982</v>
      </c>
      <c r="P117">
        <v>0.79999999999999982</v>
      </c>
      <c r="Q117">
        <v>0.63999999999999968</v>
      </c>
      <c r="R117">
        <v>0</v>
      </c>
      <c r="S117">
        <v>0</v>
      </c>
      <c r="T117" t="s">
        <v>151</v>
      </c>
      <c r="U117">
        <v>8.5</v>
      </c>
      <c r="V117">
        <v>5.5</v>
      </c>
      <c r="W117" t="s">
        <v>2496</v>
      </c>
      <c r="X117" t="s">
        <v>65</v>
      </c>
    </row>
    <row r="118" spans="1:24">
      <c r="A118" t="s">
        <v>22</v>
      </c>
      <c r="B118" t="s">
        <v>66</v>
      </c>
      <c r="C118" s="36">
        <v>44966</v>
      </c>
      <c r="D118" t="s">
        <v>355</v>
      </c>
      <c r="E118" s="36">
        <v>45382</v>
      </c>
      <c r="F118" t="s">
        <v>84</v>
      </c>
      <c r="G118" s="36">
        <v>45372</v>
      </c>
      <c r="H118">
        <v>9</v>
      </c>
      <c r="I118" t="s">
        <v>2504</v>
      </c>
      <c r="J118">
        <v>4.2</v>
      </c>
      <c r="K118">
        <v>4.5999999999999996</v>
      </c>
      <c r="L118">
        <v>3</v>
      </c>
      <c r="M118">
        <v>1.2000000000000002</v>
      </c>
      <c r="N118">
        <v>1.2000000000000002</v>
      </c>
      <c r="O118">
        <v>-0.39999999999999947</v>
      </c>
      <c r="P118">
        <v>0.39999999999999947</v>
      </c>
      <c r="Q118">
        <v>0.15999999999999959</v>
      </c>
      <c r="R118">
        <v>0.40000000000000036</v>
      </c>
      <c r="S118">
        <v>0.40000000000000036</v>
      </c>
      <c r="T118" t="s">
        <v>154</v>
      </c>
      <c r="U118">
        <v>8</v>
      </c>
      <c r="V118">
        <v>5</v>
      </c>
      <c r="W118" t="s">
        <v>2496</v>
      </c>
      <c r="X118" t="s">
        <v>67</v>
      </c>
    </row>
    <row r="119" spans="1:24">
      <c r="A119" t="s">
        <v>22</v>
      </c>
      <c r="B119" t="s">
        <v>68</v>
      </c>
      <c r="C119" s="36">
        <v>45015</v>
      </c>
      <c r="D119" t="s">
        <v>355</v>
      </c>
      <c r="E119" s="36">
        <v>45382</v>
      </c>
      <c r="F119" t="s">
        <v>84</v>
      </c>
      <c r="G119" s="36">
        <v>45372</v>
      </c>
      <c r="H119">
        <v>8</v>
      </c>
      <c r="I119" t="s">
        <v>2505</v>
      </c>
      <c r="J119">
        <v>4.2</v>
      </c>
      <c r="K119">
        <v>4.5999999999999996</v>
      </c>
      <c r="L119">
        <v>3</v>
      </c>
      <c r="M119">
        <v>1.2000000000000002</v>
      </c>
      <c r="N119">
        <v>1.2000000000000002</v>
      </c>
      <c r="O119">
        <v>-0.39999999999999947</v>
      </c>
      <c r="P119">
        <v>0.39999999999999947</v>
      </c>
      <c r="Q119">
        <v>0.15999999999999959</v>
      </c>
      <c r="R119">
        <v>0</v>
      </c>
      <c r="S119">
        <v>0</v>
      </c>
      <c r="T119" t="s">
        <v>154</v>
      </c>
      <c r="U119">
        <v>8</v>
      </c>
      <c r="V119">
        <v>5</v>
      </c>
      <c r="W119" t="s">
        <v>2496</v>
      </c>
      <c r="X119" t="s">
        <v>69</v>
      </c>
    </row>
    <row r="120" spans="1:24">
      <c r="A120" t="s">
        <v>22</v>
      </c>
      <c r="B120" t="s">
        <v>70</v>
      </c>
      <c r="C120" s="36">
        <v>45064</v>
      </c>
      <c r="D120" t="s">
        <v>355</v>
      </c>
      <c r="E120" s="36">
        <v>45382</v>
      </c>
      <c r="F120" t="s">
        <v>84</v>
      </c>
      <c r="G120" s="36">
        <v>45372</v>
      </c>
      <c r="H120">
        <v>7</v>
      </c>
      <c r="I120" t="s">
        <v>2502</v>
      </c>
      <c r="J120">
        <v>4.2</v>
      </c>
      <c r="K120">
        <v>4.5999999999999996</v>
      </c>
      <c r="L120">
        <v>3</v>
      </c>
      <c r="M120">
        <v>1.2000000000000002</v>
      </c>
      <c r="N120">
        <v>1.2000000000000002</v>
      </c>
      <c r="O120">
        <v>-0.39999999999999947</v>
      </c>
      <c r="P120">
        <v>0.39999999999999947</v>
      </c>
      <c r="Q120">
        <v>0.15999999999999959</v>
      </c>
      <c r="R120">
        <v>0</v>
      </c>
      <c r="S120">
        <v>0</v>
      </c>
      <c r="T120" t="s">
        <v>157</v>
      </c>
      <c r="U120">
        <v>7.5</v>
      </c>
      <c r="V120">
        <v>4.5</v>
      </c>
      <c r="W120" t="s">
        <v>2496</v>
      </c>
      <c r="X120" t="s">
        <v>71</v>
      </c>
    </row>
    <row r="121" spans="1:24">
      <c r="A121" t="s">
        <v>22</v>
      </c>
      <c r="B121" t="s">
        <v>72</v>
      </c>
      <c r="C121" s="36">
        <v>45099</v>
      </c>
      <c r="D121" t="s">
        <v>355</v>
      </c>
      <c r="E121" s="36">
        <v>45382</v>
      </c>
      <c r="F121" t="s">
        <v>84</v>
      </c>
      <c r="G121" s="36">
        <v>45372</v>
      </c>
      <c r="H121">
        <v>6</v>
      </c>
      <c r="I121" t="s">
        <v>2503</v>
      </c>
      <c r="J121">
        <v>4.0999999999999996</v>
      </c>
      <c r="K121">
        <v>4.5999999999999996</v>
      </c>
      <c r="L121">
        <v>3</v>
      </c>
      <c r="M121">
        <v>1.0999999999999996</v>
      </c>
      <c r="N121">
        <v>1.0999999999999996</v>
      </c>
      <c r="O121">
        <v>-0.5</v>
      </c>
      <c r="P121">
        <v>0.5</v>
      </c>
      <c r="Q121">
        <v>0.25</v>
      </c>
      <c r="R121">
        <v>-0.10000000000000053</v>
      </c>
      <c r="S121">
        <v>0.10000000000000053</v>
      </c>
      <c r="T121" t="s">
        <v>157</v>
      </c>
      <c r="U121">
        <v>7.5</v>
      </c>
      <c r="V121">
        <v>4.5</v>
      </c>
      <c r="W121" t="s">
        <v>2496</v>
      </c>
      <c r="X121" t="s">
        <v>73</v>
      </c>
    </row>
    <row r="122" spans="1:24">
      <c r="A122" t="s">
        <v>22</v>
      </c>
      <c r="B122" t="s">
        <v>74</v>
      </c>
      <c r="C122" s="36">
        <v>45148</v>
      </c>
      <c r="D122" t="s">
        <v>355</v>
      </c>
      <c r="E122" s="36">
        <v>45382</v>
      </c>
      <c r="F122" t="s">
        <v>84</v>
      </c>
      <c r="G122" s="36">
        <v>45372</v>
      </c>
      <c r="H122">
        <v>5</v>
      </c>
      <c r="I122" t="s">
        <v>2500</v>
      </c>
      <c r="J122">
        <v>4.0999999999999996</v>
      </c>
      <c r="K122">
        <v>4.5999999999999996</v>
      </c>
      <c r="L122">
        <v>3</v>
      </c>
      <c r="M122">
        <v>1.0999999999999996</v>
      </c>
      <c r="N122">
        <v>1.0999999999999996</v>
      </c>
      <c r="O122">
        <v>-0.5</v>
      </c>
      <c r="P122">
        <v>0.5</v>
      </c>
      <c r="Q122">
        <v>0.25</v>
      </c>
      <c r="R122">
        <v>0</v>
      </c>
      <c r="S122">
        <v>0</v>
      </c>
      <c r="T122" t="s">
        <v>160</v>
      </c>
      <c r="U122">
        <v>5.7</v>
      </c>
      <c r="V122">
        <v>2.7</v>
      </c>
      <c r="W122" t="s">
        <v>2496</v>
      </c>
      <c r="X122" t="s">
        <v>75</v>
      </c>
    </row>
    <row r="123" spans="1:24">
      <c r="A123" t="s">
        <v>22</v>
      </c>
      <c r="B123" t="s">
        <v>76</v>
      </c>
      <c r="C123" s="36">
        <v>45197</v>
      </c>
      <c r="D123" t="s">
        <v>355</v>
      </c>
      <c r="E123" s="36">
        <v>45382</v>
      </c>
      <c r="F123" t="s">
        <v>84</v>
      </c>
      <c r="G123" s="36">
        <v>45372</v>
      </c>
      <c r="H123">
        <v>4</v>
      </c>
      <c r="I123" t="s">
        <v>2501</v>
      </c>
      <c r="J123">
        <v>4.4000000000000004</v>
      </c>
      <c r="K123">
        <v>4.5999999999999996</v>
      </c>
      <c r="L123">
        <v>3</v>
      </c>
      <c r="M123">
        <v>1.4000000000000004</v>
      </c>
      <c r="N123">
        <v>1.4000000000000004</v>
      </c>
      <c r="O123">
        <v>-0.19999999999999929</v>
      </c>
      <c r="P123">
        <v>0.19999999999999929</v>
      </c>
      <c r="Q123">
        <v>3.9999999999999716E-2</v>
      </c>
      <c r="R123">
        <v>0.30000000000000071</v>
      </c>
      <c r="S123">
        <v>0.30000000000000071</v>
      </c>
      <c r="T123" t="s">
        <v>160</v>
      </c>
      <c r="U123">
        <v>5.7</v>
      </c>
      <c r="V123">
        <v>2.7</v>
      </c>
      <c r="W123" t="s">
        <v>2496</v>
      </c>
      <c r="X123" t="s">
        <v>77</v>
      </c>
    </row>
    <row r="124" spans="1:24">
      <c r="A124" t="s">
        <v>22</v>
      </c>
      <c r="B124" t="s">
        <v>78</v>
      </c>
      <c r="C124" s="36">
        <v>45239</v>
      </c>
      <c r="D124" t="s">
        <v>355</v>
      </c>
      <c r="E124" s="36">
        <v>45382</v>
      </c>
      <c r="F124" t="s">
        <v>84</v>
      </c>
      <c r="G124" s="36">
        <v>45372</v>
      </c>
      <c r="H124">
        <v>3</v>
      </c>
      <c r="I124" t="s">
        <v>2498</v>
      </c>
      <c r="J124">
        <v>4.3</v>
      </c>
      <c r="K124">
        <v>4.5999999999999996</v>
      </c>
      <c r="L124">
        <v>3</v>
      </c>
      <c r="M124">
        <v>1.2999999999999998</v>
      </c>
      <c r="N124">
        <v>1.2999999999999998</v>
      </c>
      <c r="O124">
        <v>-0.29999999999999982</v>
      </c>
      <c r="P124">
        <v>0.29999999999999982</v>
      </c>
      <c r="Q124">
        <v>8.99999999999999E-2</v>
      </c>
      <c r="R124">
        <v>-0.10000000000000053</v>
      </c>
      <c r="S124">
        <v>0.10000000000000053</v>
      </c>
      <c r="T124" t="s">
        <v>183</v>
      </c>
      <c r="U124">
        <v>4.5999999999999996</v>
      </c>
      <c r="V124">
        <v>1.5999999999999996</v>
      </c>
      <c r="W124" t="s">
        <v>2496</v>
      </c>
      <c r="X124" t="s">
        <v>79</v>
      </c>
    </row>
    <row r="125" spans="1:24">
      <c r="A125" t="s">
        <v>22</v>
      </c>
      <c r="B125" t="s">
        <v>80</v>
      </c>
      <c r="C125" s="36">
        <v>45274</v>
      </c>
      <c r="D125" t="s">
        <v>355</v>
      </c>
      <c r="E125" s="36">
        <v>45382</v>
      </c>
      <c r="F125" t="s">
        <v>84</v>
      </c>
      <c r="G125" s="36">
        <v>45372</v>
      </c>
      <c r="H125">
        <v>2</v>
      </c>
      <c r="I125" t="s">
        <v>2499</v>
      </c>
      <c r="J125">
        <v>4.3</v>
      </c>
      <c r="K125">
        <v>4.5999999999999996</v>
      </c>
      <c r="L125">
        <v>3</v>
      </c>
      <c r="M125">
        <v>1.2999999999999998</v>
      </c>
      <c r="N125">
        <v>1.2999999999999998</v>
      </c>
      <c r="O125">
        <v>-0.29999999999999982</v>
      </c>
      <c r="P125">
        <v>0.29999999999999982</v>
      </c>
      <c r="Q125">
        <v>8.99999999999999E-2</v>
      </c>
      <c r="R125">
        <v>0</v>
      </c>
      <c r="S125">
        <v>0</v>
      </c>
      <c r="T125" t="s">
        <v>183</v>
      </c>
      <c r="U125">
        <v>4.5999999999999996</v>
      </c>
      <c r="V125">
        <v>1.5999999999999996</v>
      </c>
      <c r="W125" t="s">
        <v>2496</v>
      </c>
      <c r="X125" t="s">
        <v>81</v>
      </c>
    </row>
    <row r="126" spans="1:24">
      <c r="A126" t="s">
        <v>22</v>
      </c>
      <c r="B126" t="s">
        <v>82</v>
      </c>
      <c r="C126" s="36">
        <v>45330</v>
      </c>
      <c r="D126" t="s">
        <v>355</v>
      </c>
      <c r="E126" s="36">
        <v>45382</v>
      </c>
      <c r="F126" t="s">
        <v>84</v>
      </c>
      <c r="G126" s="36">
        <v>45372</v>
      </c>
      <c r="H126">
        <v>1</v>
      </c>
      <c r="I126" t="s">
        <v>2495</v>
      </c>
      <c r="J126">
        <v>4.7</v>
      </c>
      <c r="K126">
        <v>4.5999999999999996</v>
      </c>
      <c r="L126">
        <v>3</v>
      </c>
      <c r="M126">
        <v>1.7000000000000002</v>
      </c>
      <c r="N126">
        <v>1.7000000000000002</v>
      </c>
      <c r="O126">
        <v>0.10000000000000053</v>
      </c>
      <c r="P126">
        <v>0.10000000000000053</v>
      </c>
      <c r="Q126">
        <v>1.0000000000000106E-2</v>
      </c>
      <c r="R126">
        <v>0.40000000000000036</v>
      </c>
      <c r="S126">
        <v>0.40000000000000036</v>
      </c>
      <c r="T126" t="s">
        <v>254</v>
      </c>
      <c r="U126">
        <v>4.4000000000000004</v>
      </c>
      <c r="V126">
        <v>1.4000000000000004</v>
      </c>
      <c r="W126" t="s">
        <v>2496</v>
      </c>
      <c r="X126" t="s">
        <v>83</v>
      </c>
    </row>
    <row r="127" spans="1:24">
      <c r="A127" t="s">
        <v>22</v>
      </c>
      <c r="B127" t="s">
        <v>84</v>
      </c>
      <c r="C127" s="36">
        <v>45372</v>
      </c>
      <c r="D127" t="s">
        <v>355</v>
      </c>
      <c r="E127" s="36">
        <v>45382</v>
      </c>
      <c r="F127" t="s">
        <v>84</v>
      </c>
      <c r="G127" s="36">
        <v>45372</v>
      </c>
      <c r="H127">
        <v>0</v>
      </c>
      <c r="I127" t="s">
        <v>2497</v>
      </c>
      <c r="J127">
        <v>4.5999999999999996</v>
      </c>
      <c r="K127">
        <v>4.5999999999999996</v>
      </c>
      <c r="L127">
        <v>3</v>
      </c>
      <c r="M127">
        <v>1.5999999999999996</v>
      </c>
      <c r="N127">
        <v>1.5999999999999996</v>
      </c>
      <c r="O127">
        <v>0</v>
      </c>
      <c r="P127">
        <v>0</v>
      </c>
      <c r="Q127">
        <v>0</v>
      </c>
      <c r="R127">
        <v>-0.10000000000000053</v>
      </c>
      <c r="S127">
        <v>0.10000000000000053</v>
      </c>
      <c r="T127" t="s">
        <v>254</v>
      </c>
      <c r="U127">
        <v>4.4000000000000004</v>
      </c>
      <c r="V127">
        <v>1.4000000000000004</v>
      </c>
      <c r="W127" t="s">
        <v>2496</v>
      </c>
      <c r="X127" t="s">
        <v>85</v>
      </c>
    </row>
    <row r="128" spans="1:24">
      <c r="A128" t="s">
        <v>22</v>
      </c>
      <c r="B128" t="s">
        <v>56</v>
      </c>
      <c r="C128" s="36">
        <v>44735</v>
      </c>
      <c r="D128" t="s">
        <v>460</v>
      </c>
      <c r="E128" s="36">
        <v>45473</v>
      </c>
      <c r="F128" t="s">
        <v>88</v>
      </c>
      <c r="G128" s="36">
        <v>45470</v>
      </c>
      <c r="H128">
        <v>16</v>
      </c>
      <c r="I128" t="s">
        <v>2512</v>
      </c>
      <c r="J128">
        <v>3.1</v>
      </c>
      <c r="K128">
        <v>4.8</v>
      </c>
      <c r="L128">
        <v>3</v>
      </c>
      <c r="M128">
        <v>0.10000000000000009</v>
      </c>
      <c r="N128">
        <v>0.10000000000000009</v>
      </c>
      <c r="O128">
        <v>-1.6999999999999997</v>
      </c>
      <c r="P128">
        <v>1.6999999999999997</v>
      </c>
      <c r="Q128">
        <v>2.8899999999999992</v>
      </c>
      <c r="T128" t="s">
        <v>145</v>
      </c>
      <c r="U128">
        <v>7.3</v>
      </c>
      <c r="V128">
        <v>4.3</v>
      </c>
      <c r="W128" t="s">
        <v>2496</v>
      </c>
      <c r="X128" t="s">
        <v>57</v>
      </c>
    </row>
    <row r="129" spans="1:24">
      <c r="A129" t="s">
        <v>22</v>
      </c>
      <c r="B129" t="s">
        <v>58</v>
      </c>
      <c r="C129" s="36">
        <v>44784</v>
      </c>
      <c r="D129" t="s">
        <v>460</v>
      </c>
      <c r="E129" s="36">
        <v>45473</v>
      </c>
      <c r="F129" t="s">
        <v>88</v>
      </c>
      <c r="G129" s="36">
        <v>45470</v>
      </c>
      <c r="H129">
        <v>15</v>
      </c>
      <c r="I129" t="s">
        <v>2510</v>
      </c>
      <c r="J129">
        <v>3.1</v>
      </c>
      <c r="K129">
        <v>4.8</v>
      </c>
      <c r="L129">
        <v>3</v>
      </c>
      <c r="M129">
        <v>0.10000000000000009</v>
      </c>
      <c r="N129">
        <v>0.10000000000000009</v>
      </c>
      <c r="O129">
        <v>-1.6999999999999997</v>
      </c>
      <c r="P129">
        <v>1.6999999999999997</v>
      </c>
      <c r="Q129">
        <v>2.8899999999999992</v>
      </c>
      <c r="R129">
        <v>0</v>
      </c>
      <c r="S129">
        <v>0</v>
      </c>
      <c r="T129" t="s">
        <v>148</v>
      </c>
      <c r="U129">
        <v>7.8</v>
      </c>
      <c r="V129">
        <v>4.8</v>
      </c>
      <c r="W129" t="s">
        <v>2496</v>
      </c>
      <c r="X129" t="s">
        <v>59</v>
      </c>
    </row>
    <row r="130" spans="1:24">
      <c r="A130" t="s">
        <v>22</v>
      </c>
      <c r="B130" t="s">
        <v>60</v>
      </c>
      <c r="C130" s="36">
        <v>44833</v>
      </c>
      <c r="D130" t="s">
        <v>460</v>
      </c>
      <c r="E130" s="36">
        <v>45473</v>
      </c>
      <c r="F130" t="s">
        <v>88</v>
      </c>
      <c r="G130" s="36">
        <v>45470</v>
      </c>
      <c r="H130">
        <v>14</v>
      </c>
      <c r="I130" t="s">
        <v>2511</v>
      </c>
      <c r="J130">
        <v>3.4</v>
      </c>
      <c r="K130">
        <v>4.8</v>
      </c>
      <c r="L130">
        <v>3</v>
      </c>
      <c r="M130">
        <v>0.39999999999999991</v>
      </c>
      <c r="N130">
        <v>0.39999999999999991</v>
      </c>
      <c r="O130">
        <v>-1.4</v>
      </c>
      <c r="P130">
        <v>1.4</v>
      </c>
      <c r="Q130">
        <v>1.9599999999999997</v>
      </c>
      <c r="R130">
        <v>0.29999999999999982</v>
      </c>
      <c r="S130">
        <v>0.29999999999999982</v>
      </c>
      <c r="T130" t="s">
        <v>148</v>
      </c>
      <c r="U130">
        <v>7.8</v>
      </c>
      <c r="V130">
        <v>4.8</v>
      </c>
      <c r="W130" t="s">
        <v>2496</v>
      </c>
      <c r="X130" t="s">
        <v>61</v>
      </c>
    </row>
    <row r="131" spans="1:24">
      <c r="A131" t="s">
        <v>22</v>
      </c>
      <c r="B131" t="s">
        <v>62</v>
      </c>
      <c r="C131" s="36">
        <v>44875</v>
      </c>
      <c r="D131" t="s">
        <v>460</v>
      </c>
      <c r="E131" s="36">
        <v>45473</v>
      </c>
      <c r="F131" t="s">
        <v>88</v>
      </c>
      <c r="G131" s="36">
        <v>45470</v>
      </c>
      <c r="H131">
        <v>13</v>
      </c>
      <c r="I131" t="s">
        <v>2508</v>
      </c>
      <c r="J131">
        <v>3.4</v>
      </c>
      <c r="K131">
        <v>4.8</v>
      </c>
      <c r="L131">
        <v>3</v>
      </c>
      <c r="M131">
        <v>0.39999999999999991</v>
      </c>
      <c r="N131">
        <v>0.39999999999999991</v>
      </c>
      <c r="O131">
        <v>-1.4</v>
      </c>
      <c r="P131">
        <v>1.4</v>
      </c>
      <c r="Q131">
        <v>1.9599999999999997</v>
      </c>
      <c r="R131">
        <v>0</v>
      </c>
      <c r="S131">
        <v>0</v>
      </c>
      <c r="T131" t="s">
        <v>151</v>
      </c>
      <c r="U131">
        <v>8.5</v>
      </c>
      <c r="V131">
        <v>5.5</v>
      </c>
      <c r="W131" t="s">
        <v>2496</v>
      </c>
      <c r="X131" t="s">
        <v>63</v>
      </c>
    </row>
    <row r="132" spans="1:24">
      <c r="A132" t="s">
        <v>22</v>
      </c>
      <c r="B132" t="s">
        <v>64</v>
      </c>
      <c r="C132" s="36">
        <v>44910</v>
      </c>
      <c r="D132" t="s">
        <v>460</v>
      </c>
      <c r="E132" s="36">
        <v>45473</v>
      </c>
      <c r="F132" t="s">
        <v>88</v>
      </c>
      <c r="G132" s="36">
        <v>45470</v>
      </c>
      <c r="H132">
        <v>12</v>
      </c>
      <c r="I132" t="s">
        <v>2509</v>
      </c>
      <c r="J132">
        <v>3.4</v>
      </c>
      <c r="K132">
        <v>4.8</v>
      </c>
      <c r="L132">
        <v>3</v>
      </c>
      <c r="M132">
        <v>0.39999999999999991</v>
      </c>
      <c r="N132">
        <v>0.39999999999999991</v>
      </c>
      <c r="O132">
        <v>-1.4</v>
      </c>
      <c r="P132">
        <v>1.4</v>
      </c>
      <c r="Q132">
        <v>1.9599999999999997</v>
      </c>
      <c r="R132">
        <v>0</v>
      </c>
      <c r="S132">
        <v>0</v>
      </c>
      <c r="T132" t="s">
        <v>151</v>
      </c>
      <c r="U132">
        <v>8.5</v>
      </c>
      <c r="V132">
        <v>5.5</v>
      </c>
      <c r="W132" t="s">
        <v>2496</v>
      </c>
      <c r="X132" t="s">
        <v>65</v>
      </c>
    </row>
    <row r="133" spans="1:24">
      <c r="A133" t="s">
        <v>22</v>
      </c>
      <c r="B133" t="s">
        <v>66</v>
      </c>
      <c r="C133" s="36">
        <v>44966</v>
      </c>
      <c r="D133" t="s">
        <v>460</v>
      </c>
      <c r="E133" s="36">
        <v>45473</v>
      </c>
      <c r="F133" t="s">
        <v>88</v>
      </c>
      <c r="G133" s="36">
        <v>45470</v>
      </c>
      <c r="H133">
        <v>11</v>
      </c>
      <c r="I133" t="s">
        <v>2506</v>
      </c>
      <c r="J133">
        <v>3.7</v>
      </c>
      <c r="K133">
        <v>4.8</v>
      </c>
      <c r="L133">
        <v>3</v>
      </c>
      <c r="M133">
        <v>0.70000000000000018</v>
      </c>
      <c r="N133">
        <v>0.70000000000000018</v>
      </c>
      <c r="O133">
        <v>-1.0999999999999996</v>
      </c>
      <c r="P133">
        <v>1.0999999999999996</v>
      </c>
      <c r="Q133">
        <v>1.2099999999999993</v>
      </c>
      <c r="R133">
        <v>0.30000000000000027</v>
      </c>
      <c r="S133">
        <v>0.30000000000000027</v>
      </c>
      <c r="T133" t="s">
        <v>154</v>
      </c>
      <c r="U133">
        <v>8</v>
      </c>
      <c r="V133">
        <v>5</v>
      </c>
      <c r="W133" t="s">
        <v>2496</v>
      </c>
      <c r="X133" t="s">
        <v>67</v>
      </c>
    </row>
    <row r="134" spans="1:24">
      <c r="A134" t="s">
        <v>22</v>
      </c>
      <c r="B134" t="s">
        <v>68</v>
      </c>
      <c r="C134" s="36">
        <v>45015</v>
      </c>
      <c r="D134" t="s">
        <v>460</v>
      </c>
      <c r="E134" s="36">
        <v>45473</v>
      </c>
      <c r="F134" t="s">
        <v>88</v>
      </c>
      <c r="G134" s="36">
        <v>45470</v>
      </c>
      <c r="H134">
        <v>10</v>
      </c>
      <c r="I134" t="s">
        <v>2507</v>
      </c>
      <c r="J134">
        <v>3.7</v>
      </c>
      <c r="K134">
        <v>4.8</v>
      </c>
      <c r="L134">
        <v>3</v>
      </c>
      <c r="M134">
        <v>0.70000000000000018</v>
      </c>
      <c r="N134">
        <v>0.70000000000000018</v>
      </c>
      <c r="O134">
        <v>-1.0999999999999996</v>
      </c>
      <c r="P134">
        <v>1.0999999999999996</v>
      </c>
      <c r="Q134">
        <v>1.2099999999999993</v>
      </c>
      <c r="R134">
        <v>0</v>
      </c>
      <c r="S134">
        <v>0</v>
      </c>
      <c r="T134" t="s">
        <v>154</v>
      </c>
      <c r="U134">
        <v>8</v>
      </c>
      <c r="V134">
        <v>5</v>
      </c>
      <c r="W134" t="s">
        <v>2496</v>
      </c>
      <c r="X134" t="s">
        <v>69</v>
      </c>
    </row>
    <row r="135" spans="1:24">
      <c r="A135" t="s">
        <v>22</v>
      </c>
      <c r="B135" t="s">
        <v>70</v>
      </c>
      <c r="C135" s="36">
        <v>45064</v>
      </c>
      <c r="D135" t="s">
        <v>460</v>
      </c>
      <c r="E135" s="36">
        <v>45473</v>
      </c>
      <c r="F135" t="s">
        <v>88</v>
      </c>
      <c r="G135" s="36">
        <v>45470</v>
      </c>
      <c r="H135">
        <v>9</v>
      </c>
      <c r="I135" t="s">
        <v>2504</v>
      </c>
      <c r="J135">
        <v>3.7</v>
      </c>
      <c r="K135">
        <v>4.8</v>
      </c>
      <c r="L135">
        <v>3</v>
      </c>
      <c r="M135">
        <v>0.70000000000000018</v>
      </c>
      <c r="N135">
        <v>0.70000000000000018</v>
      </c>
      <c r="O135">
        <v>-1.0999999999999996</v>
      </c>
      <c r="P135">
        <v>1.0999999999999996</v>
      </c>
      <c r="Q135">
        <v>1.2099999999999993</v>
      </c>
      <c r="R135">
        <v>0</v>
      </c>
      <c r="S135">
        <v>0</v>
      </c>
      <c r="T135" t="s">
        <v>157</v>
      </c>
      <c r="U135">
        <v>7.5</v>
      </c>
      <c r="V135">
        <v>4.5</v>
      </c>
      <c r="W135" t="s">
        <v>2496</v>
      </c>
      <c r="X135" t="s">
        <v>71</v>
      </c>
    </row>
    <row r="136" spans="1:24">
      <c r="A136" t="s">
        <v>22</v>
      </c>
      <c r="B136" t="s">
        <v>72</v>
      </c>
      <c r="C136" s="36">
        <v>45099</v>
      </c>
      <c r="D136" t="s">
        <v>460</v>
      </c>
      <c r="E136" s="36">
        <v>45473</v>
      </c>
      <c r="F136" t="s">
        <v>88</v>
      </c>
      <c r="G136" s="36">
        <v>45470</v>
      </c>
      <c r="H136">
        <v>8</v>
      </c>
      <c r="I136" t="s">
        <v>2505</v>
      </c>
      <c r="J136">
        <v>3.7</v>
      </c>
      <c r="K136">
        <v>4.8</v>
      </c>
      <c r="L136">
        <v>3</v>
      </c>
      <c r="M136">
        <v>0.70000000000000018</v>
      </c>
      <c r="N136">
        <v>0.70000000000000018</v>
      </c>
      <c r="O136">
        <v>-1.0999999999999996</v>
      </c>
      <c r="P136">
        <v>1.0999999999999996</v>
      </c>
      <c r="Q136">
        <v>1.2099999999999993</v>
      </c>
      <c r="R136">
        <v>0</v>
      </c>
      <c r="S136">
        <v>0</v>
      </c>
      <c r="T136" t="s">
        <v>157</v>
      </c>
      <c r="U136">
        <v>7.5</v>
      </c>
      <c r="V136">
        <v>4.5</v>
      </c>
      <c r="W136" t="s">
        <v>2496</v>
      </c>
      <c r="X136" t="s">
        <v>73</v>
      </c>
    </row>
    <row r="137" spans="1:24">
      <c r="A137" t="s">
        <v>22</v>
      </c>
      <c r="B137" t="s">
        <v>74</v>
      </c>
      <c r="C137" s="36">
        <v>45148</v>
      </c>
      <c r="D137" t="s">
        <v>460</v>
      </c>
      <c r="E137" s="36">
        <v>45473</v>
      </c>
      <c r="F137" t="s">
        <v>88</v>
      </c>
      <c r="G137" s="36">
        <v>45470</v>
      </c>
      <c r="H137">
        <v>7</v>
      </c>
      <c r="I137" t="s">
        <v>2502</v>
      </c>
      <c r="J137">
        <v>3.7</v>
      </c>
      <c r="K137">
        <v>4.8</v>
      </c>
      <c r="L137">
        <v>3</v>
      </c>
      <c r="M137">
        <v>0.70000000000000018</v>
      </c>
      <c r="N137">
        <v>0.70000000000000018</v>
      </c>
      <c r="O137">
        <v>-1.0999999999999996</v>
      </c>
      <c r="P137">
        <v>1.0999999999999996</v>
      </c>
      <c r="Q137">
        <v>1.2099999999999993</v>
      </c>
      <c r="R137">
        <v>0</v>
      </c>
      <c r="S137">
        <v>0</v>
      </c>
      <c r="T137" t="s">
        <v>160</v>
      </c>
      <c r="U137">
        <v>5.7</v>
      </c>
      <c r="V137">
        <v>2.7</v>
      </c>
      <c r="W137" t="s">
        <v>2496</v>
      </c>
      <c r="X137" t="s">
        <v>75</v>
      </c>
    </row>
    <row r="138" spans="1:24">
      <c r="A138" t="s">
        <v>22</v>
      </c>
      <c r="B138" t="s">
        <v>76</v>
      </c>
      <c r="C138" s="36">
        <v>45197</v>
      </c>
      <c r="D138" t="s">
        <v>460</v>
      </c>
      <c r="E138" s="36">
        <v>45473</v>
      </c>
      <c r="F138" t="s">
        <v>88</v>
      </c>
      <c r="G138" s="36">
        <v>45470</v>
      </c>
      <c r="H138">
        <v>6</v>
      </c>
      <c r="I138" t="s">
        <v>2503</v>
      </c>
      <c r="J138">
        <v>4</v>
      </c>
      <c r="K138">
        <v>4.8</v>
      </c>
      <c r="L138">
        <v>3</v>
      </c>
      <c r="M138">
        <v>1</v>
      </c>
      <c r="N138">
        <v>1</v>
      </c>
      <c r="O138">
        <v>-0.79999999999999982</v>
      </c>
      <c r="P138">
        <v>0.79999999999999982</v>
      </c>
      <c r="Q138">
        <v>0.63999999999999968</v>
      </c>
      <c r="R138">
        <v>0.29999999999999982</v>
      </c>
      <c r="S138">
        <v>0.29999999999999982</v>
      </c>
      <c r="T138" t="s">
        <v>160</v>
      </c>
      <c r="U138">
        <v>5.7</v>
      </c>
      <c r="V138">
        <v>2.7</v>
      </c>
      <c r="W138" t="s">
        <v>2496</v>
      </c>
      <c r="X138" t="s">
        <v>77</v>
      </c>
    </row>
    <row r="139" spans="1:24">
      <c r="A139" t="s">
        <v>22</v>
      </c>
      <c r="B139" t="s">
        <v>78</v>
      </c>
      <c r="C139" s="36">
        <v>45239</v>
      </c>
      <c r="D139" t="s">
        <v>460</v>
      </c>
      <c r="E139" s="36">
        <v>45473</v>
      </c>
      <c r="F139" t="s">
        <v>88</v>
      </c>
      <c r="G139" s="36">
        <v>45470</v>
      </c>
      <c r="H139">
        <v>5</v>
      </c>
      <c r="I139" t="s">
        <v>2500</v>
      </c>
      <c r="J139">
        <v>4</v>
      </c>
      <c r="K139">
        <v>4.8</v>
      </c>
      <c r="L139">
        <v>3</v>
      </c>
      <c r="M139">
        <v>1</v>
      </c>
      <c r="N139">
        <v>1</v>
      </c>
      <c r="O139">
        <v>-0.79999999999999982</v>
      </c>
      <c r="P139">
        <v>0.79999999999999982</v>
      </c>
      <c r="Q139">
        <v>0.63999999999999968</v>
      </c>
      <c r="R139">
        <v>0</v>
      </c>
      <c r="S139">
        <v>0</v>
      </c>
      <c r="T139" t="s">
        <v>183</v>
      </c>
      <c r="U139">
        <v>4.5999999999999996</v>
      </c>
      <c r="V139">
        <v>1.5999999999999996</v>
      </c>
      <c r="W139" t="s">
        <v>2496</v>
      </c>
      <c r="X139" t="s">
        <v>79</v>
      </c>
    </row>
    <row r="140" spans="1:24">
      <c r="A140" t="s">
        <v>22</v>
      </c>
      <c r="B140" t="s">
        <v>80</v>
      </c>
      <c r="C140" s="36">
        <v>45274</v>
      </c>
      <c r="D140" t="s">
        <v>460</v>
      </c>
      <c r="E140" s="36">
        <v>45473</v>
      </c>
      <c r="F140" t="s">
        <v>88</v>
      </c>
      <c r="G140" s="36">
        <v>45470</v>
      </c>
      <c r="H140">
        <v>4</v>
      </c>
      <c r="I140" t="s">
        <v>2501</v>
      </c>
      <c r="J140">
        <v>4.0999999999999996</v>
      </c>
      <c r="K140">
        <v>4.8</v>
      </c>
      <c r="L140">
        <v>3</v>
      </c>
      <c r="M140">
        <v>1.0999999999999996</v>
      </c>
      <c r="N140">
        <v>1.0999999999999996</v>
      </c>
      <c r="O140">
        <v>-0.70000000000000018</v>
      </c>
      <c r="P140">
        <v>0.70000000000000018</v>
      </c>
      <c r="Q140">
        <v>0.49000000000000027</v>
      </c>
      <c r="R140">
        <v>9.9999999999999645E-2</v>
      </c>
      <c r="S140">
        <v>9.9999999999999645E-2</v>
      </c>
      <c r="T140" t="s">
        <v>183</v>
      </c>
      <c r="U140">
        <v>4.5999999999999996</v>
      </c>
      <c r="V140">
        <v>1.5999999999999996</v>
      </c>
      <c r="W140" t="s">
        <v>2496</v>
      </c>
      <c r="X140" t="s">
        <v>81</v>
      </c>
    </row>
    <row r="141" spans="1:24">
      <c r="A141" t="s">
        <v>22</v>
      </c>
      <c r="B141" t="s">
        <v>82</v>
      </c>
      <c r="C141" s="36">
        <v>45330</v>
      </c>
      <c r="D141" t="s">
        <v>460</v>
      </c>
      <c r="E141" s="36">
        <v>45473</v>
      </c>
      <c r="F141" t="s">
        <v>88</v>
      </c>
      <c r="G141" s="36">
        <v>45470</v>
      </c>
      <c r="H141">
        <v>3</v>
      </c>
      <c r="I141" t="s">
        <v>2498</v>
      </c>
      <c r="J141">
        <v>4.3</v>
      </c>
      <c r="K141">
        <v>4.8</v>
      </c>
      <c r="L141">
        <v>3</v>
      </c>
      <c r="M141">
        <v>1.2999999999999998</v>
      </c>
      <c r="N141">
        <v>1.2999999999999998</v>
      </c>
      <c r="O141">
        <v>-0.5</v>
      </c>
      <c r="P141">
        <v>0.5</v>
      </c>
      <c r="Q141">
        <v>0.25</v>
      </c>
      <c r="R141">
        <v>0.20000000000000018</v>
      </c>
      <c r="S141">
        <v>0.20000000000000018</v>
      </c>
      <c r="T141" t="s">
        <v>254</v>
      </c>
      <c r="U141">
        <v>4.4000000000000004</v>
      </c>
      <c r="V141">
        <v>1.4000000000000004</v>
      </c>
      <c r="W141" t="s">
        <v>2496</v>
      </c>
      <c r="X141" t="s">
        <v>83</v>
      </c>
    </row>
    <row r="142" spans="1:24">
      <c r="A142" t="s">
        <v>22</v>
      </c>
      <c r="B142" t="s">
        <v>84</v>
      </c>
      <c r="C142" s="36">
        <v>45372</v>
      </c>
      <c r="D142" t="s">
        <v>460</v>
      </c>
      <c r="E142" s="36">
        <v>45473</v>
      </c>
      <c r="F142" t="s">
        <v>88</v>
      </c>
      <c r="G142" s="36">
        <v>45470</v>
      </c>
      <c r="H142">
        <v>2</v>
      </c>
      <c r="I142" t="s">
        <v>2499</v>
      </c>
      <c r="J142">
        <v>4.4000000000000004</v>
      </c>
      <c r="K142">
        <v>4.8</v>
      </c>
      <c r="L142">
        <v>3</v>
      </c>
      <c r="M142">
        <v>1.4000000000000004</v>
      </c>
      <c r="N142">
        <v>1.4000000000000004</v>
      </c>
      <c r="O142">
        <v>-0.39999999999999947</v>
      </c>
      <c r="P142">
        <v>0.39999999999999947</v>
      </c>
      <c r="Q142">
        <v>0.15999999999999959</v>
      </c>
      <c r="R142">
        <v>0.10000000000000053</v>
      </c>
      <c r="S142">
        <v>0.10000000000000053</v>
      </c>
      <c r="T142" t="s">
        <v>254</v>
      </c>
      <c r="U142">
        <v>4.4000000000000004</v>
      </c>
      <c r="V142">
        <v>1.4000000000000004</v>
      </c>
      <c r="W142" t="s">
        <v>2496</v>
      </c>
      <c r="X142" t="s">
        <v>85</v>
      </c>
    </row>
    <row r="143" spans="1:24">
      <c r="A143" t="s">
        <v>22</v>
      </c>
      <c r="B143" t="s">
        <v>86</v>
      </c>
      <c r="C143" s="36">
        <v>45421</v>
      </c>
      <c r="D143" t="s">
        <v>460</v>
      </c>
      <c r="E143" s="36">
        <v>45473</v>
      </c>
      <c r="F143" t="s">
        <v>88</v>
      </c>
      <c r="G143" s="36">
        <v>45470</v>
      </c>
      <c r="H143">
        <v>1</v>
      </c>
      <c r="I143" t="s">
        <v>2495</v>
      </c>
      <c r="J143">
        <v>4.5999999999999996</v>
      </c>
      <c r="K143">
        <v>4.8</v>
      </c>
      <c r="L143">
        <v>3</v>
      </c>
      <c r="M143">
        <v>1.5999999999999996</v>
      </c>
      <c r="N143">
        <v>1.5999999999999996</v>
      </c>
      <c r="O143">
        <v>-0.20000000000000018</v>
      </c>
      <c r="P143">
        <v>0.20000000000000018</v>
      </c>
      <c r="Q143">
        <v>4.000000000000007E-2</v>
      </c>
      <c r="R143">
        <v>0.19999999999999929</v>
      </c>
      <c r="S143">
        <v>0.19999999999999929</v>
      </c>
      <c r="T143" t="s">
        <v>355</v>
      </c>
      <c r="U143">
        <v>4.5999999999999996</v>
      </c>
      <c r="V143">
        <v>1.5999999999999996</v>
      </c>
      <c r="W143" t="s">
        <v>2496</v>
      </c>
      <c r="X143" t="s">
        <v>87</v>
      </c>
    </row>
    <row r="144" spans="1:24">
      <c r="A144" t="s">
        <v>22</v>
      </c>
      <c r="B144" t="s">
        <v>88</v>
      </c>
      <c r="C144" s="36">
        <v>45470</v>
      </c>
      <c r="D144" t="s">
        <v>460</v>
      </c>
      <c r="E144" s="36">
        <v>45473</v>
      </c>
      <c r="F144" t="s">
        <v>88</v>
      </c>
      <c r="G144" s="36">
        <v>45470</v>
      </c>
      <c r="H144">
        <v>0</v>
      </c>
      <c r="I144" t="s">
        <v>2497</v>
      </c>
      <c r="J144">
        <v>4.7</v>
      </c>
      <c r="K144">
        <v>4.8</v>
      </c>
      <c r="L144">
        <v>3</v>
      </c>
      <c r="M144">
        <v>1.7000000000000002</v>
      </c>
      <c r="N144">
        <v>1.7000000000000002</v>
      </c>
      <c r="O144">
        <v>-9.9999999999999645E-2</v>
      </c>
      <c r="P144">
        <v>9.9999999999999645E-2</v>
      </c>
      <c r="Q144">
        <v>9.9999999999999291E-3</v>
      </c>
      <c r="R144">
        <v>0.10000000000000053</v>
      </c>
      <c r="S144">
        <v>0.10000000000000053</v>
      </c>
      <c r="T144" t="s">
        <v>355</v>
      </c>
      <c r="U144">
        <v>4.5999999999999996</v>
      </c>
      <c r="V144">
        <v>1.5999999999999996</v>
      </c>
      <c r="W144" t="s">
        <v>2496</v>
      </c>
      <c r="X144" t="s">
        <v>89</v>
      </c>
    </row>
    <row r="145" spans="1:24">
      <c r="A145" t="s">
        <v>22</v>
      </c>
      <c r="B145" t="s">
        <v>60</v>
      </c>
      <c r="C145" s="36">
        <v>44833</v>
      </c>
      <c r="D145" t="s">
        <v>565</v>
      </c>
      <c r="E145" s="36">
        <v>45565</v>
      </c>
      <c r="F145" t="s">
        <v>92</v>
      </c>
      <c r="G145" s="36">
        <v>45561</v>
      </c>
      <c r="H145">
        <v>16</v>
      </c>
      <c r="I145" t="s">
        <v>2512</v>
      </c>
      <c r="J145">
        <v>3.1</v>
      </c>
      <c r="K145">
        <v>5</v>
      </c>
      <c r="L145">
        <v>3</v>
      </c>
      <c r="M145">
        <v>0.10000000000000009</v>
      </c>
      <c r="N145">
        <v>0.10000000000000009</v>
      </c>
      <c r="O145">
        <v>-1.9</v>
      </c>
      <c r="P145">
        <v>1.9</v>
      </c>
      <c r="Q145">
        <v>3.61</v>
      </c>
      <c r="T145" t="s">
        <v>148</v>
      </c>
      <c r="U145">
        <v>7.8</v>
      </c>
      <c r="V145">
        <v>4.8</v>
      </c>
      <c r="W145" t="s">
        <v>2496</v>
      </c>
      <c r="X145" t="s">
        <v>61</v>
      </c>
    </row>
    <row r="146" spans="1:24">
      <c r="A146" t="s">
        <v>22</v>
      </c>
      <c r="B146" t="s">
        <v>62</v>
      </c>
      <c r="C146" s="36">
        <v>44875</v>
      </c>
      <c r="D146" t="s">
        <v>565</v>
      </c>
      <c r="E146" s="36">
        <v>45565</v>
      </c>
      <c r="F146" t="s">
        <v>92</v>
      </c>
      <c r="G146" s="36">
        <v>45561</v>
      </c>
      <c r="H146">
        <v>15</v>
      </c>
      <c r="I146" t="s">
        <v>2510</v>
      </c>
      <c r="J146">
        <v>3.1</v>
      </c>
      <c r="K146">
        <v>5</v>
      </c>
      <c r="L146">
        <v>3</v>
      </c>
      <c r="M146">
        <v>0.10000000000000009</v>
      </c>
      <c r="N146">
        <v>0.10000000000000009</v>
      </c>
      <c r="O146">
        <v>-1.9</v>
      </c>
      <c r="P146">
        <v>1.9</v>
      </c>
      <c r="Q146">
        <v>3.61</v>
      </c>
      <c r="R146">
        <v>0</v>
      </c>
      <c r="S146">
        <v>0</v>
      </c>
      <c r="T146" t="s">
        <v>151</v>
      </c>
      <c r="U146">
        <v>8.5</v>
      </c>
      <c r="V146">
        <v>5.5</v>
      </c>
      <c r="W146" t="s">
        <v>2496</v>
      </c>
      <c r="X146" t="s">
        <v>63</v>
      </c>
    </row>
    <row r="147" spans="1:24">
      <c r="A147" t="s">
        <v>22</v>
      </c>
      <c r="B147" t="s">
        <v>64</v>
      </c>
      <c r="C147" s="36">
        <v>44910</v>
      </c>
      <c r="D147" t="s">
        <v>565</v>
      </c>
      <c r="E147" s="36">
        <v>45565</v>
      </c>
      <c r="F147" t="s">
        <v>92</v>
      </c>
      <c r="G147" s="36">
        <v>45561</v>
      </c>
      <c r="H147">
        <v>14</v>
      </c>
      <c r="I147" t="s">
        <v>2511</v>
      </c>
      <c r="J147">
        <v>3.1</v>
      </c>
      <c r="K147">
        <v>5</v>
      </c>
      <c r="L147">
        <v>3</v>
      </c>
      <c r="M147">
        <v>0.10000000000000009</v>
      </c>
      <c r="N147">
        <v>0.10000000000000009</v>
      </c>
      <c r="O147">
        <v>-1.9</v>
      </c>
      <c r="P147">
        <v>1.9</v>
      </c>
      <c r="Q147">
        <v>3.61</v>
      </c>
      <c r="R147">
        <v>0</v>
      </c>
      <c r="S147">
        <v>0</v>
      </c>
      <c r="T147" t="s">
        <v>151</v>
      </c>
      <c r="U147">
        <v>8.5</v>
      </c>
      <c r="V147">
        <v>5.5</v>
      </c>
      <c r="W147" t="s">
        <v>2496</v>
      </c>
      <c r="X147" t="s">
        <v>65</v>
      </c>
    </row>
    <row r="148" spans="1:24">
      <c r="A148" t="s">
        <v>22</v>
      </c>
      <c r="B148" t="s">
        <v>66</v>
      </c>
      <c r="C148" s="36">
        <v>44966</v>
      </c>
      <c r="D148" t="s">
        <v>565</v>
      </c>
      <c r="E148" s="36">
        <v>45565</v>
      </c>
      <c r="F148" t="s">
        <v>92</v>
      </c>
      <c r="G148" s="36">
        <v>45561</v>
      </c>
      <c r="H148">
        <v>13</v>
      </c>
      <c r="I148" t="s">
        <v>2508</v>
      </c>
      <c r="J148">
        <v>3.4</v>
      </c>
      <c r="K148">
        <v>5</v>
      </c>
      <c r="L148">
        <v>3</v>
      </c>
      <c r="M148">
        <v>0.39999999999999991</v>
      </c>
      <c r="N148">
        <v>0.39999999999999991</v>
      </c>
      <c r="O148">
        <v>-1.6</v>
      </c>
      <c r="P148">
        <v>1.6</v>
      </c>
      <c r="Q148">
        <v>2.5600000000000005</v>
      </c>
      <c r="R148">
        <v>0.29999999999999982</v>
      </c>
      <c r="S148">
        <v>0.29999999999999982</v>
      </c>
      <c r="T148" t="s">
        <v>154</v>
      </c>
      <c r="U148">
        <v>8</v>
      </c>
      <c r="V148">
        <v>5</v>
      </c>
      <c r="W148" t="s">
        <v>2496</v>
      </c>
      <c r="X148" t="s">
        <v>67</v>
      </c>
    </row>
    <row r="149" spans="1:24">
      <c r="A149" t="s">
        <v>22</v>
      </c>
      <c r="B149" t="s">
        <v>68</v>
      </c>
      <c r="C149" s="36">
        <v>45015</v>
      </c>
      <c r="D149" t="s">
        <v>565</v>
      </c>
      <c r="E149" s="36">
        <v>45565</v>
      </c>
      <c r="F149" t="s">
        <v>92</v>
      </c>
      <c r="G149" s="36">
        <v>45561</v>
      </c>
      <c r="H149">
        <v>12</v>
      </c>
      <c r="I149" t="s">
        <v>2509</v>
      </c>
      <c r="J149">
        <v>3.4</v>
      </c>
      <c r="K149">
        <v>5</v>
      </c>
      <c r="L149">
        <v>3</v>
      </c>
      <c r="M149">
        <v>0.39999999999999991</v>
      </c>
      <c r="N149">
        <v>0.39999999999999991</v>
      </c>
      <c r="O149">
        <v>-1.6</v>
      </c>
      <c r="P149">
        <v>1.6</v>
      </c>
      <c r="Q149">
        <v>2.5600000000000005</v>
      </c>
      <c r="R149">
        <v>0</v>
      </c>
      <c r="S149">
        <v>0</v>
      </c>
      <c r="T149" t="s">
        <v>154</v>
      </c>
      <c r="U149">
        <v>8</v>
      </c>
      <c r="V149">
        <v>5</v>
      </c>
      <c r="W149" t="s">
        <v>2496</v>
      </c>
      <c r="X149" t="s">
        <v>69</v>
      </c>
    </row>
    <row r="150" spans="1:24">
      <c r="A150" t="s">
        <v>22</v>
      </c>
      <c r="B150" t="s">
        <v>70</v>
      </c>
      <c r="C150" s="36">
        <v>45064</v>
      </c>
      <c r="D150" t="s">
        <v>565</v>
      </c>
      <c r="E150" s="36">
        <v>45565</v>
      </c>
      <c r="F150" t="s">
        <v>92</v>
      </c>
      <c r="G150" s="36">
        <v>45561</v>
      </c>
      <c r="H150">
        <v>11</v>
      </c>
      <c r="I150" t="s">
        <v>2506</v>
      </c>
      <c r="J150">
        <v>3.4</v>
      </c>
      <c r="K150">
        <v>5</v>
      </c>
      <c r="L150">
        <v>3</v>
      </c>
      <c r="M150">
        <v>0.39999999999999991</v>
      </c>
      <c r="N150">
        <v>0.39999999999999991</v>
      </c>
      <c r="O150">
        <v>-1.6</v>
      </c>
      <c r="P150">
        <v>1.6</v>
      </c>
      <c r="Q150">
        <v>2.5600000000000005</v>
      </c>
      <c r="R150">
        <v>0</v>
      </c>
      <c r="S150">
        <v>0</v>
      </c>
      <c r="T150" t="s">
        <v>157</v>
      </c>
      <c r="U150">
        <v>7.5</v>
      </c>
      <c r="V150">
        <v>4.5</v>
      </c>
      <c r="W150" t="s">
        <v>2496</v>
      </c>
      <c r="X150" t="s">
        <v>71</v>
      </c>
    </row>
    <row r="151" spans="1:24">
      <c r="A151" t="s">
        <v>22</v>
      </c>
      <c r="B151" t="s">
        <v>72</v>
      </c>
      <c r="C151" s="36">
        <v>45099</v>
      </c>
      <c r="D151" t="s">
        <v>565</v>
      </c>
      <c r="E151" s="36">
        <v>45565</v>
      </c>
      <c r="F151" t="s">
        <v>92</v>
      </c>
      <c r="G151" s="36">
        <v>45561</v>
      </c>
      <c r="H151">
        <v>10</v>
      </c>
      <c r="I151" t="s">
        <v>2507</v>
      </c>
      <c r="J151">
        <v>3.4</v>
      </c>
      <c r="K151">
        <v>5</v>
      </c>
      <c r="L151">
        <v>3</v>
      </c>
      <c r="M151">
        <v>0.39999999999999991</v>
      </c>
      <c r="N151">
        <v>0.39999999999999991</v>
      </c>
      <c r="O151">
        <v>-1.6</v>
      </c>
      <c r="P151">
        <v>1.6</v>
      </c>
      <c r="Q151">
        <v>2.5600000000000005</v>
      </c>
      <c r="R151">
        <v>0</v>
      </c>
      <c r="S151">
        <v>0</v>
      </c>
      <c r="T151" t="s">
        <v>157</v>
      </c>
      <c r="U151">
        <v>7.5</v>
      </c>
      <c r="V151">
        <v>4.5</v>
      </c>
      <c r="W151" t="s">
        <v>2496</v>
      </c>
      <c r="X151" t="s">
        <v>73</v>
      </c>
    </row>
    <row r="152" spans="1:24">
      <c r="A152" t="s">
        <v>22</v>
      </c>
      <c r="B152" t="s">
        <v>74</v>
      </c>
      <c r="C152" s="36">
        <v>45148</v>
      </c>
      <c r="D152" t="s">
        <v>565</v>
      </c>
      <c r="E152" s="36">
        <v>45565</v>
      </c>
      <c r="F152" t="s">
        <v>92</v>
      </c>
      <c r="G152" s="36">
        <v>45561</v>
      </c>
      <c r="H152">
        <v>9</v>
      </c>
      <c r="I152" t="s">
        <v>2504</v>
      </c>
      <c r="J152">
        <v>3.4</v>
      </c>
      <c r="K152">
        <v>5</v>
      </c>
      <c r="L152">
        <v>3</v>
      </c>
      <c r="M152">
        <v>0.39999999999999991</v>
      </c>
      <c r="N152">
        <v>0.39999999999999991</v>
      </c>
      <c r="O152">
        <v>-1.6</v>
      </c>
      <c r="P152">
        <v>1.6</v>
      </c>
      <c r="Q152">
        <v>2.5600000000000005</v>
      </c>
      <c r="R152">
        <v>0</v>
      </c>
      <c r="S152">
        <v>0</v>
      </c>
      <c r="T152" t="s">
        <v>160</v>
      </c>
      <c r="U152">
        <v>5.7</v>
      </c>
      <c r="V152">
        <v>2.7</v>
      </c>
      <c r="W152" t="s">
        <v>2496</v>
      </c>
      <c r="X152" t="s">
        <v>75</v>
      </c>
    </row>
    <row r="153" spans="1:24">
      <c r="A153" t="s">
        <v>22</v>
      </c>
      <c r="B153" t="s">
        <v>76</v>
      </c>
      <c r="C153" s="36">
        <v>45197</v>
      </c>
      <c r="D153" t="s">
        <v>565</v>
      </c>
      <c r="E153" s="36">
        <v>45565</v>
      </c>
      <c r="F153" t="s">
        <v>92</v>
      </c>
      <c r="G153" s="36">
        <v>45561</v>
      </c>
      <c r="H153">
        <v>8</v>
      </c>
      <c r="I153" t="s">
        <v>2505</v>
      </c>
      <c r="J153">
        <v>3.7</v>
      </c>
      <c r="K153">
        <v>5</v>
      </c>
      <c r="L153">
        <v>3</v>
      </c>
      <c r="M153">
        <v>0.70000000000000018</v>
      </c>
      <c r="N153">
        <v>0.70000000000000018</v>
      </c>
      <c r="O153">
        <v>-1.2999999999999998</v>
      </c>
      <c r="P153">
        <v>1.2999999999999998</v>
      </c>
      <c r="Q153">
        <v>1.6899999999999995</v>
      </c>
      <c r="R153">
        <v>0.30000000000000027</v>
      </c>
      <c r="S153">
        <v>0.30000000000000027</v>
      </c>
      <c r="T153" t="s">
        <v>160</v>
      </c>
      <c r="U153">
        <v>5.7</v>
      </c>
      <c r="V153">
        <v>2.7</v>
      </c>
      <c r="W153" t="s">
        <v>2496</v>
      </c>
      <c r="X153" t="s">
        <v>77</v>
      </c>
    </row>
    <row r="154" spans="1:24">
      <c r="A154" t="s">
        <v>22</v>
      </c>
      <c r="B154" t="s">
        <v>78</v>
      </c>
      <c r="C154" s="36">
        <v>45239</v>
      </c>
      <c r="D154" t="s">
        <v>565</v>
      </c>
      <c r="E154" s="36">
        <v>45565</v>
      </c>
      <c r="F154" t="s">
        <v>92</v>
      </c>
      <c r="G154" s="36">
        <v>45561</v>
      </c>
      <c r="H154">
        <v>7</v>
      </c>
      <c r="I154" t="s">
        <v>2502</v>
      </c>
      <c r="J154">
        <v>3.7</v>
      </c>
      <c r="K154">
        <v>5</v>
      </c>
      <c r="L154">
        <v>3</v>
      </c>
      <c r="M154">
        <v>0.70000000000000018</v>
      </c>
      <c r="N154">
        <v>0.70000000000000018</v>
      </c>
      <c r="O154">
        <v>-1.2999999999999998</v>
      </c>
      <c r="P154">
        <v>1.2999999999999998</v>
      </c>
      <c r="Q154">
        <v>1.6899999999999995</v>
      </c>
      <c r="R154">
        <v>0</v>
      </c>
      <c r="S154">
        <v>0</v>
      </c>
      <c r="T154" t="s">
        <v>183</v>
      </c>
      <c r="U154">
        <v>4.5999999999999996</v>
      </c>
      <c r="V154">
        <v>1.5999999999999996</v>
      </c>
      <c r="W154" t="s">
        <v>2496</v>
      </c>
      <c r="X154" t="s">
        <v>79</v>
      </c>
    </row>
    <row r="155" spans="1:24">
      <c r="A155" t="s">
        <v>22</v>
      </c>
      <c r="B155" t="s">
        <v>80</v>
      </c>
      <c r="C155" s="36">
        <v>45274</v>
      </c>
      <c r="D155" t="s">
        <v>565</v>
      </c>
      <c r="E155" s="36">
        <v>45565</v>
      </c>
      <c r="F155" t="s">
        <v>92</v>
      </c>
      <c r="G155" s="36">
        <v>45561</v>
      </c>
      <c r="H155">
        <v>6</v>
      </c>
      <c r="I155" t="s">
        <v>2503</v>
      </c>
      <c r="J155">
        <v>3.8</v>
      </c>
      <c r="K155">
        <v>5</v>
      </c>
      <c r="L155">
        <v>3</v>
      </c>
      <c r="M155">
        <v>0.79999999999999982</v>
      </c>
      <c r="N155">
        <v>0.79999999999999982</v>
      </c>
      <c r="O155">
        <v>-1.2000000000000002</v>
      </c>
      <c r="P155">
        <v>1.2000000000000002</v>
      </c>
      <c r="Q155">
        <v>1.4400000000000004</v>
      </c>
      <c r="R155">
        <v>9.9999999999999645E-2</v>
      </c>
      <c r="S155">
        <v>9.9999999999999645E-2</v>
      </c>
      <c r="T155" t="s">
        <v>183</v>
      </c>
      <c r="U155">
        <v>4.5999999999999996</v>
      </c>
      <c r="V155">
        <v>1.5999999999999996</v>
      </c>
      <c r="W155" t="s">
        <v>2496</v>
      </c>
      <c r="X155" t="s">
        <v>81</v>
      </c>
    </row>
    <row r="156" spans="1:24">
      <c r="A156" t="s">
        <v>22</v>
      </c>
      <c r="B156" t="s">
        <v>82</v>
      </c>
      <c r="C156" s="36">
        <v>45330</v>
      </c>
      <c r="D156" t="s">
        <v>565</v>
      </c>
      <c r="E156" s="36">
        <v>45565</v>
      </c>
      <c r="F156" t="s">
        <v>92</v>
      </c>
      <c r="G156" s="36">
        <v>45561</v>
      </c>
      <c r="H156">
        <v>5</v>
      </c>
      <c r="I156" t="s">
        <v>2500</v>
      </c>
      <c r="J156">
        <v>3.9</v>
      </c>
      <c r="K156">
        <v>5</v>
      </c>
      <c r="L156">
        <v>3</v>
      </c>
      <c r="M156">
        <v>0.89999999999999991</v>
      </c>
      <c r="N156">
        <v>0.89999999999999991</v>
      </c>
      <c r="O156">
        <v>-1.1000000000000001</v>
      </c>
      <c r="P156">
        <v>1.1000000000000001</v>
      </c>
      <c r="Q156">
        <v>1.2100000000000002</v>
      </c>
      <c r="R156">
        <v>0.10000000000000009</v>
      </c>
      <c r="S156">
        <v>0.10000000000000009</v>
      </c>
      <c r="T156" t="s">
        <v>254</v>
      </c>
      <c r="U156">
        <v>4.4000000000000004</v>
      </c>
      <c r="V156">
        <v>1.4000000000000004</v>
      </c>
      <c r="W156" t="s">
        <v>2496</v>
      </c>
      <c r="X156" t="s">
        <v>83</v>
      </c>
    </row>
    <row r="157" spans="1:24">
      <c r="A157" t="s">
        <v>22</v>
      </c>
      <c r="B157" t="s">
        <v>84</v>
      </c>
      <c r="C157" s="36">
        <v>45372</v>
      </c>
      <c r="D157" t="s">
        <v>565</v>
      </c>
      <c r="E157" s="36">
        <v>45565</v>
      </c>
      <c r="F157" t="s">
        <v>92</v>
      </c>
      <c r="G157" s="36">
        <v>45561</v>
      </c>
      <c r="H157">
        <v>4</v>
      </c>
      <c r="I157" t="s">
        <v>2501</v>
      </c>
      <c r="J157">
        <v>4</v>
      </c>
      <c r="K157">
        <v>5</v>
      </c>
      <c r="L157">
        <v>3</v>
      </c>
      <c r="M157">
        <v>1</v>
      </c>
      <c r="N157">
        <v>1</v>
      </c>
      <c r="O157">
        <v>-1</v>
      </c>
      <c r="P157">
        <v>1</v>
      </c>
      <c r="Q157">
        <v>1</v>
      </c>
      <c r="R157">
        <v>0.10000000000000009</v>
      </c>
      <c r="S157">
        <v>0.10000000000000009</v>
      </c>
      <c r="T157" t="s">
        <v>254</v>
      </c>
      <c r="U157">
        <v>4.4000000000000004</v>
      </c>
      <c r="V157">
        <v>1.4000000000000004</v>
      </c>
      <c r="W157" t="s">
        <v>2496</v>
      </c>
      <c r="X157" t="s">
        <v>85</v>
      </c>
    </row>
    <row r="158" spans="1:24">
      <c r="A158" t="s">
        <v>22</v>
      </c>
      <c r="B158" t="s">
        <v>86</v>
      </c>
      <c r="C158" s="36">
        <v>45421</v>
      </c>
      <c r="D158" t="s">
        <v>565</v>
      </c>
      <c r="E158" s="36">
        <v>45565</v>
      </c>
      <c r="F158" t="s">
        <v>92</v>
      </c>
      <c r="G158" s="36">
        <v>45561</v>
      </c>
      <c r="H158">
        <v>3</v>
      </c>
      <c r="I158" t="s">
        <v>2498</v>
      </c>
      <c r="J158">
        <v>4.4000000000000004</v>
      </c>
      <c r="K158">
        <v>5</v>
      </c>
      <c r="L158">
        <v>3</v>
      </c>
      <c r="M158">
        <v>1.4000000000000004</v>
      </c>
      <c r="N158">
        <v>1.4000000000000004</v>
      </c>
      <c r="O158">
        <v>-0.59999999999999964</v>
      </c>
      <c r="P158">
        <v>0.59999999999999964</v>
      </c>
      <c r="Q158">
        <v>0.3599999999999996</v>
      </c>
      <c r="R158">
        <v>0.40000000000000036</v>
      </c>
      <c r="S158">
        <v>0.40000000000000036</v>
      </c>
      <c r="T158" t="s">
        <v>355</v>
      </c>
      <c r="U158">
        <v>4.5999999999999996</v>
      </c>
      <c r="V158">
        <v>1.5999999999999996</v>
      </c>
      <c r="W158" t="s">
        <v>2496</v>
      </c>
      <c r="X158" t="s">
        <v>87</v>
      </c>
    </row>
    <row r="159" spans="1:24">
      <c r="A159" t="s">
        <v>22</v>
      </c>
      <c r="B159" t="s">
        <v>88</v>
      </c>
      <c r="C159" s="36">
        <v>45470</v>
      </c>
      <c r="D159" t="s">
        <v>565</v>
      </c>
      <c r="E159" s="36">
        <v>45565</v>
      </c>
      <c r="F159" t="s">
        <v>92</v>
      </c>
      <c r="G159" s="36">
        <v>45561</v>
      </c>
      <c r="H159">
        <v>2</v>
      </c>
      <c r="I159" t="s">
        <v>2499</v>
      </c>
      <c r="J159">
        <v>4.5</v>
      </c>
      <c r="K159">
        <v>5</v>
      </c>
      <c r="L159">
        <v>3</v>
      </c>
      <c r="M159">
        <v>1.5</v>
      </c>
      <c r="N159">
        <v>1.5</v>
      </c>
      <c r="O159">
        <v>-0.5</v>
      </c>
      <c r="P159">
        <v>0.5</v>
      </c>
      <c r="Q159">
        <v>0.25</v>
      </c>
      <c r="R159">
        <v>9.9999999999999645E-2</v>
      </c>
      <c r="S159">
        <v>9.9999999999999645E-2</v>
      </c>
      <c r="T159" t="s">
        <v>355</v>
      </c>
      <c r="U159">
        <v>4.5999999999999996</v>
      </c>
      <c r="V159">
        <v>1.5999999999999996</v>
      </c>
      <c r="W159" t="s">
        <v>2496</v>
      </c>
      <c r="X159" t="s">
        <v>89</v>
      </c>
    </row>
    <row r="160" spans="1:24">
      <c r="A160" t="s">
        <v>22</v>
      </c>
      <c r="B160" t="s">
        <v>90</v>
      </c>
      <c r="C160" s="36">
        <v>45512</v>
      </c>
      <c r="D160" t="s">
        <v>565</v>
      </c>
      <c r="E160" s="36">
        <v>45565</v>
      </c>
      <c r="F160" t="s">
        <v>92</v>
      </c>
      <c r="G160" s="36">
        <v>45561</v>
      </c>
      <c r="H160">
        <v>1</v>
      </c>
      <c r="I160" t="s">
        <v>2495</v>
      </c>
      <c r="J160">
        <v>5.2</v>
      </c>
      <c r="K160">
        <v>5</v>
      </c>
      <c r="L160">
        <v>3</v>
      </c>
      <c r="M160">
        <v>2.2000000000000002</v>
      </c>
      <c r="N160">
        <v>2.2000000000000002</v>
      </c>
      <c r="O160">
        <v>0.20000000000000018</v>
      </c>
      <c r="P160">
        <v>0.20000000000000018</v>
      </c>
      <c r="Q160">
        <v>4.000000000000007E-2</v>
      </c>
      <c r="R160">
        <v>0.70000000000000018</v>
      </c>
      <c r="S160">
        <v>0.70000000000000018</v>
      </c>
      <c r="T160" t="s">
        <v>460</v>
      </c>
      <c r="U160">
        <v>4.8</v>
      </c>
      <c r="V160">
        <v>1.7999999999999998</v>
      </c>
      <c r="W160" t="s">
        <v>2496</v>
      </c>
      <c r="X160" t="s">
        <v>91</v>
      </c>
    </row>
    <row r="161" spans="1:24">
      <c r="A161" t="s">
        <v>22</v>
      </c>
      <c r="B161" t="s">
        <v>92</v>
      </c>
      <c r="C161" s="36">
        <v>45561</v>
      </c>
      <c r="D161" t="s">
        <v>565</v>
      </c>
      <c r="E161" s="36">
        <v>45565</v>
      </c>
      <c r="F161" t="s">
        <v>92</v>
      </c>
      <c r="G161" s="36">
        <v>45561</v>
      </c>
      <c r="H161">
        <v>0</v>
      </c>
      <c r="I161" t="s">
        <v>2497</v>
      </c>
      <c r="J161">
        <v>5.0999999999999996</v>
      </c>
      <c r="K161">
        <v>5</v>
      </c>
      <c r="L161">
        <v>3</v>
      </c>
      <c r="M161">
        <v>2.0999999999999996</v>
      </c>
      <c r="N161">
        <v>2.0999999999999996</v>
      </c>
      <c r="O161">
        <v>9.9999999999999645E-2</v>
      </c>
      <c r="P161">
        <v>9.9999999999999645E-2</v>
      </c>
      <c r="Q161">
        <v>9.9999999999999291E-3</v>
      </c>
      <c r="R161">
        <v>-0.10000000000000053</v>
      </c>
      <c r="S161">
        <v>0.10000000000000053</v>
      </c>
      <c r="T161" t="s">
        <v>460</v>
      </c>
      <c r="U161">
        <v>4.8</v>
      </c>
      <c r="V161">
        <v>1.7999999999999998</v>
      </c>
      <c r="W161" t="s">
        <v>2496</v>
      </c>
      <c r="X161" t="s">
        <v>93</v>
      </c>
    </row>
    <row r="162" spans="1:24">
      <c r="A162" t="s">
        <v>22</v>
      </c>
      <c r="B162" t="s">
        <v>64</v>
      </c>
      <c r="C162" s="36">
        <v>44910</v>
      </c>
      <c r="D162" t="s">
        <v>670</v>
      </c>
      <c r="E162" s="36">
        <v>45657</v>
      </c>
      <c r="F162" t="s">
        <v>96</v>
      </c>
      <c r="G162" s="36">
        <v>45645</v>
      </c>
      <c r="H162">
        <v>16</v>
      </c>
      <c r="I162" t="s">
        <v>2512</v>
      </c>
      <c r="J162">
        <v>3</v>
      </c>
      <c r="K162">
        <v>4.5</v>
      </c>
      <c r="L162">
        <v>3</v>
      </c>
      <c r="M162">
        <v>0</v>
      </c>
      <c r="N162">
        <v>0</v>
      </c>
      <c r="O162">
        <v>-1.5</v>
      </c>
      <c r="P162">
        <v>1.5</v>
      </c>
      <c r="Q162">
        <v>2.25</v>
      </c>
      <c r="T162" t="s">
        <v>151</v>
      </c>
      <c r="U162">
        <v>8.5</v>
      </c>
      <c r="V162">
        <v>5.5</v>
      </c>
      <c r="W162" t="s">
        <v>2496</v>
      </c>
      <c r="X162" t="s">
        <v>65</v>
      </c>
    </row>
    <row r="163" spans="1:24">
      <c r="A163" t="s">
        <v>22</v>
      </c>
      <c r="B163" t="s">
        <v>66</v>
      </c>
      <c r="C163" s="36">
        <v>44966</v>
      </c>
      <c r="D163" t="s">
        <v>670</v>
      </c>
      <c r="E163" s="36">
        <v>45657</v>
      </c>
      <c r="F163" t="s">
        <v>96</v>
      </c>
      <c r="G163" s="36">
        <v>45645</v>
      </c>
      <c r="H163">
        <v>15</v>
      </c>
      <c r="I163" t="s">
        <v>2510</v>
      </c>
      <c r="J163">
        <v>3.1</v>
      </c>
      <c r="K163">
        <v>4.5</v>
      </c>
      <c r="L163">
        <v>3</v>
      </c>
      <c r="M163">
        <v>0.10000000000000009</v>
      </c>
      <c r="N163">
        <v>0.10000000000000009</v>
      </c>
      <c r="O163">
        <v>-1.4</v>
      </c>
      <c r="P163">
        <v>1.4</v>
      </c>
      <c r="Q163">
        <v>1.9599999999999997</v>
      </c>
      <c r="R163">
        <v>0.10000000000000009</v>
      </c>
      <c r="S163">
        <v>0.10000000000000009</v>
      </c>
      <c r="T163" t="s">
        <v>154</v>
      </c>
      <c r="U163">
        <v>8</v>
      </c>
      <c r="V163">
        <v>5</v>
      </c>
      <c r="W163" t="s">
        <v>2496</v>
      </c>
      <c r="X163" t="s">
        <v>67</v>
      </c>
    </row>
    <row r="164" spans="1:24">
      <c r="A164" t="s">
        <v>22</v>
      </c>
      <c r="B164" t="s">
        <v>68</v>
      </c>
      <c r="C164" s="36">
        <v>45015</v>
      </c>
      <c r="D164" t="s">
        <v>670</v>
      </c>
      <c r="E164" s="36">
        <v>45657</v>
      </c>
      <c r="F164" t="s">
        <v>96</v>
      </c>
      <c r="G164" s="36">
        <v>45645</v>
      </c>
      <c r="H164">
        <v>14</v>
      </c>
      <c r="I164" t="s">
        <v>2511</v>
      </c>
      <c r="J164">
        <v>3.1</v>
      </c>
      <c r="K164">
        <v>4.5</v>
      </c>
      <c r="L164">
        <v>3</v>
      </c>
      <c r="M164">
        <v>0.10000000000000009</v>
      </c>
      <c r="N164">
        <v>0.10000000000000009</v>
      </c>
      <c r="O164">
        <v>-1.4</v>
      </c>
      <c r="P164">
        <v>1.4</v>
      </c>
      <c r="Q164">
        <v>1.9599999999999997</v>
      </c>
      <c r="R164">
        <v>0</v>
      </c>
      <c r="S164">
        <v>0</v>
      </c>
      <c r="T164" t="s">
        <v>154</v>
      </c>
      <c r="U164">
        <v>8</v>
      </c>
      <c r="V164">
        <v>5</v>
      </c>
      <c r="W164" t="s">
        <v>2496</v>
      </c>
      <c r="X164" t="s">
        <v>69</v>
      </c>
    </row>
    <row r="165" spans="1:24">
      <c r="A165" t="s">
        <v>22</v>
      </c>
      <c r="B165" t="s">
        <v>70</v>
      </c>
      <c r="C165" s="36">
        <v>45064</v>
      </c>
      <c r="D165" t="s">
        <v>670</v>
      </c>
      <c r="E165" s="36">
        <v>45657</v>
      </c>
      <c r="F165" t="s">
        <v>96</v>
      </c>
      <c r="G165" s="36">
        <v>45645</v>
      </c>
      <c r="H165">
        <v>13</v>
      </c>
      <c r="I165" t="s">
        <v>2508</v>
      </c>
      <c r="J165">
        <v>3.1</v>
      </c>
      <c r="K165">
        <v>4.5</v>
      </c>
      <c r="L165">
        <v>3</v>
      </c>
      <c r="M165">
        <v>0.10000000000000009</v>
      </c>
      <c r="N165">
        <v>0.10000000000000009</v>
      </c>
      <c r="O165">
        <v>-1.4</v>
      </c>
      <c r="P165">
        <v>1.4</v>
      </c>
      <c r="Q165">
        <v>1.9599999999999997</v>
      </c>
      <c r="R165">
        <v>0</v>
      </c>
      <c r="S165">
        <v>0</v>
      </c>
      <c r="T165" t="s">
        <v>157</v>
      </c>
      <c r="U165">
        <v>7.5</v>
      </c>
      <c r="V165">
        <v>4.5</v>
      </c>
      <c r="W165" t="s">
        <v>2496</v>
      </c>
      <c r="X165" t="s">
        <v>71</v>
      </c>
    </row>
    <row r="166" spans="1:24">
      <c r="A166" t="s">
        <v>22</v>
      </c>
      <c r="B166" t="s">
        <v>72</v>
      </c>
      <c r="C166" s="36">
        <v>45099</v>
      </c>
      <c r="D166" t="s">
        <v>670</v>
      </c>
      <c r="E166" s="36">
        <v>45657</v>
      </c>
      <c r="F166" t="s">
        <v>96</v>
      </c>
      <c r="G166" s="36">
        <v>45645</v>
      </c>
      <c r="H166">
        <v>12</v>
      </c>
      <c r="I166" t="s">
        <v>2509</v>
      </c>
      <c r="J166">
        <v>3.1</v>
      </c>
      <c r="K166">
        <v>4.5</v>
      </c>
      <c r="L166">
        <v>3</v>
      </c>
      <c r="M166">
        <v>0.10000000000000009</v>
      </c>
      <c r="N166">
        <v>0.10000000000000009</v>
      </c>
      <c r="O166">
        <v>-1.4</v>
      </c>
      <c r="P166">
        <v>1.4</v>
      </c>
      <c r="Q166">
        <v>1.9599999999999997</v>
      </c>
      <c r="R166">
        <v>0</v>
      </c>
      <c r="S166">
        <v>0</v>
      </c>
      <c r="T166" t="s">
        <v>157</v>
      </c>
      <c r="U166">
        <v>7.5</v>
      </c>
      <c r="V166">
        <v>4.5</v>
      </c>
      <c r="W166" t="s">
        <v>2496</v>
      </c>
      <c r="X166" t="s">
        <v>73</v>
      </c>
    </row>
    <row r="167" spans="1:24">
      <c r="A167" t="s">
        <v>22</v>
      </c>
      <c r="B167" t="s">
        <v>74</v>
      </c>
      <c r="C167" s="36">
        <v>45148</v>
      </c>
      <c r="D167" t="s">
        <v>670</v>
      </c>
      <c r="E167" s="36">
        <v>45657</v>
      </c>
      <c r="F167" t="s">
        <v>96</v>
      </c>
      <c r="G167" s="36">
        <v>45645</v>
      </c>
      <c r="H167">
        <v>11</v>
      </c>
      <c r="I167" t="s">
        <v>2506</v>
      </c>
      <c r="J167">
        <v>3.1</v>
      </c>
      <c r="K167">
        <v>4.5</v>
      </c>
      <c r="L167">
        <v>3</v>
      </c>
      <c r="M167">
        <v>0.10000000000000009</v>
      </c>
      <c r="N167">
        <v>0.10000000000000009</v>
      </c>
      <c r="O167">
        <v>-1.4</v>
      </c>
      <c r="P167">
        <v>1.4</v>
      </c>
      <c r="Q167">
        <v>1.9599999999999997</v>
      </c>
      <c r="R167">
        <v>0</v>
      </c>
      <c r="S167">
        <v>0</v>
      </c>
      <c r="T167" t="s">
        <v>160</v>
      </c>
      <c r="U167">
        <v>5.7</v>
      </c>
      <c r="V167">
        <v>2.7</v>
      </c>
      <c r="W167" t="s">
        <v>2496</v>
      </c>
      <c r="X167" t="s">
        <v>75</v>
      </c>
    </row>
    <row r="168" spans="1:24">
      <c r="A168" t="s">
        <v>22</v>
      </c>
      <c r="B168" t="s">
        <v>76</v>
      </c>
      <c r="C168" s="36">
        <v>45197</v>
      </c>
      <c r="D168" t="s">
        <v>670</v>
      </c>
      <c r="E168" s="36">
        <v>45657</v>
      </c>
      <c r="F168" t="s">
        <v>96</v>
      </c>
      <c r="G168" s="36">
        <v>45645</v>
      </c>
      <c r="H168">
        <v>10</v>
      </c>
      <c r="I168" t="s">
        <v>2507</v>
      </c>
      <c r="J168">
        <v>3.4</v>
      </c>
      <c r="K168">
        <v>4.5</v>
      </c>
      <c r="L168">
        <v>3</v>
      </c>
      <c r="M168">
        <v>0.39999999999999991</v>
      </c>
      <c r="N168">
        <v>0.39999999999999991</v>
      </c>
      <c r="O168">
        <v>-1.1000000000000001</v>
      </c>
      <c r="P168">
        <v>1.1000000000000001</v>
      </c>
      <c r="Q168">
        <v>1.2100000000000002</v>
      </c>
      <c r="R168">
        <v>0.29999999999999982</v>
      </c>
      <c r="S168">
        <v>0.29999999999999982</v>
      </c>
      <c r="T168" t="s">
        <v>160</v>
      </c>
      <c r="U168">
        <v>5.7</v>
      </c>
      <c r="V168">
        <v>2.7</v>
      </c>
      <c r="W168" t="s">
        <v>2496</v>
      </c>
      <c r="X168" t="s">
        <v>77</v>
      </c>
    </row>
    <row r="169" spans="1:24">
      <c r="A169" t="s">
        <v>22</v>
      </c>
      <c r="B169" t="s">
        <v>78</v>
      </c>
      <c r="C169" s="36">
        <v>45239</v>
      </c>
      <c r="D169" t="s">
        <v>670</v>
      </c>
      <c r="E169" s="36">
        <v>45657</v>
      </c>
      <c r="F169" t="s">
        <v>96</v>
      </c>
      <c r="G169" s="36">
        <v>45645</v>
      </c>
      <c r="H169">
        <v>9</v>
      </c>
      <c r="I169" t="s">
        <v>2504</v>
      </c>
      <c r="J169">
        <v>3.4</v>
      </c>
      <c r="K169">
        <v>4.5</v>
      </c>
      <c r="L169">
        <v>3</v>
      </c>
      <c r="M169">
        <v>0.39999999999999991</v>
      </c>
      <c r="N169">
        <v>0.39999999999999991</v>
      </c>
      <c r="O169">
        <v>-1.1000000000000001</v>
      </c>
      <c r="P169">
        <v>1.1000000000000001</v>
      </c>
      <c r="Q169">
        <v>1.2100000000000002</v>
      </c>
      <c r="R169">
        <v>0</v>
      </c>
      <c r="S169">
        <v>0</v>
      </c>
      <c r="T169" t="s">
        <v>183</v>
      </c>
      <c r="U169">
        <v>4.5999999999999996</v>
      </c>
      <c r="V169">
        <v>1.5999999999999996</v>
      </c>
      <c r="W169" t="s">
        <v>2496</v>
      </c>
      <c r="X169" t="s">
        <v>79</v>
      </c>
    </row>
    <row r="170" spans="1:24">
      <c r="A170" t="s">
        <v>22</v>
      </c>
      <c r="B170" t="s">
        <v>80</v>
      </c>
      <c r="C170" s="36">
        <v>45274</v>
      </c>
      <c r="D170" t="s">
        <v>670</v>
      </c>
      <c r="E170" s="36">
        <v>45657</v>
      </c>
      <c r="F170" t="s">
        <v>96</v>
      </c>
      <c r="G170" s="36">
        <v>45645</v>
      </c>
      <c r="H170">
        <v>8</v>
      </c>
      <c r="I170" t="s">
        <v>2505</v>
      </c>
      <c r="J170">
        <v>3.5</v>
      </c>
      <c r="K170">
        <v>4.5</v>
      </c>
      <c r="L170">
        <v>3</v>
      </c>
      <c r="M170">
        <v>0.5</v>
      </c>
      <c r="N170">
        <v>0.5</v>
      </c>
      <c r="O170">
        <v>-1</v>
      </c>
      <c r="P170">
        <v>1</v>
      </c>
      <c r="Q170">
        <v>1</v>
      </c>
      <c r="R170">
        <v>0.10000000000000009</v>
      </c>
      <c r="S170">
        <v>0.10000000000000009</v>
      </c>
      <c r="T170" t="s">
        <v>183</v>
      </c>
      <c r="U170">
        <v>4.5999999999999996</v>
      </c>
      <c r="V170">
        <v>1.5999999999999996</v>
      </c>
      <c r="W170" t="s">
        <v>2496</v>
      </c>
      <c r="X170" t="s">
        <v>81</v>
      </c>
    </row>
    <row r="171" spans="1:24">
      <c r="A171" t="s">
        <v>22</v>
      </c>
      <c r="B171" t="s">
        <v>82</v>
      </c>
      <c r="C171" s="36">
        <v>45330</v>
      </c>
      <c r="D171" t="s">
        <v>670</v>
      </c>
      <c r="E171" s="36">
        <v>45657</v>
      </c>
      <c r="F171" t="s">
        <v>96</v>
      </c>
      <c r="G171" s="36">
        <v>45645</v>
      </c>
      <c r="H171">
        <v>7</v>
      </c>
      <c r="I171" t="s">
        <v>2502</v>
      </c>
      <c r="J171">
        <v>3.5</v>
      </c>
      <c r="K171">
        <v>4.5</v>
      </c>
      <c r="L171">
        <v>3</v>
      </c>
      <c r="M171">
        <v>0.5</v>
      </c>
      <c r="N171">
        <v>0.5</v>
      </c>
      <c r="O171">
        <v>-1</v>
      </c>
      <c r="P171">
        <v>1</v>
      </c>
      <c r="Q171">
        <v>1</v>
      </c>
      <c r="R171">
        <v>0</v>
      </c>
      <c r="S171">
        <v>0</v>
      </c>
      <c r="T171" t="s">
        <v>254</v>
      </c>
      <c r="U171">
        <v>4.4000000000000004</v>
      </c>
      <c r="V171">
        <v>1.4000000000000004</v>
      </c>
      <c r="W171" t="s">
        <v>2496</v>
      </c>
      <c r="X171" t="s">
        <v>83</v>
      </c>
    </row>
    <row r="172" spans="1:24">
      <c r="A172" t="s">
        <v>22</v>
      </c>
      <c r="B172" t="s">
        <v>84</v>
      </c>
      <c r="C172" s="36">
        <v>45372</v>
      </c>
      <c r="D172" t="s">
        <v>670</v>
      </c>
      <c r="E172" s="36">
        <v>45657</v>
      </c>
      <c r="F172" t="s">
        <v>96</v>
      </c>
      <c r="G172" s="36">
        <v>45645</v>
      </c>
      <c r="H172">
        <v>6</v>
      </c>
      <c r="I172" t="s">
        <v>2503</v>
      </c>
      <c r="J172">
        <v>3.6</v>
      </c>
      <c r="K172">
        <v>4.5</v>
      </c>
      <c r="L172">
        <v>3</v>
      </c>
      <c r="M172">
        <v>0.60000000000000009</v>
      </c>
      <c r="N172">
        <v>0.60000000000000009</v>
      </c>
      <c r="O172">
        <v>-0.89999999999999991</v>
      </c>
      <c r="P172">
        <v>0.89999999999999991</v>
      </c>
      <c r="Q172">
        <v>0.80999999999999983</v>
      </c>
      <c r="R172">
        <v>0.10000000000000009</v>
      </c>
      <c r="S172">
        <v>0.10000000000000009</v>
      </c>
      <c r="T172" t="s">
        <v>254</v>
      </c>
      <c r="U172">
        <v>4.4000000000000004</v>
      </c>
      <c r="V172">
        <v>1.4000000000000004</v>
      </c>
      <c r="W172" t="s">
        <v>2496</v>
      </c>
      <c r="X172" t="s">
        <v>85</v>
      </c>
    </row>
    <row r="173" spans="1:24">
      <c r="A173" t="s">
        <v>22</v>
      </c>
      <c r="B173" t="s">
        <v>86</v>
      </c>
      <c r="C173" s="36">
        <v>45421</v>
      </c>
      <c r="D173" t="s">
        <v>670</v>
      </c>
      <c r="E173" s="36">
        <v>45657</v>
      </c>
      <c r="F173" t="s">
        <v>96</v>
      </c>
      <c r="G173" s="36">
        <v>45645</v>
      </c>
      <c r="H173">
        <v>5</v>
      </c>
      <c r="I173" t="s">
        <v>2500</v>
      </c>
      <c r="J173">
        <v>4</v>
      </c>
      <c r="K173">
        <v>4.5</v>
      </c>
      <c r="L173">
        <v>3</v>
      </c>
      <c r="M173">
        <v>1</v>
      </c>
      <c r="N173">
        <v>1</v>
      </c>
      <c r="O173">
        <v>-0.5</v>
      </c>
      <c r="P173">
        <v>0.5</v>
      </c>
      <c r="Q173">
        <v>0.25</v>
      </c>
      <c r="R173">
        <v>0.39999999999999991</v>
      </c>
      <c r="S173">
        <v>0.39999999999999991</v>
      </c>
      <c r="T173" t="s">
        <v>355</v>
      </c>
      <c r="U173">
        <v>4.5999999999999996</v>
      </c>
      <c r="V173">
        <v>1.5999999999999996</v>
      </c>
      <c r="W173" t="s">
        <v>2496</v>
      </c>
      <c r="X173" t="s">
        <v>87</v>
      </c>
    </row>
    <row r="174" spans="1:24">
      <c r="A174" t="s">
        <v>22</v>
      </c>
      <c r="B174" t="s">
        <v>88</v>
      </c>
      <c r="C174" s="36">
        <v>45470</v>
      </c>
      <c r="D174" t="s">
        <v>670</v>
      </c>
      <c r="E174" s="36">
        <v>45657</v>
      </c>
      <c r="F174" t="s">
        <v>96</v>
      </c>
      <c r="G174" s="36">
        <v>45645</v>
      </c>
      <c r="H174">
        <v>4</v>
      </c>
      <c r="I174" t="s">
        <v>2501</v>
      </c>
      <c r="J174">
        <v>4</v>
      </c>
      <c r="K174">
        <v>4.5</v>
      </c>
      <c r="L174">
        <v>3</v>
      </c>
      <c r="M174">
        <v>1</v>
      </c>
      <c r="N174">
        <v>1</v>
      </c>
      <c r="O174">
        <v>-0.5</v>
      </c>
      <c r="P174">
        <v>0.5</v>
      </c>
      <c r="Q174">
        <v>0.25</v>
      </c>
      <c r="R174">
        <v>0</v>
      </c>
      <c r="S174">
        <v>0</v>
      </c>
      <c r="T174" t="s">
        <v>355</v>
      </c>
      <c r="U174">
        <v>4.5999999999999996</v>
      </c>
      <c r="V174">
        <v>1.5999999999999996</v>
      </c>
      <c r="W174" t="s">
        <v>2496</v>
      </c>
      <c r="X174" t="s">
        <v>89</v>
      </c>
    </row>
    <row r="175" spans="1:24">
      <c r="A175" t="s">
        <v>22</v>
      </c>
      <c r="B175" t="s">
        <v>90</v>
      </c>
      <c r="C175" s="36">
        <v>45512</v>
      </c>
      <c r="D175" t="s">
        <v>670</v>
      </c>
      <c r="E175" s="36">
        <v>45657</v>
      </c>
      <c r="F175" t="s">
        <v>96</v>
      </c>
      <c r="G175" s="36">
        <v>45645</v>
      </c>
      <c r="H175">
        <v>3</v>
      </c>
      <c r="I175" t="s">
        <v>2498</v>
      </c>
      <c r="J175">
        <v>4.4000000000000004</v>
      </c>
      <c r="K175">
        <v>4.5</v>
      </c>
      <c r="L175">
        <v>3</v>
      </c>
      <c r="M175">
        <v>1.4000000000000004</v>
      </c>
      <c r="N175">
        <v>1.4000000000000004</v>
      </c>
      <c r="O175">
        <v>-9.9999999999999645E-2</v>
      </c>
      <c r="P175">
        <v>9.9999999999999645E-2</v>
      </c>
      <c r="Q175">
        <v>9.9999999999999291E-3</v>
      </c>
      <c r="R175">
        <v>0.40000000000000036</v>
      </c>
      <c r="S175">
        <v>0.40000000000000036</v>
      </c>
      <c r="T175" t="s">
        <v>460</v>
      </c>
      <c r="U175">
        <v>4.8</v>
      </c>
      <c r="V175">
        <v>1.7999999999999998</v>
      </c>
      <c r="W175" t="s">
        <v>2496</v>
      </c>
      <c r="X175" t="s">
        <v>91</v>
      </c>
    </row>
    <row r="176" spans="1:24">
      <c r="A176" t="s">
        <v>22</v>
      </c>
      <c r="B176" t="s">
        <v>92</v>
      </c>
      <c r="C176" s="36">
        <v>45561</v>
      </c>
      <c r="D176" t="s">
        <v>670</v>
      </c>
      <c r="E176" s="36">
        <v>45657</v>
      </c>
      <c r="F176" t="s">
        <v>96</v>
      </c>
      <c r="G176" s="36">
        <v>45645</v>
      </c>
      <c r="H176">
        <v>2</v>
      </c>
      <c r="I176" t="s">
        <v>2499</v>
      </c>
      <c r="J176">
        <v>4.3</v>
      </c>
      <c r="K176">
        <v>4.5</v>
      </c>
      <c r="L176">
        <v>3</v>
      </c>
      <c r="M176">
        <v>1.2999999999999998</v>
      </c>
      <c r="N176">
        <v>1.2999999999999998</v>
      </c>
      <c r="O176">
        <v>-0.20000000000000018</v>
      </c>
      <c r="P176">
        <v>0.20000000000000018</v>
      </c>
      <c r="Q176">
        <v>4.000000000000007E-2</v>
      </c>
      <c r="R176">
        <v>-0.10000000000000053</v>
      </c>
      <c r="S176">
        <v>0.10000000000000053</v>
      </c>
      <c r="T176" t="s">
        <v>460</v>
      </c>
      <c r="U176">
        <v>4.8</v>
      </c>
      <c r="V176">
        <v>1.7999999999999998</v>
      </c>
      <c r="W176" t="s">
        <v>2496</v>
      </c>
      <c r="X176" t="s">
        <v>93</v>
      </c>
    </row>
    <row r="177" spans="1:24">
      <c r="A177" t="s">
        <v>22</v>
      </c>
      <c r="B177" t="s">
        <v>94</v>
      </c>
      <c r="C177" s="36">
        <v>45610</v>
      </c>
      <c r="D177" t="s">
        <v>670</v>
      </c>
      <c r="E177" s="36">
        <v>45657</v>
      </c>
      <c r="F177" t="s">
        <v>96</v>
      </c>
      <c r="G177" s="36">
        <v>45645</v>
      </c>
      <c r="H177">
        <v>1</v>
      </c>
      <c r="I177" t="s">
        <v>2495</v>
      </c>
      <c r="J177">
        <v>4.7</v>
      </c>
      <c r="K177">
        <v>4.5</v>
      </c>
      <c r="L177">
        <v>3</v>
      </c>
      <c r="M177">
        <v>1.7000000000000002</v>
      </c>
      <c r="N177">
        <v>1.7000000000000002</v>
      </c>
      <c r="O177">
        <v>0.20000000000000018</v>
      </c>
      <c r="P177">
        <v>0.20000000000000018</v>
      </c>
      <c r="Q177">
        <v>4.000000000000007E-2</v>
      </c>
      <c r="R177">
        <v>0.40000000000000036</v>
      </c>
      <c r="S177">
        <v>0.40000000000000036</v>
      </c>
      <c r="T177" t="s">
        <v>565</v>
      </c>
      <c r="U177">
        <v>5</v>
      </c>
      <c r="V177">
        <v>2</v>
      </c>
      <c r="W177" t="s">
        <v>2496</v>
      </c>
      <c r="X177" t="s">
        <v>95</v>
      </c>
    </row>
    <row r="178" spans="1:24">
      <c r="A178" t="s">
        <v>22</v>
      </c>
      <c r="B178" t="s">
        <v>96</v>
      </c>
      <c r="C178" s="36">
        <v>45645</v>
      </c>
      <c r="D178" t="s">
        <v>670</v>
      </c>
      <c r="E178" s="36">
        <v>45657</v>
      </c>
      <c r="F178" t="s">
        <v>96</v>
      </c>
      <c r="G178" s="36">
        <v>45645</v>
      </c>
      <c r="H178">
        <v>0</v>
      </c>
      <c r="I178" t="s">
        <v>2497</v>
      </c>
      <c r="J178">
        <v>4.5999999999999996</v>
      </c>
      <c r="K178">
        <v>4.5</v>
      </c>
      <c r="L178">
        <v>3</v>
      </c>
      <c r="M178">
        <v>1.5999999999999996</v>
      </c>
      <c r="N178">
        <v>1.5999999999999996</v>
      </c>
      <c r="O178">
        <v>9.9999999999999645E-2</v>
      </c>
      <c r="P178">
        <v>9.9999999999999645E-2</v>
      </c>
      <c r="Q178">
        <v>9.9999999999999291E-3</v>
      </c>
      <c r="R178">
        <v>-0.10000000000000053</v>
      </c>
      <c r="S178">
        <v>0.10000000000000053</v>
      </c>
      <c r="T178" t="s">
        <v>565</v>
      </c>
      <c r="U178">
        <v>5</v>
      </c>
      <c r="V178">
        <v>2</v>
      </c>
      <c r="W178" t="s">
        <v>2496</v>
      </c>
      <c r="X178" t="s">
        <v>97</v>
      </c>
    </row>
    <row r="179" spans="1:24">
      <c r="A179" t="s">
        <v>22</v>
      </c>
      <c r="B179" t="s">
        <v>68</v>
      </c>
      <c r="C179" s="36">
        <v>45015</v>
      </c>
      <c r="D179" t="s">
        <v>771</v>
      </c>
      <c r="E179" s="36">
        <v>45747</v>
      </c>
      <c r="F179" t="s">
        <v>100</v>
      </c>
      <c r="G179" s="36">
        <v>45743</v>
      </c>
      <c r="H179">
        <v>16</v>
      </c>
      <c r="I179" t="s">
        <v>2512</v>
      </c>
      <c r="J179">
        <v>3.1</v>
      </c>
      <c r="K179">
        <v>3.7</v>
      </c>
      <c r="L179">
        <v>3</v>
      </c>
      <c r="M179">
        <v>0.10000000000000009</v>
      </c>
      <c r="N179">
        <v>0.10000000000000009</v>
      </c>
      <c r="O179">
        <v>-0.60000000000000009</v>
      </c>
      <c r="P179">
        <v>0.60000000000000009</v>
      </c>
      <c r="Q179">
        <v>0.3600000000000001</v>
      </c>
      <c r="T179" t="s">
        <v>154</v>
      </c>
      <c r="U179">
        <v>8</v>
      </c>
      <c r="V179">
        <v>5</v>
      </c>
      <c r="W179" t="s">
        <v>2513</v>
      </c>
      <c r="X179" t="s">
        <v>69</v>
      </c>
    </row>
    <row r="180" spans="1:24">
      <c r="A180" t="s">
        <v>22</v>
      </c>
      <c r="B180" t="s">
        <v>70</v>
      </c>
      <c r="C180" s="36">
        <v>45064</v>
      </c>
      <c r="D180" t="s">
        <v>771</v>
      </c>
      <c r="E180" s="36">
        <v>45747</v>
      </c>
      <c r="F180" t="s">
        <v>100</v>
      </c>
      <c r="G180" s="36">
        <v>45743</v>
      </c>
      <c r="H180">
        <v>15</v>
      </c>
      <c r="I180" t="s">
        <v>2510</v>
      </c>
      <c r="J180">
        <v>3.1</v>
      </c>
      <c r="K180">
        <v>3.7</v>
      </c>
      <c r="L180">
        <v>3</v>
      </c>
      <c r="M180">
        <v>0.10000000000000009</v>
      </c>
      <c r="N180">
        <v>0.10000000000000009</v>
      </c>
      <c r="O180">
        <v>-0.60000000000000009</v>
      </c>
      <c r="P180">
        <v>0.60000000000000009</v>
      </c>
      <c r="Q180">
        <v>0.3600000000000001</v>
      </c>
      <c r="R180">
        <v>0</v>
      </c>
      <c r="S180">
        <v>0</v>
      </c>
      <c r="T180" t="s">
        <v>157</v>
      </c>
      <c r="U180">
        <v>7.5</v>
      </c>
      <c r="V180">
        <v>4.5</v>
      </c>
      <c r="W180" t="s">
        <v>2513</v>
      </c>
      <c r="X180" t="s">
        <v>71</v>
      </c>
    </row>
    <row r="181" spans="1:24">
      <c r="A181" t="s">
        <v>22</v>
      </c>
      <c r="B181" t="s">
        <v>72</v>
      </c>
      <c r="C181" s="36">
        <v>45099</v>
      </c>
      <c r="D181" t="s">
        <v>771</v>
      </c>
      <c r="E181" s="36">
        <v>45747</v>
      </c>
      <c r="F181" t="s">
        <v>100</v>
      </c>
      <c r="G181" s="36">
        <v>45743</v>
      </c>
      <c r="H181">
        <v>14</v>
      </c>
      <c r="I181" t="s">
        <v>2511</v>
      </c>
      <c r="J181">
        <v>3.1</v>
      </c>
      <c r="K181">
        <v>3.7</v>
      </c>
      <c r="L181">
        <v>3</v>
      </c>
      <c r="M181">
        <v>0.10000000000000009</v>
      </c>
      <c r="N181">
        <v>0.10000000000000009</v>
      </c>
      <c r="O181">
        <v>-0.60000000000000009</v>
      </c>
      <c r="P181">
        <v>0.60000000000000009</v>
      </c>
      <c r="Q181">
        <v>0.3600000000000001</v>
      </c>
      <c r="R181">
        <v>0</v>
      </c>
      <c r="S181">
        <v>0</v>
      </c>
      <c r="T181" t="s">
        <v>157</v>
      </c>
      <c r="U181">
        <v>7.5</v>
      </c>
      <c r="V181">
        <v>4.5</v>
      </c>
      <c r="W181" t="s">
        <v>2513</v>
      </c>
      <c r="X181" t="s">
        <v>73</v>
      </c>
    </row>
    <row r="182" spans="1:24">
      <c r="A182" t="s">
        <v>22</v>
      </c>
      <c r="B182" t="s">
        <v>74</v>
      </c>
      <c r="C182" s="36">
        <v>45148</v>
      </c>
      <c r="D182" t="s">
        <v>771</v>
      </c>
      <c r="E182" s="36">
        <v>45747</v>
      </c>
      <c r="F182" t="s">
        <v>100</v>
      </c>
      <c r="G182" s="36">
        <v>45743</v>
      </c>
      <c r="H182">
        <v>13</v>
      </c>
      <c r="I182" t="s">
        <v>2508</v>
      </c>
      <c r="J182">
        <v>3.1</v>
      </c>
      <c r="K182">
        <v>3.7</v>
      </c>
      <c r="L182">
        <v>3</v>
      </c>
      <c r="M182">
        <v>0.10000000000000009</v>
      </c>
      <c r="N182">
        <v>0.10000000000000009</v>
      </c>
      <c r="O182">
        <v>-0.60000000000000009</v>
      </c>
      <c r="P182">
        <v>0.60000000000000009</v>
      </c>
      <c r="Q182">
        <v>0.3600000000000001</v>
      </c>
      <c r="R182">
        <v>0</v>
      </c>
      <c r="S182">
        <v>0</v>
      </c>
      <c r="T182" t="s">
        <v>160</v>
      </c>
      <c r="U182">
        <v>5.7</v>
      </c>
      <c r="V182">
        <v>2.7</v>
      </c>
      <c r="W182" t="s">
        <v>2513</v>
      </c>
      <c r="X182" t="s">
        <v>75</v>
      </c>
    </row>
    <row r="183" spans="1:24">
      <c r="A183" t="s">
        <v>22</v>
      </c>
      <c r="B183" t="s">
        <v>76</v>
      </c>
      <c r="C183" s="36">
        <v>45197</v>
      </c>
      <c r="D183" t="s">
        <v>771</v>
      </c>
      <c r="E183" s="36">
        <v>45747</v>
      </c>
      <c r="F183" t="s">
        <v>100</v>
      </c>
      <c r="G183" s="36">
        <v>45743</v>
      </c>
      <c r="H183">
        <v>12</v>
      </c>
      <c r="I183" t="s">
        <v>2509</v>
      </c>
      <c r="J183">
        <v>3.2</v>
      </c>
      <c r="K183">
        <v>3.7</v>
      </c>
      <c r="L183">
        <v>3</v>
      </c>
      <c r="M183">
        <v>0.20000000000000018</v>
      </c>
      <c r="N183">
        <v>0.20000000000000018</v>
      </c>
      <c r="O183">
        <v>-0.5</v>
      </c>
      <c r="P183">
        <v>0.5</v>
      </c>
      <c r="Q183">
        <v>0.25</v>
      </c>
      <c r="R183">
        <v>0.10000000000000009</v>
      </c>
      <c r="S183">
        <v>0.10000000000000009</v>
      </c>
      <c r="T183" t="s">
        <v>160</v>
      </c>
      <c r="U183">
        <v>5.7</v>
      </c>
      <c r="V183">
        <v>2.7</v>
      </c>
      <c r="W183" t="s">
        <v>2513</v>
      </c>
      <c r="X183" t="s">
        <v>77</v>
      </c>
    </row>
    <row r="184" spans="1:24">
      <c r="A184" t="s">
        <v>22</v>
      </c>
      <c r="B184" t="s">
        <v>78</v>
      </c>
      <c r="C184" s="36">
        <v>45239</v>
      </c>
      <c r="D184" t="s">
        <v>771</v>
      </c>
      <c r="E184" s="36">
        <v>45747</v>
      </c>
      <c r="F184" t="s">
        <v>100</v>
      </c>
      <c r="G184" s="36">
        <v>45743</v>
      </c>
      <c r="H184">
        <v>11</v>
      </c>
      <c r="I184" t="s">
        <v>2506</v>
      </c>
      <c r="J184">
        <v>3.2</v>
      </c>
      <c r="K184">
        <v>3.7</v>
      </c>
      <c r="L184">
        <v>3</v>
      </c>
      <c r="M184">
        <v>0.20000000000000018</v>
      </c>
      <c r="N184">
        <v>0.20000000000000018</v>
      </c>
      <c r="O184">
        <v>-0.5</v>
      </c>
      <c r="P184">
        <v>0.5</v>
      </c>
      <c r="Q184">
        <v>0.25</v>
      </c>
      <c r="R184">
        <v>0</v>
      </c>
      <c r="S184">
        <v>0</v>
      </c>
      <c r="T184" t="s">
        <v>183</v>
      </c>
      <c r="U184">
        <v>4.5999999999999996</v>
      </c>
      <c r="V184">
        <v>1.5999999999999996</v>
      </c>
      <c r="W184" t="s">
        <v>2513</v>
      </c>
      <c r="X184" t="s">
        <v>79</v>
      </c>
    </row>
    <row r="185" spans="1:24">
      <c r="A185" t="s">
        <v>22</v>
      </c>
      <c r="B185" t="s">
        <v>80</v>
      </c>
      <c r="C185" s="36">
        <v>45274</v>
      </c>
      <c r="D185" t="s">
        <v>771</v>
      </c>
      <c r="E185" s="36">
        <v>45747</v>
      </c>
      <c r="F185" t="s">
        <v>100</v>
      </c>
      <c r="G185" s="36">
        <v>45743</v>
      </c>
      <c r="H185">
        <v>10</v>
      </c>
      <c r="I185" t="s">
        <v>2507</v>
      </c>
      <c r="J185">
        <v>3.2</v>
      </c>
      <c r="K185">
        <v>3.7</v>
      </c>
      <c r="L185">
        <v>3</v>
      </c>
      <c r="M185">
        <v>0.20000000000000018</v>
      </c>
      <c r="N185">
        <v>0.20000000000000018</v>
      </c>
      <c r="O185">
        <v>-0.5</v>
      </c>
      <c r="P185">
        <v>0.5</v>
      </c>
      <c r="Q185">
        <v>0.25</v>
      </c>
      <c r="R185">
        <v>0</v>
      </c>
      <c r="S185">
        <v>0</v>
      </c>
      <c r="T185" t="s">
        <v>183</v>
      </c>
      <c r="U185">
        <v>4.5999999999999996</v>
      </c>
      <c r="V185">
        <v>1.5999999999999996</v>
      </c>
      <c r="W185" t="s">
        <v>2513</v>
      </c>
      <c r="X185" t="s">
        <v>81</v>
      </c>
    </row>
    <row r="186" spans="1:24">
      <c r="A186" t="s">
        <v>22</v>
      </c>
      <c r="B186" t="s">
        <v>82</v>
      </c>
      <c r="C186" s="36">
        <v>45330</v>
      </c>
      <c r="D186" t="s">
        <v>771</v>
      </c>
      <c r="E186" s="36">
        <v>45747</v>
      </c>
      <c r="F186" t="s">
        <v>100</v>
      </c>
      <c r="G186" s="36">
        <v>45743</v>
      </c>
      <c r="H186">
        <v>9</v>
      </c>
      <c r="I186" t="s">
        <v>2504</v>
      </c>
      <c r="J186">
        <v>3.2</v>
      </c>
      <c r="K186">
        <v>3.7</v>
      </c>
      <c r="L186">
        <v>3</v>
      </c>
      <c r="M186">
        <v>0.20000000000000018</v>
      </c>
      <c r="N186">
        <v>0.20000000000000018</v>
      </c>
      <c r="O186">
        <v>-0.5</v>
      </c>
      <c r="P186">
        <v>0.5</v>
      </c>
      <c r="Q186">
        <v>0.25</v>
      </c>
      <c r="R186">
        <v>0</v>
      </c>
      <c r="S186">
        <v>0</v>
      </c>
      <c r="T186" t="s">
        <v>254</v>
      </c>
      <c r="U186">
        <v>4.4000000000000004</v>
      </c>
      <c r="V186">
        <v>1.4000000000000004</v>
      </c>
      <c r="W186" t="s">
        <v>2513</v>
      </c>
      <c r="X186" t="s">
        <v>83</v>
      </c>
    </row>
    <row r="187" spans="1:24">
      <c r="A187" t="s">
        <v>22</v>
      </c>
      <c r="B187" t="s">
        <v>84</v>
      </c>
      <c r="C187" s="36">
        <v>45372</v>
      </c>
      <c r="D187" t="s">
        <v>771</v>
      </c>
      <c r="E187" s="36">
        <v>45747</v>
      </c>
      <c r="F187" t="s">
        <v>100</v>
      </c>
      <c r="G187" s="36">
        <v>45743</v>
      </c>
      <c r="H187">
        <v>8</v>
      </c>
      <c r="I187" t="s">
        <v>2505</v>
      </c>
      <c r="J187">
        <v>3.2</v>
      </c>
      <c r="K187">
        <v>3.7</v>
      </c>
      <c r="L187">
        <v>3</v>
      </c>
      <c r="M187">
        <v>0.20000000000000018</v>
      </c>
      <c r="N187">
        <v>0.20000000000000018</v>
      </c>
      <c r="O187">
        <v>-0.5</v>
      </c>
      <c r="P187">
        <v>0.5</v>
      </c>
      <c r="Q187">
        <v>0.25</v>
      </c>
      <c r="R187">
        <v>0</v>
      </c>
      <c r="S187">
        <v>0</v>
      </c>
      <c r="T187" t="s">
        <v>254</v>
      </c>
      <c r="U187">
        <v>4.4000000000000004</v>
      </c>
      <c r="V187">
        <v>1.4000000000000004</v>
      </c>
      <c r="W187" t="s">
        <v>2513</v>
      </c>
      <c r="X187" t="s">
        <v>85</v>
      </c>
    </row>
    <row r="188" spans="1:24">
      <c r="A188" t="s">
        <v>22</v>
      </c>
      <c r="B188" t="s">
        <v>86</v>
      </c>
      <c r="C188" s="36">
        <v>45421</v>
      </c>
      <c r="D188" t="s">
        <v>771</v>
      </c>
      <c r="E188" s="36">
        <v>45747</v>
      </c>
      <c r="F188" t="s">
        <v>100</v>
      </c>
      <c r="G188" s="36">
        <v>45743</v>
      </c>
      <c r="H188">
        <v>7</v>
      </c>
      <c r="I188" t="s">
        <v>2502</v>
      </c>
      <c r="J188">
        <v>3.5</v>
      </c>
      <c r="K188">
        <v>3.7</v>
      </c>
      <c r="L188">
        <v>3</v>
      </c>
      <c r="M188">
        <v>0.5</v>
      </c>
      <c r="N188">
        <v>0.5</v>
      </c>
      <c r="O188">
        <v>-0.20000000000000018</v>
      </c>
      <c r="P188">
        <v>0.20000000000000018</v>
      </c>
      <c r="Q188">
        <v>4.000000000000007E-2</v>
      </c>
      <c r="R188">
        <v>0.29999999999999982</v>
      </c>
      <c r="S188">
        <v>0.29999999999999982</v>
      </c>
      <c r="T188" t="s">
        <v>355</v>
      </c>
      <c r="U188">
        <v>4.5999999999999996</v>
      </c>
      <c r="V188">
        <v>1.5999999999999996</v>
      </c>
      <c r="W188" t="s">
        <v>2513</v>
      </c>
      <c r="X188" t="s">
        <v>87</v>
      </c>
    </row>
    <row r="189" spans="1:24">
      <c r="A189" t="s">
        <v>22</v>
      </c>
      <c r="B189" t="s">
        <v>88</v>
      </c>
      <c r="C189" s="36">
        <v>45470</v>
      </c>
      <c r="D189" t="s">
        <v>771</v>
      </c>
      <c r="E189" s="36">
        <v>45747</v>
      </c>
      <c r="F189" t="s">
        <v>100</v>
      </c>
      <c r="G189" s="36">
        <v>45743</v>
      </c>
      <c r="H189">
        <v>6</v>
      </c>
      <c r="I189" t="s">
        <v>2503</v>
      </c>
      <c r="J189">
        <v>3.5</v>
      </c>
      <c r="K189">
        <v>3.7</v>
      </c>
      <c r="L189">
        <v>3</v>
      </c>
      <c r="M189">
        <v>0.5</v>
      </c>
      <c r="N189">
        <v>0.5</v>
      </c>
      <c r="O189">
        <v>-0.20000000000000018</v>
      </c>
      <c r="P189">
        <v>0.20000000000000018</v>
      </c>
      <c r="Q189">
        <v>4.000000000000007E-2</v>
      </c>
      <c r="R189">
        <v>0</v>
      </c>
      <c r="S189">
        <v>0</v>
      </c>
      <c r="T189" t="s">
        <v>355</v>
      </c>
      <c r="U189">
        <v>4.5999999999999996</v>
      </c>
      <c r="V189">
        <v>1.5999999999999996</v>
      </c>
      <c r="W189" t="s">
        <v>2513</v>
      </c>
      <c r="X189" t="s">
        <v>89</v>
      </c>
    </row>
    <row r="190" spans="1:24">
      <c r="A190" t="s">
        <v>22</v>
      </c>
      <c r="B190" t="s">
        <v>90</v>
      </c>
      <c r="C190" s="36">
        <v>45512</v>
      </c>
      <c r="D190" t="s">
        <v>771</v>
      </c>
      <c r="E190" s="36">
        <v>45747</v>
      </c>
      <c r="F190" t="s">
        <v>100</v>
      </c>
      <c r="G190" s="36">
        <v>45743</v>
      </c>
      <c r="H190">
        <v>5</v>
      </c>
      <c r="I190" t="s">
        <v>2500</v>
      </c>
      <c r="J190">
        <v>3.7</v>
      </c>
      <c r="K190">
        <v>3.7</v>
      </c>
      <c r="L190">
        <v>3</v>
      </c>
      <c r="M190">
        <v>0.70000000000000018</v>
      </c>
      <c r="N190">
        <v>0.70000000000000018</v>
      </c>
      <c r="O190">
        <v>0</v>
      </c>
      <c r="P190">
        <v>0</v>
      </c>
      <c r="Q190">
        <v>0</v>
      </c>
      <c r="R190">
        <v>0.20000000000000018</v>
      </c>
      <c r="S190">
        <v>0.20000000000000018</v>
      </c>
      <c r="T190" t="s">
        <v>460</v>
      </c>
      <c r="U190">
        <v>4.8</v>
      </c>
      <c r="V190">
        <v>1.7999999999999998</v>
      </c>
      <c r="W190" t="s">
        <v>2513</v>
      </c>
      <c r="X190" t="s">
        <v>91</v>
      </c>
    </row>
    <row r="191" spans="1:24">
      <c r="A191" t="s">
        <v>22</v>
      </c>
      <c r="B191" t="s">
        <v>92</v>
      </c>
      <c r="C191" s="36">
        <v>45561</v>
      </c>
      <c r="D191" t="s">
        <v>771</v>
      </c>
      <c r="E191" s="36">
        <v>45747</v>
      </c>
      <c r="F191" t="s">
        <v>100</v>
      </c>
      <c r="G191" s="36">
        <v>45743</v>
      </c>
      <c r="H191">
        <v>4</v>
      </c>
      <c r="I191" t="s">
        <v>2501</v>
      </c>
      <c r="J191">
        <v>3.7</v>
      </c>
      <c r="K191">
        <v>3.7</v>
      </c>
      <c r="L191">
        <v>3</v>
      </c>
      <c r="M191">
        <v>0.70000000000000018</v>
      </c>
      <c r="N191">
        <v>0.70000000000000018</v>
      </c>
      <c r="O191">
        <v>0</v>
      </c>
      <c r="P191">
        <v>0</v>
      </c>
      <c r="Q191">
        <v>0</v>
      </c>
      <c r="R191">
        <v>0</v>
      </c>
      <c r="S191">
        <v>0</v>
      </c>
      <c r="T191" t="s">
        <v>460</v>
      </c>
      <c r="U191">
        <v>4.8</v>
      </c>
      <c r="V191">
        <v>1.7999999999999998</v>
      </c>
      <c r="W191" t="s">
        <v>2513</v>
      </c>
      <c r="X191" t="s">
        <v>93</v>
      </c>
    </row>
    <row r="192" spans="1:24">
      <c r="A192" t="s">
        <v>22</v>
      </c>
      <c r="B192" t="s">
        <v>94</v>
      </c>
      <c r="C192" s="36">
        <v>45610</v>
      </c>
      <c r="D192" t="s">
        <v>771</v>
      </c>
      <c r="E192" s="36">
        <v>45747</v>
      </c>
      <c r="F192" t="s">
        <v>100</v>
      </c>
      <c r="G192" s="36">
        <v>45743</v>
      </c>
      <c r="H192">
        <v>3</v>
      </c>
      <c r="I192" t="s">
        <v>2498</v>
      </c>
      <c r="J192">
        <v>3.9</v>
      </c>
      <c r="K192">
        <v>3.7</v>
      </c>
      <c r="L192">
        <v>3</v>
      </c>
      <c r="M192">
        <v>0.89999999999999991</v>
      </c>
      <c r="N192">
        <v>0.89999999999999991</v>
      </c>
      <c r="O192">
        <v>0.19999999999999973</v>
      </c>
      <c r="P192">
        <v>0.19999999999999973</v>
      </c>
      <c r="Q192">
        <v>3.9999999999999897E-2</v>
      </c>
      <c r="R192">
        <v>0.19999999999999973</v>
      </c>
      <c r="S192">
        <v>0.19999999999999973</v>
      </c>
      <c r="T192" t="s">
        <v>565</v>
      </c>
      <c r="U192">
        <v>5</v>
      </c>
      <c r="V192">
        <v>2</v>
      </c>
      <c r="W192" t="s">
        <v>2513</v>
      </c>
      <c r="X192" t="s">
        <v>95</v>
      </c>
    </row>
    <row r="193" spans="1:24">
      <c r="A193" t="s">
        <v>22</v>
      </c>
      <c r="B193" t="s">
        <v>96</v>
      </c>
      <c r="C193" s="36">
        <v>45645</v>
      </c>
      <c r="D193" t="s">
        <v>771</v>
      </c>
      <c r="E193" s="36">
        <v>45747</v>
      </c>
      <c r="F193" t="s">
        <v>100</v>
      </c>
      <c r="G193" s="36">
        <v>45743</v>
      </c>
      <c r="H193">
        <v>2</v>
      </c>
      <c r="I193" t="s">
        <v>2499</v>
      </c>
      <c r="J193">
        <v>3.8</v>
      </c>
      <c r="K193">
        <v>3.7</v>
      </c>
      <c r="L193">
        <v>3</v>
      </c>
      <c r="M193">
        <v>0.79999999999999982</v>
      </c>
      <c r="N193">
        <v>0.79999999999999982</v>
      </c>
      <c r="O193">
        <v>9.9999999999999645E-2</v>
      </c>
      <c r="P193">
        <v>9.9999999999999645E-2</v>
      </c>
      <c r="Q193">
        <v>9.9999999999999291E-3</v>
      </c>
      <c r="R193">
        <v>-0.10000000000000009</v>
      </c>
      <c r="S193">
        <v>0.10000000000000009</v>
      </c>
      <c r="T193" t="s">
        <v>565</v>
      </c>
      <c r="U193">
        <v>5</v>
      </c>
      <c r="V193">
        <v>2</v>
      </c>
      <c r="W193" t="s">
        <v>2513</v>
      </c>
      <c r="X193" t="s">
        <v>97</v>
      </c>
    </row>
    <row r="194" spans="1:24">
      <c r="A194" t="s">
        <v>22</v>
      </c>
      <c r="B194" t="s">
        <v>98</v>
      </c>
      <c r="C194" s="36">
        <v>45694</v>
      </c>
      <c r="D194" t="s">
        <v>771</v>
      </c>
      <c r="E194" s="36">
        <v>45747</v>
      </c>
      <c r="F194" t="s">
        <v>100</v>
      </c>
      <c r="G194" s="36">
        <v>45743</v>
      </c>
      <c r="H194">
        <v>1</v>
      </c>
      <c r="I194" t="s">
        <v>2495</v>
      </c>
      <c r="J194">
        <v>3.7</v>
      </c>
      <c r="K194">
        <v>3.7</v>
      </c>
      <c r="L194">
        <v>3</v>
      </c>
      <c r="M194">
        <v>0.70000000000000018</v>
      </c>
      <c r="N194">
        <v>0.70000000000000018</v>
      </c>
      <c r="O194">
        <v>0</v>
      </c>
      <c r="P194">
        <v>0</v>
      </c>
      <c r="Q194">
        <v>0</v>
      </c>
      <c r="R194">
        <v>-9.9999999999999645E-2</v>
      </c>
      <c r="S194">
        <v>9.9999999999999645E-2</v>
      </c>
      <c r="T194" t="s">
        <v>670</v>
      </c>
      <c r="U194">
        <v>4.5</v>
      </c>
      <c r="V194">
        <v>1.5</v>
      </c>
      <c r="W194" t="s">
        <v>2513</v>
      </c>
      <c r="X194" t="s">
        <v>99</v>
      </c>
    </row>
    <row r="195" spans="1:24">
      <c r="A195" t="s">
        <v>22</v>
      </c>
      <c r="B195" t="s">
        <v>100</v>
      </c>
      <c r="C195" s="36">
        <v>45743</v>
      </c>
      <c r="D195" t="s">
        <v>771</v>
      </c>
      <c r="E195" s="36">
        <v>45747</v>
      </c>
      <c r="F195" t="s">
        <v>100</v>
      </c>
      <c r="G195" s="36">
        <v>45743</v>
      </c>
      <c r="H195">
        <v>0</v>
      </c>
      <c r="I195" t="s">
        <v>2497</v>
      </c>
      <c r="J195">
        <v>3.7</v>
      </c>
      <c r="K195">
        <v>3.7</v>
      </c>
      <c r="L195">
        <v>3</v>
      </c>
      <c r="M195">
        <v>0.70000000000000018</v>
      </c>
      <c r="N195">
        <v>0.70000000000000018</v>
      </c>
      <c r="O195">
        <v>0</v>
      </c>
      <c r="P195">
        <v>0</v>
      </c>
      <c r="Q195">
        <v>0</v>
      </c>
      <c r="R195">
        <v>0</v>
      </c>
      <c r="S195">
        <v>0</v>
      </c>
      <c r="T195" t="s">
        <v>670</v>
      </c>
      <c r="U195">
        <v>4.5</v>
      </c>
      <c r="V195">
        <v>1.5</v>
      </c>
      <c r="W195" t="s">
        <v>2513</v>
      </c>
      <c r="X195" t="s">
        <v>101</v>
      </c>
    </row>
    <row r="196" spans="1:24">
      <c r="A196" t="s">
        <v>22</v>
      </c>
      <c r="B196" t="s">
        <v>72</v>
      </c>
      <c r="C196" s="36">
        <v>45099</v>
      </c>
      <c r="D196" t="s">
        <v>876</v>
      </c>
      <c r="E196" s="36">
        <v>45838</v>
      </c>
      <c r="F196" t="s">
        <v>104</v>
      </c>
      <c r="G196" s="36">
        <v>45834</v>
      </c>
      <c r="H196">
        <v>16</v>
      </c>
      <c r="I196" t="s">
        <v>2512</v>
      </c>
      <c r="J196">
        <v>3.1</v>
      </c>
      <c r="K196">
        <v>4.2</v>
      </c>
      <c r="L196">
        <v>3</v>
      </c>
      <c r="M196">
        <v>0.10000000000000009</v>
      </c>
      <c r="N196">
        <v>0.10000000000000009</v>
      </c>
      <c r="O196">
        <v>-1.1000000000000001</v>
      </c>
      <c r="P196">
        <v>1.1000000000000001</v>
      </c>
      <c r="Q196">
        <v>1.2100000000000002</v>
      </c>
      <c r="T196" t="s">
        <v>157</v>
      </c>
      <c r="U196">
        <v>7.5</v>
      </c>
      <c r="V196">
        <v>4.5</v>
      </c>
      <c r="W196" t="s">
        <v>2496</v>
      </c>
      <c r="X196" t="s">
        <v>73</v>
      </c>
    </row>
    <row r="197" spans="1:24">
      <c r="A197" t="s">
        <v>22</v>
      </c>
      <c r="B197" t="s">
        <v>74</v>
      </c>
      <c r="C197" s="36">
        <v>45148</v>
      </c>
      <c r="D197" t="s">
        <v>876</v>
      </c>
      <c r="E197" s="36">
        <v>45838</v>
      </c>
      <c r="F197" t="s">
        <v>104</v>
      </c>
      <c r="G197" s="36">
        <v>45834</v>
      </c>
      <c r="H197">
        <v>15</v>
      </c>
      <c r="I197" t="s">
        <v>2510</v>
      </c>
      <c r="J197">
        <v>3.1</v>
      </c>
      <c r="K197">
        <v>4.2</v>
      </c>
      <c r="L197">
        <v>3</v>
      </c>
      <c r="M197">
        <v>0.10000000000000009</v>
      </c>
      <c r="N197">
        <v>0.10000000000000009</v>
      </c>
      <c r="O197">
        <v>-1.1000000000000001</v>
      </c>
      <c r="P197">
        <v>1.1000000000000001</v>
      </c>
      <c r="Q197">
        <v>1.2100000000000002</v>
      </c>
      <c r="R197">
        <v>0</v>
      </c>
      <c r="S197">
        <v>0</v>
      </c>
      <c r="T197" t="s">
        <v>160</v>
      </c>
      <c r="U197">
        <v>5.7</v>
      </c>
      <c r="V197">
        <v>2.7</v>
      </c>
      <c r="W197" t="s">
        <v>2496</v>
      </c>
      <c r="X197" t="s">
        <v>75</v>
      </c>
    </row>
    <row r="198" spans="1:24">
      <c r="A198" t="s">
        <v>22</v>
      </c>
      <c r="B198" t="s">
        <v>76</v>
      </c>
      <c r="C198" s="36">
        <v>45197</v>
      </c>
      <c r="D198" t="s">
        <v>876</v>
      </c>
      <c r="E198" s="36">
        <v>45838</v>
      </c>
      <c r="F198" t="s">
        <v>104</v>
      </c>
      <c r="G198" s="36">
        <v>45834</v>
      </c>
      <c r="H198">
        <v>14</v>
      </c>
      <c r="I198" t="s">
        <v>2511</v>
      </c>
      <c r="J198">
        <v>3.1</v>
      </c>
      <c r="K198">
        <v>4.2</v>
      </c>
      <c r="L198">
        <v>3</v>
      </c>
      <c r="M198">
        <v>0.10000000000000009</v>
      </c>
      <c r="N198">
        <v>0.10000000000000009</v>
      </c>
      <c r="O198">
        <v>-1.1000000000000001</v>
      </c>
      <c r="P198">
        <v>1.1000000000000001</v>
      </c>
      <c r="Q198">
        <v>1.2100000000000002</v>
      </c>
      <c r="R198">
        <v>0</v>
      </c>
      <c r="S198">
        <v>0</v>
      </c>
      <c r="T198" t="s">
        <v>160</v>
      </c>
      <c r="U198">
        <v>5.7</v>
      </c>
      <c r="V198">
        <v>2.7</v>
      </c>
      <c r="W198" t="s">
        <v>2496</v>
      </c>
      <c r="X198" t="s">
        <v>77</v>
      </c>
    </row>
    <row r="199" spans="1:24">
      <c r="A199" t="s">
        <v>22</v>
      </c>
      <c r="B199" t="s">
        <v>78</v>
      </c>
      <c r="C199" s="36">
        <v>45239</v>
      </c>
      <c r="D199" t="s">
        <v>876</v>
      </c>
      <c r="E199" s="36">
        <v>45838</v>
      </c>
      <c r="F199" t="s">
        <v>104</v>
      </c>
      <c r="G199" s="36">
        <v>45834</v>
      </c>
      <c r="H199">
        <v>13</v>
      </c>
      <c r="I199" t="s">
        <v>2508</v>
      </c>
      <c r="J199">
        <v>3.1</v>
      </c>
      <c r="K199">
        <v>4.2</v>
      </c>
      <c r="L199">
        <v>3</v>
      </c>
      <c r="M199">
        <v>0.10000000000000009</v>
      </c>
      <c r="N199">
        <v>0.10000000000000009</v>
      </c>
      <c r="O199">
        <v>-1.1000000000000001</v>
      </c>
      <c r="P199">
        <v>1.1000000000000001</v>
      </c>
      <c r="Q199">
        <v>1.2100000000000002</v>
      </c>
      <c r="R199">
        <v>0</v>
      </c>
      <c r="S199">
        <v>0</v>
      </c>
      <c r="T199" t="s">
        <v>183</v>
      </c>
      <c r="U199">
        <v>4.5999999999999996</v>
      </c>
      <c r="V199">
        <v>1.5999999999999996</v>
      </c>
      <c r="W199" t="s">
        <v>2496</v>
      </c>
      <c r="X199" t="s">
        <v>79</v>
      </c>
    </row>
    <row r="200" spans="1:24">
      <c r="A200" t="s">
        <v>22</v>
      </c>
      <c r="B200" t="s">
        <v>80</v>
      </c>
      <c r="C200" s="36">
        <v>45274</v>
      </c>
      <c r="D200" t="s">
        <v>876</v>
      </c>
      <c r="E200" s="36">
        <v>45838</v>
      </c>
      <c r="F200" t="s">
        <v>104</v>
      </c>
      <c r="G200" s="36">
        <v>45834</v>
      </c>
      <c r="H200">
        <v>12</v>
      </c>
      <c r="I200" t="s">
        <v>2509</v>
      </c>
      <c r="J200">
        <v>3.1</v>
      </c>
      <c r="K200">
        <v>4.2</v>
      </c>
      <c r="L200">
        <v>3</v>
      </c>
      <c r="M200">
        <v>0.10000000000000009</v>
      </c>
      <c r="N200">
        <v>0.10000000000000009</v>
      </c>
      <c r="O200">
        <v>-1.1000000000000001</v>
      </c>
      <c r="P200">
        <v>1.1000000000000001</v>
      </c>
      <c r="Q200">
        <v>1.2100000000000002</v>
      </c>
      <c r="R200">
        <v>0</v>
      </c>
      <c r="S200">
        <v>0</v>
      </c>
      <c r="T200" t="s">
        <v>183</v>
      </c>
      <c r="U200">
        <v>4.5999999999999996</v>
      </c>
      <c r="V200">
        <v>1.5999999999999996</v>
      </c>
      <c r="W200" t="s">
        <v>2496</v>
      </c>
      <c r="X200" t="s">
        <v>81</v>
      </c>
    </row>
    <row r="201" spans="1:24">
      <c r="A201" t="s">
        <v>22</v>
      </c>
      <c r="B201" t="s">
        <v>82</v>
      </c>
      <c r="C201" s="36">
        <v>45330</v>
      </c>
      <c r="D201" t="s">
        <v>876</v>
      </c>
      <c r="E201" s="36">
        <v>45838</v>
      </c>
      <c r="F201" t="s">
        <v>104</v>
      </c>
      <c r="G201" s="36">
        <v>45834</v>
      </c>
      <c r="H201">
        <v>11</v>
      </c>
      <c r="I201" t="s">
        <v>2506</v>
      </c>
      <c r="J201">
        <v>3.1</v>
      </c>
      <c r="K201">
        <v>4.2</v>
      </c>
      <c r="L201">
        <v>3</v>
      </c>
      <c r="M201">
        <v>0.10000000000000009</v>
      </c>
      <c r="N201">
        <v>0.10000000000000009</v>
      </c>
      <c r="O201">
        <v>-1.1000000000000001</v>
      </c>
      <c r="P201">
        <v>1.1000000000000001</v>
      </c>
      <c r="Q201">
        <v>1.2100000000000002</v>
      </c>
      <c r="R201">
        <v>0</v>
      </c>
      <c r="S201">
        <v>0</v>
      </c>
      <c r="T201" t="s">
        <v>254</v>
      </c>
      <c r="U201">
        <v>4.4000000000000004</v>
      </c>
      <c r="V201">
        <v>1.4000000000000004</v>
      </c>
      <c r="W201" t="s">
        <v>2496</v>
      </c>
      <c r="X201" t="s">
        <v>83</v>
      </c>
    </row>
    <row r="202" spans="1:24">
      <c r="A202" t="s">
        <v>22</v>
      </c>
      <c r="B202" t="s">
        <v>84</v>
      </c>
      <c r="C202" s="36">
        <v>45372</v>
      </c>
      <c r="D202" t="s">
        <v>876</v>
      </c>
      <c r="E202" s="36">
        <v>45838</v>
      </c>
      <c r="F202" t="s">
        <v>104</v>
      </c>
      <c r="G202" s="36">
        <v>45834</v>
      </c>
      <c r="H202">
        <v>10</v>
      </c>
      <c r="I202" t="s">
        <v>2507</v>
      </c>
      <c r="J202">
        <v>3.1</v>
      </c>
      <c r="K202">
        <v>4.2</v>
      </c>
      <c r="L202">
        <v>3</v>
      </c>
      <c r="M202">
        <v>0.10000000000000009</v>
      </c>
      <c r="N202">
        <v>0.10000000000000009</v>
      </c>
      <c r="O202">
        <v>-1.1000000000000001</v>
      </c>
      <c r="P202">
        <v>1.1000000000000001</v>
      </c>
      <c r="Q202">
        <v>1.2100000000000002</v>
      </c>
      <c r="R202">
        <v>0</v>
      </c>
      <c r="S202">
        <v>0</v>
      </c>
      <c r="T202" t="s">
        <v>254</v>
      </c>
      <c r="U202">
        <v>4.4000000000000004</v>
      </c>
      <c r="V202">
        <v>1.4000000000000004</v>
      </c>
      <c r="W202" t="s">
        <v>2496</v>
      </c>
      <c r="X202" t="s">
        <v>85</v>
      </c>
    </row>
    <row r="203" spans="1:24">
      <c r="A203" t="s">
        <v>22</v>
      </c>
      <c r="B203" t="s">
        <v>86</v>
      </c>
      <c r="C203" s="36">
        <v>45421</v>
      </c>
      <c r="D203" t="s">
        <v>876</v>
      </c>
      <c r="E203" s="36">
        <v>45838</v>
      </c>
      <c r="F203" t="s">
        <v>104</v>
      </c>
      <c r="G203" s="36">
        <v>45834</v>
      </c>
      <c r="H203">
        <v>9</v>
      </c>
      <c r="I203" t="s">
        <v>2504</v>
      </c>
      <c r="J203">
        <v>3.3</v>
      </c>
      <c r="K203">
        <v>4.2</v>
      </c>
      <c r="L203">
        <v>3</v>
      </c>
      <c r="M203">
        <v>0.29999999999999982</v>
      </c>
      <c r="N203">
        <v>0.29999999999999982</v>
      </c>
      <c r="O203">
        <v>-0.90000000000000036</v>
      </c>
      <c r="P203">
        <v>0.90000000000000036</v>
      </c>
      <c r="Q203">
        <v>0.81000000000000061</v>
      </c>
      <c r="R203">
        <v>0.19999999999999973</v>
      </c>
      <c r="S203">
        <v>0.19999999999999973</v>
      </c>
      <c r="T203" t="s">
        <v>355</v>
      </c>
      <c r="U203">
        <v>4.5999999999999996</v>
      </c>
      <c r="V203">
        <v>1.5999999999999996</v>
      </c>
      <c r="W203" t="s">
        <v>2496</v>
      </c>
      <c r="X203" t="s">
        <v>87</v>
      </c>
    </row>
    <row r="204" spans="1:24">
      <c r="A204" t="s">
        <v>22</v>
      </c>
      <c r="B204" t="s">
        <v>88</v>
      </c>
      <c r="C204" s="36">
        <v>45470</v>
      </c>
      <c r="D204" t="s">
        <v>876</v>
      </c>
      <c r="E204" s="36">
        <v>45838</v>
      </c>
      <c r="F204" t="s">
        <v>104</v>
      </c>
      <c r="G204" s="36">
        <v>45834</v>
      </c>
      <c r="H204">
        <v>8</v>
      </c>
      <c r="I204" t="s">
        <v>2505</v>
      </c>
      <c r="J204">
        <v>3.3</v>
      </c>
      <c r="K204">
        <v>4.2</v>
      </c>
      <c r="L204">
        <v>3</v>
      </c>
      <c r="M204">
        <v>0.29999999999999982</v>
      </c>
      <c r="N204">
        <v>0.29999999999999982</v>
      </c>
      <c r="O204">
        <v>-0.90000000000000036</v>
      </c>
      <c r="P204">
        <v>0.90000000000000036</v>
      </c>
      <c r="Q204">
        <v>0.81000000000000061</v>
      </c>
      <c r="R204">
        <v>0</v>
      </c>
      <c r="S204">
        <v>0</v>
      </c>
      <c r="T204" t="s">
        <v>355</v>
      </c>
      <c r="U204">
        <v>4.5999999999999996</v>
      </c>
      <c r="V204">
        <v>1.5999999999999996</v>
      </c>
      <c r="W204" t="s">
        <v>2496</v>
      </c>
      <c r="X204" t="s">
        <v>89</v>
      </c>
    </row>
    <row r="205" spans="1:24">
      <c r="A205" t="s">
        <v>22</v>
      </c>
      <c r="B205" t="s">
        <v>90</v>
      </c>
      <c r="C205" s="36">
        <v>45512</v>
      </c>
      <c r="D205" t="s">
        <v>876</v>
      </c>
      <c r="E205" s="36">
        <v>45838</v>
      </c>
      <c r="F205" t="s">
        <v>104</v>
      </c>
      <c r="G205" s="36">
        <v>45834</v>
      </c>
      <c r="H205">
        <v>7</v>
      </c>
      <c r="I205" t="s">
        <v>2502</v>
      </c>
      <c r="J205">
        <v>3.3</v>
      </c>
      <c r="K205">
        <v>4.2</v>
      </c>
      <c r="L205">
        <v>3</v>
      </c>
      <c r="M205">
        <v>0.29999999999999982</v>
      </c>
      <c r="N205">
        <v>0.29999999999999982</v>
      </c>
      <c r="O205">
        <v>-0.90000000000000036</v>
      </c>
      <c r="P205">
        <v>0.90000000000000036</v>
      </c>
      <c r="Q205">
        <v>0.81000000000000061</v>
      </c>
      <c r="R205">
        <v>0</v>
      </c>
      <c r="S205">
        <v>0</v>
      </c>
      <c r="T205" t="s">
        <v>460</v>
      </c>
      <c r="U205">
        <v>4.8</v>
      </c>
      <c r="V205">
        <v>1.7999999999999998</v>
      </c>
      <c r="W205" t="s">
        <v>2496</v>
      </c>
      <c r="X205" t="s">
        <v>91</v>
      </c>
    </row>
    <row r="206" spans="1:24">
      <c r="A206" t="s">
        <v>22</v>
      </c>
      <c r="B206" t="s">
        <v>92</v>
      </c>
      <c r="C206" s="36">
        <v>45561</v>
      </c>
      <c r="D206" t="s">
        <v>876</v>
      </c>
      <c r="E206" s="36">
        <v>45838</v>
      </c>
      <c r="F206" t="s">
        <v>104</v>
      </c>
      <c r="G206" s="36">
        <v>45834</v>
      </c>
      <c r="H206">
        <v>6</v>
      </c>
      <c r="I206" t="s">
        <v>2503</v>
      </c>
      <c r="J206">
        <v>3.3</v>
      </c>
      <c r="K206">
        <v>4.2</v>
      </c>
      <c r="L206">
        <v>3</v>
      </c>
      <c r="M206">
        <v>0.29999999999999982</v>
      </c>
      <c r="N206">
        <v>0.29999999999999982</v>
      </c>
      <c r="O206">
        <v>-0.90000000000000036</v>
      </c>
      <c r="P206">
        <v>0.90000000000000036</v>
      </c>
      <c r="Q206">
        <v>0.81000000000000061</v>
      </c>
      <c r="R206">
        <v>0</v>
      </c>
      <c r="S206">
        <v>0</v>
      </c>
      <c r="T206" t="s">
        <v>460</v>
      </c>
      <c r="U206">
        <v>4.8</v>
      </c>
      <c r="V206">
        <v>1.7999999999999998</v>
      </c>
      <c r="W206" t="s">
        <v>2496</v>
      </c>
      <c r="X206" t="s">
        <v>93</v>
      </c>
    </row>
    <row r="207" spans="1:24">
      <c r="A207" t="s">
        <v>22</v>
      </c>
      <c r="B207" t="s">
        <v>94</v>
      </c>
      <c r="C207" s="36">
        <v>45610</v>
      </c>
      <c r="D207" t="s">
        <v>876</v>
      </c>
      <c r="E207" s="36">
        <v>45838</v>
      </c>
      <c r="F207" t="s">
        <v>104</v>
      </c>
      <c r="G207" s="36">
        <v>45834</v>
      </c>
      <c r="H207">
        <v>5</v>
      </c>
      <c r="I207" t="s">
        <v>2500</v>
      </c>
      <c r="J207">
        <v>3.4</v>
      </c>
      <c r="K207">
        <v>4.2</v>
      </c>
      <c r="L207">
        <v>3</v>
      </c>
      <c r="M207">
        <v>0.39999999999999991</v>
      </c>
      <c r="N207">
        <v>0.39999999999999991</v>
      </c>
      <c r="O207">
        <v>-0.80000000000000027</v>
      </c>
      <c r="P207">
        <v>0.80000000000000027</v>
      </c>
      <c r="Q207">
        <v>0.64000000000000046</v>
      </c>
      <c r="R207">
        <v>0.10000000000000009</v>
      </c>
      <c r="S207">
        <v>0.10000000000000009</v>
      </c>
      <c r="T207" t="s">
        <v>565</v>
      </c>
      <c r="U207">
        <v>5</v>
      </c>
      <c r="V207">
        <v>2</v>
      </c>
      <c r="W207" t="s">
        <v>2496</v>
      </c>
      <c r="X207" t="s">
        <v>95</v>
      </c>
    </row>
    <row r="208" spans="1:24">
      <c r="A208" t="s">
        <v>22</v>
      </c>
      <c r="B208" t="s">
        <v>96</v>
      </c>
      <c r="C208" s="36">
        <v>45645</v>
      </c>
      <c r="D208" t="s">
        <v>876</v>
      </c>
      <c r="E208" s="36">
        <v>45838</v>
      </c>
      <c r="F208" t="s">
        <v>104</v>
      </c>
      <c r="G208" s="36">
        <v>45834</v>
      </c>
      <c r="H208">
        <v>4</v>
      </c>
      <c r="I208" t="s">
        <v>2501</v>
      </c>
      <c r="J208">
        <v>3.5</v>
      </c>
      <c r="K208">
        <v>4.2</v>
      </c>
      <c r="L208">
        <v>3</v>
      </c>
      <c r="M208">
        <v>0.5</v>
      </c>
      <c r="N208">
        <v>0.5</v>
      </c>
      <c r="O208">
        <v>-0.70000000000000018</v>
      </c>
      <c r="P208">
        <v>0.70000000000000018</v>
      </c>
      <c r="Q208">
        <v>0.49000000000000027</v>
      </c>
      <c r="R208">
        <v>0.10000000000000009</v>
      </c>
      <c r="S208">
        <v>0.10000000000000009</v>
      </c>
      <c r="T208" t="s">
        <v>565</v>
      </c>
      <c r="U208">
        <v>5</v>
      </c>
      <c r="V208">
        <v>2</v>
      </c>
      <c r="W208" t="s">
        <v>2496</v>
      </c>
      <c r="X208" t="s">
        <v>97</v>
      </c>
    </row>
    <row r="209" spans="1:24">
      <c r="A209" t="s">
        <v>22</v>
      </c>
      <c r="B209" t="s">
        <v>98</v>
      </c>
      <c r="C209" s="36">
        <v>45694</v>
      </c>
      <c r="D209" t="s">
        <v>876</v>
      </c>
      <c r="E209" s="36">
        <v>45838</v>
      </c>
      <c r="F209" t="s">
        <v>104</v>
      </c>
      <c r="G209" s="36">
        <v>45834</v>
      </c>
      <c r="H209">
        <v>3</v>
      </c>
      <c r="I209" t="s">
        <v>2498</v>
      </c>
      <c r="J209">
        <v>3.5</v>
      </c>
      <c r="K209">
        <v>4.2</v>
      </c>
      <c r="L209">
        <v>3</v>
      </c>
      <c r="M209">
        <v>0.5</v>
      </c>
      <c r="N209">
        <v>0.5</v>
      </c>
      <c r="O209">
        <v>-0.70000000000000018</v>
      </c>
      <c r="P209">
        <v>0.70000000000000018</v>
      </c>
      <c r="Q209">
        <v>0.49000000000000027</v>
      </c>
      <c r="R209">
        <v>0</v>
      </c>
      <c r="S209">
        <v>0</v>
      </c>
      <c r="T209" t="s">
        <v>670</v>
      </c>
      <c r="U209">
        <v>4.5</v>
      </c>
      <c r="V209">
        <v>1.5</v>
      </c>
      <c r="W209" t="s">
        <v>2496</v>
      </c>
      <c r="X209" t="s">
        <v>99</v>
      </c>
    </row>
    <row r="210" spans="1:24">
      <c r="A210" t="s">
        <v>22</v>
      </c>
      <c r="B210" t="s">
        <v>100</v>
      </c>
      <c r="C210" s="36">
        <v>45743</v>
      </c>
      <c r="D210" t="s">
        <v>876</v>
      </c>
      <c r="E210" s="36">
        <v>45838</v>
      </c>
      <c r="F210" t="s">
        <v>104</v>
      </c>
      <c r="G210" s="36">
        <v>45834</v>
      </c>
      <c r="H210">
        <v>2</v>
      </c>
      <c r="I210" t="s">
        <v>2499</v>
      </c>
      <c r="J210">
        <v>3.5</v>
      </c>
      <c r="K210">
        <v>4.2</v>
      </c>
      <c r="L210">
        <v>3</v>
      </c>
      <c r="M210">
        <v>0.5</v>
      </c>
      <c r="N210">
        <v>0.5</v>
      </c>
      <c r="O210">
        <v>-0.70000000000000018</v>
      </c>
      <c r="P210">
        <v>0.70000000000000018</v>
      </c>
      <c r="Q210">
        <v>0.49000000000000027</v>
      </c>
      <c r="R210">
        <v>0</v>
      </c>
      <c r="S210">
        <v>0</v>
      </c>
      <c r="T210" t="s">
        <v>670</v>
      </c>
      <c r="U210">
        <v>4.5</v>
      </c>
      <c r="V210">
        <v>1.5</v>
      </c>
      <c r="W210" t="s">
        <v>2496</v>
      </c>
      <c r="X210" t="s">
        <v>101</v>
      </c>
    </row>
    <row r="211" spans="1:24">
      <c r="A211" t="s">
        <v>22</v>
      </c>
      <c r="B211" t="s">
        <v>102</v>
      </c>
      <c r="C211" s="36">
        <v>45792</v>
      </c>
      <c r="D211" t="s">
        <v>876</v>
      </c>
      <c r="E211" s="36">
        <v>45838</v>
      </c>
      <c r="F211" t="s">
        <v>104</v>
      </c>
      <c r="G211" s="36">
        <v>45834</v>
      </c>
      <c r="H211">
        <v>1</v>
      </c>
      <c r="I211" t="s">
        <v>2495</v>
      </c>
      <c r="J211">
        <v>3.9</v>
      </c>
      <c r="K211">
        <v>4.2</v>
      </c>
      <c r="L211">
        <v>3</v>
      </c>
      <c r="M211">
        <v>0.89999999999999991</v>
      </c>
      <c r="N211">
        <v>0.89999999999999991</v>
      </c>
      <c r="O211">
        <v>-0.30000000000000027</v>
      </c>
      <c r="P211">
        <v>0.30000000000000027</v>
      </c>
      <c r="Q211">
        <v>9.0000000000000163E-2</v>
      </c>
      <c r="R211">
        <v>0.39999999999999991</v>
      </c>
      <c r="S211">
        <v>0.39999999999999991</v>
      </c>
      <c r="T211" t="s">
        <v>771</v>
      </c>
      <c r="U211">
        <v>3.7</v>
      </c>
      <c r="V211">
        <v>0.70000000000000018</v>
      </c>
      <c r="W211" t="s">
        <v>2496</v>
      </c>
      <c r="X211" t="s">
        <v>103</v>
      </c>
    </row>
    <row r="212" spans="1:24">
      <c r="A212" t="s">
        <v>22</v>
      </c>
      <c r="B212" t="s">
        <v>104</v>
      </c>
      <c r="C212" s="36">
        <v>45834</v>
      </c>
      <c r="D212" t="s">
        <v>876</v>
      </c>
      <c r="E212" s="36">
        <v>45838</v>
      </c>
      <c r="F212" t="s">
        <v>104</v>
      </c>
      <c r="G212" s="36">
        <v>45834</v>
      </c>
      <c r="H212">
        <v>0</v>
      </c>
      <c r="I212" t="s">
        <v>2497</v>
      </c>
      <c r="J212">
        <v>4.3</v>
      </c>
      <c r="K212">
        <v>4.2</v>
      </c>
      <c r="L212">
        <v>3</v>
      </c>
      <c r="M212">
        <v>1.2999999999999998</v>
      </c>
      <c r="N212">
        <v>1.2999999999999998</v>
      </c>
      <c r="O212">
        <v>9.9999999999999645E-2</v>
      </c>
      <c r="P212">
        <v>9.9999999999999645E-2</v>
      </c>
      <c r="Q212">
        <v>9.9999999999999291E-3</v>
      </c>
      <c r="R212">
        <v>0.39999999999999991</v>
      </c>
      <c r="S212">
        <v>0.39999999999999991</v>
      </c>
      <c r="T212" t="s">
        <v>771</v>
      </c>
      <c r="U212">
        <v>3.7</v>
      </c>
      <c r="V212">
        <v>0.70000000000000018</v>
      </c>
      <c r="W212" t="s">
        <v>2496</v>
      </c>
      <c r="X212" t="s">
        <v>105</v>
      </c>
    </row>
    <row r="213" spans="1:24">
      <c r="A213" t="s">
        <v>22</v>
      </c>
      <c r="B213" t="s">
        <v>76</v>
      </c>
      <c r="C213" s="36">
        <v>45197</v>
      </c>
      <c r="D213" t="s">
        <v>981</v>
      </c>
      <c r="E213" s="36">
        <v>45930</v>
      </c>
      <c r="F213" t="s">
        <v>108</v>
      </c>
      <c r="G213" s="36">
        <v>45925</v>
      </c>
      <c r="H213">
        <v>16</v>
      </c>
      <c r="I213" t="s">
        <v>2512</v>
      </c>
      <c r="J213">
        <v>3.1</v>
      </c>
      <c r="K213">
        <v>3.6</v>
      </c>
      <c r="L213">
        <v>3</v>
      </c>
      <c r="M213">
        <v>0.10000000000000009</v>
      </c>
      <c r="N213">
        <v>0.10000000000000009</v>
      </c>
      <c r="O213">
        <v>-0.5</v>
      </c>
      <c r="P213">
        <v>0.5</v>
      </c>
      <c r="Q213">
        <v>0.25</v>
      </c>
      <c r="T213" t="s">
        <v>160</v>
      </c>
      <c r="U213">
        <v>5.7</v>
      </c>
      <c r="V213">
        <v>2.7</v>
      </c>
      <c r="W213" t="s">
        <v>2513</v>
      </c>
      <c r="X213" t="s">
        <v>77</v>
      </c>
    </row>
    <row r="214" spans="1:24">
      <c r="A214" t="s">
        <v>22</v>
      </c>
      <c r="B214" t="s">
        <v>78</v>
      </c>
      <c r="C214" s="36">
        <v>45239</v>
      </c>
      <c r="D214" t="s">
        <v>981</v>
      </c>
      <c r="E214" s="36">
        <v>45930</v>
      </c>
      <c r="F214" t="s">
        <v>108</v>
      </c>
      <c r="G214" s="36">
        <v>45925</v>
      </c>
      <c r="H214">
        <v>15</v>
      </c>
      <c r="I214" t="s">
        <v>2510</v>
      </c>
      <c r="J214">
        <v>3.1</v>
      </c>
      <c r="K214">
        <v>3.6</v>
      </c>
      <c r="L214">
        <v>3</v>
      </c>
      <c r="M214">
        <v>0.10000000000000009</v>
      </c>
      <c r="N214">
        <v>0.10000000000000009</v>
      </c>
      <c r="O214">
        <v>-0.5</v>
      </c>
      <c r="P214">
        <v>0.5</v>
      </c>
      <c r="Q214">
        <v>0.25</v>
      </c>
      <c r="R214">
        <v>0</v>
      </c>
      <c r="S214">
        <v>0</v>
      </c>
      <c r="T214" t="s">
        <v>183</v>
      </c>
      <c r="U214">
        <v>4.5999999999999996</v>
      </c>
      <c r="V214">
        <v>1.5999999999999996</v>
      </c>
      <c r="W214" t="s">
        <v>2513</v>
      </c>
      <c r="X214" t="s">
        <v>79</v>
      </c>
    </row>
    <row r="215" spans="1:24">
      <c r="A215" t="s">
        <v>22</v>
      </c>
      <c r="B215" t="s">
        <v>80</v>
      </c>
      <c r="C215" s="36">
        <v>45274</v>
      </c>
      <c r="D215" t="s">
        <v>981</v>
      </c>
      <c r="E215" s="36">
        <v>45930</v>
      </c>
      <c r="F215" t="s">
        <v>108</v>
      </c>
      <c r="G215" s="36">
        <v>45925</v>
      </c>
      <c r="H215">
        <v>14</v>
      </c>
      <c r="I215" t="s">
        <v>2511</v>
      </c>
      <c r="J215">
        <v>3.1</v>
      </c>
      <c r="K215">
        <v>3.6</v>
      </c>
      <c r="L215">
        <v>3</v>
      </c>
      <c r="M215">
        <v>0.10000000000000009</v>
      </c>
      <c r="N215">
        <v>0.10000000000000009</v>
      </c>
      <c r="O215">
        <v>-0.5</v>
      </c>
      <c r="P215">
        <v>0.5</v>
      </c>
      <c r="Q215">
        <v>0.25</v>
      </c>
      <c r="R215">
        <v>0</v>
      </c>
      <c r="S215">
        <v>0</v>
      </c>
      <c r="T215" t="s">
        <v>183</v>
      </c>
      <c r="U215">
        <v>4.5999999999999996</v>
      </c>
      <c r="V215">
        <v>1.5999999999999996</v>
      </c>
      <c r="W215" t="s">
        <v>2513</v>
      </c>
      <c r="X215" t="s">
        <v>81</v>
      </c>
    </row>
    <row r="216" spans="1:24">
      <c r="A216" t="s">
        <v>22</v>
      </c>
      <c r="B216" t="s">
        <v>82</v>
      </c>
      <c r="C216" s="36">
        <v>45330</v>
      </c>
      <c r="D216" t="s">
        <v>981</v>
      </c>
      <c r="E216" s="36">
        <v>45930</v>
      </c>
      <c r="F216" t="s">
        <v>108</v>
      </c>
      <c r="G216" s="36">
        <v>45925</v>
      </c>
      <c r="H216">
        <v>13</v>
      </c>
      <c r="I216" t="s">
        <v>2508</v>
      </c>
      <c r="J216">
        <v>3.1</v>
      </c>
      <c r="K216">
        <v>3.6</v>
      </c>
      <c r="L216">
        <v>3</v>
      </c>
      <c r="M216">
        <v>0.10000000000000009</v>
      </c>
      <c r="N216">
        <v>0.10000000000000009</v>
      </c>
      <c r="O216">
        <v>-0.5</v>
      </c>
      <c r="P216">
        <v>0.5</v>
      </c>
      <c r="Q216">
        <v>0.25</v>
      </c>
      <c r="R216">
        <v>0</v>
      </c>
      <c r="S216">
        <v>0</v>
      </c>
      <c r="T216" t="s">
        <v>254</v>
      </c>
      <c r="U216">
        <v>4.4000000000000004</v>
      </c>
      <c r="V216">
        <v>1.4000000000000004</v>
      </c>
      <c r="W216" t="s">
        <v>2513</v>
      </c>
      <c r="X216" t="s">
        <v>83</v>
      </c>
    </row>
    <row r="217" spans="1:24">
      <c r="A217" t="s">
        <v>22</v>
      </c>
      <c r="B217" t="s">
        <v>84</v>
      </c>
      <c r="C217" s="36">
        <v>45372</v>
      </c>
      <c r="D217" t="s">
        <v>981</v>
      </c>
      <c r="E217" s="36">
        <v>45930</v>
      </c>
      <c r="F217" t="s">
        <v>108</v>
      </c>
      <c r="G217" s="36">
        <v>45925</v>
      </c>
      <c r="H217">
        <v>12</v>
      </c>
      <c r="I217" t="s">
        <v>2509</v>
      </c>
      <c r="J217">
        <v>3.1</v>
      </c>
      <c r="K217">
        <v>3.6</v>
      </c>
      <c r="L217">
        <v>3</v>
      </c>
      <c r="M217">
        <v>0.10000000000000009</v>
      </c>
      <c r="N217">
        <v>0.10000000000000009</v>
      </c>
      <c r="O217">
        <v>-0.5</v>
      </c>
      <c r="P217">
        <v>0.5</v>
      </c>
      <c r="Q217">
        <v>0.25</v>
      </c>
      <c r="R217">
        <v>0</v>
      </c>
      <c r="S217">
        <v>0</v>
      </c>
      <c r="T217" t="s">
        <v>254</v>
      </c>
      <c r="U217">
        <v>4.4000000000000004</v>
      </c>
      <c r="V217">
        <v>1.4000000000000004</v>
      </c>
      <c r="W217" t="s">
        <v>2513</v>
      </c>
      <c r="X217" t="s">
        <v>85</v>
      </c>
    </row>
    <row r="218" spans="1:24">
      <c r="A218" t="s">
        <v>22</v>
      </c>
      <c r="B218" t="s">
        <v>86</v>
      </c>
      <c r="C218" s="36">
        <v>45421</v>
      </c>
      <c r="D218" t="s">
        <v>981</v>
      </c>
      <c r="E218" s="36">
        <v>45930</v>
      </c>
      <c r="F218" t="s">
        <v>108</v>
      </c>
      <c r="G218" s="36">
        <v>45925</v>
      </c>
      <c r="H218">
        <v>11</v>
      </c>
      <c r="I218" t="s">
        <v>2506</v>
      </c>
      <c r="J218">
        <v>3.2</v>
      </c>
      <c r="K218">
        <v>3.6</v>
      </c>
      <c r="L218">
        <v>3</v>
      </c>
      <c r="M218">
        <v>0.20000000000000018</v>
      </c>
      <c r="N218">
        <v>0.20000000000000018</v>
      </c>
      <c r="O218">
        <v>-0.39999999999999991</v>
      </c>
      <c r="P218">
        <v>0.39999999999999991</v>
      </c>
      <c r="Q218">
        <v>0.15999999999999992</v>
      </c>
      <c r="R218">
        <v>0.10000000000000009</v>
      </c>
      <c r="S218">
        <v>0.10000000000000009</v>
      </c>
      <c r="T218" t="s">
        <v>355</v>
      </c>
      <c r="U218">
        <v>4.5999999999999996</v>
      </c>
      <c r="V218">
        <v>1.5999999999999996</v>
      </c>
      <c r="W218" t="s">
        <v>2513</v>
      </c>
      <c r="X218" t="s">
        <v>87</v>
      </c>
    </row>
    <row r="219" spans="1:24">
      <c r="A219" t="s">
        <v>22</v>
      </c>
      <c r="B219" t="s">
        <v>88</v>
      </c>
      <c r="C219" s="36">
        <v>45470</v>
      </c>
      <c r="D219" t="s">
        <v>981</v>
      </c>
      <c r="E219" s="36">
        <v>45930</v>
      </c>
      <c r="F219" t="s">
        <v>108</v>
      </c>
      <c r="G219" s="36">
        <v>45925</v>
      </c>
      <c r="H219">
        <v>10</v>
      </c>
      <c r="I219" t="s">
        <v>2507</v>
      </c>
      <c r="J219">
        <v>3.1</v>
      </c>
      <c r="K219">
        <v>3.6</v>
      </c>
      <c r="L219">
        <v>3</v>
      </c>
      <c r="M219">
        <v>0.10000000000000009</v>
      </c>
      <c r="N219">
        <v>0.10000000000000009</v>
      </c>
      <c r="O219">
        <v>-0.5</v>
      </c>
      <c r="P219">
        <v>0.5</v>
      </c>
      <c r="Q219">
        <v>0.25</v>
      </c>
      <c r="R219">
        <v>-0.10000000000000009</v>
      </c>
      <c r="S219">
        <v>0.10000000000000009</v>
      </c>
      <c r="T219" t="s">
        <v>355</v>
      </c>
      <c r="U219">
        <v>4.5999999999999996</v>
      </c>
      <c r="V219">
        <v>1.5999999999999996</v>
      </c>
      <c r="W219" t="s">
        <v>2513</v>
      </c>
      <c r="X219" t="s">
        <v>89</v>
      </c>
    </row>
    <row r="220" spans="1:24">
      <c r="A220" t="s">
        <v>22</v>
      </c>
      <c r="B220" t="s">
        <v>90</v>
      </c>
      <c r="C220" s="36">
        <v>45512</v>
      </c>
      <c r="D220" t="s">
        <v>981</v>
      </c>
      <c r="E220" s="36">
        <v>45930</v>
      </c>
      <c r="F220" t="s">
        <v>108</v>
      </c>
      <c r="G220" s="36">
        <v>45925</v>
      </c>
      <c r="H220">
        <v>9</v>
      </c>
      <c r="I220" t="s">
        <v>2504</v>
      </c>
      <c r="J220">
        <v>3.1</v>
      </c>
      <c r="K220">
        <v>3.6</v>
      </c>
      <c r="L220">
        <v>3</v>
      </c>
      <c r="M220">
        <v>0.10000000000000009</v>
      </c>
      <c r="N220">
        <v>0.10000000000000009</v>
      </c>
      <c r="O220">
        <v>-0.5</v>
      </c>
      <c r="P220">
        <v>0.5</v>
      </c>
      <c r="Q220">
        <v>0.25</v>
      </c>
      <c r="R220">
        <v>0</v>
      </c>
      <c r="S220">
        <v>0</v>
      </c>
      <c r="T220" t="s">
        <v>460</v>
      </c>
      <c r="U220">
        <v>4.8</v>
      </c>
      <c r="V220">
        <v>1.7999999999999998</v>
      </c>
      <c r="W220" t="s">
        <v>2513</v>
      </c>
      <c r="X220" t="s">
        <v>91</v>
      </c>
    </row>
    <row r="221" spans="1:24">
      <c r="A221" t="s">
        <v>22</v>
      </c>
      <c r="B221" t="s">
        <v>92</v>
      </c>
      <c r="C221" s="36">
        <v>45561</v>
      </c>
      <c r="D221" t="s">
        <v>981</v>
      </c>
      <c r="E221" s="36">
        <v>45930</v>
      </c>
      <c r="F221" t="s">
        <v>108</v>
      </c>
      <c r="G221" s="36">
        <v>45925</v>
      </c>
      <c r="H221">
        <v>8</v>
      </c>
      <c r="I221" t="s">
        <v>2505</v>
      </c>
      <c r="J221">
        <v>3.1</v>
      </c>
      <c r="K221">
        <v>3.6</v>
      </c>
      <c r="L221">
        <v>3</v>
      </c>
      <c r="M221">
        <v>0.10000000000000009</v>
      </c>
      <c r="N221">
        <v>0.10000000000000009</v>
      </c>
      <c r="O221">
        <v>-0.5</v>
      </c>
      <c r="P221">
        <v>0.5</v>
      </c>
      <c r="Q221">
        <v>0.25</v>
      </c>
      <c r="R221">
        <v>0</v>
      </c>
      <c r="S221">
        <v>0</v>
      </c>
      <c r="T221" t="s">
        <v>460</v>
      </c>
      <c r="U221">
        <v>4.8</v>
      </c>
      <c r="V221">
        <v>1.7999999999999998</v>
      </c>
      <c r="W221" t="s">
        <v>2513</v>
      </c>
      <c r="X221" t="s">
        <v>93</v>
      </c>
    </row>
    <row r="222" spans="1:24">
      <c r="A222" t="s">
        <v>22</v>
      </c>
      <c r="B222" t="s">
        <v>94</v>
      </c>
      <c r="C222" s="36">
        <v>45610</v>
      </c>
      <c r="D222" t="s">
        <v>981</v>
      </c>
      <c r="E222" s="36">
        <v>45930</v>
      </c>
      <c r="F222" t="s">
        <v>108</v>
      </c>
      <c r="G222" s="36">
        <v>45925</v>
      </c>
      <c r="H222">
        <v>7</v>
      </c>
      <c r="I222" t="s">
        <v>2502</v>
      </c>
      <c r="J222">
        <v>3.1</v>
      </c>
      <c r="K222">
        <v>3.6</v>
      </c>
      <c r="L222">
        <v>3</v>
      </c>
      <c r="M222">
        <v>0.10000000000000009</v>
      </c>
      <c r="N222">
        <v>0.10000000000000009</v>
      </c>
      <c r="O222">
        <v>-0.5</v>
      </c>
      <c r="P222">
        <v>0.5</v>
      </c>
      <c r="Q222">
        <v>0.25</v>
      </c>
      <c r="R222">
        <v>0</v>
      </c>
      <c r="S222">
        <v>0</v>
      </c>
      <c r="T222" t="s">
        <v>565</v>
      </c>
      <c r="U222">
        <v>5</v>
      </c>
      <c r="V222">
        <v>2</v>
      </c>
      <c r="W222" t="s">
        <v>2513</v>
      </c>
      <c r="X222" t="s">
        <v>95</v>
      </c>
    </row>
    <row r="223" spans="1:24">
      <c r="A223" t="s">
        <v>22</v>
      </c>
      <c r="B223" t="s">
        <v>96</v>
      </c>
      <c r="C223" s="36">
        <v>45645</v>
      </c>
      <c r="D223" t="s">
        <v>981</v>
      </c>
      <c r="E223" s="36">
        <v>45930</v>
      </c>
      <c r="F223" t="s">
        <v>108</v>
      </c>
      <c r="G223" s="36">
        <v>45925</v>
      </c>
      <c r="H223">
        <v>6</v>
      </c>
      <c r="I223" t="s">
        <v>2503</v>
      </c>
      <c r="J223">
        <v>3.4</v>
      </c>
      <c r="K223">
        <v>3.6</v>
      </c>
      <c r="L223">
        <v>3</v>
      </c>
      <c r="M223">
        <v>0.39999999999999991</v>
      </c>
      <c r="N223">
        <v>0.39999999999999991</v>
      </c>
      <c r="O223">
        <v>-0.20000000000000018</v>
      </c>
      <c r="P223">
        <v>0.20000000000000018</v>
      </c>
      <c r="Q223">
        <v>4.000000000000007E-2</v>
      </c>
      <c r="R223">
        <v>0.29999999999999982</v>
      </c>
      <c r="S223">
        <v>0.29999999999999982</v>
      </c>
      <c r="T223" t="s">
        <v>565</v>
      </c>
      <c r="U223">
        <v>5</v>
      </c>
      <c r="V223">
        <v>2</v>
      </c>
      <c r="W223" t="s">
        <v>2513</v>
      </c>
      <c r="X223" t="s">
        <v>97</v>
      </c>
    </row>
    <row r="224" spans="1:24">
      <c r="A224" t="s">
        <v>22</v>
      </c>
      <c r="B224" t="s">
        <v>98</v>
      </c>
      <c r="C224" s="36">
        <v>45694</v>
      </c>
      <c r="D224" t="s">
        <v>981</v>
      </c>
      <c r="E224" s="36">
        <v>45930</v>
      </c>
      <c r="F224" t="s">
        <v>108</v>
      </c>
      <c r="G224" s="36">
        <v>45925</v>
      </c>
      <c r="H224">
        <v>5</v>
      </c>
      <c r="I224" t="s">
        <v>2500</v>
      </c>
      <c r="J224">
        <v>3.4</v>
      </c>
      <c r="K224">
        <v>3.6</v>
      </c>
      <c r="L224">
        <v>3</v>
      </c>
      <c r="M224">
        <v>0.39999999999999991</v>
      </c>
      <c r="N224">
        <v>0.39999999999999991</v>
      </c>
      <c r="O224">
        <v>-0.20000000000000018</v>
      </c>
      <c r="P224">
        <v>0.20000000000000018</v>
      </c>
      <c r="Q224">
        <v>4.000000000000007E-2</v>
      </c>
      <c r="R224">
        <v>0</v>
      </c>
      <c r="S224">
        <v>0</v>
      </c>
      <c r="T224" t="s">
        <v>670</v>
      </c>
      <c r="U224">
        <v>4.5</v>
      </c>
      <c r="V224">
        <v>1.5</v>
      </c>
      <c r="W224" t="s">
        <v>2513</v>
      </c>
      <c r="X224" t="s">
        <v>99</v>
      </c>
    </row>
    <row r="225" spans="1:24">
      <c r="A225" t="s">
        <v>22</v>
      </c>
      <c r="B225" t="s">
        <v>100</v>
      </c>
      <c r="C225" s="36">
        <v>45743</v>
      </c>
      <c r="D225" t="s">
        <v>981</v>
      </c>
      <c r="E225" s="36">
        <v>45930</v>
      </c>
      <c r="F225" t="s">
        <v>108</v>
      </c>
      <c r="G225" s="36">
        <v>45925</v>
      </c>
      <c r="H225">
        <v>4</v>
      </c>
      <c r="I225" t="s">
        <v>2501</v>
      </c>
      <c r="J225">
        <v>3.4</v>
      </c>
      <c r="K225">
        <v>3.6</v>
      </c>
      <c r="L225">
        <v>3</v>
      </c>
      <c r="M225">
        <v>0.39999999999999991</v>
      </c>
      <c r="N225">
        <v>0.39999999999999991</v>
      </c>
      <c r="O225">
        <v>-0.20000000000000018</v>
      </c>
      <c r="P225">
        <v>0.20000000000000018</v>
      </c>
      <c r="Q225">
        <v>4.000000000000007E-2</v>
      </c>
      <c r="R225">
        <v>0</v>
      </c>
      <c r="S225">
        <v>0</v>
      </c>
      <c r="T225" t="s">
        <v>670</v>
      </c>
      <c r="U225">
        <v>4.5</v>
      </c>
      <c r="V225">
        <v>1.5</v>
      </c>
      <c r="W225" t="s">
        <v>2513</v>
      </c>
      <c r="X225" t="s">
        <v>101</v>
      </c>
    </row>
    <row r="226" spans="1:24">
      <c r="A226" t="s">
        <v>22</v>
      </c>
      <c r="B226" t="s">
        <v>102</v>
      </c>
      <c r="C226" s="36">
        <v>45792</v>
      </c>
      <c r="D226" t="s">
        <v>981</v>
      </c>
      <c r="E226" s="36">
        <v>45930</v>
      </c>
      <c r="F226" t="s">
        <v>108</v>
      </c>
      <c r="G226" s="36">
        <v>45925</v>
      </c>
      <c r="H226">
        <v>3</v>
      </c>
      <c r="I226" t="s">
        <v>2498</v>
      </c>
      <c r="J226">
        <v>3.5</v>
      </c>
      <c r="K226">
        <v>3.6</v>
      </c>
      <c r="L226">
        <v>3</v>
      </c>
      <c r="M226">
        <v>0.5</v>
      </c>
      <c r="N226">
        <v>0.5</v>
      </c>
      <c r="O226">
        <v>-0.10000000000000009</v>
      </c>
      <c r="P226">
        <v>0.10000000000000009</v>
      </c>
      <c r="Q226">
        <v>1.0000000000000018E-2</v>
      </c>
      <c r="R226">
        <v>0.10000000000000009</v>
      </c>
      <c r="S226">
        <v>0.10000000000000009</v>
      </c>
      <c r="T226" t="s">
        <v>771</v>
      </c>
      <c r="U226">
        <v>3.7</v>
      </c>
      <c r="V226">
        <v>0.70000000000000018</v>
      </c>
      <c r="W226" t="s">
        <v>2513</v>
      </c>
      <c r="X226" t="s">
        <v>103</v>
      </c>
    </row>
    <row r="227" spans="1:24">
      <c r="A227" t="s">
        <v>22</v>
      </c>
      <c r="B227" t="s">
        <v>104</v>
      </c>
      <c r="C227" s="36">
        <v>45834</v>
      </c>
      <c r="D227" t="s">
        <v>981</v>
      </c>
      <c r="E227" s="36">
        <v>45930</v>
      </c>
      <c r="F227" t="s">
        <v>108</v>
      </c>
      <c r="G227" s="36">
        <v>45925</v>
      </c>
      <c r="H227">
        <v>2</v>
      </c>
      <c r="I227" t="s">
        <v>2499</v>
      </c>
      <c r="J227">
        <v>4.0999999999999996</v>
      </c>
      <c r="K227">
        <v>3.6</v>
      </c>
      <c r="L227">
        <v>3</v>
      </c>
      <c r="M227">
        <v>1.0999999999999996</v>
      </c>
      <c r="N227">
        <v>1.0999999999999996</v>
      </c>
      <c r="O227">
        <v>0.49999999999999956</v>
      </c>
      <c r="P227">
        <v>0.49999999999999956</v>
      </c>
      <c r="Q227">
        <v>0.24999999999999956</v>
      </c>
      <c r="R227">
        <v>0.59999999999999964</v>
      </c>
      <c r="S227">
        <v>0.59999999999999964</v>
      </c>
      <c r="T227" t="s">
        <v>771</v>
      </c>
      <c r="U227">
        <v>3.7</v>
      </c>
      <c r="V227">
        <v>0.70000000000000018</v>
      </c>
      <c r="W227" t="s">
        <v>2513</v>
      </c>
      <c r="X227" t="s">
        <v>105</v>
      </c>
    </row>
    <row r="228" spans="1:24">
      <c r="A228" t="s">
        <v>22</v>
      </c>
      <c r="B228" t="s">
        <v>106</v>
      </c>
      <c r="C228" s="36">
        <v>45876</v>
      </c>
      <c r="D228" t="s">
        <v>981</v>
      </c>
      <c r="E228" s="36">
        <v>45930</v>
      </c>
      <c r="F228" t="s">
        <v>108</v>
      </c>
      <c r="G228" s="36">
        <v>45925</v>
      </c>
      <c r="H228">
        <v>1</v>
      </c>
      <c r="I228" t="s">
        <v>2495</v>
      </c>
      <c r="J228">
        <v>3.8</v>
      </c>
      <c r="K228">
        <v>3.6</v>
      </c>
      <c r="L228">
        <v>3</v>
      </c>
      <c r="M228">
        <v>0.79999999999999982</v>
      </c>
      <c r="N228">
        <v>0.79999999999999982</v>
      </c>
      <c r="O228">
        <v>0.19999999999999973</v>
      </c>
      <c r="P228">
        <v>0.19999999999999973</v>
      </c>
      <c r="Q228">
        <v>3.9999999999999897E-2</v>
      </c>
      <c r="R228">
        <v>-0.29999999999999982</v>
      </c>
      <c r="S228">
        <v>0.29999999999999982</v>
      </c>
      <c r="T228" t="s">
        <v>876</v>
      </c>
      <c r="U228">
        <v>4.2</v>
      </c>
      <c r="V228">
        <v>1.2000000000000002</v>
      </c>
      <c r="W228" t="s">
        <v>2513</v>
      </c>
      <c r="X228" t="s">
        <v>107</v>
      </c>
    </row>
    <row r="229" spans="1:24">
      <c r="A229" t="s">
        <v>22</v>
      </c>
      <c r="B229" t="s">
        <v>108</v>
      </c>
      <c r="C229" s="36">
        <v>45925</v>
      </c>
      <c r="D229" t="s">
        <v>981</v>
      </c>
      <c r="E229" s="36">
        <v>45930</v>
      </c>
      <c r="F229" t="s">
        <v>108</v>
      </c>
      <c r="G229" s="36">
        <v>45925</v>
      </c>
      <c r="H229">
        <v>0</v>
      </c>
      <c r="I229" t="s">
        <v>2497</v>
      </c>
      <c r="J229">
        <v>3.6</v>
      </c>
      <c r="K229">
        <v>3.6</v>
      </c>
      <c r="L229">
        <v>3</v>
      </c>
      <c r="M229">
        <v>0.60000000000000009</v>
      </c>
      <c r="N229">
        <v>0.60000000000000009</v>
      </c>
      <c r="O229">
        <v>0</v>
      </c>
      <c r="P229">
        <v>0</v>
      </c>
      <c r="Q229">
        <v>0</v>
      </c>
      <c r="R229">
        <v>-0.19999999999999973</v>
      </c>
      <c r="S229">
        <v>0.19999999999999973</v>
      </c>
      <c r="T229" t="s">
        <v>876</v>
      </c>
      <c r="U229">
        <v>4.2</v>
      </c>
      <c r="V229">
        <v>1.2000000000000002</v>
      </c>
      <c r="W229" t="s">
        <v>2513</v>
      </c>
      <c r="X229" t="s">
        <v>109</v>
      </c>
    </row>
    <row r="230" spans="1:24">
      <c r="A230" t="s">
        <v>22</v>
      </c>
      <c r="B230" t="s">
        <v>80</v>
      </c>
      <c r="C230" s="36">
        <v>45274</v>
      </c>
      <c r="D230" t="s">
        <v>1086</v>
      </c>
      <c r="E230" s="36">
        <v>46022</v>
      </c>
      <c r="F230" t="s">
        <v>112</v>
      </c>
      <c r="G230" s="36">
        <v>46009</v>
      </c>
      <c r="H230">
        <v>16</v>
      </c>
      <c r="I230" t="s">
        <v>2512</v>
      </c>
      <c r="J230">
        <v>3.1</v>
      </c>
      <c r="K230">
        <v>3.7</v>
      </c>
      <c r="L230">
        <v>3</v>
      </c>
      <c r="M230">
        <v>0.10000000000000009</v>
      </c>
      <c r="N230">
        <v>0.10000000000000009</v>
      </c>
      <c r="O230">
        <v>-0.60000000000000009</v>
      </c>
      <c r="P230">
        <v>0.60000000000000009</v>
      </c>
      <c r="Q230">
        <v>0.3600000000000001</v>
      </c>
      <c r="T230" t="s">
        <v>183</v>
      </c>
      <c r="U230">
        <v>4.5999999999999996</v>
      </c>
      <c r="V230">
        <v>1.5999999999999996</v>
      </c>
      <c r="W230" t="s">
        <v>2513</v>
      </c>
      <c r="X230" t="s">
        <v>81</v>
      </c>
    </row>
    <row r="231" spans="1:24">
      <c r="A231" t="s">
        <v>22</v>
      </c>
      <c r="B231" t="s">
        <v>82</v>
      </c>
      <c r="C231" s="36">
        <v>45330</v>
      </c>
      <c r="D231" t="s">
        <v>1086</v>
      </c>
      <c r="E231" s="36">
        <v>46022</v>
      </c>
      <c r="F231" t="s">
        <v>112</v>
      </c>
      <c r="G231" s="36">
        <v>46009</v>
      </c>
      <c r="H231">
        <v>15</v>
      </c>
      <c r="I231" t="s">
        <v>2510</v>
      </c>
      <c r="J231">
        <v>3.1</v>
      </c>
      <c r="K231">
        <v>3.7</v>
      </c>
      <c r="L231">
        <v>3</v>
      </c>
      <c r="M231">
        <v>0.10000000000000009</v>
      </c>
      <c r="N231">
        <v>0.10000000000000009</v>
      </c>
      <c r="O231">
        <v>-0.60000000000000009</v>
      </c>
      <c r="P231">
        <v>0.60000000000000009</v>
      </c>
      <c r="Q231">
        <v>0.3600000000000001</v>
      </c>
      <c r="R231">
        <v>0</v>
      </c>
      <c r="S231">
        <v>0</v>
      </c>
      <c r="T231" t="s">
        <v>254</v>
      </c>
      <c r="U231">
        <v>4.4000000000000004</v>
      </c>
      <c r="V231">
        <v>1.4000000000000004</v>
      </c>
      <c r="W231" t="s">
        <v>2513</v>
      </c>
      <c r="X231" t="s">
        <v>83</v>
      </c>
    </row>
    <row r="232" spans="1:24">
      <c r="A232" t="s">
        <v>22</v>
      </c>
      <c r="B232" t="s">
        <v>84</v>
      </c>
      <c r="C232" s="36">
        <v>45372</v>
      </c>
      <c r="D232" t="s">
        <v>1086</v>
      </c>
      <c r="E232" s="36">
        <v>46022</v>
      </c>
      <c r="F232" t="s">
        <v>112</v>
      </c>
      <c r="G232" s="36">
        <v>46009</v>
      </c>
      <c r="H232">
        <v>14</v>
      </c>
      <c r="I232" t="s">
        <v>2511</v>
      </c>
      <c r="J232">
        <v>3.1</v>
      </c>
      <c r="K232">
        <v>3.7</v>
      </c>
      <c r="L232">
        <v>3</v>
      </c>
      <c r="M232">
        <v>0.10000000000000009</v>
      </c>
      <c r="N232">
        <v>0.10000000000000009</v>
      </c>
      <c r="O232">
        <v>-0.60000000000000009</v>
      </c>
      <c r="P232">
        <v>0.60000000000000009</v>
      </c>
      <c r="Q232">
        <v>0.3600000000000001</v>
      </c>
      <c r="R232">
        <v>0</v>
      </c>
      <c r="S232">
        <v>0</v>
      </c>
      <c r="T232" t="s">
        <v>254</v>
      </c>
      <c r="U232">
        <v>4.4000000000000004</v>
      </c>
      <c r="V232">
        <v>1.4000000000000004</v>
      </c>
      <c r="W232" t="s">
        <v>2513</v>
      </c>
      <c r="X232" t="s">
        <v>85</v>
      </c>
    </row>
    <row r="233" spans="1:24">
      <c r="A233" t="s">
        <v>22</v>
      </c>
      <c r="B233" t="s">
        <v>86</v>
      </c>
      <c r="C233" s="36">
        <v>45421</v>
      </c>
      <c r="D233" t="s">
        <v>1086</v>
      </c>
      <c r="E233" s="36">
        <v>46022</v>
      </c>
      <c r="F233" t="s">
        <v>112</v>
      </c>
      <c r="G233" s="36">
        <v>46009</v>
      </c>
      <c r="H233">
        <v>13</v>
      </c>
      <c r="I233" t="s">
        <v>2508</v>
      </c>
      <c r="J233">
        <v>3</v>
      </c>
      <c r="K233">
        <v>3.7</v>
      </c>
      <c r="L233">
        <v>3</v>
      </c>
      <c r="M233">
        <v>0</v>
      </c>
      <c r="N233">
        <v>0</v>
      </c>
      <c r="O233">
        <v>-0.70000000000000018</v>
      </c>
      <c r="P233">
        <v>0.70000000000000018</v>
      </c>
      <c r="Q233">
        <v>0.49000000000000027</v>
      </c>
      <c r="R233">
        <v>-0.10000000000000009</v>
      </c>
      <c r="S233">
        <v>0.10000000000000009</v>
      </c>
      <c r="T233" t="s">
        <v>355</v>
      </c>
      <c r="U233">
        <v>4.5999999999999996</v>
      </c>
      <c r="V233">
        <v>1.5999999999999996</v>
      </c>
      <c r="W233" t="s">
        <v>2513</v>
      </c>
      <c r="X233" t="s">
        <v>87</v>
      </c>
    </row>
    <row r="234" spans="1:24">
      <c r="A234" t="s">
        <v>22</v>
      </c>
      <c r="B234" t="s">
        <v>88</v>
      </c>
      <c r="C234" s="36">
        <v>45470</v>
      </c>
      <c r="D234" t="s">
        <v>1086</v>
      </c>
      <c r="E234" s="36">
        <v>46022</v>
      </c>
      <c r="F234" t="s">
        <v>112</v>
      </c>
      <c r="G234" s="36">
        <v>46009</v>
      </c>
      <c r="H234">
        <v>12</v>
      </c>
      <c r="I234" t="s">
        <v>2509</v>
      </c>
      <c r="J234">
        <v>3</v>
      </c>
      <c r="K234">
        <v>3.7</v>
      </c>
      <c r="L234">
        <v>3</v>
      </c>
      <c r="M234">
        <v>0</v>
      </c>
      <c r="N234">
        <v>0</v>
      </c>
      <c r="O234">
        <v>-0.70000000000000018</v>
      </c>
      <c r="P234">
        <v>0.70000000000000018</v>
      </c>
      <c r="Q234">
        <v>0.49000000000000027</v>
      </c>
      <c r="R234">
        <v>0</v>
      </c>
      <c r="S234">
        <v>0</v>
      </c>
      <c r="T234" t="s">
        <v>355</v>
      </c>
      <c r="U234">
        <v>4.5999999999999996</v>
      </c>
      <c r="V234">
        <v>1.5999999999999996</v>
      </c>
      <c r="W234" t="s">
        <v>2513</v>
      </c>
      <c r="X234" t="s">
        <v>89</v>
      </c>
    </row>
    <row r="235" spans="1:24">
      <c r="A235" t="s">
        <v>22</v>
      </c>
      <c r="B235" t="s">
        <v>90</v>
      </c>
      <c r="C235" s="36">
        <v>45512</v>
      </c>
      <c r="D235" t="s">
        <v>1086</v>
      </c>
      <c r="E235" s="36">
        <v>46022</v>
      </c>
      <c r="F235" t="s">
        <v>112</v>
      </c>
      <c r="G235" s="36">
        <v>46009</v>
      </c>
      <c r="H235">
        <v>11</v>
      </c>
      <c r="I235" t="s">
        <v>2506</v>
      </c>
      <c r="J235">
        <v>3</v>
      </c>
      <c r="K235">
        <v>3.7</v>
      </c>
      <c r="L235">
        <v>3</v>
      </c>
      <c r="M235">
        <v>0</v>
      </c>
      <c r="N235">
        <v>0</v>
      </c>
      <c r="O235">
        <v>-0.70000000000000018</v>
      </c>
      <c r="P235">
        <v>0.70000000000000018</v>
      </c>
      <c r="Q235">
        <v>0.49000000000000027</v>
      </c>
      <c r="R235">
        <v>0</v>
      </c>
      <c r="S235">
        <v>0</v>
      </c>
      <c r="T235" t="s">
        <v>460</v>
      </c>
      <c r="U235">
        <v>4.8</v>
      </c>
      <c r="V235">
        <v>1.7999999999999998</v>
      </c>
      <c r="W235" t="s">
        <v>2513</v>
      </c>
      <c r="X235" t="s">
        <v>91</v>
      </c>
    </row>
    <row r="236" spans="1:24">
      <c r="A236" t="s">
        <v>22</v>
      </c>
      <c r="B236" t="s">
        <v>92</v>
      </c>
      <c r="C236" s="36">
        <v>45561</v>
      </c>
      <c r="D236" t="s">
        <v>1086</v>
      </c>
      <c r="E236" s="36">
        <v>46022</v>
      </c>
      <c r="F236" t="s">
        <v>112</v>
      </c>
      <c r="G236" s="36">
        <v>46009</v>
      </c>
      <c r="H236">
        <v>10</v>
      </c>
      <c r="I236" t="s">
        <v>2507</v>
      </c>
      <c r="J236">
        <v>3</v>
      </c>
      <c r="K236">
        <v>3.7</v>
      </c>
      <c r="L236">
        <v>3</v>
      </c>
      <c r="M236">
        <v>0</v>
      </c>
      <c r="N236">
        <v>0</v>
      </c>
      <c r="O236">
        <v>-0.70000000000000018</v>
      </c>
      <c r="P236">
        <v>0.70000000000000018</v>
      </c>
      <c r="Q236">
        <v>0.49000000000000027</v>
      </c>
      <c r="R236">
        <v>0</v>
      </c>
      <c r="S236">
        <v>0</v>
      </c>
      <c r="T236" t="s">
        <v>460</v>
      </c>
      <c r="U236">
        <v>4.8</v>
      </c>
      <c r="V236">
        <v>1.7999999999999998</v>
      </c>
      <c r="W236" t="s">
        <v>2513</v>
      </c>
      <c r="X236" t="s">
        <v>93</v>
      </c>
    </row>
    <row r="237" spans="1:24">
      <c r="A237" t="s">
        <v>22</v>
      </c>
      <c r="B237" t="s">
        <v>94</v>
      </c>
      <c r="C237" s="36">
        <v>45610</v>
      </c>
      <c r="D237" t="s">
        <v>1086</v>
      </c>
      <c r="E237" s="36">
        <v>46022</v>
      </c>
      <c r="F237" t="s">
        <v>112</v>
      </c>
      <c r="G237" s="36">
        <v>46009</v>
      </c>
      <c r="H237">
        <v>9</v>
      </c>
      <c r="I237" t="s">
        <v>2504</v>
      </c>
      <c r="J237">
        <v>3</v>
      </c>
      <c r="K237">
        <v>3.7</v>
      </c>
      <c r="L237">
        <v>3</v>
      </c>
      <c r="M237">
        <v>0</v>
      </c>
      <c r="N237">
        <v>0</v>
      </c>
      <c r="O237">
        <v>-0.70000000000000018</v>
      </c>
      <c r="P237">
        <v>0.70000000000000018</v>
      </c>
      <c r="Q237">
        <v>0.49000000000000027</v>
      </c>
      <c r="R237">
        <v>0</v>
      </c>
      <c r="S237">
        <v>0</v>
      </c>
      <c r="T237" t="s">
        <v>565</v>
      </c>
      <c r="U237">
        <v>5</v>
      </c>
      <c r="V237">
        <v>2</v>
      </c>
      <c r="W237" t="s">
        <v>2513</v>
      </c>
      <c r="X237" t="s">
        <v>95</v>
      </c>
    </row>
    <row r="238" spans="1:24">
      <c r="A238" t="s">
        <v>22</v>
      </c>
      <c r="B238" t="s">
        <v>96</v>
      </c>
      <c r="C238" s="36">
        <v>45645</v>
      </c>
      <c r="D238" t="s">
        <v>1086</v>
      </c>
      <c r="E238" s="36">
        <v>46022</v>
      </c>
      <c r="F238" t="s">
        <v>112</v>
      </c>
      <c r="G238" s="36">
        <v>46009</v>
      </c>
      <c r="H238">
        <v>8</v>
      </c>
      <c r="I238" t="s">
        <v>2505</v>
      </c>
      <c r="J238">
        <v>3.3</v>
      </c>
      <c r="K238">
        <v>3.7</v>
      </c>
      <c r="L238">
        <v>3</v>
      </c>
      <c r="M238">
        <v>0.29999999999999982</v>
      </c>
      <c r="N238">
        <v>0.29999999999999982</v>
      </c>
      <c r="O238">
        <v>-0.40000000000000036</v>
      </c>
      <c r="P238">
        <v>0.40000000000000036</v>
      </c>
      <c r="Q238">
        <v>0.16000000000000028</v>
      </c>
      <c r="R238">
        <v>0.29999999999999982</v>
      </c>
      <c r="S238">
        <v>0.29999999999999982</v>
      </c>
      <c r="T238" t="s">
        <v>565</v>
      </c>
      <c r="U238">
        <v>5</v>
      </c>
      <c r="V238">
        <v>2</v>
      </c>
      <c r="W238" t="s">
        <v>2513</v>
      </c>
      <c r="X238" t="s">
        <v>97</v>
      </c>
    </row>
    <row r="239" spans="1:24">
      <c r="A239" t="s">
        <v>22</v>
      </c>
      <c r="B239" t="s">
        <v>98</v>
      </c>
      <c r="C239" s="36">
        <v>45694</v>
      </c>
      <c r="D239" t="s">
        <v>1086</v>
      </c>
      <c r="E239" s="36">
        <v>46022</v>
      </c>
      <c r="F239" t="s">
        <v>112</v>
      </c>
      <c r="G239" s="36">
        <v>46009</v>
      </c>
      <c r="H239">
        <v>7</v>
      </c>
      <c r="I239" t="s">
        <v>2502</v>
      </c>
      <c r="J239">
        <v>3.3</v>
      </c>
      <c r="K239">
        <v>3.7</v>
      </c>
      <c r="L239">
        <v>3</v>
      </c>
      <c r="M239">
        <v>0.29999999999999982</v>
      </c>
      <c r="N239">
        <v>0.29999999999999982</v>
      </c>
      <c r="O239">
        <v>-0.40000000000000036</v>
      </c>
      <c r="P239">
        <v>0.40000000000000036</v>
      </c>
      <c r="Q239">
        <v>0.16000000000000028</v>
      </c>
      <c r="R239">
        <v>0</v>
      </c>
      <c r="S239">
        <v>0</v>
      </c>
      <c r="T239" t="s">
        <v>670</v>
      </c>
      <c r="U239">
        <v>4.5</v>
      </c>
      <c r="V239">
        <v>1.5</v>
      </c>
      <c r="W239" t="s">
        <v>2513</v>
      </c>
      <c r="X239" t="s">
        <v>99</v>
      </c>
    </row>
    <row r="240" spans="1:24">
      <c r="A240" t="s">
        <v>22</v>
      </c>
      <c r="B240" t="s">
        <v>100</v>
      </c>
      <c r="C240" s="36">
        <v>45743</v>
      </c>
      <c r="D240" t="s">
        <v>1086</v>
      </c>
      <c r="E240" s="36">
        <v>46022</v>
      </c>
      <c r="F240" t="s">
        <v>112</v>
      </c>
      <c r="G240" s="36">
        <v>46009</v>
      </c>
      <c r="H240">
        <v>6</v>
      </c>
      <c r="I240" t="s">
        <v>2503</v>
      </c>
      <c r="J240">
        <v>3.3</v>
      </c>
      <c r="K240">
        <v>3.7</v>
      </c>
      <c r="L240">
        <v>3</v>
      </c>
      <c r="M240">
        <v>0.29999999999999982</v>
      </c>
      <c r="N240">
        <v>0.29999999999999982</v>
      </c>
      <c r="O240">
        <v>-0.40000000000000036</v>
      </c>
      <c r="P240">
        <v>0.40000000000000036</v>
      </c>
      <c r="Q240">
        <v>0.16000000000000028</v>
      </c>
      <c r="R240">
        <v>0</v>
      </c>
      <c r="S240">
        <v>0</v>
      </c>
      <c r="T240" t="s">
        <v>670</v>
      </c>
      <c r="U240">
        <v>4.5</v>
      </c>
      <c r="V240">
        <v>1.5</v>
      </c>
      <c r="W240" t="s">
        <v>2513</v>
      </c>
      <c r="X240" t="s">
        <v>101</v>
      </c>
    </row>
    <row r="241" spans="1:24">
      <c r="A241" t="s">
        <v>22</v>
      </c>
      <c r="B241" t="s">
        <v>102</v>
      </c>
      <c r="C241" s="36">
        <v>45792</v>
      </c>
      <c r="D241" t="s">
        <v>1086</v>
      </c>
      <c r="E241" s="36">
        <v>46022</v>
      </c>
      <c r="F241" t="s">
        <v>112</v>
      </c>
      <c r="G241" s="36">
        <v>46009</v>
      </c>
      <c r="H241">
        <v>5</v>
      </c>
      <c r="I241" t="s">
        <v>2500</v>
      </c>
      <c r="J241">
        <v>3.3</v>
      </c>
      <c r="K241">
        <v>3.7</v>
      </c>
      <c r="L241">
        <v>3</v>
      </c>
      <c r="M241">
        <v>0.29999999999999982</v>
      </c>
      <c r="N241">
        <v>0.29999999999999982</v>
      </c>
      <c r="O241">
        <v>-0.40000000000000036</v>
      </c>
      <c r="P241">
        <v>0.40000000000000036</v>
      </c>
      <c r="Q241">
        <v>0.16000000000000028</v>
      </c>
      <c r="R241">
        <v>0</v>
      </c>
      <c r="S241">
        <v>0</v>
      </c>
      <c r="T241" t="s">
        <v>771</v>
      </c>
      <c r="U241">
        <v>3.7</v>
      </c>
      <c r="V241">
        <v>0.70000000000000018</v>
      </c>
      <c r="W241" t="s">
        <v>2513</v>
      </c>
      <c r="X241" t="s">
        <v>103</v>
      </c>
    </row>
    <row r="242" spans="1:24">
      <c r="A242" t="s">
        <v>22</v>
      </c>
      <c r="B242" t="s">
        <v>104</v>
      </c>
      <c r="C242" s="36">
        <v>45834</v>
      </c>
      <c r="D242" t="s">
        <v>1086</v>
      </c>
      <c r="E242" s="36">
        <v>46022</v>
      </c>
      <c r="F242" t="s">
        <v>112</v>
      </c>
      <c r="G242" s="36">
        <v>46009</v>
      </c>
      <c r="H242">
        <v>4</v>
      </c>
      <c r="I242" t="s">
        <v>2501</v>
      </c>
      <c r="J242">
        <v>3.7</v>
      </c>
      <c r="K242">
        <v>3.7</v>
      </c>
      <c r="L242">
        <v>3</v>
      </c>
      <c r="M242">
        <v>0.70000000000000018</v>
      </c>
      <c r="N242">
        <v>0.70000000000000018</v>
      </c>
      <c r="O242">
        <v>0</v>
      </c>
      <c r="P242">
        <v>0</v>
      </c>
      <c r="Q242">
        <v>0</v>
      </c>
      <c r="R242">
        <v>0.40000000000000036</v>
      </c>
      <c r="S242">
        <v>0.40000000000000036</v>
      </c>
      <c r="T242" t="s">
        <v>771</v>
      </c>
      <c r="U242">
        <v>3.7</v>
      </c>
      <c r="V242">
        <v>0.70000000000000018</v>
      </c>
      <c r="W242" t="s">
        <v>2513</v>
      </c>
      <c r="X242" t="s">
        <v>105</v>
      </c>
    </row>
    <row r="243" spans="1:24">
      <c r="A243" t="s">
        <v>22</v>
      </c>
      <c r="B243" t="s">
        <v>106</v>
      </c>
      <c r="C243" s="36">
        <v>45876</v>
      </c>
      <c r="D243" t="s">
        <v>1086</v>
      </c>
      <c r="E243" s="36">
        <v>46022</v>
      </c>
      <c r="F243" t="s">
        <v>112</v>
      </c>
      <c r="G243" s="36">
        <v>46009</v>
      </c>
      <c r="H243">
        <v>3</v>
      </c>
      <c r="I243" t="s">
        <v>2498</v>
      </c>
      <c r="J243">
        <v>3.7</v>
      </c>
      <c r="K243">
        <v>3.7</v>
      </c>
      <c r="L243">
        <v>3</v>
      </c>
      <c r="M243">
        <v>0.70000000000000018</v>
      </c>
      <c r="N243">
        <v>0.70000000000000018</v>
      </c>
      <c r="O243">
        <v>0</v>
      </c>
      <c r="P243">
        <v>0</v>
      </c>
      <c r="Q243">
        <v>0</v>
      </c>
      <c r="R243">
        <v>0</v>
      </c>
      <c r="S243">
        <v>0</v>
      </c>
      <c r="T243" t="s">
        <v>876</v>
      </c>
      <c r="U243">
        <v>4.2</v>
      </c>
      <c r="V243">
        <v>1.2000000000000002</v>
      </c>
      <c r="W243" t="s">
        <v>2513</v>
      </c>
      <c r="X243" t="s">
        <v>107</v>
      </c>
    </row>
    <row r="244" spans="1:24">
      <c r="A244" t="s">
        <v>22</v>
      </c>
      <c r="B244" t="s">
        <v>108</v>
      </c>
      <c r="C244" s="36">
        <v>45925</v>
      </c>
      <c r="D244" t="s">
        <v>1086</v>
      </c>
      <c r="E244" s="36">
        <v>46022</v>
      </c>
      <c r="F244" t="s">
        <v>112</v>
      </c>
      <c r="G244" s="36">
        <v>46009</v>
      </c>
      <c r="H244">
        <v>2</v>
      </c>
      <c r="I244" t="s">
        <v>2499</v>
      </c>
      <c r="J244">
        <v>3.6</v>
      </c>
      <c r="K244">
        <v>3.7</v>
      </c>
      <c r="L244">
        <v>3</v>
      </c>
      <c r="M244">
        <v>0.60000000000000009</v>
      </c>
      <c r="N244">
        <v>0.60000000000000009</v>
      </c>
      <c r="O244">
        <v>-0.10000000000000009</v>
      </c>
      <c r="P244">
        <v>0.10000000000000009</v>
      </c>
      <c r="Q244">
        <v>1.0000000000000018E-2</v>
      </c>
      <c r="R244">
        <v>-0.10000000000000009</v>
      </c>
      <c r="S244">
        <v>0.10000000000000009</v>
      </c>
      <c r="T244" t="s">
        <v>876</v>
      </c>
      <c r="U244">
        <v>4.2</v>
      </c>
      <c r="V244">
        <v>1.2000000000000002</v>
      </c>
      <c r="W244" t="s">
        <v>2513</v>
      </c>
      <c r="X244" t="s">
        <v>109</v>
      </c>
    </row>
    <row r="245" spans="1:24">
      <c r="A245" t="s">
        <v>22</v>
      </c>
      <c r="B245" t="s">
        <v>110</v>
      </c>
      <c r="C245" s="36">
        <v>45967</v>
      </c>
      <c r="D245" t="s">
        <v>1086</v>
      </c>
      <c r="E245" s="36">
        <v>46022</v>
      </c>
      <c r="F245" t="s">
        <v>112</v>
      </c>
      <c r="G245" s="36">
        <v>46009</v>
      </c>
      <c r="H245">
        <v>1</v>
      </c>
      <c r="I245" t="s">
        <v>2495</v>
      </c>
      <c r="J245">
        <v>3.5</v>
      </c>
      <c r="K245">
        <v>3.7</v>
      </c>
      <c r="L245">
        <v>3</v>
      </c>
      <c r="M245">
        <v>0.5</v>
      </c>
      <c r="N245">
        <v>0.5</v>
      </c>
      <c r="O245">
        <v>-0.20000000000000018</v>
      </c>
      <c r="P245">
        <v>0.20000000000000018</v>
      </c>
      <c r="Q245">
        <v>4.000000000000007E-2</v>
      </c>
      <c r="R245">
        <v>-0.10000000000000009</v>
      </c>
      <c r="S245">
        <v>0.10000000000000009</v>
      </c>
      <c r="T245" t="s">
        <v>981</v>
      </c>
      <c r="U245">
        <v>3.6</v>
      </c>
      <c r="V245">
        <v>0.60000000000000009</v>
      </c>
      <c r="W245" t="s">
        <v>2513</v>
      </c>
      <c r="X245" t="s">
        <v>111</v>
      </c>
    </row>
    <row r="246" spans="1:24">
      <c r="A246" t="s">
        <v>22</v>
      </c>
      <c r="B246" t="s">
        <v>112</v>
      </c>
      <c r="C246" s="36">
        <v>46009</v>
      </c>
      <c r="D246" t="s">
        <v>1086</v>
      </c>
      <c r="E246" s="36">
        <v>46022</v>
      </c>
      <c r="F246" t="s">
        <v>112</v>
      </c>
      <c r="G246" s="36">
        <v>46009</v>
      </c>
      <c r="H246">
        <v>0</v>
      </c>
      <c r="I246" t="s">
        <v>2497</v>
      </c>
      <c r="J246">
        <v>3.7</v>
      </c>
      <c r="K246">
        <v>3.7</v>
      </c>
      <c r="L246">
        <v>3</v>
      </c>
      <c r="M246">
        <v>0.70000000000000018</v>
      </c>
      <c r="N246">
        <v>0.70000000000000018</v>
      </c>
      <c r="O246">
        <v>0</v>
      </c>
      <c r="P246">
        <v>0</v>
      </c>
      <c r="Q246">
        <v>0</v>
      </c>
      <c r="R246">
        <v>0.20000000000000018</v>
      </c>
      <c r="S246">
        <v>0.20000000000000018</v>
      </c>
      <c r="T246" t="s">
        <v>981</v>
      </c>
      <c r="U246">
        <v>3.6</v>
      </c>
      <c r="V246">
        <v>0.60000000000000009</v>
      </c>
      <c r="W246" t="s">
        <v>2513</v>
      </c>
      <c r="X246" t="s">
        <v>113</v>
      </c>
    </row>
    <row r="247" spans="1:24">
      <c r="A247" t="s">
        <v>22</v>
      </c>
      <c r="B247" t="s">
        <v>84</v>
      </c>
      <c r="C247" s="36">
        <v>45372</v>
      </c>
      <c r="D247" t="s">
        <v>1183</v>
      </c>
      <c r="E247" s="36">
        <v>46112</v>
      </c>
      <c r="F247" t="s">
        <v>116</v>
      </c>
      <c r="G247" s="36">
        <v>46107</v>
      </c>
      <c r="H247">
        <v>16</v>
      </c>
      <c r="I247" t="s">
        <v>2512</v>
      </c>
      <c r="J247">
        <v>3.1</v>
      </c>
      <c r="K247">
        <v>4.0999999999999996</v>
      </c>
      <c r="L247">
        <v>3</v>
      </c>
      <c r="M247">
        <v>0.10000000000000009</v>
      </c>
      <c r="N247">
        <v>0.10000000000000009</v>
      </c>
      <c r="O247">
        <v>-0.99999999999999956</v>
      </c>
      <c r="P247">
        <v>0.99999999999999956</v>
      </c>
      <c r="Q247">
        <v>0.99999999999999911</v>
      </c>
      <c r="T247" t="s">
        <v>254</v>
      </c>
      <c r="U247">
        <v>4.4000000000000004</v>
      </c>
      <c r="V247">
        <v>1.4000000000000004</v>
      </c>
      <c r="W247" t="s">
        <v>2496</v>
      </c>
      <c r="X247" t="s">
        <v>85</v>
      </c>
    </row>
    <row r="248" spans="1:24">
      <c r="A248" t="s">
        <v>22</v>
      </c>
      <c r="B248" t="s">
        <v>86</v>
      </c>
      <c r="C248" s="36">
        <v>45421</v>
      </c>
      <c r="D248" t="s">
        <v>1183</v>
      </c>
      <c r="E248" s="36">
        <v>46112</v>
      </c>
      <c r="F248" t="s">
        <v>116</v>
      </c>
      <c r="G248" s="36">
        <v>46107</v>
      </c>
      <c r="H248">
        <v>15</v>
      </c>
      <c r="I248" t="s">
        <v>2510</v>
      </c>
      <c r="J248">
        <v>3</v>
      </c>
      <c r="K248">
        <v>4.0999999999999996</v>
      </c>
      <c r="L248">
        <v>3</v>
      </c>
      <c r="M248">
        <v>0</v>
      </c>
      <c r="N248">
        <v>0</v>
      </c>
      <c r="O248">
        <v>-1.0999999999999996</v>
      </c>
      <c r="P248">
        <v>1.0999999999999996</v>
      </c>
      <c r="Q248">
        <v>1.2099999999999993</v>
      </c>
      <c r="R248">
        <v>-0.10000000000000009</v>
      </c>
      <c r="S248">
        <v>0.10000000000000009</v>
      </c>
      <c r="T248" t="s">
        <v>355</v>
      </c>
      <c r="U248">
        <v>4.5999999999999996</v>
      </c>
      <c r="V248">
        <v>1.5999999999999996</v>
      </c>
      <c r="W248" t="s">
        <v>2496</v>
      </c>
      <c r="X248" t="s">
        <v>87</v>
      </c>
    </row>
    <row r="249" spans="1:24">
      <c r="A249" t="s">
        <v>22</v>
      </c>
      <c r="B249" t="s">
        <v>88</v>
      </c>
      <c r="C249" s="36">
        <v>45470</v>
      </c>
      <c r="D249" t="s">
        <v>1183</v>
      </c>
      <c r="E249" s="36">
        <v>46112</v>
      </c>
      <c r="F249" t="s">
        <v>116</v>
      </c>
      <c r="G249" s="36">
        <v>46107</v>
      </c>
      <c r="H249">
        <v>14</v>
      </c>
      <c r="I249" t="s">
        <v>2511</v>
      </c>
      <c r="J249">
        <v>3</v>
      </c>
      <c r="K249">
        <v>4.0999999999999996</v>
      </c>
      <c r="L249">
        <v>3</v>
      </c>
      <c r="M249">
        <v>0</v>
      </c>
      <c r="N249">
        <v>0</v>
      </c>
      <c r="O249">
        <v>-1.0999999999999996</v>
      </c>
      <c r="P249">
        <v>1.0999999999999996</v>
      </c>
      <c r="Q249">
        <v>1.2099999999999993</v>
      </c>
      <c r="R249">
        <v>0</v>
      </c>
      <c r="S249">
        <v>0</v>
      </c>
      <c r="T249" t="s">
        <v>355</v>
      </c>
      <c r="U249">
        <v>4.5999999999999996</v>
      </c>
      <c r="V249">
        <v>1.5999999999999996</v>
      </c>
      <c r="W249" t="s">
        <v>2496</v>
      </c>
      <c r="X249" t="s">
        <v>89</v>
      </c>
    </row>
    <row r="250" spans="1:24">
      <c r="A250" t="s">
        <v>22</v>
      </c>
      <c r="B250" t="s">
        <v>90</v>
      </c>
      <c r="C250" s="36">
        <v>45512</v>
      </c>
      <c r="D250" t="s">
        <v>1183</v>
      </c>
      <c r="E250" s="36">
        <v>46112</v>
      </c>
      <c r="F250" t="s">
        <v>116</v>
      </c>
      <c r="G250" s="36">
        <v>46107</v>
      </c>
      <c r="H250">
        <v>13</v>
      </c>
      <c r="I250" t="s">
        <v>2508</v>
      </c>
      <c r="J250">
        <v>3</v>
      </c>
      <c r="K250">
        <v>4.0999999999999996</v>
      </c>
      <c r="L250">
        <v>3</v>
      </c>
      <c r="M250">
        <v>0</v>
      </c>
      <c r="N250">
        <v>0</v>
      </c>
      <c r="O250">
        <v>-1.0999999999999996</v>
      </c>
      <c r="P250">
        <v>1.0999999999999996</v>
      </c>
      <c r="Q250">
        <v>1.2099999999999993</v>
      </c>
      <c r="R250">
        <v>0</v>
      </c>
      <c r="S250">
        <v>0</v>
      </c>
      <c r="T250" t="s">
        <v>460</v>
      </c>
      <c r="U250">
        <v>4.8</v>
      </c>
      <c r="V250">
        <v>1.7999999999999998</v>
      </c>
      <c r="W250" t="s">
        <v>2496</v>
      </c>
      <c r="X250" t="s">
        <v>91</v>
      </c>
    </row>
    <row r="251" spans="1:24">
      <c r="A251" t="s">
        <v>22</v>
      </c>
      <c r="B251" t="s">
        <v>92</v>
      </c>
      <c r="C251" s="36">
        <v>45561</v>
      </c>
      <c r="D251" t="s">
        <v>1183</v>
      </c>
      <c r="E251" s="36">
        <v>46112</v>
      </c>
      <c r="F251" t="s">
        <v>116</v>
      </c>
      <c r="G251" s="36">
        <v>46107</v>
      </c>
      <c r="H251">
        <v>12</v>
      </c>
      <c r="I251" t="s">
        <v>2509</v>
      </c>
      <c r="J251">
        <v>3</v>
      </c>
      <c r="K251">
        <v>4.0999999999999996</v>
      </c>
      <c r="L251">
        <v>3</v>
      </c>
      <c r="M251">
        <v>0</v>
      </c>
      <c r="N251">
        <v>0</v>
      </c>
      <c r="O251">
        <v>-1.0999999999999996</v>
      </c>
      <c r="P251">
        <v>1.0999999999999996</v>
      </c>
      <c r="Q251">
        <v>1.2099999999999993</v>
      </c>
      <c r="R251">
        <v>0</v>
      </c>
      <c r="S251">
        <v>0</v>
      </c>
      <c r="T251" t="s">
        <v>460</v>
      </c>
      <c r="U251">
        <v>4.8</v>
      </c>
      <c r="V251">
        <v>1.7999999999999998</v>
      </c>
      <c r="W251" t="s">
        <v>2496</v>
      </c>
      <c r="X251" t="s">
        <v>93</v>
      </c>
    </row>
    <row r="252" spans="1:24">
      <c r="A252" t="s">
        <v>22</v>
      </c>
      <c r="B252" t="s">
        <v>94</v>
      </c>
      <c r="C252" s="36">
        <v>45610</v>
      </c>
      <c r="D252" t="s">
        <v>1183</v>
      </c>
      <c r="E252" s="36">
        <v>46112</v>
      </c>
      <c r="F252" t="s">
        <v>116</v>
      </c>
      <c r="G252" s="36">
        <v>46107</v>
      </c>
      <c r="H252">
        <v>11</v>
      </c>
      <c r="I252" t="s">
        <v>2506</v>
      </c>
      <c r="J252">
        <v>3</v>
      </c>
      <c r="K252">
        <v>4.0999999999999996</v>
      </c>
      <c r="L252">
        <v>3</v>
      </c>
      <c r="M252">
        <v>0</v>
      </c>
      <c r="N252">
        <v>0</v>
      </c>
      <c r="O252">
        <v>-1.0999999999999996</v>
      </c>
      <c r="P252">
        <v>1.0999999999999996</v>
      </c>
      <c r="Q252">
        <v>1.2099999999999993</v>
      </c>
      <c r="R252">
        <v>0</v>
      </c>
      <c r="S252">
        <v>0</v>
      </c>
      <c r="T252" t="s">
        <v>565</v>
      </c>
      <c r="U252">
        <v>5</v>
      </c>
      <c r="V252">
        <v>2</v>
      </c>
      <c r="W252" t="s">
        <v>2496</v>
      </c>
      <c r="X252" t="s">
        <v>95</v>
      </c>
    </row>
    <row r="253" spans="1:24">
      <c r="A253" t="s">
        <v>22</v>
      </c>
      <c r="B253" t="s">
        <v>96</v>
      </c>
      <c r="C253" s="36">
        <v>45645</v>
      </c>
      <c r="D253" t="s">
        <v>1183</v>
      </c>
      <c r="E253" s="36">
        <v>46112</v>
      </c>
      <c r="F253" t="s">
        <v>116</v>
      </c>
      <c r="G253" s="36">
        <v>46107</v>
      </c>
      <c r="H253">
        <v>10</v>
      </c>
      <c r="I253" t="s">
        <v>2507</v>
      </c>
      <c r="J253">
        <v>3.2</v>
      </c>
      <c r="K253">
        <v>4.0999999999999996</v>
      </c>
      <c r="L253">
        <v>3</v>
      </c>
      <c r="M253">
        <v>0.20000000000000018</v>
      </c>
      <c r="N253">
        <v>0.20000000000000018</v>
      </c>
      <c r="O253">
        <v>-0.89999999999999947</v>
      </c>
      <c r="P253">
        <v>0.89999999999999947</v>
      </c>
      <c r="Q253">
        <v>0.80999999999999905</v>
      </c>
      <c r="R253">
        <v>0.20000000000000018</v>
      </c>
      <c r="S253">
        <v>0.20000000000000018</v>
      </c>
      <c r="T253" t="s">
        <v>565</v>
      </c>
      <c r="U253">
        <v>5</v>
      </c>
      <c r="V253">
        <v>2</v>
      </c>
      <c r="W253" t="s">
        <v>2496</v>
      </c>
      <c r="X253" t="s">
        <v>97</v>
      </c>
    </row>
    <row r="254" spans="1:24">
      <c r="A254" t="s">
        <v>22</v>
      </c>
      <c r="B254" t="s">
        <v>98</v>
      </c>
      <c r="C254" s="36">
        <v>45694</v>
      </c>
      <c r="D254" t="s">
        <v>1183</v>
      </c>
      <c r="E254" s="36">
        <v>46112</v>
      </c>
      <c r="F254" t="s">
        <v>116</v>
      </c>
      <c r="G254" s="36">
        <v>46107</v>
      </c>
      <c r="H254">
        <v>9</v>
      </c>
      <c r="I254" t="s">
        <v>2504</v>
      </c>
      <c r="J254">
        <v>3.2</v>
      </c>
      <c r="K254">
        <v>4.0999999999999996</v>
      </c>
      <c r="L254">
        <v>3</v>
      </c>
      <c r="M254">
        <v>0.20000000000000018</v>
      </c>
      <c r="N254">
        <v>0.20000000000000018</v>
      </c>
      <c r="O254">
        <v>-0.89999999999999947</v>
      </c>
      <c r="P254">
        <v>0.89999999999999947</v>
      </c>
      <c r="Q254">
        <v>0.80999999999999905</v>
      </c>
      <c r="R254">
        <v>0</v>
      </c>
      <c r="S254">
        <v>0</v>
      </c>
      <c r="T254" t="s">
        <v>670</v>
      </c>
      <c r="U254">
        <v>4.5</v>
      </c>
      <c r="V254">
        <v>1.5</v>
      </c>
      <c r="W254" t="s">
        <v>2496</v>
      </c>
      <c r="X254" t="s">
        <v>99</v>
      </c>
    </row>
    <row r="255" spans="1:24">
      <c r="A255" t="s">
        <v>22</v>
      </c>
      <c r="B255" t="s">
        <v>100</v>
      </c>
      <c r="C255" s="36">
        <v>45743</v>
      </c>
      <c r="D255" t="s">
        <v>1183</v>
      </c>
      <c r="E255" s="36">
        <v>46112</v>
      </c>
      <c r="F255" t="s">
        <v>116</v>
      </c>
      <c r="G255" s="36">
        <v>46107</v>
      </c>
      <c r="H255">
        <v>8</v>
      </c>
      <c r="I255" t="s">
        <v>2505</v>
      </c>
      <c r="J255">
        <v>3.2</v>
      </c>
      <c r="K255">
        <v>4.0999999999999996</v>
      </c>
      <c r="L255">
        <v>3</v>
      </c>
      <c r="M255">
        <v>0.20000000000000018</v>
      </c>
      <c r="N255">
        <v>0.20000000000000018</v>
      </c>
      <c r="O255">
        <v>-0.89999999999999947</v>
      </c>
      <c r="P255">
        <v>0.89999999999999947</v>
      </c>
      <c r="Q255">
        <v>0.80999999999999905</v>
      </c>
      <c r="R255">
        <v>0</v>
      </c>
      <c r="S255">
        <v>0</v>
      </c>
      <c r="T255" t="s">
        <v>670</v>
      </c>
      <c r="U255">
        <v>4.5</v>
      </c>
      <c r="V255">
        <v>1.5</v>
      </c>
      <c r="W255" t="s">
        <v>2496</v>
      </c>
      <c r="X255" t="s">
        <v>101</v>
      </c>
    </row>
    <row r="256" spans="1:24">
      <c r="A256" t="s">
        <v>22</v>
      </c>
      <c r="B256" t="s">
        <v>102</v>
      </c>
      <c r="C256" s="36">
        <v>45792</v>
      </c>
      <c r="D256" t="s">
        <v>1183</v>
      </c>
      <c r="E256" s="36">
        <v>46112</v>
      </c>
      <c r="F256" t="s">
        <v>116</v>
      </c>
      <c r="G256" s="36">
        <v>46107</v>
      </c>
      <c r="H256">
        <v>7</v>
      </c>
      <c r="I256" t="s">
        <v>2502</v>
      </c>
      <c r="J256">
        <v>3.2</v>
      </c>
      <c r="K256">
        <v>4.0999999999999996</v>
      </c>
      <c r="L256">
        <v>3</v>
      </c>
      <c r="M256">
        <v>0.20000000000000018</v>
      </c>
      <c r="N256">
        <v>0.20000000000000018</v>
      </c>
      <c r="O256">
        <v>-0.89999999999999947</v>
      </c>
      <c r="P256">
        <v>0.89999999999999947</v>
      </c>
      <c r="Q256">
        <v>0.80999999999999905</v>
      </c>
      <c r="R256">
        <v>0</v>
      </c>
      <c r="S256">
        <v>0</v>
      </c>
      <c r="T256" t="s">
        <v>771</v>
      </c>
      <c r="U256">
        <v>3.7</v>
      </c>
      <c r="V256">
        <v>0.70000000000000018</v>
      </c>
      <c r="W256" t="s">
        <v>2496</v>
      </c>
      <c r="X256" t="s">
        <v>103</v>
      </c>
    </row>
    <row r="257" spans="1:24">
      <c r="A257" t="s">
        <v>22</v>
      </c>
      <c r="B257" t="s">
        <v>104</v>
      </c>
      <c r="C257" s="36">
        <v>45834</v>
      </c>
      <c r="D257" t="s">
        <v>1183</v>
      </c>
      <c r="E257" s="36">
        <v>46112</v>
      </c>
      <c r="F257" t="s">
        <v>116</v>
      </c>
      <c r="G257" s="36">
        <v>46107</v>
      </c>
      <c r="H257">
        <v>6</v>
      </c>
      <c r="I257" t="s">
        <v>2503</v>
      </c>
      <c r="J257">
        <v>3.4</v>
      </c>
      <c r="K257">
        <v>4.0999999999999996</v>
      </c>
      <c r="L257">
        <v>3</v>
      </c>
      <c r="M257">
        <v>0.39999999999999991</v>
      </c>
      <c r="N257">
        <v>0.39999999999999991</v>
      </c>
      <c r="O257">
        <v>-0.69999999999999973</v>
      </c>
      <c r="P257">
        <v>0.69999999999999973</v>
      </c>
      <c r="Q257">
        <v>0.4899999999999996</v>
      </c>
      <c r="R257">
        <v>0.19999999999999973</v>
      </c>
      <c r="S257">
        <v>0.19999999999999973</v>
      </c>
      <c r="T257" t="s">
        <v>771</v>
      </c>
      <c r="U257">
        <v>3.7</v>
      </c>
      <c r="V257">
        <v>0.70000000000000018</v>
      </c>
      <c r="W257" t="s">
        <v>2496</v>
      </c>
      <c r="X257" t="s">
        <v>105</v>
      </c>
    </row>
    <row r="258" spans="1:24">
      <c r="A258" t="s">
        <v>22</v>
      </c>
      <c r="B258" t="s">
        <v>106</v>
      </c>
      <c r="C258" s="36">
        <v>45876</v>
      </c>
      <c r="D258" t="s">
        <v>1183</v>
      </c>
      <c r="E258" s="36">
        <v>46112</v>
      </c>
      <c r="F258" t="s">
        <v>116</v>
      </c>
      <c r="G258" s="36">
        <v>46107</v>
      </c>
      <c r="H258">
        <v>5</v>
      </c>
      <c r="I258" t="s">
        <v>2500</v>
      </c>
      <c r="J258">
        <v>3.4</v>
      </c>
      <c r="K258">
        <v>4.0999999999999996</v>
      </c>
      <c r="L258">
        <v>3</v>
      </c>
      <c r="M258">
        <v>0.39999999999999991</v>
      </c>
      <c r="N258">
        <v>0.39999999999999991</v>
      </c>
      <c r="O258">
        <v>-0.69999999999999973</v>
      </c>
      <c r="P258">
        <v>0.69999999999999973</v>
      </c>
      <c r="Q258">
        <v>0.4899999999999996</v>
      </c>
      <c r="R258">
        <v>0</v>
      </c>
      <c r="S258">
        <v>0</v>
      </c>
      <c r="T258" t="s">
        <v>876</v>
      </c>
      <c r="U258">
        <v>4.2</v>
      </c>
      <c r="V258">
        <v>1.2000000000000002</v>
      </c>
      <c r="W258" t="s">
        <v>2496</v>
      </c>
      <c r="X258" t="s">
        <v>107</v>
      </c>
    </row>
    <row r="259" spans="1:24">
      <c r="A259" t="s">
        <v>22</v>
      </c>
      <c r="B259" t="s">
        <v>108</v>
      </c>
      <c r="C259" s="36">
        <v>45925</v>
      </c>
      <c r="D259" t="s">
        <v>1183</v>
      </c>
      <c r="E259" s="36">
        <v>46112</v>
      </c>
      <c r="F259" t="s">
        <v>116</v>
      </c>
      <c r="G259" s="36">
        <v>46107</v>
      </c>
      <c r="H259">
        <v>4</v>
      </c>
      <c r="I259" t="s">
        <v>2501</v>
      </c>
      <c r="J259">
        <v>3.4</v>
      </c>
      <c r="K259">
        <v>4.0999999999999996</v>
      </c>
      <c r="L259">
        <v>3</v>
      </c>
      <c r="M259">
        <v>0.39999999999999991</v>
      </c>
      <c r="N259">
        <v>0.39999999999999991</v>
      </c>
      <c r="O259">
        <v>-0.69999999999999973</v>
      </c>
      <c r="P259">
        <v>0.69999999999999973</v>
      </c>
      <c r="Q259">
        <v>0.4899999999999996</v>
      </c>
      <c r="R259">
        <v>0</v>
      </c>
      <c r="S259">
        <v>0</v>
      </c>
      <c r="T259" t="s">
        <v>876</v>
      </c>
      <c r="U259">
        <v>4.2</v>
      </c>
      <c r="V259">
        <v>1.2000000000000002</v>
      </c>
      <c r="W259" t="s">
        <v>2496</v>
      </c>
      <c r="X259" t="s">
        <v>109</v>
      </c>
    </row>
    <row r="260" spans="1:24">
      <c r="A260" t="s">
        <v>22</v>
      </c>
      <c r="B260" t="s">
        <v>110</v>
      </c>
      <c r="C260" s="36">
        <v>45967</v>
      </c>
      <c r="D260" t="s">
        <v>1183</v>
      </c>
      <c r="E260" s="36">
        <v>46112</v>
      </c>
      <c r="F260" t="s">
        <v>116</v>
      </c>
      <c r="G260" s="36">
        <v>46107</v>
      </c>
      <c r="H260">
        <v>3</v>
      </c>
      <c r="I260" t="s">
        <v>2498</v>
      </c>
      <c r="J260">
        <v>3.5</v>
      </c>
      <c r="K260">
        <v>4.0999999999999996</v>
      </c>
      <c r="L260">
        <v>3</v>
      </c>
      <c r="M260">
        <v>0.5</v>
      </c>
      <c r="N260">
        <v>0.5</v>
      </c>
      <c r="O260">
        <v>-0.59999999999999964</v>
      </c>
      <c r="P260">
        <v>0.59999999999999964</v>
      </c>
      <c r="Q260">
        <v>0.3599999999999996</v>
      </c>
      <c r="R260">
        <v>0.10000000000000009</v>
      </c>
      <c r="S260">
        <v>0.10000000000000009</v>
      </c>
      <c r="T260" t="s">
        <v>981</v>
      </c>
      <c r="U260">
        <v>3.6</v>
      </c>
      <c r="V260">
        <v>0.60000000000000009</v>
      </c>
      <c r="W260" t="s">
        <v>2496</v>
      </c>
      <c r="X260" t="s">
        <v>111</v>
      </c>
    </row>
    <row r="261" spans="1:24">
      <c r="A261" t="s">
        <v>22</v>
      </c>
      <c r="B261" t="s">
        <v>112</v>
      </c>
      <c r="C261" s="36">
        <v>46009</v>
      </c>
      <c r="D261" t="s">
        <v>1183</v>
      </c>
      <c r="E261" s="36">
        <v>46112</v>
      </c>
      <c r="F261" t="s">
        <v>116</v>
      </c>
      <c r="G261" s="36">
        <v>46107</v>
      </c>
      <c r="H261">
        <v>2</v>
      </c>
      <c r="I261" t="s">
        <v>2499</v>
      </c>
      <c r="J261">
        <v>3.7</v>
      </c>
      <c r="K261">
        <v>4.0999999999999996</v>
      </c>
      <c r="L261">
        <v>3</v>
      </c>
      <c r="M261">
        <v>0.70000000000000018</v>
      </c>
      <c r="N261">
        <v>0.70000000000000018</v>
      </c>
      <c r="O261">
        <v>-0.39999999999999947</v>
      </c>
      <c r="P261">
        <v>0.39999999999999947</v>
      </c>
      <c r="Q261">
        <v>0.15999999999999959</v>
      </c>
      <c r="R261">
        <v>0.20000000000000018</v>
      </c>
      <c r="S261">
        <v>0.20000000000000018</v>
      </c>
      <c r="T261" t="s">
        <v>981</v>
      </c>
      <c r="U261">
        <v>3.6</v>
      </c>
      <c r="V261">
        <v>0.60000000000000009</v>
      </c>
      <c r="W261" t="s">
        <v>2496</v>
      </c>
      <c r="X261" t="s">
        <v>113</v>
      </c>
    </row>
    <row r="262" spans="1:24">
      <c r="A262" t="s">
        <v>22</v>
      </c>
      <c r="B262" t="s">
        <v>114</v>
      </c>
      <c r="C262" s="36">
        <v>46058</v>
      </c>
      <c r="D262" t="s">
        <v>1183</v>
      </c>
      <c r="E262" s="36">
        <v>46112</v>
      </c>
      <c r="F262" t="s">
        <v>116</v>
      </c>
      <c r="G262" s="36">
        <v>46107</v>
      </c>
      <c r="H262">
        <v>1</v>
      </c>
      <c r="I262" t="s">
        <v>2495</v>
      </c>
      <c r="J262">
        <v>4</v>
      </c>
      <c r="K262">
        <v>4.0999999999999996</v>
      </c>
      <c r="L262">
        <v>3</v>
      </c>
      <c r="M262">
        <v>1</v>
      </c>
      <c r="N262">
        <v>1</v>
      </c>
      <c r="O262">
        <v>-9.9999999999999645E-2</v>
      </c>
      <c r="P262">
        <v>9.9999999999999645E-2</v>
      </c>
      <c r="Q262">
        <v>9.9999999999999291E-3</v>
      </c>
      <c r="R262">
        <v>0.29999999999999982</v>
      </c>
      <c r="S262">
        <v>0.29999999999999982</v>
      </c>
      <c r="T262" t="s">
        <v>1086</v>
      </c>
      <c r="U262">
        <v>3.7</v>
      </c>
      <c r="V262">
        <v>0.70000000000000018</v>
      </c>
      <c r="W262" t="s">
        <v>2496</v>
      </c>
      <c r="X262" t="s">
        <v>115</v>
      </c>
    </row>
    <row r="263" spans="1:24">
      <c r="A263" t="s">
        <v>22</v>
      </c>
      <c r="B263" t="s">
        <v>116</v>
      </c>
      <c r="C263" s="36">
        <v>46107</v>
      </c>
      <c r="D263" t="s">
        <v>1183</v>
      </c>
      <c r="E263" s="36">
        <v>46112</v>
      </c>
      <c r="F263" t="s">
        <v>116</v>
      </c>
      <c r="G263" s="36">
        <v>46107</v>
      </c>
      <c r="H263">
        <v>0</v>
      </c>
      <c r="I263" t="s">
        <v>2497</v>
      </c>
      <c r="J263">
        <v>4.0999999999999996</v>
      </c>
      <c r="K263">
        <v>4.0999999999999996</v>
      </c>
      <c r="L263">
        <v>3</v>
      </c>
      <c r="M263">
        <v>1.0999999999999996</v>
      </c>
      <c r="N263">
        <v>1.0999999999999996</v>
      </c>
      <c r="O263">
        <v>0</v>
      </c>
      <c r="P263">
        <v>0</v>
      </c>
      <c r="Q263">
        <v>0</v>
      </c>
      <c r="R263">
        <v>9.9999999999999645E-2</v>
      </c>
      <c r="S263">
        <v>9.9999999999999645E-2</v>
      </c>
      <c r="T263" t="s">
        <v>1086</v>
      </c>
      <c r="U263">
        <v>3.7</v>
      </c>
      <c r="V263">
        <v>0.70000000000000018</v>
      </c>
      <c r="W263" t="s">
        <v>2496</v>
      </c>
      <c r="X263" t="s">
        <v>117</v>
      </c>
    </row>
    <row r="264" spans="1:24">
      <c r="A264" t="s">
        <v>22</v>
      </c>
      <c r="B264" t="s">
        <v>88</v>
      </c>
      <c r="C264" s="36">
        <v>45470</v>
      </c>
      <c r="D264" t="s">
        <v>1276</v>
      </c>
      <c r="E264" s="36">
        <v>46203</v>
      </c>
      <c r="F264" t="s">
        <v>120</v>
      </c>
      <c r="G264" s="36">
        <v>46198</v>
      </c>
      <c r="H264">
        <v>16</v>
      </c>
      <c r="I264" t="s">
        <v>2512</v>
      </c>
      <c r="J264">
        <v>3</v>
      </c>
      <c r="K264">
        <v>3.9</v>
      </c>
      <c r="L264">
        <v>3</v>
      </c>
      <c r="M264">
        <v>0</v>
      </c>
      <c r="N264">
        <v>0</v>
      </c>
      <c r="O264">
        <v>-0.89999999999999991</v>
      </c>
      <c r="P264">
        <v>0.89999999999999991</v>
      </c>
      <c r="Q264">
        <v>0.80999999999999983</v>
      </c>
      <c r="T264" t="s">
        <v>355</v>
      </c>
      <c r="U264">
        <v>4.5999999999999996</v>
      </c>
      <c r="V264">
        <v>1.5999999999999996</v>
      </c>
      <c r="W264" t="s">
        <v>2513</v>
      </c>
      <c r="X264" t="s">
        <v>89</v>
      </c>
    </row>
    <row r="265" spans="1:24">
      <c r="A265" t="s">
        <v>22</v>
      </c>
      <c r="B265" t="s">
        <v>90</v>
      </c>
      <c r="C265" s="36">
        <v>45512</v>
      </c>
      <c r="D265" t="s">
        <v>1276</v>
      </c>
      <c r="E265" s="36">
        <v>46203</v>
      </c>
      <c r="F265" t="s">
        <v>120</v>
      </c>
      <c r="G265" s="36">
        <v>46198</v>
      </c>
      <c r="H265">
        <v>15</v>
      </c>
      <c r="I265" t="s">
        <v>2510</v>
      </c>
      <c r="J265">
        <v>3</v>
      </c>
      <c r="K265">
        <v>3.9</v>
      </c>
      <c r="L265">
        <v>3</v>
      </c>
      <c r="M265">
        <v>0</v>
      </c>
      <c r="N265">
        <v>0</v>
      </c>
      <c r="O265">
        <v>-0.89999999999999991</v>
      </c>
      <c r="P265">
        <v>0.89999999999999991</v>
      </c>
      <c r="Q265">
        <v>0.80999999999999983</v>
      </c>
      <c r="R265">
        <v>0</v>
      </c>
      <c r="S265">
        <v>0</v>
      </c>
      <c r="T265" t="s">
        <v>460</v>
      </c>
      <c r="U265">
        <v>4.8</v>
      </c>
      <c r="V265">
        <v>1.7999999999999998</v>
      </c>
      <c r="W265" t="s">
        <v>2513</v>
      </c>
      <c r="X265" t="s">
        <v>91</v>
      </c>
    </row>
    <row r="266" spans="1:24">
      <c r="A266" t="s">
        <v>22</v>
      </c>
      <c r="B266" t="s">
        <v>92</v>
      </c>
      <c r="C266" s="36">
        <v>45561</v>
      </c>
      <c r="D266" t="s">
        <v>1276</v>
      </c>
      <c r="E266" s="36">
        <v>46203</v>
      </c>
      <c r="F266" t="s">
        <v>120</v>
      </c>
      <c r="G266" s="36">
        <v>46198</v>
      </c>
      <c r="H266">
        <v>14</v>
      </c>
      <c r="I266" t="s">
        <v>2511</v>
      </c>
      <c r="J266">
        <v>3</v>
      </c>
      <c r="K266">
        <v>3.9</v>
      </c>
      <c r="L266">
        <v>3</v>
      </c>
      <c r="M266">
        <v>0</v>
      </c>
      <c r="N266">
        <v>0</v>
      </c>
      <c r="O266">
        <v>-0.89999999999999991</v>
      </c>
      <c r="P266">
        <v>0.89999999999999991</v>
      </c>
      <c r="Q266">
        <v>0.80999999999999983</v>
      </c>
      <c r="R266">
        <v>0</v>
      </c>
      <c r="S266">
        <v>0</v>
      </c>
      <c r="T266" t="s">
        <v>460</v>
      </c>
      <c r="U266">
        <v>4.8</v>
      </c>
      <c r="V266">
        <v>1.7999999999999998</v>
      </c>
      <c r="W266" t="s">
        <v>2513</v>
      </c>
      <c r="X266" t="s">
        <v>93</v>
      </c>
    </row>
    <row r="267" spans="1:24">
      <c r="A267" t="s">
        <v>22</v>
      </c>
      <c r="B267" t="s">
        <v>94</v>
      </c>
      <c r="C267" s="36">
        <v>45610</v>
      </c>
      <c r="D267" t="s">
        <v>1276</v>
      </c>
      <c r="E267" s="36">
        <v>46203</v>
      </c>
      <c r="F267" t="s">
        <v>120</v>
      </c>
      <c r="G267" s="36">
        <v>46198</v>
      </c>
      <c r="H267">
        <v>13</v>
      </c>
      <c r="I267" t="s">
        <v>2508</v>
      </c>
      <c r="J267">
        <v>3</v>
      </c>
      <c r="K267">
        <v>3.9</v>
      </c>
      <c r="L267">
        <v>3</v>
      </c>
      <c r="M267">
        <v>0</v>
      </c>
      <c r="N267">
        <v>0</v>
      </c>
      <c r="O267">
        <v>-0.89999999999999991</v>
      </c>
      <c r="P267">
        <v>0.89999999999999991</v>
      </c>
      <c r="Q267">
        <v>0.80999999999999983</v>
      </c>
      <c r="R267">
        <v>0</v>
      </c>
      <c r="S267">
        <v>0</v>
      </c>
      <c r="T267" t="s">
        <v>565</v>
      </c>
      <c r="U267">
        <v>5</v>
      </c>
      <c r="V267">
        <v>2</v>
      </c>
      <c r="W267" t="s">
        <v>2513</v>
      </c>
      <c r="X267" t="s">
        <v>95</v>
      </c>
    </row>
    <row r="268" spans="1:24">
      <c r="A268" t="s">
        <v>22</v>
      </c>
      <c r="B268" t="s">
        <v>96</v>
      </c>
      <c r="C268" s="36">
        <v>45645</v>
      </c>
      <c r="D268" t="s">
        <v>1276</v>
      </c>
      <c r="E268" s="36">
        <v>46203</v>
      </c>
      <c r="F268" t="s">
        <v>120</v>
      </c>
      <c r="G268" s="36">
        <v>46198</v>
      </c>
      <c r="H268">
        <v>12</v>
      </c>
      <c r="I268" t="s">
        <v>2509</v>
      </c>
      <c r="J268">
        <v>3.1</v>
      </c>
      <c r="K268">
        <v>3.9</v>
      </c>
      <c r="L268">
        <v>3</v>
      </c>
      <c r="M268">
        <v>0.10000000000000009</v>
      </c>
      <c r="N268">
        <v>0.10000000000000009</v>
      </c>
      <c r="O268">
        <v>-0.79999999999999982</v>
      </c>
      <c r="P268">
        <v>0.79999999999999982</v>
      </c>
      <c r="Q268">
        <v>0.63999999999999968</v>
      </c>
      <c r="R268">
        <v>0.10000000000000009</v>
      </c>
      <c r="S268">
        <v>0.10000000000000009</v>
      </c>
      <c r="T268" t="s">
        <v>565</v>
      </c>
      <c r="U268">
        <v>5</v>
      </c>
      <c r="V268">
        <v>2</v>
      </c>
      <c r="W268" t="s">
        <v>2513</v>
      </c>
      <c r="X268" t="s">
        <v>97</v>
      </c>
    </row>
    <row r="269" spans="1:24">
      <c r="A269" t="s">
        <v>22</v>
      </c>
      <c r="B269" t="s">
        <v>98</v>
      </c>
      <c r="C269" s="36">
        <v>45694</v>
      </c>
      <c r="D269" t="s">
        <v>1276</v>
      </c>
      <c r="E269" s="36">
        <v>46203</v>
      </c>
      <c r="F269" t="s">
        <v>120</v>
      </c>
      <c r="G269" s="36">
        <v>46198</v>
      </c>
      <c r="H269">
        <v>11</v>
      </c>
      <c r="I269" t="s">
        <v>2506</v>
      </c>
      <c r="J269">
        <v>3.1</v>
      </c>
      <c r="K269">
        <v>3.9</v>
      </c>
      <c r="L269">
        <v>3</v>
      </c>
      <c r="M269">
        <v>0.10000000000000009</v>
      </c>
      <c r="N269">
        <v>0.10000000000000009</v>
      </c>
      <c r="O269">
        <v>-0.79999999999999982</v>
      </c>
      <c r="P269">
        <v>0.79999999999999982</v>
      </c>
      <c r="Q269">
        <v>0.63999999999999968</v>
      </c>
      <c r="R269">
        <v>0</v>
      </c>
      <c r="S269">
        <v>0</v>
      </c>
      <c r="T269" t="s">
        <v>670</v>
      </c>
      <c r="U269">
        <v>4.5</v>
      </c>
      <c r="V269">
        <v>1.5</v>
      </c>
      <c r="W269" t="s">
        <v>2513</v>
      </c>
      <c r="X269" t="s">
        <v>99</v>
      </c>
    </row>
    <row r="270" spans="1:24">
      <c r="A270" t="s">
        <v>22</v>
      </c>
      <c r="B270" t="s">
        <v>100</v>
      </c>
      <c r="C270" s="36">
        <v>45743</v>
      </c>
      <c r="D270" t="s">
        <v>1276</v>
      </c>
      <c r="E270" s="36">
        <v>46203</v>
      </c>
      <c r="F270" t="s">
        <v>120</v>
      </c>
      <c r="G270" s="36">
        <v>46198</v>
      </c>
      <c r="H270">
        <v>10</v>
      </c>
      <c r="I270" t="s">
        <v>2507</v>
      </c>
      <c r="J270">
        <v>3.1</v>
      </c>
      <c r="K270">
        <v>3.9</v>
      </c>
      <c r="L270">
        <v>3</v>
      </c>
      <c r="M270">
        <v>0.10000000000000009</v>
      </c>
      <c r="N270">
        <v>0.10000000000000009</v>
      </c>
      <c r="O270">
        <v>-0.79999999999999982</v>
      </c>
      <c r="P270">
        <v>0.79999999999999982</v>
      </c>
      <c r="Q270">
        <v>0.63999999999999968</v>
      </c>
      <c r="R270">
        <v>0</v>
      </c>
      <c r="S270">
        <v>0</v>
      </c>
      <c r="T270" t="s">
        <v>670</v>
      </c>
      <c r="U270">
        <v>4.5</v>
      </c>
      <c r="V270">
        <v>1.5</v>
      </c>
      <c r="W270" t="s">
        <v>2513</v>
      </c>
      <c r="X270" t="s">
        <v>101</v>
      </c>
    </row>
    <row r="271" spans="1:24">
      <c r="A271" t="s">
        <v>22</v>
      </c>
      <c r="B271" t="s">
        <v>102</v>
      </c>
      <c r="C271" s="36">
        <v>45792</v>
      </c>
      <c r="D271" t="s">
        <v>1276</v>
      </c>
      <c r="E271" s="36">
        <v>46203</v>
      </c>
      <c r="F271" t="s">
        <v>120</v>
      </c>
      <c r="G271" s="36">
        <v>46198</v>
      </c>
      <c r="H271">
        <v>9</v>
      </c>
      <c r="I271" t="s">
        <v>2504</v>
      </c>
      <c r="J271">
        <v>3.1</v>
      </c>
      <c r="K271">
        <v>3.9</v>
      </c>
      <c r="L271">
        <v>3</v>
      </c>
      <c r="M271">
        <v>0.10000000000000009</v>
      </c>
      <c r="N271">
        <v>0.10000000000000009</v>
      </c>
      <c r="O271">
        <v>-0.79999999999999982</v>
      </c>
      <c r="P271">
        <v>0.79999999999999982</v>
      </c>
      <c r="Q271">
        <v>0.63999999999999968</v>
      </c>
      <c r="R271">
        <v>0</v>
      </c>
      <c r="S271">
        <v>0</v>
      </c>
      <c r="T271" t="s">
        <v>771</v>
      </c>
      <c r="U271">
        <v>3.7</v>
      </c>
      <c r="V271">
        <v>0.70000000000000018</v>
      </c>
      <c r="W271" t="s">
        <v>2513</v>
      </c>
      <c r="X271" t="s">
        <v>103</v>
      </c>
    </row>
    <row r="272" spans="1:24">
      <c r="A272" t="s">
        <v>22</v>
      </c>
      <c r="B272" t="s">
        <v>104</v>
      </c>
      <c r="C272" s="36">
        <v>45834</v>
      </c>
      <c r="D272" t="s">
        <v>1276</v>
      </c>
      <c r="E272" s="36">
        <v>46203</v>
      </c>
      <c r="F272" t="s">
        <v>120</v>
      </c>
      <c r="G272" s="36">
        <v>46198</v>
      </c>
      <c r="H272">
        <v>8</v>
      </c>
      <c r="I272" t="s">
        <v>2505</v>
      </c>
      <c r="J272">
        <v>3.1</v>
      </c>
      <c r="K272">
        <v>3.9</v>
      </c>
      <c r="L272">
        <v>3</v>
      </c>
      <c r="M272">
        <v>0.10000000000000009</v>
      </c>
      <c r="N272">
        <v>0.10000000000000009</v>
      </c>
      <c r="O272">
        <v>-0.79999999999999982</v>
      </c>
      <c r="P272">
        <v>0.79999999999999982</v>
      </c>
      <c r="Q272">
        <v>0.63999999999999968</v>
      </c>
      <c r="R272">
        <v>0</v>
      </c>
      <c r="S272">
        <v>0</v>
      </c>
      <c r="T272" t="s">
        <v>771</v>
      </c>
      <c r="U272">
        <v>3.7</v>
      </c>
      <c r="V272">
        <v>0.70000000000000018</v>
      </c>
      <c r="W272" t="s">
        <v>2513</v>
      </c>
      <c r="X272" t="s">
        <v>105</v>
      </c>
    </row>
    <row r="273" spans="1:24">
      <c r="A273" t="s">
        <v>22</v>
      </c>
      <c r="B273" t="s">
        <v>106</v>
      </c>
      <c r="C273" s="36">
        <v>45876</v>
      </c>
      <c r="D273" t="s">
        <v>1276</v>
      </c>
      <c r="E273" s="36">
        <v>46203</v>
      </c>
      <c r="F273" t="s">
        <v>120</v>
      </c>
      <c r="G273" s="36">
        <v>46198</v>
      </c>
      <c r="H273">
        <v>7</v>
      </c>
      <c r="I273" t="s">
        <v>2502</v>
      </c>
      <c r="J273">
        <v>3.1</v>
      </c>
      <c r="K273">
        <v>3.9</v>
      </c>
      <c r="L273">
        <v>3</v>
      </c>
      <c r="M273">
        <v>0.10000000000000009</v>
      </c>
      <c r="N273">
        <v>0.10000000000000009</v>
      </c>
      <c r="O273">
        <v>-0.79999999999999982</v>
      </c>
      <c r="P273">
        <v>0.79999999999999982</v>
      </c>
      <c r="Q273">
        <v>0.63999999999999968</v>
      </c>
      <c r="R273">
        <v>0</v>
      </c>
      <c r="S273">
        <v>0</v>
      </c>
      <c r="T273" t="s">
        <v>876</v>
      </c>
      <c r="U273">
        <v>4.2</v>
      </c>
      <c r="V273">
        <v>1.2000000000000002</v>
      </c>
      <c r="W273" t="s">
        <v>2513</v>
      </c>
      <c r="X273" t="s">
        <v>107</v>
      </c>
    </row>
    <row r="274" spans="1:24">
      <c r="A274" t="s">
        <v>22</v>
      </c>
      <c r="B274" t="s">
        <v>108</v>
      </c>
      <c r="C274" s="36">
        <v>45925</v>
      </c>
      <c r="D274" t="s">
        <v>1276</v>
      </c>
      <c r="E274" s="36">
        <v>46203</v>
      </c>
      <c r="F274" t="s">
        <v>120</v>
      </c>
      <c r="G274" s="36">
        <v>46198</v>
      </c>
      <c r="H274">
        <v>6</v>
      </c>
      <c r="I274" t="s">
        <v>2503</v>
      </c>
      <c r="J274">
        <v>3.1</v>
      </c>
      <c r="K274">
        <v>3.9</v>
      </c>
      <c r="L274">
        <v>3</v>
      </c>
      <c r="M274">
        <v>0.10000000000000009</v>
      </c>
      <c r="N274">
        <v>0.10000000000000009</v>
      </c>
      <c r="O274">
        <v>-0.79999999999999982</v>
      </c>
      <c r="P274">
        <v>0.79999999999999982</v>
      </c>
      <c r="Q274">
        <v>0.63999999999999968</v>
      </c>
      <c r="R274">
        <v>0</v>
      </c>
      <c r="S274">
        <v>0</v>
      </c>
      <c r="T274" t="s">
        <v>876</v>
      </c>
      <c r="U274">
        <v>4.2</v>
      </c>
      <c r="V274">
        <v>1.2000000000000002</v>
      </c>
      <c r="W274" t="s">
        <v>2513</v>
      </c>
      <c r="X274" t="s">
        <v>109</v>
      </c>
    </row>
    <row r="275" spans="1:24">
      <c r="A275" t="s">
        <v>22</v>
      </c>
      <c r="B275" t="s">
        <v>110</v>
      </c>
      <c r="C275" s="36">
        <v>45967</v>
      </c>
      <c r="D275" t="s">
        <v>1276</v>
      </c>
      <c r="E275" s="36">
        <v>46203</v>
      </c>
      <c r="F275" t="s">
        <v>120</v>
      </c>
      <c r="G275" s="36">
        <v>46198</v>
      </c>
      <c r="H275">
        <v>5</v>
      </c>
      <c r="I275" t="s">
        <v>2500</v>
      </c>
      <c r="J275">
        <v>3.2</v>
      </c>
      <c r="K275">
        <v>3.9</v>
      </c>
      <c r="L275">
        <v>3</v>
      </c>
      <c r="M275">
        <v>0.20000000000000018</v>
      </c>
      <c r="N275">
        <v>0.20000000000000018</v>
      </c>
      <c r="O275">
        <v>-0.69999999999999973</v>
      </c>
      <c r="P275">
        <v>0.69999999999999973</v>
      </c>
      <c r="Q275">
        <v>0.4899999999999996</v>
      </c>
      <c r="R275">
        <v>0.10000000000000009</v>
      </c>
      <c r="S275">
        <v>0.10000000000000009</v>
      </c>
      <c r="T275" t="s">
        <v>981</v>
      </c>
      <c r="U275">
        <v>3.6</v>
      </c>
      <c r="V275">
        <v>0.60000000000000009</v>
      </c>
      <c r="W275" t="s">
        <v>2513</v>
      </c>
      <c r="X275" t="s">
        <v>111</v>
      </c>
    </row>
    <row r="276" spans="1:24">
      <c r="A276" t="s">
        <v>22</v>
      </c>
      <c r="B276" t="s">
        <v>112</v>
      </c>
      <c r="C276" s="36">
        <v>46009</v>
      </c>
      <c r="D276" t="s">
        <v>1276</v>
      </c>
      <c r="E276" s="36">
        <v>46203</v>
      </c>
      <c r="F276" t="s">
        <v>120</v>
      </c>
      <c r="G276" s="36">
        <v>46198</v>
      </c>
      <c r="H276">
        <v>4</v>
      </c>
      <c r="I276" t="s">
        <v>2501</v>
      </c>
      <c r="J276">
        <v>3.3</v>
      </c>
      <c r="K276">
        <v>3.9</v>
      </c>
      <c r="L276">
        <v>3</v>
      </c>
      <c r="M276">
        <v>0.29999999999999982</v>
      </c>
      <c r="N276">
        <v>0.29999999999999982</v>
      </c>
      <c r="O276">
        <v>-0.60000000000000009</v>
      </c>
      <c r="P276">
        <v>0.60000000000000009</v>
      </c>
      <c r="Q276">
        <v>0.3600000000000001</v>
      </c>
      <c r="R276">
        <v>9.9999999999999645E-2</v>
      </c>
      <c r="S276">
        <v>9.9999999999999645E-2</v>
      </c>
      <c r="T276" t="s">
        <v>981</v>
      </c>
      <c r="U276">
        <v>3.6</v>
      </c>
      <c r="V276">
        <v>0.60000000000000009</v>
      </c>
      <c r="W276" t="s">
        <v>2513</v>
      </c>
      <c r="X276" t="s">
        <v>113</v>
      </c>
    </row>
    <row r="277" spans="1:24">
      <c r="A277" t="s">
        <v>22</v>
      </c>
      <c r="B277" t="s">
        <v>114</v>
      </c>
      <c r="C277" s="36">
        <v>46058</v>
      </c>
      <c r="D277" t="s">
        <v>1276</v>
      </c>
      <c r="E277" s="36">
        <v>46203</v>
      </c>
      <c r="F277" t="s">
        <v>120</v>
      </c>
      <c r="G277" s="36">
        <v>46198</v>
      </c>
      <c r="H277">
        <v>3</v>
      </c>
      <c r="I277" t="s">
        <v>2498</v>
      </c>
      <c r="J277">
        <v>3.8</v>
      </c>
      <c r="K277">
        <v>3.9</v>
      </c>
      <c r="L277">
        <v>3</v>
      </c>
      <c r="M277">
        <v>0.79999999999999982</v>
      </c>
      <c r="N277">
        <v>0.79999999999999982</v>
      </c>
      <c r="O277">
        <v>-0.10000000000000009</v>
      </c>
      <c r="P277">
        <v>0.10000000000000009</v>
      </c>
      <c r="Q277">
        <v>1.0000000000000018E-2</v>
      </c>
      <c r="R277">
        <v>0.5</v>
      </c>
      <c r="S277">
        <v>0.5</v>
      </c>
      <c r="T277" t="s">
        <v>1086</v>
      </c>
      <c r="U277">
        <v>3.7</v>
      </c>
      <c r="V277">
        <v>0.70000000000000018</v>
      </c>
      <c r="W277" t="s">
        <v>2513</v>
      </c>
      <c r="X277" t="s">
        <v>115</v>
      </c>
    </row>
    <row r="278" spans="1:24">
      <c r="A278" t="s">
        <v>22</v>
      </c>
      <c r="B278" t="s">
        <v>116</v>
      </c>
      <c r="C278" s="36">
        <v>46107</v>
      </c>
      <c r="D278" t="s">
        <v>1276</v>
      </c>
      <c r="E278" s="36">
        <v>46203</v>
      </c>
      <c r="F278" t="s">
        <v>120</v>
      </c>
      <c r="G278" s="36">
        <v>46198</v>
      </c>
      <c r="H278">
        <v>2</v>
      </c>
      <c r="I278" t="s">
        <v>2499</v>
      </c>
      <c r="J278">
        <v>4</v>
      </c>
      <c r="K278">
        <v>3.9</v>
      </c>
      <c r="L278">
        <v>3</v>
      </c>
      <c r="M278">
        <v>1</v>
      </c>
      <c r="N278">
        <v>1</v>
      </c>
      <c r="O278">
        <v>0.10000000000000009</v>
      </c>
      <c r="P278">
        <v>0.10000000000000009</v>
      </c>
      <c r="Q278">
        <v>1.0000000000000018E-2</v>
      </c>
      <c r="R278">
        <v>0.20000000000000018</v>
      </c>
      <c r="S278">
        <v>0.20000000000000018</v>
      </c>
      <c r="T278" t="s">
        <v>1086</v>
      </c>
      <c r="U278">
        <v>3.7</v>
      </c>
      <c r="V278">
        <v>0.70000000000000018</v>
      </c>
      <c r="W278" t="s">
        <v>2513</v>
      </c>
      <c r="X278" t="s">
        <v>117</v>
      </c>
    </row>
    <row r="279" spans="1:24">
      <c r="A279" t="s">
        <v>22</v>
      </c>
      <c r="B279" t="s">
        <v>118</v>
      </c>
      <c r="C279" s="36">
        <v>46149</v>
      </c>
      <c r="D279" t="s">
        <v>1276</v>
      </c>
      <c r="E279" s="36">
        <v>46203</v>
      </c>
      <c r="F279" t="s">
        <v>120</v>
      </c>
      <c r="G279" s="36">
        <v>46198</v>
      </c>
      <c r="H279">
        <v>1</v>
      </c>
      <c r="I279" t="s">
        <v>2495</v>
      </c>
      <c r="J279">
        <v>4.0999999999999996</v>
      </c>
      <c r="K279">
        <v>3.9</v>
      </c>
      <c r="L279">
        <v>3</v>
      </c>
      <c r="M279">
        <v>1.0999999999999996</v>
      </c>
      <c r="N279">
        <v>1.0999999999999996</v>
      </c>
      <c r="O279">
        <v>0.19999999999999973</v>
      </c>
      <c r="P279">
        <v>0.19999999999999973</v>
      </c>
      <c r="Q279">
        <v>3.9999999999999897E-2</v>
      </c>
      <c r="R279">
        <v>9.9999999999999645E-2</v>
      </c>
      <c r="S279">
        <v>9.9999999999999645E-2</v>
      </c>
      <c r="T279" t="s">
        <v>1183</v>
      </c>
      <c r="U279">
        <v>4.0999999999999996</v>
      </c>
      <c r="V279">
        <v>1.0999999999999996</v>
      </c>
      <c r="W279" t="s">
        <v>2513</v>
      </c>
      <c r="X279" t="s">
        <v>119</v>
      </c>
    </row>
    <row r="280" spans="1:24">
      <c r="A280" t="s">
        <v>22</v>
      </c>
      <c r="B280" t="s">
        <v>120</v>
      </c>
      <c r="C280" s="36">
        <v>46198</v>
      </c>
      <c r="D280" t="s">
        <v>1276</v>
      </c>
      <c r="E280" s="36">
        <v>46203</v>
      </c>
      <c r="F280" t="s">
        <v>120</v>
      </c>
      <c r="G280" s="36">
        <v>46198</v>
      </c>
      <c r="H280">
        <v>0</v>
      </c>
      <c r="I280" t="s">
        <v>2497</v>
      </c>
      <c r="J280">
        <v>4</v>
      </c>
      <c r="K280">
        <v>3.9</v>
      </c>
      <c r="L280">
        <v>3</v>
      </c>
      <c r="M280">
        <v>1</v>
      </c>
      <c r="N280">
        <v>1</v>
      </c>
      <c r="O280">
        <v>0.10000000000000009</v>
      </c>
      <c r="P280">
        <v>0.10000000000000009</v>
      </c>
      <c r="Q280">
        <v>1.0000000000000018E-2</v>
      </c>
      <c r="R280">
        <v>-9.9999999999999645E-2</v>
      </c>
      <c r="S280">
        <v>9.9999999999999645E-2</v>
      </c>
      <c r="T280" t="s">
        <v>1183</v>
      </c>
      <c r="U280">
        <v>4.0999999999999996</v>
      </c>
      <c r="V280">
        <v>1.0999999999999996</v>
      </c>
      <c r="W280" t="s">
        <v>2513</v>
      </c>
      <c r="X280" t="s">
        <v>121</v>
      </c>
    </row>
    <row r="281" spans="1:24">
      <c r="A281" t="s">
        <v>210</v>
      </c>
      <c r="B281" t="s">
        <v>47</v>
      </c>
      <c r="C281" s="36">
        <v>44546</v>
      </c>
      <c r="D281" t="s">
        <v>142</v>
      </c>
      <c r="E281" s="36">
        <v>44561</v>
      </c>
      <c r="F281" t="s">
        <v>47</v>
      </c>
      <c r="G281" s="36">
        <v>44546</v>
      </c>
      <c r="H281">
        <v>0</v>
      </c>
      <c r="I281" t="s">
        <v>2497</v>
      </c>
      <c r="J281">
        <v>7</v>
      </c>
      <c r="K281">
        <v>8.1</v>
      </c>
      <c r="L281">
        <v>3</v>
      </c>
      <c r="M281">
        <v>4</v>
      </c>
      <c r="N281">
        <v>4</v>
      </c>
      <c r="O281">
        <v>-1.0999999999999996</v>
      </c>
      <c r="P281">
        <v>1.0999999999999996</v>
      </c>
      <c r="Q281">
        <v>1.2099999999999993</v>
      </c>
      <c r="T281" t="s">
        <v>139</v>
      </c>
      <c r="U281">
        <v>6.3</v>
      </c>
      <c r="V281">
        <v>3.3</v>
      </c>
      <c r="W281" t="s">
        <v>2496</v>
      </c>
      <c r="X281" t="s">
        <v>49</v>
      </c>
    </row>
    <row r="282" spans="1:24">
      <c r="A282" t="s">
        <v>210</v>
      </c>
      <c r="B282" t="s">
        <v>47</v>
      </c>
      <c r="C282" s="36">
        <v>44546</v>
      </c>
      <c r="D282" t="s">
        <v>145</v>
      </c>
      <c r="E282" s="36">
        <v>44651</v>
      </c>
      <c r="F282" t="s">
        <v>52</v>
      </c>
      <c r="G282" s="36">
        <v>44644</v>
      </c>
      <c r="H282">
        <v>2</v>
      </c>
      <c r="I282" t="s">
        <v>2499</v>
      </c>
      <c r="J282">
        <v>4.0999999999999996</v>
      </c>
      <c r="K282">
        <v>7.4</v>
      </c>
      <c r="L282">
        <v>3</v>
      </c>
      <c r="M282">
        <v>1.0999999999999996</v>
      </c>
      <c r="N282">
        <v>1.0999999999999996</v>
      </c>
      <c r="O282">
        <v>-3.3000000000000007</v>
      </c>
      <c r="P282">
        <v>3.3000000000000007</v>
      </c>
      <c r="Q282">
        <v>10.890000000000004</v>
      </c>
      <c r="T282" t="s">
        <v>139</v>
      </c>
      <c r="U282">
        <v>6.3</v>
      </c>
      <c r="V282">
        <v>3.3</v>
      </c>
      <c r="W282" t="s">
        <v>2496</v>
      </c>
      <c r="X282" t="s">
        <v>49</v>
      </c>
    </row>
    <row r="283" spans="1:24">
      <c r="A283" t="s">
        <v>210</v>
      </c>
      <c r="B283" t="s">
        <v>50</v>
      </c>
      <c r="C283" s="36">
        <v>44602</v>
      </c>
      <c r="D283" t="s">
        <v>145</v>
      </c>
      <c r="E283" s="36">
        <v>44651</v>
      </c>
      <c r="F283" t="s">
        <v>52</v>
      </c>
      <c r="G283" s="36">
        <v>44644</v>
      </c>
      <c r="H283">
        <v>1</v>
      </c>
      <c r="I283" t="s">
        <v>2495</v>
      </c>
      <c r="J283">
        <v>4.9000000000000004</v>
      </c>
      <c r="K283">
        <v>7.4</v>
      </c>
      <c r="L283">
        <v>3</v>
      </c>
      <c r="M283">
        <v>1.9000000000000004</v>
      </c>
      <c r="N283">
        <v>1.9000000000000004</v>
      </c>
      <c r="O283">
        <v>-2.5</v>
      </c>
      <c r="P283">
        <v>2.5</v>
      </c>
      <c r="Q283">
        <v>6.25</v>
      </c>
      <c r="R283">
        <v>0.80000000000000071</v>
      </c>
      <c r="S283">
        <v>0.80000000000000071</v>
      </c>
      <c r="T283" t="s">
        <v>142</v>
      </c>
      <c r="U283">
        <v>6.8</v>
      </c>
      <c r="V283">
        <v>3.8</v>
      </c>
      <c r="W283" t="s">
        <v>2496</v>
      </c>
      <c r="X283" t="s">
        <v>51</v>
      </c>
    </row>
    <row r="284" spans="1:24">
      <c r="A284" t="s">
        <v>210</v>
      </c>
      <c r="B284" t="s">
        <v>52</v>
      </c>
      <c r="C284" s="36">
        <v>44644</v>
      </c>
      <c r="D284" t="s">
        <v>145</v>
      </c>
      <c r="E284" s="36">
        <v>44651</v>
      </c>
      <c r="F284" t="s">
        <v>52</v>
      </c>
      <c r="G284" s="36">
        <v>44644</v>
      </c>
      <c r="H284">
        <v>0</v>
      </c>
      <c r="I284" t="s">
        <v>2497</v>
      </c>
      <c r="J284">
        <v>6.9</v>
      </c>
      <c r="K284">
        <v>7.4</v>
      </c>
      <c r="L284">
        <v>3</v>
      </c>
      <c r="M284">
        <v>3.9000000000000004</v>
      </c>
      <c r="N284">
        <v>3.9000000000000004</v>
      </c>
      <c r="O284">
        <v>-0.5</v>
      </c>
      <c r="P284">
        <v>0.5</v>
      </c>
      <c r="Q284">
        <v>0.25</v>
      </c>
      <c r="R284">
        <v>2</v>
      </c>
      <c r="S284">
        <v>2</v>
      </c>
      <c r="T284" t="s">
        <v>142</v>
      </c>
      <c r="U284">
        <v>7</v>
      </c>
      <c r="V284">
        <v>4</v>
      </c>
      <c r="W284" t="s">
        <v>2496</v>
      </c>
      <c r="X284" t="s">
        <v>53</v>
      </c>
    </row>
    <row r="285" spans="1:24">
      <c r="A285" t="s">
        <v>210</v>
      </c>
      <c r="B285" t="s">
        <v>47</v>
      </c>
      <c r="C285" s="36">
        <v>44546</v>
      </c>
      <c r="D285" t="s">
        <v>148</v>
      </c>
      <c r="E285" s="36">
        <v>44742</v>
      </c>
      <c r="F285" t="s">
        <v>56</v>
      </c>
      <c r="G285" s="36">
        <v>44735</v>
      </c>
      <c r="H285">
        <v>4</v>
      </c>
      <c r="I285" t="s">
        <v>2501</v>
      </c>
      <c r="J285">
        <v>2.9</v>
      </c>
      <c r="K285">
        <v>10.8</v>
      </c>
      <c r="L285">
        <v>3</v>
      </c>
      <c r="M285">
        <v>-0.10000000000000009</v>
      </c>
      <c r="N285">
        <v>0.10000000000000009</v>
      </c>
      <c r="O285">
        <v>-7.9</v>
      </c>
      <c r="P285">
        <v>7.9</v>
      </c>
      <c r="Q285">
        <v>62.410000000000004</v>
      </c>
      <c r="T285" t="s">
        <v>139</v>
      </c>
      <c r="U285">
        <v>6.3</v>
      </c>
      <c r="V285">
        <v>3.3</v>
      </c>
      <c r="W285" t="s">
        <v>2496</v>
      </c>
      <c r="X285" t="s">
        <v>49</v>
      </c>
    </row>
    <row r="286" spans="1:24">
      <c r="A286" t="s">
        <v>210</v>
      </c>
      <c r="B286" t="s">
        <v>50</v>
      </c>
      <c r="C286" s="36">
        <v>44602</v>
      </c>
      <c r="D286" t="s">
        <v>148</v>
      </c>
      <c r="E286" s="36">
        <v>44742</v>
      </c>
      <c r="F286" t="s">
        <v>56</v>
      </c>
      <c r="G286" s="36">
        <v>44735</v>
      </c>
      <c r="H286">
        <v>3</v>
      </c>
      <c r="I286" t="s">
        <v>2498</v>
      </c>
      <c r="J286">
        <v>3.4</v>
      </c>
      <c r="K286">
        <v>10.8</v>
      </c>
      <c r="L286">
        <v>3</v>
      </c>
      <c r="M286">
        <v>0.39999999999999991</v>
      </c>
      <c r="N286">
        <v>0.39999999999999991</v>
      </c>
      <c r="O286">
        <v>-7.4</v>
      </c>
      <c r="P286">
        <v>7.4</v>
      </c>
      <c r="Q286">
        <v>54.760000000000005</v>
      </c>
      <c r="R286">
        <v>0.5</v>
      </c>
      <c r="S286">
        <v>0.5</v>
      </c>
      <c r="T286" t="s">
        <v>142</v>
      </c>
      <c r="U286">
        <v>6.8</v>
      </c>
      <c r="V286">
        <v>3.8</v>
      </c>
      <c r="W286" t="s">
        <v>2496</v>
      </c>
      <c r="X286" t="s">
        <v>51</v>
      </c>
    </row>
    <row r="287" spans="1:24">
      <c r="A287" t="s">
        <v>210</v>
      </c>
      <c r="B287" t="s">
        <v>52</v>
      </c>
      <c r="C287" s="36">
        <v>44644</v>
      </c>
      <c r="D287" t="s">
        <v>148</v>
      </c>
      <c r="E287" s="36">
        <v>44742</v>
      </c>
      <c r="F287" t="s">
        <v>56</v>
      </c>
      <c r="G287" s="36">
        <v>44735</v>
      </c>
      <c r="H287">
        <v>2</v>
      </c>
      <c r="I287" t="s">
        <v>2499</v>
      </c>
      <c r="J287">
        <v>7</v>
      </c>
      <c r="K287">
        <v>10.8</v>
      </c>
      <c r="L287">
        <v>3</v>
      </c>
      <c r="M287">
        <v>4</v>
      </c>
      <c r="N287">
        <v>4</v>
      </c>
      <c r="O287">
        <v>-3.8000000000000007</v>
      </c>
      <c r="P287">
        <v>3.8000000000000007</v>
      </c>
      <c r="Q287">
        <v>14.440000000000005</v>
      </c>
      <c r="R287">
        <v>3.6</v>
      </c>
      <c r="S287">
        <v>3.6</v>
      </c>
      <c r="T287" t="s">
        <v>142</v>
      </c>
      <c r="U287">
        <v>7</v>
      </c>
      <c r="V287">
        <v>4</v>
      </c>
      <c r="W287" t="s">
        <v>2496</v>
      </c>
      <c r="X287" t="s">
        <v>53</v>
      </c>
    </row>
    <row r="288" spans="1:24">
      <c r="A288" t="s">
        <v>210</v>
      </c>
      <c r="B288" t="s">
        <v>54</v>
      </c>
      <c r="C288" s="36">
        <v>44693</v>
      </c>
      <c r="D288" t="s">
        <v>148</v>
      </c>
      <c r="E288" s="36">
        <v>44742</v>
      </c>
      <c r="F288" t="s">
        <v>56</v>
      </c>
      <c r="G288" s="36">
        <v>44735</v>
      </c>
      <c r="H288">
        <v>1</v>
      </c>
      <c r="I288" t="s">
        <v>2495</v>
      </c>
      <c r="J288">
        <v>9.3000000000000007</v>
      </c>
      <c r="K288">
        <v>10.8</v>
      </c>
      <c r="L288">
        <v>3</v>
      </c>
      <c r="M288">
        <v>6.3000000000000007</v>
      </c>
      <c r="N288">
        <v>6.3000000000000007</v>
      </c>
      <c r="O288">
        <v>-1.5</v>
      </c>
      <c r="P288">
        <v>1.5</v>
      </c>
      <c r="Q288">
        <v>2.25</v>
      </c>
      <c r="R288">
        <v>2.3000000000000007</v>
      </c>
      <c r="S288">
        <v>2.3000000000000007</v>
      </c>
      <c r="T288" t="s">
        <v>145</v>
      </c>
      <c r="U288">
        <v>7.3</v>
      </c>
      <c r="V288">
        <v>4.3</v>
      </c>
      <c r="W288" t="s">
        <v>2496</v>
      </c>
      <c r="X288" t="s">
        <v>55</v>
      </c>
    </row>
    <row r="289" spans="1:24">
      <c r="A289" t="s">
        <v>210</v>
      </c>
      <c r="B289" t="s">
        <v>56</v>
      </c>
      <c r="C289" s="36">
        <v>44735</v>
      </c>
      <c r="D289" t="s">
        <v>148</v>
      </c>
      <c r="E289" s="36">
        <v>44742</v>
      </c>
      <c r="F289" t="s">
        <v>56</v>
      </c>
      <c r="G289" s="36">
        <v>44735</v>
      </c>
      <c r="H289">
        <v>0</v>
      </c>
      <c r="I289" t="s">
        <v>2497</v>
      </c>
      <c r="J289">
        <v>10.5</v>
      </c>
      <c r="K289">
        <v>10.8</v>
      </c>
      <c r="L289">
        <v>3</v>
      </c>
      <c r="M289">
        <v>7.5</v>
      </c>
      <c r="N289">
        <v>7.5</v>
      </c>
      <c r="O289">
        <v>-0.30000000000000071</v>
      </c>
      <c r="P289">
        <v>0.30000000000000071</v>
      </c>
      <c r="Q289">
        <v>9.0000000000000427E-2</v>
      </c>
      <c r="R289">
        <v>1.1999999999999993</v>
      </c>
      <c r="S289">
        <v>1.1999999999999993</v>
      </c>
      <c r="T289" t="s">
        <v>145</v>
      </c>
      <c r="U289">
        <v>7.4</v>
      </c>
      <c r="V289">
        <v>4.4000000000000004</v>
      </c>
      <c r="W289" t="s">
        <v>2496</v>
      </c>
      <c r="X289" t="s">
        <v>57</v>
      </c>
    </row>
    <row r="290" spans="1:24">
      <c r="A290" t="s">
        <v>210</v>
      </c>
      <c r="B290" t="s">
        <v>47</v>
      </c>
      <c r="C290" s="36">
        <v>44546</v>
      </c>
      <c r="D290" t="s">
        <v>151</v>
      </c>
      <c r="E290" s="36">
        <v>44834</v>
      </c>
      <c r="F290" t="s">
        <v>60</v>
      </c>
      <c r="G290" s="36">
        <v>44833</v>
      </c>
      <c r="H290">
        <v>6</v>
      </c>
      <c r="I290" t="s">
        <v>2503</v>
      </c>
      <c r="J290">
        <v>3.2</v>
      </c>
      <c r="K290">
        <v>8.6999999999999993</v>
      </c>
      <c r="L290">
        <v>3</v>
      </c>
      <c r="M290">
        <v>0.20000000000000018</v>
      </c>
      <c r="N290">
        <v>0.20000000000000018</v>
      </c>
      <c r="O290">
        <v>-5.4999999999999991</v>
      </c>
      <c r="P290">
        <v>5.4999999999999991</v>
      </c>
      <c r="Q290">
        <v>30.249999999999989</v>
      </c>
      <c r="T290" t="s">
        <v>139</v>
      </c>
      <c r="U290">
        <v>6.3</v>
      </c>
      <c r="V290">
        <v>3.3</v>
      </c>
      <c r="W290" t="s">
        <v>2496</v>
      </c>
      <c r="X290" t="s">
        <v>49</v>
      </c>
    </row>
    <row r="291" spans="1:24">
      <c r="A291" t="s">
        <v>210</v>
      </c>
      <c r="B291" t="s">
        <v>50</v>
      </c>
      <c r="C291" s="36">
        <v>44602</v>
      </c>
      <c r="D291" t="s">
        <v>151</v>
      </c>
      <c r="E291" s="36">
        <v>44834</v>
      </c>
      <c r="F291" t="s">
        <v>60</v>
      </c>
      <c r="G291" s="36">
        <v>44833</v>
      </c>
      <c r="H291">
        <v>5</v>
      </c>
      <c r="I291" t="s">
        <v>2500</v>
      </c>
      <c r="J291">
        <v>3.4</v>
      </c>
      <c r="K291">
        <v>8.6999999999999993</v>
      </c>
      <c r="L291">
        <v>3</v>
      </c>
      <c r="M291">
        <v>0.39999999999999991</v>
      </c>
      <c r="N291">
        <v>0.39999999999999991</v>
      </c>
      <c r="O291">
        <v>-5.2999999999999989</v>
      </c>
      <c r="P291">
        <v>5.2999999999999989</v>
      </c>
      <c r="Q291">
        <v>28.089999999999989</v>
      </c>
      <c r="R291">
        <v>0.19999999999999973</v>
      </c>
      <c r="S291">
        <v>0.19999999999999973</v>
      </c>
      <c r="T291" t="s">
        <v>142</v>
      </c>
      <c r="U291">
        <v>6.8</v>
      </c>
      <c r="V291">
        <v>3.8</v>
      </c>
      <c r="W291" t="s">
        <v>2496</v>
      </c>
      <c r="X291" t="s">
        <v>51</v>
      </c>
    </row>
    <row r="292" spans="1:24">
      <c r="A292" t="s">
        <v>210</v>
      </c>
      <c r="B292" t="s">
        <v>52</v>
      </c>
      <c r="C292" s="36">
        <v>44644</v>
      </c>
      <c r="D292" t="s">
        <v>151</v>
      </c>
      <c r="E292" s="36">
        <v>44834</v>
      </c>
      <c r="F292" t="s">
        <v>60</v>
      </c>
      <c r="G292" s="36">
        <v>44833</v>
      </c>
      <c r="H292">
        <v>4</v>
      </c>
      <c r="I292" t="s">
        <v>2501</v>
      </c>
      <c r="J292">
        <v>3.7</v>
      </c>
      <c r="K292">
        <v>8.6999999999999993</v>
      </c>
      <c r="L292">
        <v>3</v>
      </c>
      <c r="M292">
        <v>0.70000000000000018</v>
      </c>
      <c r="N292">
        <v>0.70000000000000018</v>
      </c>
      <c r="O292">
        <v>-4.9999999999999991</v>
      </c>
      <c r="P292">
        <v>4.9999999999999991</v>
      </c>
      <c r="Q292">
        <v>24.999999999999993</v>
      </c>
      <c r="R292">
        <v>0.30000000000000027</v>
      </c>
      <c r="S292">
        <v>0.30000000000000027</v>
      </c>
      <c r="T292" t="s">
        <v>142</v>
      </c>
      <c r="U292">
        <v>7</v>
      </c>
      <c r="V292">
        <v>4</v>
      </c>
      <c r="W292" t="s">
        <v>2496</v>
      </c>
      <c r="X292" t="s">
        <v>53</v>
      </c>
    </row>
    <row r="293" spans="1:24">
      <c r="A293" t="s">
        <v>210</v>
      </c>
      <c r="B293" t="s">
        <v>54</v>
      </c>
      <c r="C293" s="36">
        <v>44693</v>
      </c>
      <c r="D293" t="s">
        <v>151</v>
      </c>
      <c r="E293" s="36">
        <v>44834</v>
      </c>
      <c r="F293" t="s">
        <v>60</v>
      </c>
      <c r="G293" s="36">
        <v>44833</v>
      </c>
      <c r="H293">
        <v>3</v>
      </c>
      <c r="I293" t="s">
        <v>2498</v>
      </c>
      <c r="J293">
        <v>4.4000000000000004</v>
      </c>
      <c r="K293">
        <v>8.6999999999999993</v>
      </c>
      <c r="L293">
        <v>3</v>
      </c>
      <c r="M293">
        <v>1.4000000000000004</v>
      </c>
      <c r="N293">
        <v>1.4000000000000004</v>
      </c>
      <c r="O293">
        <v>-4.2999999999999989</v>
      </c>
      <c r="P293">
        <v>4.2999999999999989</v>
      </c>
      <c r="Q293">
        <v>18.489999999999991</v>
      </c>
      <c r="R293">
        <v>0.70000000000000018</v>
      </c>
      <c r="S293">
        <v>0.70000000000000018</v>
      </c>
      <c r="T293" t="s">
        <v>145</v>
      </c>
      <c r="U293">
        <v>7.3</v>
      </c>
      <c r="V293">
        <v>4.3</v>
      </c>
      <c r="W293" t="s">
        <v>2496</v>
      </c>
      <c r="X293" t="s">
        <v>55</v>
      </c>
    </row>
    <row r="294" spans="1:24">
      <c r="A294" t="s">
        <v>210</v>
      </c>
      <c r="B294" t="s">
        <v>56</v>
      </c>
      <c r="C294" s="36">
        <v>44735</v>
      </c>
      <c r="D294" t="s">
        <v>151</v>
      </c>
      <c r="E294" s="36">
        <v>44834</v>
      </c>
      <c r="F294" t="s">
        <v>60</v>
      </c>
      <c r="G294" s="36">
        <v>44833</v>
      </c>
      <c r="H294">
        <v>2</v>
      </c>
      <c r="I294" t="s">
        <v>2499</v>
      </c>
      <c r="J294">
        <v>7.2</v>
      </c>
      <c r="K294">
        <v>8.6999999999999993</v>
      </c>
      <c r="L294">
        <v>3</v>
      </c>
      <c r="M294">
        <v>4.2</v>
      </c>
      <c r="N294">
        <v>4.2</v>
      </c>
      <c r="O294">
        <v>-1.4999999999999991</v>
      </c>
      <c r="P294">
        <v>1.4999999999999991</v>
      </c>
      <c r="Q294">
        <v>2.2499999999999973</v>
      </c>
      <c r="R294">
        <v>2.8</v>
      </c>
      <c r="S294">
        <v>2.8</v>
      </c>
      <c r="T294" t="s">
        <v>145</v>
      </c>
      <c r="U294">
        <v>7.4</v>
      </c>
      <c r="V294">
        <v>4.4000000000000004</v>
      </c>
      <c r="W294" t="s">
        <v>2496</v>
      </c>
      <c r="X294" t="s">
        <v>57</v>
      </c>
    </row>
    <row r="295" spans="1:24">
      <c r="A295" t="s">
        <v>210</v>
      </c>
      <c r="B295" t="s">
        <v>58</v>
      </c>
      <c r="C295" s="36">
        <v>44784</v>
      </c>
      <c r="D295" t="s">
        <v>151</v>
      </c>
      <c r="E295" s="36">
        <v>44834</v>
      </c>
      <c r="F295" t="s">
        <v>60</v>
      </c>
      <c r="G295" s="36">
        <v>44833</v>
      </c>
      <c r="H295">
        <v>1</v>
      </c>
      <c r="I295" t="s">
        <v>2495</v>
      </c>
      <c r="J295">
        <v>8.5</v>
      </c>
      <c r="K295">
        <v>8.6999999999999993</v>
      </c>
      <c r="L295">
        <v>3</v>
      </c>
      <c r="M295">
        <v>5.5</v>
      </c>
      <c r="N295">
        <v>5.5</v>
      </c>
      <c r="O295">
        <v>-0.19999999999999929</v>
      </c>
      <c r="P295">
        <v>0.19999999999999929</v>
      </c>
      <c r="Q295">
        <v>3.9999999999999716E-2</v>
      </c>
      <c r="R295">
        <v>1.2999999999999998</v>
      </c>
      <c r="S295">
        <v>1.2999999999999998</v>
      </c>
      <c r="T295" t="s">
        <v>148</v>
      </c>
      <c r="U295">
        <v>10.7</v>
      </c>
      <c r="V295">
        <v>7.6999999999999993</v>
      </c>
      <c r="W295" t="s">
        <v>2496</v>
      </c>
      <c r="X295" t="s">
        <v>59</v>
      </c>
    </row>
    <row r="296" spans="1:24">
      <c r="A296" t="s">
        <v>210</v>
      </c>
      <c r="B296" t="s">
        <v>60</v>
      </c>
      <c r="C296" s="36">
        <v>44833</v>
      </c>
      <c r="D296" t="s">
        <v>151</v>
      </c>
      <c r="E296" s="36">
        <v>44834</v>
      </c>
      <c r="F296" t="s">
        <v>60</v>
      </c>
      <c r="G296" s="36">
        <v>44833</v>
      </c>
      <c r="H296">
        <v>0</v>
      </c>
      <c r="I296" t="s">
        <v>2497</v>
      </c>
      <c r="J296">
        <v>8.9</v>
      </c>
      <c r="K296">
        <v>8.6999999999999993</v>
      </c>
      <c r="L296">
        <v>3</v>
      </c>
      <c r="M296">
        <v>5.9</v>
      </c>
      <c r="N296">
        <v>5.9</v>
      </c>
      <c r="O296">
        <v>0.20000000000000107</v>
      </c>
      <c r="P296">
        <v>0.20000000000000107</v>
      </c>
      <c r="Q296">
        <v>4.0000000000000424E-2</v>
      </c>
      <c r="R296">
        <v>0.40000000000000036</v>
      </c>
      <c r="S296">
        <v>0.40000000000000036</v>
      </c>
      <c r="T296" t="s">
        <v>148</v>
      </c>
      <c r="U296">
        <v>10.7</v>
      </c>
      <c r="V296">
        <v>7.6999999999999993</v>
      </c>
      <c r="W296" t="s">
        <v>2496</v>
      </c>
      <c r="X296" t="s">
        <v>61</v>
      </c>
    </row>
    <row r="297" spans="1:24">
      <c r="A297" t="s">
        <v>210</v>
      </c>
      <c r="B297" t="s">
        <v>47</v>
      </c>
      <c r="C297" s="36">
        <v>44546</v>
      </c>
      <c r="D297" t="s">
        <v>154</v>
      </c>
      <c r="E297" s="36">
        <v>44926</v>
      </c>
      <c r="F297" t="s">
        <v>64</v>
      </c>
      <c r="G297" s="36">
        <v>44910</v>
      </c>
      <c r="H297">
        <v>8</v>
      </c>
      <c r="I297" t="s">
        <v>2505</v>
      </c>
      <c r="J297">
        <v>3.9</v>
      </c>
      <c r="K297">
        <v>6.2</v>
      </c>
      <c r="L297">
        <v>3</v>
      </c>
      <c r="M297">
        <v>0.89999999999999991</v>
      </c>
      <c r="N297">
        <v>0.89999999999999991</v>
      </c>
      <c r="O297">
        <v>-2.3000000000000003</v>
      </c>
      <c r="P297">
        <v>2.3000000000000003</v>
      </c>
      <c r="Q297">
        <v>5.2900000000000009</v>
      </c>
      <c r="T297" t="s">
        <v>139</v>
      </c>
      <c r="U297">
        <v>6.3</v>
      </c>
      <c r="V297">
        <v>3.3</v>
      </c>
      <c r="W297" t="s">
        <v>2496</v>
      </c>
      <c r="X297" t="s">
        <v>49</v>
      </c>
    </row>
    <row r="298" spans="1:24">
      <c r="A298" t="s">
        <v>210</v>
      </c>
      <c r="B298" t="s">
        <v>50</v>
      </c>
      <c r="C298" s="36">
        <v>44602</v>
      </c>
      <c r="D298" t="s">
        <v>154</v>
      </c>
      <c r="E298" s="36">
        <v>44926</v>
      </c>
      <c r="F298" t="s">
        <v>64</v>
      </c>
      <c r="G298" s="36">
        <v>44910</v>
      </c>
      <c r="H298">
        <v>7</v>
      </c>
      <c r="I298" t="s">
        <v>2502</v>
      </c>
      <c r="J298">
        <v>4.3</v>
      </c>
      <c r="K298">
        <v>6.2</v>
      </c>
      <c r="L298">
        <v>3</v>
      </c>
      <c r="M298">
        <v>1.2999999999999998</v>
      </c>
      <c r="N298">
        <v>1.2999999999999998</v>
      </c>
      <c r="O298">
        <v>-1.9000000000000004</v>
      </c>
      <c r="P298">
        <v>1.9000000000000004</v>
      </c>
      <c r="Q298">
        <v>3.6100000000000012</v>
      </c>
      <c r="R298">
        <v>0.39999999999999991</v>
      </c>
      <c r="S298">
        <v>0.39999999999999991</v>
      </c>
      <c r="T298" t="s">
        <v>142</v>
      </c>
      <c r="U298">
        <v>6.8</v>
      </c>
      <c r="V298">
        <v>3.8</v>
      </c>
      <c r="W298" t="s">
        <v>2496</v>
      </c>
      <c r="X298" t="s">
        <v>51</v>
      </c>
    </row>
    <row r="299" spans="1:24">
      <c r="A299" t="s">
        <v>210</v>
      </c>
      <c r="B299" t="s">
        <v>52</v>
      </c>
      <c r="C299" s="36">
        <v>44644</v>
      </c>
      <c r="D299" t="s">
        <v>154</v>
      </c>
      <c r="E299" s="36">
        <v>44926</v>
      </c>
      <c r="F299" t="s">
        <v>64</v>
      </c>
      <c r="G299" s="36">
        <v>44910</v>
      </c>
      <c r="H299">
        <v>6</v>
      </c>
      <c r="I299" t="s">
        <v>2503</v>
      </c>
      <c r="J299">
        <v>4.4000000000000004</v>
      </c>
      <c r="K299">
        <v>6.2</v>
      </c>
      <c r="L299">
        <v>3</v>
      </c>
      <c r="M299">
        <v>1.4000000000000004</v>
      </c>
      <c r="N299">
        <v>1.4000000000000004</v>
      </c>
      <c r="O299">
        <v>-1.7999999999999998</v>
      </c>
      <c r="P299">
        <v>1.7999999999999998</v>
      </c>
      <c r="Q299">
        <v>3.2399999999999993</v>
      </c>
      <c r="R299">
        <v>0.10000000000000053</v>
      </c>
      <c r="S299">
        <v>0.10000000000000053</v>
      </c>
      <c r="T299" t="s">
        <v>142</v>
      </c>
      <c r="U299">
        <v>7</v>
      </c>
      <c r="V299">
        <v>4</v>
      </c>
      <c r="W299" t="s">
        <v>2496</v>
      </c>
      <c r="X299" t="s">
        <v>53</v>
      </c>
    </row>
    <row r="300" spans="1:24">
      <c r="A300" t="s">
        <v>210</v>
      </c>
      <c r="B300" t="s">
        <v>54</v>
      </c>
      <c r="C300" s="36">
        <v>44693</v>
      </c>
      <c r="D300" t="s">
        <v>154</v>
      </c>
      <c r="E300" s="36">
        <v>44926</v>
      </c>
      <c r="F300" t="s">
        <v>64</v>
      </c>
      <c r="G300" s="36">
        <v>44910</v>
      </c>
      <c r="H300">
        <v>5</v>
      </c>
      <c r="I300" t="s">
        <v>2500</v>
      </c>
      <c r="J300">
        <v>4.5</v>
      </c>
      <c r="K300">
        <v>6.2</v>
      </c>
      <c r="L300">
        <v>3</v>
      </c>
      <c r="M300">
        <v>1.5</v>
      </c>
      <c r="N300">
        <v>1.5</v>
      </c>
      <c r="O300">
        <v>-1.7000000000000002</v>
      </c>
      <c r="P300">
        <v>1.7000000000000002</v>
      </c>
      <c r="Q300">
        <v>2.8900000000000006</v>
      </c>
      <c r="R300">
        <v>9.9999999999999645E-2</v>
      </c>
      <c r="S300">
        <v>9.9999999999999645E-2</v>
      </c>
      <c r="T300" t="s">
        <v>145</v>
      </c>
      <c r="U300">
        <v>7.3</v>
      </c>
      <c r="V300">
        <v>4.3</v>
      </c>
      <c r="W300" t="s">
        <v>2496</v>
      </c>
      <c r="X300" t="s">
        <v>55</v>
      </c>
    </row>
    <row r="301" spans="1:24">
      <c r="A301" t="s">
        <v>210</v>
      </c>
      <c r="B301" t="s">
        <v>56</v>
      </c>
      <c r="C301" s="36">
        <v>44735</v>
      </c>
      <c r="D301" t="s">
        <v>154</v>
      </c>
      <c r="E301" s="36">
        <v>44926</v>
      </c>
      <c r="F301" t="s">
        <v>64</v>
      </c>
      <c r="G301" s="36">
        <v>44910</v>
      </c>
      <c r="H301">
        <v>4</v>
      </c>
      <c r="I301" t="s">
        <v>2501</v>
      </c>
      <c r="J301">
        <v>5</v>
      </c>
      <c r="K301">
        <v>6.2</v>
      </c>
      <c r="L301">
        <v>3</v>
      </c>
      <c r="M301">
        <v>2</v>
      </c>
      <c r="N301">
        <v>2</v>
      </c>
      <c r="O301">
        <v>-1.2000000000000002</v>
      </c>
      <c r="P301">
        <v>1.2000000000000002</v>
      </c>
      <c r="Q301">
        <v>1.4400000000000004</v>
      </c>
      <c r="R301">
        <v>0.5</v>
      </c>
      <c r="S301">
        <v>0.5</v>
      </c>
      <c r="T301" t="s">
        <v>145</v>
      </c>
      <c r="U301">
        <v>7.4</v>
      </c>
      <c r="V301">
        <v>4.4000000000000004</v>
      </c>
      <c r="W301" t="s">
        <v>2496</v>
      </c>
      <c r="X301" t="s">
        <v>57</v>
      </c>
    </row>
    <row r="302" spans="1:24">
      <c r="A302" t="s">
        <v>210</v>
      </c>
      <c r="B302" t="s">
        <v>58</v>
      </c>
      <c r="C302" s="36">
        <v>44784</v>
      </c>
      <c r="D302" t="s">
        <v>154</v>
      </c>
      <c r="E302" s="36">
        <v>44926</v>
      </c>
      <c r="F302" t="s">
        <v>64</v>
      </c>
      <c r="G302" s="36">
        <v>44910</v>
      </c>
      <c r="H302">
        <v>3</v>
      </c>
      <c r="I302" t="s">
        <v>2498</v>
      </c>
      <c r="J302">
        <v>5.8</v>
      </c>
      <c r="K302">
        <v>6.2</v>
      </c>
      <c r="L302">
        <v>3</v>
      </c>
      <c r="M302">
        <v>2.8</v>
      </c>
      <c r="N302">
        <v>2.8</v>
      </c>
      <c r="O302">
        <v>-0.40000000000000036</v>
      </c>
      <c r="P302">
        <v>0.40000000000000036</v>
      </c>
      <c r="Q302">
        <v>0.16000000000000028</v>
      </c>
      <c r="R302">
        <v>0.79999999999999982</v>
      </c>
      <c r="S302">
        <v>0.79999999999999982</v>
      </c>
      <c r="T302" t="s">
        <v>148</v>
      </c>
      <c r="U302">
        <v>10.7</v>
      </c>
      <c r="V302">
        <v>7.6999999999999993</v>
      </c>
      <c r="W302" t="s">
        <v>2496</v>
      </c>
      <c r="X302" t="s">
        <v>59</v>
      </c>
    </row>
    <row r="303" spans="1:24">
      <c r="A303" t="s">
        <v>210</v>
      </c>
      <c r="B303" t="s">
        <v>60</v>
      </c>
      <c r="C303" s="36">
        <v>44833</v>
      </c>
      <c r="D303" t="s">
        <v>154</v>
      </c>
      <c r="E303" s="36">
        <v>44926</v>
      </c>
      <c r="F303" t="s">
        <v>64</v>
      </c>
      <c r="G303" s="36">
        <v>44910</v>
      </c>
      <c r="H303">
        <v>2</v>
      </c>
      <c r="I303" t="s">
        <v>2499</v>
      </c>
      <c r="J303">
        <v>7.4</v>
      </c>
      <c r="K303">
        <v>6.2</v>
      </c>
      <c r="L303">
        <v>3</v>
      </c>
      <c r="M303">
        <v>4.4000000000000004</v>
      </c>
      <c r="N303">
        <v>4.4000000000000004</v>
      </c>
      <c r="O303">
        <v>1.2000000000000002</v>
      </c>
      <c r="P303">
        <v>1.2000000000000002</v>
      </c>
      <c r="Q303">
        <v>1.4400000000000004</v>
      </c>
      <c r="R303">
        <v>1.6000000000000005</v>
      </c>
      <c r="S303">
        <v>1.6000000000000005</v>
      </c>
      <c r="T303" t="s">
        <v>148</v>
      </c>
      <c r="U303">
        <v>10.7</v>
      </c>
      <c r="V303">
        <v>7.6999999999999993</v>
      </c>
      <c r="W303" t="s">
        <v>2496</v>
      </c>
      <c r="X303" t="s">
        <v>61</v>
      </c>
    </row>
    <row r="304" spans="1:24">
      <c r="A304" t="s">
        <v>210</v>
      </c>
      <c r="B304" t="s">
        <v>62</v>
      </c>
      <c r="C304" s="36">
        <v>44875</v>
      </c>
      <c r="D304" t="s">
        <v>154</v>
      </c>
      <c r="E304" s="36">
        <v>44926</v>
      </c>
      <c r="F304" t="s">
        <v>64</v>
      </c>
      <c r="G304" s="36">
        <v>44910</v>
      </c>
      <c r="H304">
        <v>1</v>
      </c>
      <c r="I304" t="s">
        <v>2495</v>
      </c>
      <c r="J304">
        <v>6.6</v>
      </c>
      <c r="K304">
        <v>6.2</v>
      </c>
      <c r="L304">
        <v>3</v>
      </c>
      <c r="M304">
        <v>3.5999999999999996</v>
      </c>
      <c r="N304">
        <v>3.5999999999999996</v>
      </c>
      <c r="O304">
        <v>0.39999999999999947</v>
      </c>
      <c r="P304">
        <v>0.39999999999999947</v>
      </c>
      <c r="Q304">
        <v>0.15999999999999959</v>
      </c>
      <c r="R304">
        <v>-0.80000000000000071</v>
      </c>
      <c r="S304">
        <v>0.80000000000000071</v>
      </c>
      <c r="T304" t="s">
        <v>151</v>
      </c>
      <c r="U304">
        <v>8.6999999999999993</v>
      </c>
      <c r="V304">
        <v>5.6999999999999993</v>
      </c>
      <c r="W304" t="s">
        <v>2496</v>
      </c>
      <c r="X304" t="s">
        <v>63</v>
      </c>
    </row>
    <row r="305" spans="1:24">
      <c r="A305" t="s">
        <v>210</v>
      </c>
      <c r="B305" t="s">
        <v>64</v>
      </c>
      <c r="C305" s="36">
        <v>44910</v>
      </c>
      <c r="D305" t="s">
        <v>154</v>
      </c>
      <c r="E305" s="36">
        <v>44926</v>
      </c>
      <c r="F305" t="s">
        <v>64</v>
      </c>
      <c r="G305" s="36">
        <v>44910</v>
      </c>
      <c r="H305">
        <v>0</v>
      </c>
      <c r="I305" t="s">
        <v>2497</v>
      </c>
      <c r="J305">
        <v>6.4</v>
      </c>
      <c r="K305">
        <v>6.2</v>
      </c>
      <c r="L305">
        <v>3</v>
      </c>
      <c r="M305">
        <v>3.4000000000000004</v>
      </c>
      <c r="N305">
        <v>3.4000000000000004</v>
      </c>
      <c r="O305">
        <v>0.20000000000000018</v>
      </c>
      <c r="P305">
        <v>0.20000000000000018</v>
      </c>
      <c r="Q305">
        <v>4.000000000000007E-2</v>
      </c>
      <c r="R305">
        <v>-0.19999999999999929</v>
      </c>
      <c r="S305">
        <v>0.19999999999999929</v>
      </c>
      <c r="T305" t="s">
        <v>151</v>
      </c>
      <c r="U305">
        <v>8.6</v>
      </c>
      <c r="V305">
        <v>5.6</v>
      </c>
      <c r="W305" t="s">
        <v>2496</v>
      </c>
      <c r="X305" t="s">
        <v>65</v>
      </c>
    </row>
    <row r="306" spans="1:24">
      <c r="A306" t="s">
        <v>210</v>
      </c>
      <c r="B306" t="s">
        <v>47</v>
      </c>
      <c r="C306" s="36">
        <v>44546</v>
      </c>
      <c r="D306" t="s">
        <v>157</v>
      </c>
      <c r="E306" s="36">
        <v>45016</v>
      </c>
      <c r="F306" t="s">
        <v>68</v>
      </c>
      <c r="G306" s="36">
        <v>45015</v>
      </c>
      <c r="H306">
        <v>10</v>
      </c>
      <c r="I306" t="s">
        <v>2507</v>
      </c>
      <c r="J306">
        <v>3.1</v>
      </c>
      <c r="K306">
        <v>4.9000000000000004</v>
      </c>
      <c r="L306">
        <v>3</v>
      </c>
      <c r="M306">
        <v>0.10000000000000009</v>
      </c>
      <c r="N306">
        <v>0.10000000000000009</v>
      </c>
      <c r="O306">
        <v>-1.8000000000000003</v>
      </c>
      <c r="P306">
        <v>1.8000000000000003</v>
      </c>
      <c r="Q306">
        <v>3.2400000000000011</v>
      </c>
      <c r="T306" t="s">
        <v>139</v>
      </c>
      <c r="U306">
        <v>6.3</v>
      </c>
      <c r="V306">
        <v>3.3</v>
      </c>
      <c r="W306" t="s">
        <v>2496</v>
      </c>
      <c r="X306" t="s">
        <v>49</v>
      </c>
    </row>
    <row r="307" spans="1:24">
      <c r="A307" t="s">
        <v>210</v>
      </c>
      <c r="B307" t="s">
        <v>50</v>
      </c>
      <c r="C307" s="36">
        <v>44602</v>
      </c>
      <c r="D307" t="s">
        <v>157</v>
      </c>
      <c r="E307" s="36">
        <v>45016</v>
      </c>
      <c r="F307" t="s">
        <v>68</v>
      </c>
      <c r="G307" s="36">
        <v>45015</v>
      </c>
      <c r="H307">
        <v>9</v>
      </c>
      <c r="I307" t="s">
        <v>2504</v>
      </c>
      <c r="J307">
        <v>2.6</v>
      </c>
      <c r="K307">
        <v>4.9000000000000004</v>
      </c>
      <c r="L307">
        <v>3</v>
      </c>
      <c r="M307">
        <v>-0.39999999999999991</v>
      </c>
      <c r="N307">
        <v>0.39999999999999991</v>
      </c>
      <c r="O307">
        <v>-2.3000000000000003</v>
      </c>
      <c r="P307">
        <v>2.3000000000000003</v>
      </c>
      <c r="Q307">
        <v>5.2900000000000009</v>
      </c>
      <c r="R307">
        <v>-0.5</v>
      </c>
      <c r="S307">
        <v>0.5</v>
      </c>
      <c r="T307" t="s">
        <v>142</v>
      </c>
      <c r="U307">
        <v>6.8</v>
      </c>
      <c r="V307">
        <v>3.8</v>
      </c>
      <c r="W307" t="s">
        <v>2496</v>
      </c>
      <c r="X307" t="s">
        <v>51</v>
      </c>
    </row>
    <row r="308" spans="1:24">
      <c r="A308" t="s">
        <v>210</v>
      </c>
      <c r="B308" t="s">
        <v>52</v>
      </c>
      <c r="C308" s="36">
        <v>44644</v>
      </c>
      <c r="D308" t="s">
        <v>157</v>
      </c>
      <c r="E308" s="36">
        <v>45016</v>
      </c>
      <c r="F308" t="s">
        <v>68</v>
      </c>
      <c r="G308" s="36">
        <v>45015</v>
      </c>
      <c r="H308">
        <v>8</v>
      </c>
      <c r="I308" t="s">
        <v>2505</v>
      </c>
      <c r="J308">
        <v>3</v>
      </c>
      <c r="K308">
        <v>4.9000000000000004</v>
      </c>
      <c r="L308">
        <v>3</v>
      </c>
      <c r="M308">
        <v>0</v>
      </c>
      <c r="N308">
        <v>0</v>
      </c>
      <c r="O308">
        <v>-1.9000000000000004</v>
      </c>
      <c r="P308">
        <v>1.9000000000000004</v>
      </c>
      <c r="Q308">
        <v>3.6100000000000012</v>
      </c>
      <c r="R308">
        <v>0.39999999999999991</v>
      </c>
      <c r="S308">
        <v>0.39999999999999991</v>
      </c>
      <c r="T308" t="s">
        <v>142</v>
      </c>
      <c r="U308">
        <v>7</v>
      </c>
      <c r="V308">
        <v>4</v>
      </c>
      <c r="W308" t="s">
        <v>2496</v>
      </c>
      <c r="X308" t="s">
        <v>53</v>
      </c>
    </row>
    <row r="309" spans="1:24">
      <c r="A309" t="s">
        <v>210</v>
      </c>
      <c r="B309" t="s">
        <v>54</v>
      </c>
      <c r="C309" s="36">
        <v>44693</v>
      </c>
      <c r="D309" t="s">
        <v>157</v>
      </c>
      <c r="E309" s="36">
        <v>45016</v>
      </c>
      <c r="F309" t="s">
        <v>68</v>
      </c>
      <c r="G309" s="36">
        <v>45015</v>
      </c>
      <c r="H309">
        <v>7</v>
      </c>
      <c r="I309" t="s">
        <v>2502</v>
      </c>
      <c r="J309">
        <v>3.2</v>
      </c>
      <c r="K309">
        <v>4.9000000000000004</v>
      </c>
      <c r="L309">
        <v>3</v>
      </c>
      <c r="M309">
        <v>0.20000000000000018</v>
      </c>
      <c r="N309">
        <v>0.20000000000000018</v>
      </c>
      <c r="O309">
        <v>-1.7000000000000002</v>
      </c>
      <c r="P309">
        <v>1.7000000000000002</v>
      </c>
      <c r="Q309">
        <v>2.8900000000000006</v>
      </c>
      <c r="R309">
        <v>0.20000000000000018</v>
      </c>
      <c r="S309">
        <v>0.20000000000000018</v>
      </c>
      <c r="T309" t="s">
        <v>145</v>
      </c>
      <c r="U309">
        <v>7.3</v>
      </c>
      <c r="V309">
        <v>4.3</v>
      </c>
      <c r="W309" t="s">
        <v>2496</v>
      </c>
      <c r="X309" t="s">
        <v>55</v>
      </c>
    </row>
    <row r="310" spans="1:24">
      <c r="A310" t="s">
        <v>210</v>
      </c>
      <c r="B310" t="s">
        <v>56</v>
      </c>
      <c r="C310" s="36">
        <v>44735</v>
      </c>
      <c r="D310" t="s">
        <v>157</v>
      </c>
      <c r="E310" s="36">
        <v>45016</v>
      </c>
      <c r="F310" t="s">
        <v>68</v>
      </c>
      <c r="G310" s="36">
        <v>45015</v>
      </c>
      <c r="H310">
        <v>6</v>
      </c>
      <c r="I310" t="s">
        <v>2503</v>
      </c>
      <c r="J310">
        <v>3.4</v>
      </c>
      <c r="K310">
        <v>4.9000000000000004</v>
      </c>
      <c r="L310">
        <v>3</v>
      </c>
      <c r="M310">
        <v>0.39999999999999991</v>
      </c>
      <c r="N310">
        <v>0.39999999999999991</v>
      </c>
      <c r="O310">
        <v>-1.5000000000000004</v>
      </c>
      <c r="P310">
        <v>1.5000000000000004</v>
      </c>
      <c r="Q310">
        <v>2.2500000000000013</v>
      </c>
      <c r="R310">
        <v>0.19999999999999973</v>
      </c>
      <c r="S310">
        <v>0.19999999999999973</v>
      </c>
      <c r="T310" t="s">
        <v>145</v>
      </c>
      <c r="U310">
        <v>7.4</v>
      </c>
      <c r="V310">
        <v>4.4000000000000004</v>
      </c>
      <c r="W310" t="s">
        <v>2496</v>
      </c>
      <c r="X310" t="s">
        <v>57</v>
      </c>
    </row>
    <row r="311" spans="1:24">
      <c r="A311" t="s">
        <v>210</v>
      </c>
      <c r="B311" t="s">
        <v>58</v>
      </c>
      <c r="C311" s="36">
        <v>44784</v>
      </c>
      <c r="D311" t="s">
        <v>157</v>
      </c>
      <c r="E311" s="36">
        <v>45016</v>
      </c>
      <c r="F311" t="s">
        <v>68</v>
      </c>
      <c r="G311" s="36">
        <v>45015</v>
      </c>
      <c r="H311">
        <v>5</v>
      </c>
      <c r="I311" t="s">
        <v>2500</v>
      </c>
      <c r="J311">
        <v>3.6</v>
      </c>
      <c r="K311">
        <v>4.9000000000000004</v>
      </c>
      <c r="L311">
        <v>3</v>
      </c>
      <c r="M311">
        <v>0.60000000000000009</v>
      </c>
      <c r="N311">
        <v>0.60000000000000009</v>
      </c>
      <c r="O311">
        <v>-1.3000000000000003</v>
      </c>
      <c r="P311">
        <v>1.3000000000000003</v>
      </c>
      <c r="Q311">
        <v>1.6900000000000006</v>
      </c>
      <c r="R311">
        <v>0.20000000000000018</v>
      </c>
      <c r="S311">
        <v>0.20000000000000018</v>
      </c>
      <c r="T311" t="s">
        <v>148</v>
      </c>
      <c r="U311">
        <v>10.7</v>
      </c>
      <c r="V311">
        <v>7.6999999999999993</v>
      </c>
      <c r="W311" t="s">
        <v>2496</v>
      </c>
      <c r="X311" t="s">
        <v>59</v>
      </c>
    </row>
    <row r="312" spans="1:24">
      <c r="A312" t="s">
        <v>210</v>
      </c>
      <c r="B312" t="s">
        <v>60</v>
      </c>
      <c r="C312" s="36">
        <v>44833</v>
      </c>
      <c r="D312" t="s">
        <v>157</v>
      </c>
      <c r="E312" s="36">
        <v>45016</v>
      </c>
      <c r="F312" t="s">
        <v>68</v>
      </c>
      <c r="G312" s="36">
        <v>45015</v>
      </c>
      <c r="H312">
        <v>4</v>
      </c>
      <c r="I312" t="s">
        <v>2501</v>
      </c>
      <c r="J312">
        <v>4.5</v>
      </c>
      <c r="K312">
        <v>4.9000000000000004</v>
      </c>
      <c r="L312">
        <v>3</v>
      </c>
      <c r="M312">
        <v>1.5</v>
      </c>
      <c r="N312">
        <v>1.5</v>
      </c>
      <c r="O312">
        <v>-0.40000000000000036</v>
      </c>
      <c r="P312">
        <v>0.40000000000000036</v>
      </c>
      <c r="Q312">
        <v>0.16000000000000028</v>
      </c>
      <c r="R312">
        <v>0.89999999999999991</v>
      </c>
      <c r="S312">
        <v>0.89999999999999991</v>
      </c>
      <c r="T312" t="s">
        <v>148</v>
      </c>
      <c r="U312">
        <v>10.7</v>
      </c>
      <c r="V312">
        <v>7.6999999999999993</v>
      </c>
      <c r="W312" t="s">
        <v>2496</v>
      </c>
      <c r="X312" t="s">
        <v>61</v>
      </c>
    </row>
    <row r="313" spans="1:24">
      <c r="A313" t="s">
        <v>210</v>
      </c>
      <c r="B313" t="s">
        <v>62</v>
      </c>
      <c r="C313" s="36">
        <v>44875</v>
      </c>
      <c r="D313" t="s">
        <v>157</v>
      </c>
      <c r="E313" s="36">
        <v>45016</v>
      </c>
      <c r="F313" t="s">
        <v>68</v>
      </c>
      <c r="G313" s="36">
        <v>45015</v>
      </c>
      <c r="H313">
        <v>3</v>
      </c>
      <c r="I313" t="s">
        <v>2498</v>
      </c>
      <c r="J313">
        <v>4.5999999999999996</v>
      </c>
      <c r="K313">
        <v>4.9000000000000004</v>
      </c>
      <c r="L313">
        <v>3</v>
      </c>
      <c r="M313">
        <v>1.5999999999999996</v>
      </c>
      <c r="N313">
        <v>1.5999999999999996</v>
      </c>
      <c r="O313">
        <v>-0.30000000000000071</v>
      </c>
      <c r="P313">
        <v>0.30000000000000071</v>
      </c>
      <c r="Q313">
        <v>9.0000000000000427E-2</v>
      </c>
      <c r="R313">
        <v>9.9999999999999645E-2</v>
      </c>
      <c r="S313">
        <v>9.9999999999999645E-2</v>
      </c>
      <c r="T313" t="s">
        <v>151</v>
      </c>
      <c r="U313">
        <v>8.6999999999999993</v>
      </c>
      <c r="V313">
        <v>5.6999999999999993</v>
      </c>
      <c r="W313" t="s">
        <v>2496</v>
      </c>
      <c r="X313" t="s">
        <v>63</v>
      </c>
    </row>
    <row r="314" spans="1:24">
      <c r="A314" t="s">
        <v>210</v>
      </c>
      <c r="B314" t="s">
        <v>64</v>
      </c>
      <c r="C314" s="36">
        <v>44910</v>
      </c>
      <c r="D314" t="s">
        <v>157</v>
      </c>
      <c r="E314" s="36">
        <v>45016</v>
      </c>
      <c r="F314" t="s">
        <v>68</v>
      </c>
      <c r="G314" s="36">
        <v>45015</v>
      </c>
      <c r="H314">
        <v>2</v>
      </c>
      <c r="I314" t="s">
        <v>2499</v>
      </c>
      <c r="J314">
        <v>4.9000000000000004</v>
      </c>
      <c r="K314">
        <v>4.9000000000000004</v>
      </c>
      <c r="L314">
        <v>3</v>
      </c>
      <c r="M314">
        <v>1.9000000000000004</v>
      </c>
      <c r="N314">
        <v>1.9000000000000004</v>
      </c>
      <c r="O314">
        <v>0</v>
      </c>
      <c r="P314">
        <v>0</v>
      </c>
      <c r="Q314">
        <v>0</v>
      </c>
      <c r="R314">
        <v>0.30000000000000071</v>
      </c>
      <c r="S314">
        <v>0.30000000000000071</v>
      </c>
      <c r="T314" t="s">
        <v>151</v>
      </c>
      <c r="U314">
        <v>8.6</v>
      </c>
      <c r="V314">
        <v>5.6</v>
      </c>
      <c r="W314" t="s">
        <v>2496</v>
      </c>
      <c r="X314" t="s">
        <v>65</v>
      </c>
    </row>
    <row r="315" spans="1:24">
      <c r="A315" t="s">
        <v>210</v>
      </c>
      <c r="B315" t="s">
        <v>66</v>
      </c>
      <c r="C315" s="36">
        <v>44966</v>
      </c>
      <c r="D315" t="s">
        <v>157</v>
      </c>
      <c r="E315" s="36">
        <v>45016</v>
      </c>
      <c r="F315" t="s">
        <v>68</v>
      </c>
      <c r="G315" s="36">
        <v>45015</v>
      </c>
      <c r="H315">
        <v>1</v>
      </c>
      <c r="I315" t="s">
        <v>2495</v>
      </c>
      <c r="J315">
        <v>5.8</v>
      </c>
      <c r="K315">
        <v>4.9000000000000004</v>
      </c>
      <c r="L315">
        <v>3</v>
      </c>
      <c r="M315">
        <v>2.8</v>
      </c>
      <c r="N315">
        <v>2.8</v>
      </c>
      <c r="O315">
        <v>0.89999999999999947</v>
      </c>
      <c r="P315">
        <v>0.89999999999999947</v>
      </c>
      <c r="Q315">
        <v>0.80999999999999905</v>
      </c>
      <c r="R315">
        <v>0.89999999999999947</v>
      </c>
      <c r="S315">
        <v>0.89999999999999947</v>
      </c>
      <c r="T315" t="s">
        <v>154</v>
      </c>
      <c r="U315">
        <v>6.4</v>
      </c>
      <c r="V315">
        <v>3.4000000000000004</v>
      </c>
      <c r="W315" t="s">
        <v>2496</v>
      </c>
      <c r="X315" t="s">
        <v>67</v>
      </c>
    </row>
    <row r="316" spans="1:24">
      <c r="A316" t="s">
        <v>210</v>
      </c>
      <c r="B316" t="s">
        <v>68</v>
      </c>
      <c r="C316" s="36">
        <v>45015</v>
      </c>
      <c r="D316" t="s">
        <v>157</v>
      </c>
      <c r="E316" s="36">
        <v>45016</v>
      </c>
      <c r="F316" t="s">
        <v>68</v>
      </c>
      <c r="G316" s="36">
        <v>45015</v>
      </c>
      <c r="H316">
        <v>0</v>
      </c>
      <c r="I316" t="s">
        <v>2497</v>
      </c>
      <c r="J316">
        <v>5.6</v>
      </c>
      <c r="K316">
        <v>4.9000000000000004</v>
      </c>
      <c r="L316">
        <v>3</v>
      </c>
      <c r="M316">
        <v>2.5999999999999996</v>
      </c>
      <c r="N316">
        <v>2.5999999999999996</v>
      </c>
      <c r="O316">
        <v>0.69999999999999929</v>
      </c>
      <c r="P316">
        <v>0.69999999999999929</v>
      </c>
      <c r="Q316">
        <v>0.48999999999999899</v>
      </c>
      <c r="R316">
        <v>-0.20000000000000018</v>
      </c>
      <c r="S316">
        <v>0.20000000000000018</v>
      </c>
      <c r="T316" t="s">
        <v>154</v>
      </c>
      <c r="U316">
        <v>6.2</v>
      </c>
      <c r="V316">
        <v>3.2</v>
      </c>
      <c r="W316" t="s">
        <v>2496</v>
      </c>
      <c r="X316" t="s">
        <v>69</v>
      </c>
    </row>
    <row r="317" spans="1:24">
      <c r="A317" t="s">
        <v>210</v>
      </c>
      <c r="B317" t="s">
        <v>47</v>
      </c>
      <c r="C317" s="36">
        <v>44546</v>
      </c>
      <c r="D317" t="s">
        <v>160</v>
      </c>
      <c r="E317" s="36">
        <v>45107</v>
      </c>
      <c r="F317" t="s">
        <v>72</v>
      </c>
      <c r="G317" s="36">
        <v>45099</v>
      </c>
      <c r="H317">
        <v>12</v>
      </c>
      <c r="I317" t="s">
        <v>2509</v>
      </c>
      <c r="J317">
        <v>2.4</v>
      </c>
      <c r="K317">
        <v>3.6</v>
      </c>
      <c r="L317">
        <v>3</v>
      </c>
      <c r="M317">
        <v>-0.60000000000000009</v>
      </c>
      <c r="N317">
        <v>0.60000000000000009</v>
      </c>
      <c r="O317">
        <v>-1.2000000000000002</v>
      </c>
      <c r="P317">
        <v>1.2000000000000002</v>
      </c>
      <c r="Q317">
        <v>1.4400000000000004</v>
      </c>
      <c r="T317" t="s">
        <v>139</v>
      </c>
      <c r="U317">
        <v>6.3</v>
      </c>
      <c r="V317">
        <v>3.3</v>
      </c>
      <c r="W317" t="s">
        <v>2513</v>
      </c>
      <c r="X317" t="s">
        <v>49</v>
      </c>
    </row>
    <row r="318" spans="1:24">
      <c r="A318" t="s">
        <v>210</v>
      </c>
      <c r="B318" t="s">
        <v>50</v>
      </c>
      <c r="C318" s="36">
        <v>44602</v>
      </c>
      <c r="D318" t="s">
        <v>160</v>
      </c>
      <c r="E318" s="36">
        <v>45107</v>
      </c>
      <c r="F318" t="s">
        <v>72</v>
      </c>
      <c r="G318" s="36">
        <v>45099</v>
      </c>
      <c r="H318">
        <v>11</v>
      </c>
      <c r="I318" t="s">
        <v>2506</v>
      </c>
      <c r="J318">
        <v>2.4</v>
      </c>
      <c r="K318">
        <v>3.6</v>
      </c>
      <c r="L318">
        <v>3</v>
      </c>
      <c r="M318">
        <v>-0.60000000000000009</v>
      </c>
      <c r="N318">
        <v>0.60000000000000009</v>
      </c>
      <c r="O318">
        <v>-1.2000000000000002</v>
      </c>
      <c r="P318">
        <v>1.2000000000000002</v>
      </c>
      <c r="Q318">
        <v>1.4400000000000004</v>
      </c>
      <c r="R318">
        <v>0</v>
      </c>
      <c r="S318">
        <v>0</v>
      </c>
      <c r="T318" t="s">
        <v>142</v>
      </c>
      <c r="U318">
        <v>6.8</v>
      </c>
      <c r="V318">
        <v>3.8</v>
      </c>
      <c r="W318" t="s">
        <v>2513</v>
      </c>
      <c r="X318" t="s">
        <v>51</v>
      </c>
    </row>
    <row r="319" spans="1:24">
      <c r="A319" t="s">
        <v>210</v>
      </c>
      <c r="B319" t="s">
        <v>52</v>
      </c>
      <c r="C319" s="36">
        <v>44644</v>
      </c>
      <c r="D319" t="s">
        <v>160</v>
      </c>
      <c r="E319" s="36">
        <v>45107</v>
      </c>
      <c r="F319" t="s">
        <v>72</v>
      </c>
      <c r="G319" s="36">
        <v>45099</v>
      </c>
      <c r="H319">
        <v>10</v>
      </c>
      <c r="I319" t="s">
        <v>2507</v>
      </c>
      <c r="J319">
        <v>2.5</v>
      </c>
      <c r="K319">
        <v>3.6</v>
      </c>
      <c r="L319">
        <v>3</v>
      </c>
      <c r="M319">
        <v>-0.5</v>
      </c>
      <c r="N319">
        <v>0.5</v>
      </c>
      <c r="O319">
        <v>-1.1000000000000001</v>
      </c>
      <c r="P319">
        <v>1.1000000000000001</v>
      </c>
      <c r="Q319">
        <v>1.2100000000000002</v>
      </c>
      <c r="R319">
        <v>0.10000000000000009</v>
      </c>
      <c r="S319">
        <v>0.10000000000000009</v>
      </c>
      <c r="T319" t="s">
        <v>142</v>
      </c>
      <c r="U319">
        <v>7</v>
      </c>
      <c r="V319">
        <v>4</v>
      </c>
      <c r="W319" t="s">
        <v>2513</v>
      </c>
      <c r="X319" t="s">
        <v>53</v>
      </c>
    </row>
    <row r="320" spans="1:24">
      <c r="A320" t="s">
        <v>210</v>
      </c>
      <c r="B320" t="s">
        <v>54</v>
      </c>
      <c r="C320" s="36">
        <v>44693</v>
      </c>
      <c r="D320" t="s">
        <v>160</v>
      </c>
      <c r="E320" s="36">
        <v>45107</v>
      </c>
      <c r="F320" t="s">
        <v>72</v>
      </c>
      <c r="G320" s="36">
        <v>45099</v>
      </c>
      <c r="H320">
        <v>9</v>
      </c>
      <c r="I320" t="s">
        <v>2504</v>
      </c>
      <c r="J320">
        <v>1.9</v>
      </c>
      <c r="K320">
        <v>3.6</v>
      </c>
      <c r="L320">
        <v>3</v>
      </c>
      <c r="M320">
        <v>-1.1000000000000001</v>
      </c>
      <c r="N320">
        <v>1.1000000000000001</v>
      </c>
      <c r="O320">
        <v>-1.7000000000000002</v>
      </c>
      <c r="P320">
        <v>1.7000000000000002</v>
      </c>
      <c r="Q320">
        <v>2.8900000000000006</v>
      </c>
      <c r="R320">
        <v>-0.60000000000000009</v>
      </c>
      <c r="S320">
        <v>0.60000000000000009</v>
      </c>
      <c r="T320" t="s">
        <v>145</v>
      </c>
      <c r="U320">
        <v>7.3</v>
      </c>
      <c r="V320">
        <v>4.3</v>
      </c>
      <c r="W320" t="s">
        <v>2513</v>
      </c>
      <c r="X320" t="s">
        <v>55</v>
      </c>
    </row>
    <row r="321" spans="1:24">
      <c r="A321" t="s">
        <v>210</v>
      </c>
      <c r="B321" t="s">
        <v>56</v>
      </c>
      <c r="C321" s="36">
        <v>44735</v>
      </c>
      <c r="D321" t="s">
        <v>160</v>
      </c>
      <c r="E321" s="36">
        <v>45107</v>
      </c>
      <c r="F321" t="s">
        <v>72</v>
      </c>
      <c r="G321" s="36">
        <v>45099</v>
      </c>
      <c r="H321">
        <v>8</v>
      </c>
      <c r="I321" t="s">
        <v>2505</v>
      </c>
      <c r="J321">
        <v>2.2000000000000002</v>
      </c>
      <c r="K321">
        <v>3.6</v>
      </c>
      <c r="L321">
        <v>3</v>
      </c>
      <c r="M321">
        <v>-0.79999999999999982</v>
      </c>
      <c r="N321">
        <v>0.79999999999999982</v>
      </c>
      <c r="O321">
        <v>-1.4</v>
      </c>
      <c r="P321">
        <v>1.4</v>
      </c>
      <c r="Q321">
        <v>1.9599999999999997</v>
      </c>
      <c r="R321">
        <v>0.30000000000000027</v>
      </c>
      <c r="S321">
        <v>0.30000000000000027</v>
      </c>
      <c r="T321" t="s">
        <v>145</v>
      </c>
      <c r="U321">
        <v>7.4</v>
      </c>
      <c r="V321">
        <v>4.4000000000000004</v>
      </c>
      <c r="W321" t="s">
        <v>2513</v>
      </c>
      <c r="X321" t="s">
        <v>57</v>
      </c>
    </row>
    <row r="322" spans="1:24">
      <c r="A322" t="s">
        <v>210</v>
      </c>
      <c r="B322" t="s">
        <v>58</v>
      </c>
      <c r="C322" s="36">
        <v>44784</v>
      </c>
      <c r="D322" t="s">
        <v>160</v>
      </c>
      <c r="E322" s="36">
        <v>45107</v>
      </c>
      <c r="F322" t="s">
        <v>72</v>
      </c>
      <c r="G322" s="36">
        <v>45099</v>
      </c>
      <c r="H322">
        <v>7</v>
      </c>
      <c r="I322" t="s">
        <v>2502</v>
      </c>
      <c r="J322">
        <v>2.2999999999999998</v>
      </c>
      <c r="K322">
        <v>3.6</v>
      </c>
      <c r="L322">
        <v>3</v>
      </c>
      <c r="M322">
        <v>-0.70000000000000018</v>
      </c>
      <c r="N322">
        <v>0.70000000000000018</v>
      </c>
      <c r="O322">
        <v>-1.3000000000000003</v>
      </c>
      <c r="P322">
        <v>1.3000000000000003</v>
      </c>
      <c r="Q322">
        <v>1.6900000000000006</v>
      </c>
      <c r="R322">
        <v>9.9999999999999645E-2</v>
      </c>
      <c r="S322">
        <v>9.9999999999999645E-2</v>
      </c>
      <c r="T322" t="s">
        <v>148</v>
      </c>
      <c r="U322">
        <v>10.7</v>
      </c>
      <c r="V322">
        <v>7.6999999999999993</v>
      </c>
      <c r="W322" t="s">
        <v>2513</v>
      </c>
      <c r="X322" t="s">
        <v>59</v>
      </c>
    </row>
    <row r="323" spans="1:24">
      <c r="A323" t="s">
        <v>210</v>
      </c>
      <c r="B323" t="s">
        <v>60</v>
      </c>
      <c r="C323" s="36">
        <v>44833</v>
      </c>
      <c r="D323" t="s">
        <v>160</v>
      </c>
      <c r="E323" s="36">
        <v>45107</v>
      </c>
      <c r="F323" t="s">
        <v>72</v>
      </c>
      <c r="G323" s="36">
        <v>45099</v>
      </c>
      <c r="H323">
        <v>6</v>
      </c>
      <c r="I323" t="s">
        <v>2503</v>
      </c>
      <c r="J323">
        <v>3.3</v>
      </c>
      <c r="K323">
        <v>3.6</v>
      </c>
      <c r="L323">
        <v>3</v>
      </c>
      <c r="M323">
        <v>0.29999999999999982</v>
      </c>
      <c r="N323">
        <v>0.29999999999999982</v>
      </c>
      <c r="O323">
        <v>-0.30000000000000027</v>
      </c>
      <c r="P323">
        <v>0.30000000000000027</v>
      </c>
      <c r="Q323">
        <v>9.0000000000000163E-2</v>
      </c>
      <c r="R323">
        <v>1</v>
      </c>
      <c r="S323">
        <v>1</v>
      </c>
      <c r="T323" t="s">
        <v>148</v>
      </c>
      <c r="U323">
        <v>10.7</v>
      </c>
      <c r="V323">
        <v>7.6999999999999993</v>
      </c>
      <c r="W323" t="s">
        <v>2513</v>
      </c>
      <c r="X323" t="s">
        <v>61</v>
      </c>
    </row>
    <row r="324" spans="1:24">
      <c r="A324" t="s">
        <v>210</v>
      </c>
      <c r="B324" t="s">
        <v>62</v>
      </c>
      <c r="C324" s="36">
        <v>44875</v>
      </c>
      <c r="D324" t="s">
        <v>160</v>
      </c>
      <c r="E324" s="36">
        <v>45107</v>
      </c>
      <c r="F324" t="s">
        <v>72</v>
      </c>
      <c r="G324" s="36">
        <v>45099</v>
      </c>
      <c r="H324">
        <v>5</v>
      </c>
      <c r="I324" t="s">
        <v>2500</v>
      </c>
      <c r="J324">
        <v>3.4</v>
      </c>
      <c r="K324">
        <v>3.6</v>
      </c>
      <c r="L324">
        <v>3</v>
      </c>
      <c r="M324">
        <v>0.39999999999999991</v>
      </c>
      <c r="N324">
        <v>0.39999999999999991</v>
      </c>
      <c r="O324">
        <v>-0.20000000000000018</v>
      </c>
      <c r="P324">
        <v>0.20000000000000018</v>
      </c>
      <c r="Q324">
        <v>4.000000000000007E-2</v>
      </c>
      <c r="R324">
        <v>0.10000000000000009</v>
      </c>
      <c r="S324">
        <v>0.10000000000000009</v>
      </c>
      <c r="T324" t="s">
        <v>151</v>
      </c>
      <c r="U324">
        <v>8.6999999999999993</v>
      </c>
      <c r="V324">
        <v>5.6999999999999993</v>
      </c>
      <c r="W324" t="s">
        <v>2513</v>
      </c>
      <c r="X324" t="s">
        <v>63</v>
      </c>
    </row>
    <row r="325" spans="1:24">
      <c r="A325" t="s">
        <v>210</v>
      </c>
      <c r="B325" t="s">
        <v>64</v>
      </c>
      <c r="C325" s="36">
        <v>44910</v>
      </c>
      <c r="D325" t="s">
        <v>160</v>
      </c>
      <c r="E325" s="36">
        <v>45107</v>
      </c>
      <c r="F325" t="s">
        <v>72</v>
      </c>
      <c r="G325" s="36">
        <v>45099</v>
      </c>
      <c r="H325">
        <v>4</v>
      </c>
      <c r="I325" t="s">
        <v>2501</v>
      </c>
      <c r="J325">
        <v>3.8</v>
      </c>
      <c r="K325">
        <v>3.6</v>
      </c>
      <c r="L325">
        <v>3</v>
      </c>
      <c r="M325">
        <v>0.79999999999999982</v>
      </c>
      <c r="N325">
        <v>0.79999999999999982</v>
      </c>
      <c r="O325">
        <v>0.19999999999999973</v>
      </c>
      <c r="P325">
        <v>0.19999999999999973</v>
      </c>
      <c r="Q325">
        <v>3.9999999999999897E-2</v>
      </c>
      <c r="R325">
        <v>0.39999999999999991</v>
      </c>
      <c r="S325">
        <v>0.39999999999999991</v>
      </c>
      <c r="T325" t="s">
        <v>151</v>
      </c>
      <c r="U325">
        <v>8.6</v>
      </c>
      <c r="V325">
        <v>5.6</v>
      </c>
      <c r="W325" t="s">
        <v>2513</v>
      </c>
      <c r="X325" t="s">
        <v>65</v>
      </c>
    </row>
    <row r="326" spans="1:24">
      <c r="A326" t="s">
        <v>210</v>
      </c>
      <c r="B326" t="s">
        <v>66</v>
      </c>
      <c r="C326" s="36">
        <v>44966</v>
      </c>
      <c r="D326" t="s">
        <v>160</v>
      </c>
      <c r="E326" s="36">
        <v>45107</v>
      </c>
      <c r="F326" t="s">
        <v>72</v>
      </c>
      <c r="G326" s="36">
        <v>45099</v>
      </c>
      <c r="H326">
        <v>3</v>
      </c>
      <c r="I326" t="s">
        <v>2498</v>
      </c>
      <c r="J326">
        <v>4.8</v>
      </c>
      <c r="K326">
        <v>3.6</v>
      </c>
      <c r="L326">
        <v>3</v>
      </c>
      <c r="M326">
        <v>1.7999999999999998</v>
      </c>
      <c r="N326">
        <v>1.7999999999999998</v>
      </c>
      <c r="O326">
        <v>1.1999999999999997</v>
      </c>
      <c r="P326">
        <v>1.1999999999999997</v>
      </c>
      <c r="Q326">
        <v>1.4399999999999993</v>
      </c>
      <c r="R326">
        <v>1</v>
      </c>
      <c r="S326">
        <v>1</v>
      </c>
      <c r="T326" t="s">
        <v>154</v>
      </c>
      <c r="U326">
        <v>6.4</v>
      </c>
      <c r="V326">
        <v>3.4000000000000004</v>
      </c>
      <c r="W326" t="s">
        <v>2513</v>
      </c>
      <c r="X326" t="s">
        <v>67</v>
      </c>
    </row>
    <row r="327" spans="1:24">
      <c r="A327" t="s">
        <v>210</v>
      </c>
      <c r="B327" t="s">
        <v>68</v>
      </c>
      <c r="C327" s="36">
        <v>45015</v>
      </c>
      <c r="D327" t="s">
        <v>160</v>
      </c>
      <c r="E327" s="36">
        <v>45107</v>
      </c>
      <c r="F327" t="s">
        <v>72</v>
      </c>
      <c r="G327" s="36">
        <v>45099</v>
      </c>
      <c r="H327">
        <v>2</v>
      </c>
      <c r="I327" t="s">
        <v>2499</v>
      </c>
      <c r="J327">
        <v>4.8</v>
      </c>
      <c r="K327">
        <v>3.6</v>
      </c>
      <c r="L327">
        <v>3</v>
      </c>
      <c r="M327">
        <v>1.7999999999999998</v>
      </c>
      <c r="N327">
        <v>1.7999999999999998</v>
      </c>
      <c r="O327">
        <v>1.1999999999999997</v>
      </c>
      <c r="P327">
        <v>1.1999999999999997</v>
      </c>
      <c r="Q327">
        <v>1.4399999999999993</v>
      </c>
      <c r="R327">
        <v>0</v>
      </c>
      <c r="S327">
        <v>0</v>
      </c>
      <c r="T327" t="s">
        <v>154</v>
      </c>
      <c r="U327">
        <v>6.2</v>
      </c>
      <c r="V327">
        <v>3.2</v>
      </c>
      <c r="W327" t="s">
        <v>2513</v>
      </c>
      <c r="X327" t="s">
        <v>69</v>
      </c>
    </row>
    <row r="328" spans="1:24">
      <c r="A328" t="s">
        <v>210</v>
      </c>
      <c r="B328" t="s">
        <v>70</v>
      </c>
      <c r="C328" s="36">
        <v>45064</v>
      </c>
      <c r="D328" t="s">
        <v>160</v>
      </c>
      <c r="E328" s="36">
        <v>45107</v>
      </c>
      <c r="F328" t="s">
        <v>72</v>
      </c>
      <c r="G328" s="36">
        <v>45099</v>
      </c>
      <c r="H328">
        <v>1</v>
      </c>
      <c r="I328" t="s">
        <v>2495</v>
      </c>
      <c r="J328">
        <v>4.3</v>
      </c>
      <c r="K328">
        <v>3.6</v>
      </c>
      <c r="L328">
        <v>3</v>
      </c>
      <c r="M328">
        <v>1.2999999999999998</v>
      </c>
      <c r="N328">
        <v>1.2999999999999998</v>
      </c>
      <c r="O328">
        <v>0.69999999999999973</v>
      </c>
      <c r="P328">
        <v>0.69999999999999973</v>
      </c>
      <c r="Q328">
        <v>0.4899999999999996</v>
      </c>
      <c r="R328">
        <v>-0.5</v>
      </c>
      <c r="S328">
        <v>0.5</v>
      </c>
      <c r="T328" t="s">
        <v>157</v>
      </c>
      <c r="U328">
        <v>5.4</v>
      </c>
      <c r="V328">
        <v>2.4000000000000004</v>
      </c>
      <c r="W328" t="s">
        <v>2513</v>
      </c>
      <c r="X328" t="s">
        <v>71</v>
      </c>
    </row>
    <row r="329" spans="1:24">
      <c r="A329" t="s">
        <v>210</v>
      </c>
      <c r="B329" t="s">
        <v>72</v>
      </c>
      <c r="C329" s="36">
        <v>45099</v>
      </c>
      <c r="D329" t="s">
        <v>160</v>
      </c>
      <c r="E329" s="36">
        <v>45107</v>
      </c>
      <c r="F329" t="s">
        <v>72</v>
      </c>
      <c r="G329" s="36">
        <v>45099</v>
      </c>
      <c r="H329">
        <v>0</v>
      </c>
      <c r="I329" t="s">
        <v>2497</v>
      </c>
      <c r="J329">
        <v>4</v>
      </c>
      <c r="K329">
        <v>3.6</v>
      </c>
      <c r="L329">
        <v>3</v>
      </c>
      <c r="M329">
        <v>1</v>
      </c>
      <c r="N329">
        <v>1</v>
      </c>
      <c r="O329">
        <v>0.39999999999999991</v>
      </c>
      <c r="P329">
        <v>0.39999999999999991</v>
      </c>
      <c r="Q329">
        <v>0.15999999999999992</v>
      </c>
      <c r="R329">
        <v>-0.29999999999999982</v>
      </c>
      <c r="S329">
        <v>0.29999999999999982</v>
      </c>
      <c r="T329" t="s">
        <v>157</v>
      </c>
      <c r="U329">
        <v>5.0999999999999996</v>
      </c>
      <c r="V329">
        <v>2.0999999999999996</v>
      </c>
      <c r="W329" t="s">
        <v>2513</v>
      </c>
      <c r="X329" t="s">
        <v>73</v>
      </c>
    </row>
    <row r="330" spans="1:24">
      <c r="A330" t="s">
        <v>210</v>
      </c>
      <c r="B330" t="s">
        <v>47</v>
      </c>
      <c r="C330" s="36">
        <v>44546</v>
      </c>
      <c r="D330" t="s">
        <v>183</v>
      </c>
      <c r="E330" s="36">
        <v>45199</v>
      </c>
      <c r="F330" t="s">
        <v>76</v>
      </c>
      <c r="G330" s="36">
        <v>45197</v>
      </c>
      <c r="H330">
        <v>14</v>
      </c>
      <c r="I330" t="s">
        <v>2511</v>
      </c>
      <c r="J330">
        <v>3</v>
      </c>
      <c r="K330">
        <v>3.9</v>
      </c>
      <c r="L330">
        <v>3</v>
      </c>
      <c r="M330">
        <v>0</v>
      </c>
      <c r="N330">
        <v>0</v>
      </c>
      <c r="O330">
        <v>-0.89999999999999991</v>
      </c>
      <c r="P330">
        <v>0.89999999999999991</v>
      </c>
      <c r="Q330">
        <v>0.80999999999999983</v>
      </c>
      <c r="T330" t="s">
        <v>139</v>
      </c>
      <c r="U330">
        <v>6.3</v>
      </c>
      <c r="V330">
        <v>3.3</v>
      </c>
      <c r="W330" t="s">
        <v>2513</v>
      </c>
      <c r="X330" t="s">
        <v>49</v>
      </c>
    </row>
    <row r="331" spans="1:24">
      <c r="A331" t="s">
        <v>210</v>
      </c>
      <c r="B331" t="s">
        <v>50</v>
      </c>
      <c r="C331" s="36">
        <v>44602</v>
      </c>
      <c r="D331" t="s">
        <v>183</v>
      </c>
      <c r="E331" s="36">
        <v>45199</v>
      </c>
      <c r="F331" t="s">
        <v>76</v>
      </c>
      <c r="G331" s="36">
        <v>45197</v>
      </c>
      <c r="H331">
        <v>13</v>
      </c>
      <c r="I331" t="s">
        <v>2508</v>
      </c>
      <c r="J331">
        <v>3.2</v>
      </c>
      <c r="K331">
        <v>3.9</v>
      </c>
      <c r="L331">
        <v>3</v>
      </c>
      <c r="M331">
        <v>0.20000000000000018</v>
      </c>
      <c r="N331">
        <v>0.20000000000000018</v>
      </c>
      <c r="O331">
        <v>-0.69999999999999973</v>
      </c>
      <c r="P331">
        <v>0.69999999999999973</v>
      </c>
      <c r="Q331">
        <v>0.4899999999999996</v>
      </c>
      <c r="R331">
        <v>0.20000000000000018</v>
      </c>
      <c r="S331">
        <v>0.20000000000000018</v>
      </c>
      <c r="T331" t="s">
        <v>142</v>
      </c>
      <c r="U331">
        <v>6.8</v>
      </c>
      <c r="V331">
        <v>3.8</v>
      </c>
      <c r="W331" t="s">
        <v>2513</v>
      </c>
      <c r="X331" t="s">
        <v>51</v>
      </c>
    </row>
    <row r="332" spans="1:24">
      <c r="A332" t="s">
        <v>210</v>
      </c>
      <c r="B332" t="s">
        <v>52</v>
      </c>
      <c r="C332" s="36">
        <v>44644</v>
      </c>
      <c r="D332" t="s">
        <v>183</v>
      </c>
      <c r="E332" s="36">
        <v>45199</v>
      </c>
      <c r="F332" t="s">
        <v>76</v>
      </c>
      <c r="G332" s="36">
        <v>45197</v>
      </c>
      <c r="H332">
        <v>12</v>
      </c>
      <c r="I332" t="s">
        <v>2509</v>
      </c>
      <c r="J332">
        <v>3.2</v>
      </c>
      <c r="K332">
        <v>3.9</v>
      </c>
      <c r="L332">
        <v>3</v>
      </c>
      <c r="M332">
        <v>0.20000000000000018</v>
      </c>
      <c r="N332">
        <v>0.20000000000000018</v>
      </c>
      <c r="O332">
        <v>-0.69999999999999973</v>
      </c>
      <c r="P332">
        <v>0.69999999999999973</v>
      </c>
      <c r="Q332">
        <v>0.4899999999999996</v>
      </c>
      <c r="R332">
        <v>0</v>
      </c>
      <c r="S332">
        <v>0</v>
      </c>
      <c r="T332" t="s">
        <v>142</v>
      </c>
      <c r="U332">
        <v>7</v>
      </c>
      <c r="V332">
        <v>4</v>
      </c>
      <c r="W332" t="s">
        <v>2513</v>
      </c>
      <c r="X332" t="s">
        <v>53</v>
      </c>
    </row>
    <row r="333" spans="1:24">
      <c r="A333" t="s">
        <v>210</v>
      </c>
      <c r="B333" t="s">
        <v>54</v>
      </c>
      <c r="C333" s="36">
        <v>44693</v>
      </c>
      <c r="D333" t="s">
        <v>183</v>
      </c>
      <c r="E333" s="36">
        <v>45199</v>
      </c>
      <c r="F333" t="s">
        <v>76</v>
      </c>
      <c r="G333" s="36">
        <v>45197</v>
      </c>
      <c r="H333">
        <v>11</v>
      </c>
      <c r="I333" t="s">
        <v>2506</v>
      </c>
      <c r="J333">
        <v>3.5</v>
      </c>
      <c r="K333">
        <v>3.9</v>
      </c>
      <c r="L333">
        <v>3</v>
      </c>
      <c r="M333">
        <v>0.5</v>
      </c>
      <c r="N333">
        <v>0.5</v>
      </c>
      <c r="O333">
        <v>-0.39999999999999991</v>
      </c>
      <c r="P333">
        <v>0.39999999999999991</v>
      </c>
      <c r="Q333">
        <v>0.15999999999999992</v>
      </c>
      <c r="R333">
        <v>0.29999999999999982</v>
      </c>
      <c r="S333">
        <v>0.29999999999999982</v>
      </c>
      <c r="T333" t="s">
        <v>145</v>
      </c>
      <c r="U333">
        <v>7.3</v>
      </c>
      <c r="V333">
        <v>4.3</v>
      </c>
      <c r="W333" t="s">
        <v>2513</v>
      </c>
      <c r="X333" t="s">
        <v>55</v>
      </c>
    </row>
    <row r="334" spans="1:24">
      <c r="A334" t="s">
        <v>210</v>
      </c>
      <c r="B334" t="s">
        <v>56</v>
      </c>
      <c r="C334" s="36">
        <v>44735</v>
      </c>
      <c r="D334" t="s">
        <v>183</v>
      </c>
      <c r="E334" s="36">
        <v>45199</v>
      </c>
      <c r="F334" t="s">
        <v>76</v>
      </c>
      <c r="G334" s="36">
        <v>45197</v>
      </c>
      <c r="H334">
        <v>10</v>
      </c>
      <c r="I334" t="s">
        <v>2507</v>
      </c>
      <c r="J334">
        <v>3.4</v>
      </c>
      <c r="K334">
        <v>3.9</v>
      </c>
      <c r="L334">
        <v>3</v>
      </c>
      <c r="M334">
        <v>0.39999999999999991</v>
      </c>
      <c r="N334">
        <v>0.39999999999999991</v>
      </c>
      <c r="O334">
        <v>-0.5</v>
      </c>
      <c r="P334">
        <v>0.5</v>
      </c>
      <c r="Q334">
        <v>0.25</v>
      </c>
      <c r="R334">
        <v>-0.10000000000000009</v>
      </c>
      <c r="S334">
        <v>0.10000000000000009</v>
      </c>
      <c r="T334" t="s">
        <v>145</v>
      </c>
      <c r="U334">
        <v>7.4</v>
      </c>
      <c r="V334">
        <v>4.4000000000000004</v>
      </c>
      <c r="W334" t="s">
        <v>2513</v>
      </c>
      <c r="X334" t="s">
        <v>57</v>
      </c>
    </row>
    <row r="335" spans="1:24">
      <c r="A335" t="s">
        <v>210</v>
      </c>
      <c r="B335" t="s">
        <v>58</v>
      </c>
      <c r="C335" s="36">
        <v>44784</v>
      </c>
      <c r="D335" t="s">
        <v>183</v>
      </c>
      <c r="E335" s="36">
        <v>45199</v>
      </c>
      <c r="F335" t="s">
        <v>76</v>
      </c>
      <c r="G335" s="36">
        <v>45197</v>
      </c>
      <c r="H335">
        <v>9</v>
      </c>
      <c r="I335" t="s">
        <v>2504</v>
      </c>
      <c r="J335">
        <v>3.2</v>
      </c>
      <c r="K335">
        <v>3.9</v>
      </c>
      <c r="L335">
        <v>3</v>
      </c>
      <c r="M335">
        <v>0.20000000000000018</v>
      </c>
      <c r="N335">
        <v>0.20000000000000018</v>
      </c>
      <c r="O335">
        <v>-0.69999999999999973</v>
      </c>
      <c r="P335">
        <v>0.69999999999999973</v>
      </c>
      <c r="Q335">
        <v>0.4899999999999996</v>
      </c>
      <c r="R335">
        <v>-0.19999999999999973</v>
      </c>
      <c r="S335">
        <v>0.19999999999999973</v>
      </c>
      <c r="T335" t="s">
        <v>148</v>
      </c>
      <c r="U335">
        <v>10.7</v>
      </c>
      <c r="V335">
        <v>7.6999999999999993</v>
      </c>
      <c r="W335" t="s">
        <v>2513</v>
      </c>
      <c r="X335" t="s">
        <v>59</v>
      </c>
    </row>
    <row r="336" spans="1:24">
      <c r="A336" t="s">
        <v>210</v>
      </c>
      <c r="B336" t="s">
        <v>60</v>
      </c>
      <c r="C336" s="36">
        <v>44833</v>
      </c>
      <c r="D336" t="s">
        <v>183</v>
      </c>
      <c r="E336" s="36">
        <v>45199</v>
      </c>
      <c r="F336" t="s">
        <v>76</v>
      </c>
      <c r="G336" s="36">
        <v>45197</v>
      </c>
      <c r="H336">
        <v>8</v>
      </c>
      <c r="I336" t="s">
        <v>2505</v>
      </c>
      <c r="J336">
        <v>4.2</v>
      </c>
      <c r="K336">
        <v>3.9</v>
      </c>
      <c r="L336">
        <v>3</v>
      </c>
      <c r="M336">
        <v>1.2000000000000002</v>
      </c>
      <c r="N336">
        <v>1.2000000000000002</v>
      </c>
      <c r="O336">
        <v>0.30000000000000027</v>
      </c>
      <c r="P336">
        <v>0.30000000000000027</v>
      </c>
      <c r="Q336">
        <v>9.0000000000000163E-2</v>
      </c>
      <c r="R336">
        <v>1</v>
      </c>
      <c r="S336">
        <v>1</v>
      </c>
      <c r="T336" t="s">
        <v>148</v>
      </c>
      <c r="U336">
        <v>10.7</v>
      </c>
      <c r="V336">
        <v>7.6999999999999993</v>
      </c>
      <c r="W336" t="s">
        <v>2513</v>
      </c>
      <c r="X336" t="s">
        <v>61</v>
      </c>
    </row>
    <row r="337" spans="1:24">
      <c r="A337" t="s">
        <v>210</v>
      </c>
      <c r="B337" t="s">
        <v>62</v>
      </c>
      <c r="C337" s="36">
        <v>44875</v>
      </c>
      <c r="D337" t="s">
        <v>183</v>
      </c>
      <c r="E337" s="36">
        <v>45199</v>
      </c>
      <c r="F337" t="s">
        <v>76</v>
      </c>
      <c r="G337" s="36">
        <v>45197</v>
      </c>
      <c r="H337">
        <v>7</v>
      </c>
      <c r="I337" t="s">
        <v>2502</v>
      </c>
      <c r="J337">
        <v>4.0999999999999996</v>
      </c>
      <c r="K337">
        <v>3.9</v>
      </c>
      <c r="L337">
        <v>3</v>
      </c>
      <c r="M337">
        <v>1.0999999999999996</v>
      </c>
      <c r="N337">
        <v>1.0999999999999996</v>
      </c>
      <c r="O337">
        <v>0.19999999999999973</v>
      </c>
      <c r="P337">
        <v>0.19999999999999973</v>
      </c>
      <c r="Q337">
        <v>3.9999999999999897E-2</v>
      </c>
      <c r="R337">
        <v>-0.10000000000000053</v>
      </c>
      <c r="S337">
        <v>0.10000000000000053</v>
      </c>
      <c r="T337" t="s">
        <v>151</v>
      </c>
      <c r="U337">
        <v>8.6999999999999993</v>
      </c>
      <c r="V337">
        <v>5.6999999999999993</v>
      </c>
      <c r="W337" t="s">
        <v>2513</v>
      </c>
      <c r="X337" t="s">
        <v>63</v>
      </c>
    </row>
    <row r="338" spans="1:24">
      <c r="A338" t="s">
        <v>210</v>
      </c>
      <c r="B338" t="s">
        <v>64</v>
      </c>
      <c r="C338" s="36">
        <v>44910</v>
      </c>
      <c r="D338" t="s">
        <v>183</v>
      </c>
      <c r="E338" s="36">
        <v>45199</v>
      </c>
      <c r="F338" t="s">
        <v>76</v>
      </c>
      <c r="G338" s="36">
        <v>45197</v>
      </c>
      <c r="H338">
        <v>6</v>
      </c>
      <c r="I338" t="s">
        <v>2503</v>
      </c>
      <c r="J338">
        <v>4</v>
      </c>
      <c r="K338">
        <v>3.9</v>
      </c>
      <c r="L338">
        <v>3</v>
      </c>
      <c r="M338">
        <v>1</v>
      </c>
      <c r="N338">
        <v>1</v>
      </c>
      <c r="O338">
        <v>0.10000000000000009</v>
      </c>
      <c r="P338">
        <v>0.10000000000000009</v>
      </c>
      <c r="Q338">
        <v>1.0000000000000018E-2</v>
      </c>
      <c r="R338">
        <v>-9.9999999999999645E-2</v>
      </c>
      <c r="S338">
        <v>9.9999999999999645E-2</v>
      </c>
      <c r="T338" t="s">
        <v>151</v>
      </c>
      <c r="U338">
        <v>8.6</v>
      </c>
      <c r="V338">
        <v>5.6</v>
      </c>
      <c r="W338" t="s">
        <v>2513</v>
      </c>
      <c r="X338" t="s">
        <v>65</v>
      </c>
    </row>
    <row r="339" spans="1:24">
      <c r="A339" t="s">
        <v>210</v>
      </c>
      <c r="B339" t="s">
        <v>66</v>
      </c>
      <c r="C339" s="36">
        <v>44966</v>
      </c>
      <c r="D339" t="s">
        <v>183</v>
      </c>
      <c r="E339" s="36">
        <v>45199</v>
      </c>
      <c r="F339" t="s">
        <v>76</v>
      </c>
      <c r="G339" s="36">
        <v>45197</v>
      </c>
      <c r="H339">
        <v>5</v>
      </c>
      <c r="I339" t="s">
        <v>2500</v>
      </c>
      <c r="J339">
        <v>4.4000000000000004</v>
      </c>
      <c r="K339">
        <v>3.9</v>
      </c>
      <c r="L339">
        <v>3</v>
      </c>
      <c r="M339">
        <v>1.4000000000000004</v>
      </c>
      <c r="N339">
        <v>1.4000000000000004</v>
      </c>
      <c r="O339">
        <v>0.50000000000000044</v>
      </c>
      <c r="P339">
        <v>0.50000000000000044</v>
      </c>
      <c r="Q339">
        <v>0.25000000000000044</v>
      </c>
      <c r="R339">
        <v>0.40000000000000036</v>
      </c>
      <c r="S339">
        <v>0.40000000000000036</v>
      </c>
      <c r="T339" t="s">
        <v>154</v>
      </c>
      <c r="U339">
        <v>6.4</v>
      </c>
      <c r="V339">
        <v>3.4000000000000004</v>
      </c>
      <c r="W339" t="s">
        <v>2513</v>
      </c>
      <c r="X339" t="s">
        <v>67</v>
      </c>
    </row>
    <row r="340" spans="1:24">
      <c r="A340" t="s">
        <v>210</v>
      </c>
      <c r="B340" t="s">
        <v>68</v>
      </c>
      <c r="C340" s="36">
        <v>45015</v>
      </c>
      <c r="D340" t="s">
        <v>183</v>
      </c>
      <c r="E340" s="36">
        <v>45199</v>
      </c>
      <c r="F340" t="s">
        <v>76</v>
      </c>
      <c r="G340" s="36">
        <v>45197</v>
      </c>
      <c r="H340">
        <v>4</v>
      </c>
      <c r="I340" t="s">
        <v>2501</v>
      </c>
      <c r="J340">
        <v>4.5</v>
      </c>
      <c r="K340">
        <v>3.9</v>
      </c>
      <c r="L340">
        <v>3</v>
      </c>
      <c r="M340">
        <v>1.5</v>
      </c>
      <c r="N340">
        <v>1.5</v>
      </c>
      <c r="O340">
        <v>0.60000000000000009</v>
      </c>
      <c r="P340">
        <v>0.60000000000000009</v>
      </c>
      <c r="Q340">
        <v>0.3600000000000001</v>
      </c>
      <c r="R340">
        <v>9.9999999999999645E-2</v>
      </c>
      <c r="S340">
        <v>9.9999999999999645E-2</v>
      </c>
      <c r="T340" t="s">
        <v>154</v>
      </c>
      <c r="U340">
        <v>6.2</v>
      </c>
      <c r="V340">
        <v>3.2</v>
      </c>
      <c r="W340" t="s">
        <v>2513</v>
      </c>
      <c r="X340" t="s">
        <v>69</v>
      </c>
    </row>
    <row r="341" spans="1:24">
      <c r="A341" t="s">
        <v>210</v>
      </c>
      <c r="B341" t="s">
        <v>70</v>
      </c>
      <c r="C341" s="36">
        <v>45064</v>
      </c>
      <c r="D341" t="s">
        <v>183</v>
      </c>
      <c r="E341" s="36">
        <v>45199</v>
      </c>
      <c r="F341" t="s">
        <v>76</v>
      </c>
      <c r="G341" s="36">
        <v>45197</v>
      </c>
      <c r="H341">
        <v>3</v>
      </c>
      <c r="I341" t="s">
        <v>2498</v>
      </c>
      <c r="J341">
        <v>4.9000000000000004</v>
      </c>
      <c r="K341">
        <v>3.9</v>
      </c>
      <c r="L341">
        <v>3</v>
      </c>
      <c r="M341">
        <v>1.9000000000000004</v>
      </c>
      <c r="N341">
        <v>1.9000000000000004</v>
      </c>
      <c r="O341">
        <v>1.0000000000000004</v>
      </c>
      <c r="P341">
        <v>1.0000000000000004</v>
      </c>
      <c r="Q341">
        <v>1.0000000000000009</v>
      </c>
      <c r="R341">
        <v>0.40000000000000036</v>
      </c>
      <c r="S341">
        <v>0.40000000000000036</v>
      </c>
      <c r="T341" t="s">
        <v>157</v>
      </c>
      <c r="U341">
        <v>5.4</v>
      </c>
      <c r="V341">
        <v>2.4000000000000004</v>
      </c>
      <c r="W341" t="s">
        <v>2513</v>
      </c>
      <c r="X341" t="s">
        <v>71</v>
      </c>
    </row>
    <row r="342" spans="1:24">
      <c r="A342" t="s">
        <v>210</v>
      </c>
      <c r="B342" t="s">
        <v>72</v>
      </c>
      <c r="C342" s="36">
        <v>45099</v>
      </c>
      <c r="D342" t="s">
        <v>183</v>
      </c>
      <c r="E342" s="36">
        <v>45199</v>
      </c>
      <c r="F342" t="s">
        <v>76</v>
      </c>
      <c r="G342" s="36">
        <v>45197</v>
      </c>
      <c r="H342">
        <v>2</v>
      </c>
      <c r="I342" t="s">
        <v>2499</v>
      </c>
      <c r="J342">
        <v>4.9000000000000004</v>
      </c>
      <c r="K342">
        <v>3.9</v>
      </c>
      <c r="L342">
        <v>3</v>
      </c>
      <c r="M342">
        <v>1.9000000000000004</v>
      </c>
      <c r="N342">
        <v>1.9000000000000004</v>
      </c>
      <c r="O342">
        <v>1.0000000000000004</v>
      </c>
      <c r="P342">
        <v>1.0000000000000004</v>
      </c>
      <c r="Q342">
        <v>1.0000000000000009</v>
      </c>
      <c r="R342">
        <v>0</v>
      </c>
      <c r="S342">
        <v>0</v>
      </c>
      <c r="T342" t="s">
        <v>157</v>
      </c>
      <c r="U342">
        <v>5.0999999999999996</v>
      </c>
      <c r="V342">
        <v>2.0999999999999996</v>
      </c>
      <c r="W342" t="s">
        <v>2513</v>
      </c>
      <c r="X342" t="s">
        <v>73</v>
      </c>
    </row>
    <row r="343" spans="1:24">
      <c r="A343" t="s">
        <v>210</v>
      </c>
      <c r="B343" t="s">
        <v>74</v>
      </c>
      <c r="C343" s="36">
        <v>45148</v>
      </c>
      <c r="D343" t="s">
        <v>183</v>
      </c>
      <c r="E343" s="36">
        <v>45199</v>
      </c>
      <c r="F343" t="s">
        <v>76</v>
      </c>
      <c r="G343" s="36">
        <v>45197</v>
      </c>
      <c r="H343">
        <v>1</v>
      </c>
      <c r="I343" t="s">
        <v>2495</v>
      </c>
      <c r="J343">
        <v>4.4000000000000004</v>
      </c>
      <c r="K343">
        <v>3.9</v>
      </c>
      <c r="L343">
        <v>3</v>
      </c>
      <c r="M343">
        <v>1.4000000000000004</v>
      </c>
      <c r="N343">
        <v>1.4000000000000004</v>
      </c>
      <c r="O343">
        <v>0.50000000000000044</v>
      </c>
      <c r="P343">
        <v>0.50000000000000044</v>
      </c>
      <c r="Q343">
        <v>0.25000000000000044</v>
      </c>
      <c r="R343">
        <v>-0.5</v>
      </c>
      <c r="S343">
        <v>0.5</v>
      </c>
      <c r="T343" t="s">
        <v>160</v>
      </c>
      <c r="U343">
        <v>3.9</v>
      </c>
      <c r="V343">
        <v>0.89999999999999991</v>
      </c>
      <c r="W343" t="s">
        <v>2513</v>
      </c>
      <c r="X343" t="s">
        <v>75</v>
      </c>
    </row>
    <row r="344" spans="1:24">
      <c r="A344" t="s">
        <v>210</v>
      </c>
      <c r="B344" t="s">
        <v>76</v>
      </c>
      <c r="C344" s="36">
        <v>45197</v>
      </c>
      <c r="D344" t="s">
        <v>183</v>
      </c>
      <c r="E344" s="36">
        <v>45199</v>
      </c>
      <c r="F344" t="s">
        <v>76</v>
      </c>
      <c r="G344" s="36">
        <v>45197</v>
      </c>
      <c r="H344">
        <v>0</v>
      </c>
      <c r="I344" t="s">
        <v>2497</v>
      </c>
      <c r="J344">
        <v>4.5</v>
      </c>
      <c r="K344">
        <v>3.9</v>
      </c>
      <c r="L344">
        <v>3</v>
      </c>
      <c r="M344">
        <v>1.5</v>
      </c>
      <c r="N344">
        <v>1.5</v>
      </c>
      <c r="O344">
        <v>0.60000000000000009</v>
      </c>
      <c r="P344">
        <v>0.60000000000000009</v>
      </c>
      <c r="Q344">
        <v>0.3600000000000001</v>
      </c>
      <c r="R344">
        <v>9.9999999999999645E-2</v>
      </c>
      <c r="S344">
        <v>9.9999999999999645E-2</v>
      </c>
      <c r="T344" t="s">
        <v>160</v>
      </c>
      <c r="U344">
        <v>4</v>
      </c>
      <c r="V344">
        <v>1</v>
      </c>
      <c r="W344" t="s">
        <v>2513</v>
      </c>
      <c r="X344" t="s">
        <v>77</v>
      </c>
    </row>
    <row r="345" spans="1:24">
      <c r="A345" t="s">
        <v>210</v>
      </c>
      <c r="B345" t="s">
        <v>47</v>
      </c>
      <c r="C345" s="36">
        <v>44546</v>
      </c>
      <c r="D345" t="s">
        <v>254</v>
      </c>
      <c r="E345" s="36">
        <v>45291</v>
      </c>
      <c r="F345" t="s">
        <v>80</v>
      </c>
      <c r="G345" s="36">
        <v>45274</v>
      </c>
      <c r="H345">
        <v>16</v>
      </c>
      <c r="I345" t="s">
        <v>2512</v>
      </c>
      <c r="J345">
        <v>3.4</v>
      </c>
      <c r="K345">
        <v>5.3</v>
      </c>
      <c r="L345">
        <v>3</v>
      </c>
      <c r="M345">
        <v>0.39999999999999991</v>
      </c>
      <c r="N345">
        <v>0.39999999999999991</v>
      </c>
      <c r="O345">
        <v>-1.9</v>
      </c>
      <c r="P345">
        <v>1.9</v>
      </c>
      <c r="Q345">
        <v>3.61</v>
      </c>
      <c r="T345" t="s">
        <v>139</v>
      </c>
      <c r="U345">
        <v>6.3</v>
      </c>
      <c r="V345">
        <v>3.3</v>
      </c>
      <c r="W345" t="s">
        <v>2496</v>
      </c>
      <c r="X345" t="s">
        <v>49</v>
      </c>
    </row>
    <row r="346" spans="1:24">
      <c r="A346" t="s">
        <v>210</v>
      </c>
      <c r="B346" t="s">
        <v>50</v>
      </c>
      <c r="C346" s="36">
        <v>44602</v>
      </c>
      <c r="D346" t="s">
        <v>254</v>
      </c>
      <c r="E346" s="36">
        <v>45291</v>
      </c>
      <c r="F346" t="s">
        <v>80</v>
      </c>
      <c r="G346" s="36">
        <v>45274</v>
      </c>
      <c r="H346">
        <v>15</v>
      </c>
      <c r="I346" t="s">
        <v>2510</v>
      </c>
      <c r="J346">
        <v>4</v>
      </c>
      <c r="K346">
        <v>5.3</v>
      </c>
      <c r="L346">
        <v>3</v>
      </c>
      <c r="M346">
        <v>1</v>
      </c>
      <c r="N346">
        <v>1</v>
      </c>
      <c r="O346">
        <v>-1.2999999999999998</v>
      </c>
      <c r="P346">
        <v>1.2999999999999998</v>
      </c>
      <c r="Q346">
        <v>1.6899999999999995</v>
      </c>
      <c r="R346">
        <v>0.60000000000000009</v>
      </c>
      <c r="S346">
        <v>0.60000000000000009</v>
      </c>
      <c r="T346" t="s">
        <v>142</v>
      </c>
      <c r="U346">
        <v>6.8</v>
      </c>
      <c r="V346">
        <v>3.8</v>
      </c>
      <c r="W346" t="s">
        <v>2496</v>
      </c>
      <c r="X346" t="s">
        <v>51</v>
      </c>
    </row>
    <row r="347" spans="1:24">
      <c r="A347" t="s">
        <v>210</v>
      </c>
      <c r="B347" t="s">
        <v>52</v>
      </c>
      <c r="C347" s="36">
        <v>44644</v>
      </c>
      <c r="D347" t="s">
        <v>254</v>
      </c>
      <c r="E347" s="36">
        <v>45291</v>
      </c>
      <c r="F347" t="s">
        <v>80</v>
      </c>
      <c r="G347" s="36">
        <v>45274</v>
      </c>
      <c r="H347">
        <v>14</v>
      </c>
      <c r="I347" t="s">
        <v>2511</v>
      </c>
      <c r="J347">
        <v>4</v>
      </c>
      <c r="K347">
        <v>5.3</v>
      </c>
      <c r="L347">
        <v>3</v>
      </c>
      <c r="M347">
        <v>1</v>
      </c>
      <c r="N347">
        <v>1</v>
      </c>
      <c r="O347">
        <v>-1.2999999999999998</v>
      </c>
      <c r="P347">
        <v>1.2999999999999998</v>
      </c>
      <c r="Q347">
        <v>1.6899999999999995</v>
      </c>
      <c r="R347">
        <v>0</v>
      </c>
      <c r="S347">
        <v>0</v>
      </c>
      <c r="T347" t="s">
        <v>142</v>
      </c>
      <c r="U347">
        <v>7</v>
      </c>
      <c r="V347">
        <v>4</v>
      </c>
      <c r="W347" t="s">
        <v>2496</v>
      </c>
      <c r="X347" t="s">
        <v>53</v>
      </c>
    </row>
    <row r="348" spans="1:24">
      <c r="A348" t="s">
        <v>210</v>
      </c>
      <c r="B348" t="s">
        <v>54</v>
      </c>
      <c r="C348" s="36">
        <v>44693</v>
      </c>
      <c r="D348" t="s">
        <v>254</v>
      </c>
      <c r="E348" s="36">
        <v>45291</v>
      </c>
      <c r="F348" t="s">
        <v>80</v>
      </c>
      <c r="G348" s="36">
        <v>45274</v>
      </c>
      <c r="H348">
        <v>13</v>
      </c>
      <c r="I348" t="s">
        <v>2508</v>
      </c>
      <c r="J348">
        <v>4</v>
      </c>
      <c r="K348">
        <v>5.3</v>
      </c>
      <c r="L348">
        <v>3</v>
      </c>
      <c r="M348">
        <v>1</v>
      </c>
      <c r="N348">
        <v>1</v>
      </c>
      <c r="O348">
        <v>-1.2999999999999998</v>
      </c>
      <c r="P348">
        <v>1.2999999999999998</v>
      </c>
      <c r="Q348">
        <v>1.6899999999999995</v>
      </c>
      <c r="R348">
        <v>0</v>
      </c>
      <c r="S348">
        <v>0</v>
      </c>
      <c r="T348" t="s">
        <v>145</v>
      </c>
      <c r="U348">
        <v>7.3</v>
      </c>
      <c r="V348">
        <v>4.3</v>
      </c>
      <c r="W348" t="s">
        <v>2496</v>
      </c>
      <c r="X348" t="s">
        <v>55</v>
      </c>
    </row>
    <row r="349" spans="1:24">
      <c r="A349" t="s">
        <v>210</v>
      </c>
      <c r="B349" t="s">
        <v>56</v>
      </c>
      <c r="C349" s="36">
        <v>44735</v>
      </c>
      <c r="D349" t="s">
        <v>254</v>
      </c>
      <c r="E349" s="36">
        <v>45291</v>
      </c>
      <c r="F349" t="s">
        <v>80</v>
      </c>
      <c r="G349" s="36">
        <v>45274</v>
      </c>
      <c r="H349">
        <v>12</v>
      </c>
      <c r="I349" t="s">
        <v>2509</v>
      </c>
      <c r="J349">
        <v>3.9</v>
      </c>
      <c r="K349">
        <v>5.3</v>
      </c>
      <c r="L349">
        <v>3</v>
      </c>
      <c r="M349">
        <v>0.89999999999999991</v>
      </c>
      <c r="N349">
        <v>0.89999999999999991</v>
      </c>
      <c r="O349">
        <v>-1.4</v>
      </c>
      <c r="P349">
        <v>1.4</v>
      </c>
      <c r="Q349">
        <v>1.9599999999999997</v>
      </c>
      <c r="R349">
        <v>-0.10000000000000009</v>
      </c>
      <c r="S349">
        <v>0.10000000000000009</v>
      </c>
      <c r="T349" t="s">
        <v>145</v>
      </c>
      <c r="U349">
        <v>7.4</v>
      </c>
      <c r="V349">
        <v>4.4000000000000004</v>
      </c>
      <c r="W349" t="s">
        <v>2496</v>
      </c>
      <c r="X349" t="s">
        <v>57</v>
      </c>
    </row>
    <row r="350" spans="1:24">
      <c r="A350" t="s">
        <v>210</v>
      </c>
      <c r="B350" t="s">
        <v>58</v>
      </c>
      <c r="C350" s="36">
        <v>44784</v>
      </c>
      <c r="D350" t="s">
        <v>254</v>
      </c>
      <c r="E350" s="36">
        <v>45291</v>
      </c>
      <c r="F350" t="s">
        <v>80</v>
      </c>
      <c r="G350" s="36">
        <v>45274</v>
      </c>
      <c r="H350">
        <v>11</v>
      </c>
      <c r="I350" t="s">
        <v>2506</v>
      </c>
      <c r="J350">
        <v>3.8</v>
      </c>
      <c r="K350">
        <v>5.3</v>
      </c>
      <c r="L350">
        <v>3</v>
      </c>
      <c r="M350">
        <v>0.79999999999999982</v>
      </c>
      <c r="N350">
        <v>0.79999999999999982</v>
      </c>
      <c r="O350">
        <v>-1.5</v>
      </c>
      <c r="P350">
        <v>1.5</v>
      </c>
      <c r="Q350">
        <v>2.25</v>
      </c>
      <c r="R350">
        <v>-0.10000000000000009</v>
      </c>
      <c r="S350">
        <v>0.10000000000000009</v>
      </c>
      <c r="T350" t="s">
        <v>148</v>
      </c>
      <c r="U350">
        <v>10.7</v>
      </c>
      <c r="V350">
        <v>7.6999999999999993</v>
      </c>
      <c r="W350" t="s">
        <v>2496</v>
      </c>
      <c r="X350" t="s">
        <v>59</v>
      </c>
    </row>
    <row r="351" spans="1:24">
      <c r="A351" t="s">
        <v>210</v>
      </c>
      <c r="B351" t="s">
        <v>60</v>
      </c>
      <c r="C351" s="36">
        <v>44833</v>
      </c>
      <c r="D351" t="s">
        <v>254</v>
      </c>
      <c r="E351" s="36">
        <v>45291</v>
      </c>
      <c r="F351" t="s">
        <v>80</v>
      </c>
      <c r="G351" s="36">
        <v>45274</v>
      </c>
      <c r="H351">
        <v>10</v>
      </c>
      <c r="I351" t="s">
        <v>2507</v>
      </c>
      <c r="J351">
        <v>4</v>
      </c>
      <c r="K351">
        <v>5.3</v>
      </c>
      <c r="L351">
        <v>3</v>
      </c>
      <c r="M351">
        <v>1</v>
      </c>
      <c r="N351">
        <v>1</v>
      </c>
      <c r="O351">
        <v>-1.2999999999999998</v>
      </c>
      <c r="P351">
        <v>1.2999999999999998</v>
      </c>
      <c r="Q351">
        <v>1.6899999999999995</v>
      </c>
      <c r="R351">
        <v>0.20000000000000018</v>
      </c>
      <c r="S351">
        <v>0.20000000000000018</v>
      </c>
      <c r="T351" t="s">
        <v>148</v>
      </c>
      <c r="U351">
        <v>10.7</v>
      </c>
      <c r="V351">
        <v>7.6999999999999993</v>
      </c>
      <c r="W351" t="s">
        <v>2496</v>
      </c>
      <c r="X351" t="s">
        <v>61</v>
      </c>
    </row>
    <row r="352" spans="1:24">
      <c r="A352" t="s">
        <v>210</v>
      </c>
      <c r="B352" t="s">
        <v>62</v>
      </c>
      <c r="C352" s="36">
        <v>44875</v>
      </c>
      <c r="D352" t="s">
        <v>254</v>
      </c>
      <c r="E352" s="36">
        <v>45291</v>
      </c>
      <c r="F352" t="s">
        <v>80</v>
      </c>
      <c r="G352" s="36">
        <v>45274</v>
      </c>
      <c r="H352">
        <v>9</v>
      </c>
      <c r="I352" t="s">
        <v>2504</v>
      </c>
      <c r="J352">
        <v>4.0999999999999996</v>
      </c>
      <c r="K352">
        <v>5.3</v>
      </c>
      <c r="L352">
        <v>3</v>
      </c>
      <c r="M352">
        <v>1.0999999999999996</v>
      </c>
      <c r="N352">
        <v>1.0999999999999996</v>
      </c>
      <c r="O352">
        <v>-1.2000000000000002</v>
      </c>
      <c r="P352">
        <v>1.2000000000000002</v>
      </c>
      <c r="Q352">
        <v>1.4400000000000004</v>
      </c>
      <c r="R352">
        <v>9.9999999999999645E-2</v>
      </c>
      <c r="S352">
        <v>9.9999999999999645E-2</v>
      </c>
      <c r="T352" t="s">
        <v>151</v>
      </c>
      <c r="U352">
        <v>8.6999999999999993</v>
      </c>
      <c r="V352">
        <v>5.6999999999999993</v>
      </c>
      <c r="W352" t="s">
        <v>2496</v>
      </c>
      <c r="X352" t="s">
        <v>63</v>
      </c>
    </row>
    <row r="353" spans="1:24">
      <c r="A353" t="s">
        <v>210</v>
      </c>
      <c r="B353" t="s">
        <v>64</v>
      </c>
      <c r="C353" s="36">
        <v>44910</v>
      </c>
      <c r="D353" t="s">
        <v>254</v>
      </c>
      <c r="E353" s="36">
        <v>45291</v>
      </c>
      <c r="F353" t="s">
        <v>80</v>
      </c>
      <c r="G353" s="36">
        <v>45274</v>
      </c>
      <c r="H353">
        <v>8</v>
      </c>
      <c r="I353" t="s">
        <v>2505</v>
      </c>
      <c r="J353">
        <v>4</v>
      </c>
      <c r="K353">
        <v>5.3</v>
      </c>
      <c r="L353">
        <v>3</v>
      </c>
      <c r="M353">
        <v>1</v>
      </c>
      <c r="N353">
        <v>1</v>
      </c>
      <c r="O353">
        <v>-1.2999999999999998</v>
      </c>
      <c r="P353">
        <v>1.2999999999999998</v>
      </c>
      <c r="Q353">
        <v>1.6899999999999995</v>
      </c>
      <c r="R353">
        <v>-9.9999999999999645E-2</v>
      </c>
      <c r="S353">
        <v>9.9999999999999645E-2</v>
      </c>
      <c r="T353" t="s">
        <v>151</v>
      </c>
      <c r="U353">
        <v>8.6</v>
      </c>
      <c r="V353">
        <v>5.6</v>
      </c>
      <c r="W353" t="s">
        <v>2496</v>
      </c>
      <c r="X353" t="s">
        <v>65</v>
      </c>
    </row>
    <row r="354" spans="1:24">
      <c r="A354" t="s">
        <v>210</v>
      </c>
      <c r="B354" t="s">
        <v>66</v>
      </c>
      <c r="C354" s="36">
        <v>44966</v>
      </c>
      <c r="D354" t="s">
        <v>254</v>
      </c>
      <c r="E354" s="36">
        <v>45291</v>
      </c>
      <c r="F354" t="s">
        <v>80</v>
      </c>
      <c r="G354" s="36">
        <v>45274</v>
      </c>
      <c r="H354">
        <v>7</v>
      </c>
      <c r="I354" t="s">
        <v>2502</v>
      </c>
      <c r="J354">
        <v>4.5999999999999996</v>
      </c>
      <c r="K354">
        <v>5.3</v>
      </c>
      <c r="L354">
        <v>3</v>
      </c>
      <c r="M354">
        <v>1.5999999999999996</v>
      </c>
      <c r="N354">
        <v>1.5999999999999996</v>
      </c>
      <c r="O354">
        <v>-0.70000000000000018</v>
      </c>
      <c r="P354">
        <v>0.70000000000000018</v>
      </c>
      <c r="Q354">
        <v>0.49000000000000027</v>
      </c>
      <c r="R354">
        <v>0.59999999999999964</v>
      </c>
      <c r="S354">
        <v>0.59999999999999964</v>
      </c>
      <c r="T354" t="s">
        <v>154</v>
      </c>
      <c r="U354">
        <v>6.4</v>
      </c>
      <c r="V354">
        <v>3.4000000000000004</v>
      </c>
      <c r="W354" t="s">
        <v>2496</v>
      </c>
      <c r="X354" t="s">
        <v>67</v>
      </c>
    </row>
    <row r="355" spans="1:24">
      <c r="A355" t="s">
        <v>210</v>
      </c>
      <c r="B355" t="s">
        <v>68</v>
      </c>
      <c r="C355" s="36">
        <v>45015</v>
      </c>
      <c r="D355" t="s">
        <v>254</v>
      </c>
      <c r="E355" s="36">
        <v>45291</v>
      </c>
      <c r="F355" t="s">
        <v>80</v>
      </c>
      <c r="G355" s="36">
        <v>45274</v>
      </c>
      <c r="H355">
        <v>6</v>
      </c>
      <c r="I355" t="s">
        <v>2503</v>
      </c>
      <c r="J355">
        <v>4.0999999999999996</v>
      </c>
      <c r="K355">
        <v>5.3</v>
      </c>
      <c r="L355">
        <v>3</v>
      </c>
      <c r="M355">
        <v>1.0999999999999996</v>
      </c>
      <c r="N355">
        <v>1.0999999999999996</v>
      </c>
      <c r="O355">
        <v>-1.2000000000000002</v>
      </c>
      <c r="P355">
        <v>1.2000000000000002</v>
      </c>
      <c r="Q355">
        <v>1.4400000000000004</v>
      </c>
      <c r="R355">
        <v>-0.5</v>
      </c>
      <c r="S355">
        <v>0.5</v>
      </c>
      <c r="T355" t="s">
        <v>154</v>
      </c>
      <c r="U355">
        <v>6.2</v>
      </c>
      <c r="V355">
        <v>3.2</v>
      </c>
      <c r="W355" t="s">
        <v>2496</v>
      </c>
      <c r="X355" t="s">
        <v>69</v>
      </c>
    </row>
    <row r="356" spans="1:24">
      <c r="A356" t="s">
        <v>210</v>
      </c>
      <c r="B356" t="s">
        <v>70</v>
      </c>
      <c r="C356" s="36">
        <v>45064</v>
      </c>
      <c r="D356" t="s">
        <v>254</v>
      </c>
      <c r="E356" s="36">
        <v>45291</v>
      </c>
      <c r="F356" t="s">
        <v>80</v>
      </c>
      <c r="G356" s="36">
        <v>45274</v>
      </c>
      <c r="H356">
        <v>5</v>
      </c>
      <c r="I356" t="s">
        <v>2500</v>
      </c>
      <c r="J356">
        <v>4.2</v>
      </c>
      <c r="K356">
        <v>5.3</v>
      </c>
      <c r="L356">
        <v>3</v>
      </c>
      <c r="M356">
        <v>1.2000000000000002</v>
      </c>
      <c r="N356">
        <v>1.2000000000000002</v>
      </c>
      <c r="O356">
        <v>-1.0999999999999996</v>
      </c>
      <c r="P356">
        <v>1.0999999999999996</v>
      </c>
      <c r="Q356">
        <v>1.2099999999999993</v>
      </c>
      <c r="R356">
        <v>0.10000000000000053</v>
      </c>
      <c r="S356">
        <v>0.10000000000000053</v>
      </c>
      <c r="T356" t="s">
        <v>157</v>
      </c>
      <c r="U356">
        <v>5.4</v>
      </c>
      <c r="V356">
        <v>2.4000000000000004</v>
      </c>
      <c r="W356" t="s">
        <v>2496</v>
      </c>
      <c r="X356" t="s">
        <v>71</v>
      </c>
    </row>
    <row r="357" spans="1:24">
      <c r="A357" t="s">
        <v>210</v>
      </c>
      <c r="B357" t="s">
        <v>72</v>
      </c>
      <c r="C357" s="36">
        <v>45099</v>
      </c>
      <c r="D357" t="s">
        <v>254</v>
      </c>
      <c r="E357" s="36">
        <v>45291</v>
      </c>
      <c r="F357" t="s">
        <v>80</v>
      </c>
      <c r="G357" s="36">
        <v>45274</v>
      </c>
      <c r="H357">
        <v>4</v>
      </c>
      <c r="I357" t="s">
        <v>2501</v>
      </c>
      <c r="J357">
        <v>4.3</v>
      </c>
      <c r="K357">
        <v>5.3</v>
      </c>
      <c r="L357">
        <v>3</v>
      </c>
      <c r="M357">
        <v>1.2999999999999998</v>
      </c>
      <c r="N357">
        <v>1.2999999999999998</v>
      </c>
      <c r="O357">
        <v>-1</v>
      </c>
      <c r="P357">
        <v>1</v>
      </c>
      <c r="Q357">
        <v>1</v>
      </c>
      <c r="R357">
        <v>9.9999999999999645E-2</v>
      </c>
      <c r="S357">
        <v>9.9999999999999645E-2</v>
      </c>
      <c r="T357" t="s">
        <v>157</v>
      </c>
      <c r="U357">
        <v>5.0999999999999996</v>
      </c>
      <c r="V357">
        <v>2.0999999999999996</v>
      </c>
      <c r="W357" t="s">
        <v>2496</v>
      </c>
      <c r="X357" t="s">
        <v>73</v>
      </c>
    </row>
    <row r="358" spans="1:24">
      <c r="A358" t="s">
        <v>210</v>
      </c>
      <c r="B358" t="s">
        <v>74</v>
      </c>
      <c r="C358" s="36">
        <v>45148</v>
      </c>
      <c r="D358" t="s">
        <v>254</v>
      </c>
      <c r="E358" s="36">
        <v>45291</v>
      </c>
      <c r="F358" t="s">
        <v>80</v>
      </c>
      <c r="G358" s="36">
        <v>45274</v>
      </c>
      <c r="H358">
        <v>3</v>
      </c>
      <c r="I358" t="s">
        <v>2498</v>
      </c>
      <c r="J358">
        <v>4.9000000000000004</v>
      </c>
      <c r="K358">
        <v>5.3</v>
      </c>
      <c r="L358">
        <v>3</v>
      </c>
      <c r="M358">
        <v>1.9000000000000004</v>
      </c>
      <c r="N358">
        <v>1.9000000000000004</v>
      </c>
      <c r="O358">
        <v>-0.39999999999999947</v>
      </c>
      <c r="P358">
        <v>0.39999999999999947</v>
      </c>
      <c r="Q358">
        <v>0.15999999999999959</v>
      </c>
      <c r="R358">
        <v>0.60000000000000053</v>
      </c>
      <c r="S358">
        <v>0.60000000000000053</v>
      </c>
      <c r="T358" t="s">
        <v>160</v>
      </c>
      <c r="U358">
        <v>3.9</v>
      </c>
      <c r="V358">
        <v>0.89999999999999991</v>
      </c>
      <c r="W358" t="s">
        <v>2496</v>
      </c>
      <c r="X358" t="s">
        <v>75</v>
      </c>
    </row>
    <row r="359" spans="1:24">
      <c r="A359" t="s">
        <v>210</v>
      </c>
      <c r="B359" t="s">
        <v>76</v>
      </c>
      <c r="C359" s="36">
        <v>45197</v>
      </c>
      <c r="D359" t="s">
        <v>254</v>
      </c>
      <c r="E359" s="36">
        <v>45291</v>
      </c>
      <c r="F359" t="s">
        <v>80</v>
      </c>
      <c r="G359" s="36">
        <v>45274</v>
      </c>
      <c r="H359">
        <v>2</v>
      </c>
      <c r="I359" t="s">
        <v>2499</v>
      </c>
      <c r="J359">
        <v>5.3</v>
      </c>
      <c r="K359">
        <v>5.3</v>
      </c>
      <c r="L359">
        <v>3</v>
      </c>
      <c r="M359">
        <v>2.2999999999999998</v>
      </c>
      <c r="N359">
        <v>2.2999999999999998</v>
      </c>
      <c r="O359">
        <v>0</v>
      </c>
      <c r="P359">
        <v>0</v>
      </c>
      <c r="Q359">
        <v>0</v>
      </c>
      <c r="R359">
        <v>0.39999999999999947</v>
      </c>
      <c r="S359">
        <v>0.39999999999999947</v>
      </c>
      <c r="T359" t="s">
        <v>160</v>
      </c>
      <c r="U359">
        <v>4</v>
      </c>
      <c r="V359">
        <v>1</v>
      </c>
      <c r="W359" t="s">
        <v>2496</v>
      </c>
      <c r="X359" t="s">
        <v>77</v>
      </c>
    </row>
    <row r="360" spans="1:24">
      <c r="A360" t="s">
        <v>210</v>
      </c>
      <c r="B360" t="s">
        <v>78</v>
      </c>
      <c r="C360" s="36">
        <v>45239</v>
      </c>
      <c r="D360" t="s">
        <v>254</v>
      </c>
      <c r="E360" s="36">
        <v>45291</v>
      </c>
      <c r="F360" t="s">
        <v>80</v>
      </c>
      <c r="G360" s="36">
        <v>45274</v>
      </c>
      <c r="H360">
        <v>1</v>
      </c>
      <c r="I360" t="s">
        <v>2495</v>
      </c>
      <c r="J360">
        <v>4.9000000000000004</v>
      </c>
      <c r="K360">
        <v>5.3</v>
      </c>
      <c r="L360">
        <v>3</v>
      </c>
      <c r="M360">
        <v>1.9000000000000004</v>
      </c>
      <c r="N360">
        <v>1.9000000000000004</v>
      </c>
      <c r="O360">
        <v>-0.39999999999999947</v>
      </c>
      <c r="P360">
        <v>0.39999999999999947</v>
      </c>
      <c r="Q360">
        <v>0.15999999999999959</v>
      </c>
      <c r="R360">
        <v>-0.39999999999999947</v>
      </c>
      <c r="S360">
        <v>0.39999999999999947</v>
      </c>
      <c r="T360" t="s">
        <v>183</v>
      </c>
      <c r="U360">
        <v>4.4000000000000004</v>
      </c>
      <c r="V360">
        <v>1.4000000000000004</v>
      </c>
      <c r="W360" t="s">
        <v>2496</v>
      </c>
      <c r="X360" t="s">
        <v>79</v>
      </c>
    </row>
    <row r="361" spans="1:24">
      <c r="A361" t="s">
        <v>210</v>
      </c>
      <c r="B361" t="s">
        <v>80</v>
      </c>
      <c r="C361" s="36">
        <v>45274</v>
      </c>
      <c r="D361" t="s">
        <v>254</v>
      </c>
      <c r="E361" s="36">
        <v>45291</v>
      </c>
      <c r="F361" t="s">
        <v>80</v>
      </c>
      <c r="G361" s="36">
        <v>45274</v>
      </c>
      <c r="H361">
        <v>0</v>
      </c>
      <c r="I361" t="s">
        <v>2497</v>
      </c>
      <c r="J361">
        <v>4.9000000000000004</v>
      </c>
      <c r="K361">
        <v>5.3</v>
      </c>
      <c r="L361">
        <v>3</v>
      </c>
      <c r="M361">
        <v>1.9000000000000004</v>
      </c>
      <c r="N361">
        <v>1.9000000000000004</v>
      </c>
      <c r="O361">
        <v>-0.39999999999999947</v>
      </c>
      <c r="P361">
        <v>0.39999999999999947</v>
      </c>
      <c r="Q361">
        <v>0.15999999999999959</v>
      </c>
      <c r="R361">
        <v>0</v>
      </c>
      <c r="S361">
        <v>0</v>
      </c>
      <c r="T361" t="s">
        <v>183</v>
      </c>
      <c r="U361">
        <v>4.4000000000000004</v>
      </c>
      <c r="V361">
        <v>1.4000000000000004</v>
      </c>
      <c r="W361" t="s">
        <v>2496</v>
      </c>
      <c r="X361" t="s">
        <v>81</v>
      </c>
    </row>
    <row r="362" spans="1:24">
      <c r="A362" t="s">
        <v>210</v>
      </c>
      <c r="B362" t="s">
        <v>52</v>
      </c>
      <c r="C362" s="36">
        <v>44644</v>
      </c>
      <c r="D362" t="s">
        <v>355</v>
      </c>
      <c r="E362" s="36">
        <v>45382</v>
      </c>
      <c r="F362" t="s">
        <v>84</v>
      </c>
      <c r="G362" s="36">
        <v>45372</v>
      </c>
      <c r="H362">
        <v>16</v>
      </c>
      <c r="I362" t="s">
        <v>2512</v>
      </c>
      <c r="J362">
        <v>2.8</v>
      </c>
      <c r="K362">
        <v>5.5</v>
      </c>
      <c r="L362">
        <v>3</v>
      </c>
      <c r="M362">
        <v>-0.20000000000000018</v>
      </c>
      <c r="N362">
        <v>0.20000000000000018</v>
      </c>
      <c r="O362">
        <v>-2.7</v>
      </c>
      <c r="P362">
        <v>2.7</v>
      </c>
      <c r="Q362">
        <v>7.2900000000000009</v>
      </c>
      <c r="T362" t="s">
        <v>142</v>
      </c>
      <c r="U362">
        <v>7</v>
      </c>
      <c r="V362">
        <v>4</v>
      </c>
      <c r="W362" t="s">
        <v>2496</v>
      </c>
      <c r="X362" t="s">
        <v>53</v>
      </c>
    </row>
    <row r="363" spans="1:24">
      <c r="A363" t="s">
        <v>210</v>
      </c>
      <c r="B363" t="s">
        <v>54</v>
      </c>
      <c r="C363" s="36">
        <v>44693</v>
      </c>
      <c r="D363" t="s">
        <v>355</v>
      </c>
      <c r="E363" s="36">
        <v>45382</v>
      </c>
      <c r="F363" t="s">
        <v>84</v>
      </c>
      <c r="G363" s="36">
        <v>45372</v>
      </c>
      <c r="H363">
        <v>15</v>
      </c>
      <c r="I363" t="s">
        <v>2510</v>
      </c>
      <c r="J363">
        <v>2.9</v>
      </c>
      <c r="K363">
        <v>5.5</v>
      </c>
      <c r="L363">
        <v>3</v>
      </c>
      <c r="M363">
        <v>-0.10000000000000009</v>
      </c>
      <c r="N363">
        <v>0.10000000000000009</v>
      </c>
      <c r="O363">
        <v>-2.6</v>
      </c>
      <c r="P363">
        <v>2.6</v>
      </c>
      <c r="Q363">
        <v>6.7600000000000007</v>
      </c>
      <c r="R363">
        <v>0.10000000000000009</v>
      </c>
      <c r="S363">
        <v>0.10000000000000009</v>
      </c>
      <c r="T363" t="s">
        <v>145</v>
      </c>
      <c r="U363">
        <v>7.3</v>
      </c>
      <c r="V363">
        <v>4.3</v>
      </c>
      <c r="W363" t="s">
        <v>2496</v>
      </c>
      <c r="X363" t="s">
        <v>55</v>
      </c>
    </row>
    <row r="364" spans="1:24">
      <c r="A364" t="s">
        <v>210</v>
      </c>
      <c r="B364" t="s">
        <v>56</v>
      </c>
      <c r="C364" s="36">
        <v>44735</v>
      </c>
      <c r="D364" t="s">
        <v>355</v>
      </c>
      <c r="E364" s="36">
        <v>45382</v>
      </c>
      <c r="F364" t="s">
        <v>84</v>
      </c>
      <c r="G364" s="36">
        <v>45372</v>
      </c>
      <c r="H364">
        <v>14</v>
      </c>
      <c r="I364" t="s">
        <v>2511</v>
      </c>
      <c r="J364">
        <v>3.1</v>
      </c>
      <c r="K364">
        <v>5.5</v>
      </c>
      <c r="L364">
        <v>3</v>
      </c>
      <c r="M364">
        <v>0.10000000000000009</v>
      </c>
      <c r="N364">
        <v>0.10000000000000009</v>
      </c>
      <c r="O364">
        <v>-2.4</v>
      </c>
      <c r="P364">
        <v>2.4</v>
      </c>
      <c r="Q364">
        <v>5.76</v>
      </c>
      <c r="R364">
        <v>0.20000000000000018</v>
      </c>
      <c r="S364">
        <v>0.20000000000000018</v>
      </c>
      <c r="T364" t="s">
        <v>145</v>
      </c>
      <c r="U364">
        <v>7.4</v>
      </c>
      <c r="V364">
        <v>4.4000000000000004</v>
      </c>
      <c r="W364" t="s">
        <v>2496</v>
      </c>
      <c r="X364" t="s">
        <v>57</v>
      </c>
    </row>
    <row r="365" spans="1:24">
      <c r="A365" t="s">
        <v>210</v>
      </c>
      <c r="B365" t="s">
        <v>58</v>
      </c>
      <c r="C365" s="36">
        <v>44784</v>
      </c>
      <c r="D365" t="s">
        <v>355</v>
      </c>
      <c r="E365" s="36">
        <v>45382</v>
      </c>
      <c r="F365" t="s">
        <v>84</v>
      </c>
      <c r="G365" s="36">
        <v>45372</v>
      </c>
      <c r="H365">
        <v>13</v>
      </c>
      <c r="I365" t="s">
        <v>2508</v>
      </c>
      <c r="J365">
        <v>3.2</v>
      </c>
      <c r="K365">
        <v>5.5</v>
      </c>
      <c r="L365">
        <v>3</v>
      </c>
      <c r="M365">
        <v>0.20000000000000018</v>
      </c>
      <c r="N365">
        <v>0.20000000000000018</v>
      </c>
      <c r="O365">
        <v>-2.2999999999999998</v>
      </c>
      <c r="P365">
        <v>2.2999999999999998</v>
      </c>
      <c r="Q365">
        <v>5.2899999999999991</v>
      </c>
      <c r="R365">
        <v>0.10000000000000009</v>
      </c>
      <c r="S365">
        <v>0.10000000000000009</v>
      </c>
      <c r="T365" t="s">
        <v>148</v>
      </c>
      <c r="U365">
        <v>10.7</v>
      </c>
      <c r="V365">
        <v>7.6999999999999993</v>
      </c>
      <c r="W365" t="s">
        <v>2496</v>
      </c>
      <c r="X365" t="s">
        <v>59</v>
      </c>
    </row>
    <row r="366" spans="1:24">
      <c r="A366" t="s">
        <v>210</v>
      </c>
      <c r="B366" t="s">
        <v>60</v>
      </c>
      <c r="C366" s="36">
        <v>44833</v>
      </c>
      <c r="D366" t="s">
        <v>355</v>
      </c>
      <c r="E366" s="36">
        <v>45382</v>
      </c>
      <c r="F366" t="s">
        <v>84</v>
      </c>
      <c r="G366" s="36">
        <v>45372</v>
      </c>
      <c r="H366">
        <v>12</v>
      </c>
      <c r="I366" t="s">
        <v>2509</v>
      </c>
      <c r="J366">
        <v>3.2</v>
      </c>
      <c r="K366">
        <v>5.5</v>
      </c>
      <c r="L366">
        <v>3</v>
      </c>
      <c r="M366">
        <v>0.20000000000000018</v>
      </c>
      <c r="N366">
        <v>0.20000000000000018</v>
      </c>
      <c r="O366">
        <v>-2.2999999999999998</v>
      </c>
      <c r="P366">
        <v>2.2999999999999998</v>
      </c>
      <c r="Q366">
        <v>5.2899999999999991</v>
      </c>
      <c r="R366">
        <v>0</v>
      </c>
      <c r="S366">
        <v>0</v>
      </c>
      <c r="T366" t="s">
        <v>148</v>
      </c>
      <c r="U366">
        <v>10.7</v>
      </c>
      <c r="V366">
        <v>7.6999999999999993</v>
      </c>
      <c r="W366" t="s">
        <v>2496</v>
      </c>
      <c r="X366" t="s">
        <v>61</v>
      </c>
    </row>
    <row r="367" spans="1:24">
      <c r="A367" t="s">
        <v>210</v>
      </c>
      <c r="B367" t="s">
        <v>62</v>
      </c>
      <c r="C367" s="36">
        <v>44875</v>
      </c>
      <c r="D367" t="s">
        <v>355</v>
      </c>
      <c r="E367" s="36">
        <v>45382</v>
      </c>
      <c r="F367" t="s">
        <v>84</v>
      </c>
      <c r="G367" s="36">
        <v>45372</v>
      </c>
      <c r="H367">
        <v>11</v>
      </c>
      <c r="I367" t="s">
        <v>2506</v>
      </c>
      <c r="J367">
        <v>3.3</v>
      </c>
      <c r="K367">
        <v>5.5</v>
      </c>
      <c r="L367">
        <v>3</v>
      </c>
      <c r="M367">
        <v>0.29999999999999982</v>
      </c>
      <c r="N367">
        <v>0.29999999999999982</v>
      </c>
      <c r="O367">
        <v>-2.2000000000000002</v>
      </c>
      <c r="P367">
        <v>2.2000000000000002</v>
      </c>
      <c r="Q367">
        <v>4.8400000000000007</v>
      </c>
      <c r="R367">
        <v>9.9999999999999645E-2</v>
      </c>
      <c r="S367">
        <v>9.9999999999999645E-2</v>
      </c>
      <c r="T367" t="s">
        <v>151</v>
      </c>
      <c r="U367">
        <v>8.6999999999999993</v>
      </c>
      <c r="V367">
        <v>5.6999999999999993</v>
      </c>
      <c r="W367" t="s">
        <v>2496</v>
      </c>
      <c r="X367" t="s">
        <v>63</v>
      </c>
    </row>
    <row r="368" spans="1:24">
      <c r="A368" t="s">
        <v>210</v>
      </c>
      <c r="B368" t="s">
        <v>64</v>
      </c>
      <c r="C368" s="36">
        <v>44910</v>
      </c>
      <c r="D368" t="s">
        <v>355</v>
      </c>
      <c r="E368" s="36">
        <v>45382</v>
      </c>
      <c r="F368" t="s">
        <v>84</v>
      </c>
      <c r="G368" s="36">
        <v>45372</v>
      </c>
      <c r="H368">
        <v>10</v>
      </c>
      <c r="I368" t="s">
        <v>2507</v>
      </c>
      <c r="J368">
        <v>3.3</v>
      </c>
      <c r="K368">
        <v>5.5</v>
      </c>
      <c r="L368">
        <v>3</v>
      </c>
      <c r="M368">
        <v>0.29999999999999982</v>
      </c>
      <c r="N368">
        <v>0.29999999999999982</v>
      </c>
      <c r="O368">
        <v>-2.2000000000000002</v>
      </c>
      <c r="P368">
        <v>2.2000000000000002</v>
      </c>
      <c r="Q368">
        <v>4.8400000000000007</v>
      </c>
      <c r="R368">
        <v>0</v>
      </c>
      <c r="S368">
        <v>0</v>
      </c>
      <c r="T368" t="s">
        <v>151</v>
      </c>
      <c r="U368">
        <v>8.6</v>
      </c>
      <c r="V368">
        <v>5.6</v>
      </c>
      <c r="W368" t="s">
        <v>2496</v>
      </c>
      <c r="X368" t="s">
        <v>65</v>
      </c>
    </row>
    <row r="369" spans="1:24">
      <c r="A369" t="s">
        <v>210</v>
      </c>
      <c r="B369" t="s">
        <v>66</v>
      </c>
      <c r="C369" s="36">
        <v>44966</v>
      </c>
      <c r="D369" t="s">
        <v>355</v>
      </c>
      <c r="E369" s="36">
        <v>45382</v>
      </c>
      <c r="F369" t="s">
        <v>84</v>
      </c>
      <c r="G369" s="36">
        <v>45372</v>
      </c>
      <c r="H369">
        <v>9</v>
      </c>
      <c r="I369" t="s">
        <v>2504</v>
      </c>
      <c r="J369">
        <v>3.2</v>
      </c>
      <c r="K369">
        <v>5.5</v>
      </c>
      <c r="L369">
        <v>3</v>
      </c>
      <c r="M369">
        <v>0.20000000000000018</v>
      </c>
      <c r="N369">
        <v>0.20000000000000018</v>
      </c>
      <c r="O369">
        <v>-2.2999999999999998</v>
      </c>
      <c r="P369">
        <v>2.2999999999999998</v>
      </c>
      <c r="Q369">
        <v>5.2899999999999991</v>
      </c>
      <c r="R369">
        <v>-9.9999999999999645E-2</v>
      </c>
      <c r="S369">
        <v>9.9999999999999645E-2</v>
      </c>
      <c r="T369" t="s">
        <v>154</v>
      </c>
      <c r="U369">
        <v>6.4</v>
      </c>
      <c r="V369">
        <v>3.4000000000000004</v>
      </c>
      <c r="W369" t="s">
        <v>2496</v>
      </c>
      <c r="X369" t="s">
        <v>67</v>
      </c>
    </row>
    <row r="370" spans="1:24">
      <c r="A370" t="s">
        <v>210</v>
      </c>
      <c r="B370" t="s">
        <v>68</v>
      </c>
      <c r="C370" s="36">
        <v>45015</v>
      </c>
      <c r="D370" t="s">
        <v>355</v>
      </c>
      <c r="E370" s="36">
        <v>45382</v>
      </c>
      <c r="F370" t="s">
        <v>84</v>
      </c>
      <c r="G370" s="36">
        <v>45372</v>
      </c>
      <c r="H370">
        <v>8</v>
      </c>
      <c r="I370" t="s">
        <v>2505</v>
      </c>
      <c r="J370">
        <v>3.3</v>
      </c>
      <c r="K370">
        <v>5.5</v>
      </c>
      <c r="L370">
        <v>3</v>
      </c>
      <c r="M370">
        <v>0.29999999999999982</v>
      </c>
      <c r="N370">
        <v>0.29999999999999982</v>
      </c>
      <c r="O370">
        <v>-2.2000000000000002</v>
      </c>
      <c r="P370">
        <v>2.2000000000000002</v>
      </c>
      <c r="Q370">
        <v>4.8400000000000007</v>
      </c>
      <c r="R370">
        <v>9.9999999999999645E-2</v>
      </c>
      <c r="S370">
        <v>9.9999999999999645E-2</v>
      </c>
      <c r="T370" t="s">
        <v>154</v>
      </c>
      <c r="U370">
        <v>6.2</v>
      </c>
      <c r="V370">
        <v>3.2</v>
      </c>
      <c r="W370" t="s">
        <v>2496</v>
      </c>
      <c r="X370" t="s">
        <v>69</v>
      </c>
    </row>
    <row r="371" spans="1:24">
      <c r="A371" t="s">
        <v>210</v>
      </c>
      <c r="B371" t="s">
        <v>70</v>
      </c>
      <c r="C371" s="36">
        <v>45064</v>
      </c>
      <c r="D371" t="s">
        <v>355</v>
      </c>
      <c r="E371" s="36">
        <v>45382</v>
      </c>
      <c r="F371" t="s">
        <v>84</v>
      </c>
      <c r="G371" s="36">
        <v>45372</v>
      </c>
      <c r="H371">
        <v>7</v>
      </c>
      <c r="I371" t="s">
        <v>2502</v>
      </c>
      <c r="J371">
        <v>3.3</v>
      </c>
      <c r="K371">
        <v>5.5</v>
      </c>
      <c r="L371">
        <v>3</v>
      </c>
      <c r="M371">
        <v>0.29999999999999982</v>
      </c>
      <c r="N371">
        <v>0.29999999999999982</v>
      </c>
      <c r="O371">
        <v>-2.2000000000000002</v>
      </c>
      <c r="P371">
        <v>2.2000000000000002</v>
      </c>
      <c r="Q371">
        <v>4.8400000000000007</v>
      </c>
      <c r="R371">
        <v>0</v>
      </c>
      <c r="S371">
        <v>0</v>
      </c>
      <c r="T371" t="s">
        <v>157</v>
      </c>
      <c r="U371">
        <v>5.4</v>
      </c>
      <c r="V371">
        <v>2.4000000000000004</v>
      </c>
      <c r="W371" t="s">
        <v>2496</v>
      </c>
      <c r="X371" t="s">
        <v>71</v>
      </c>
    </row>
    <row r="372" spans="1:24">
      <c r="A372" t="s">
        <v>210</v>
      </c>
      <c r="B372" t="s">
        <v>72</v>
      </c>
      <c r="C372" s="36">
        <v>45099</v>
      </c>
      <c r="D372" t="s">
        <v>355</v>
      </c>
      <c r="E372" s="36">
        <v>45382</v>
      </c>
      <c r="F372" t="s">
        <v>84</v>
      </c>
      <c r="G372" s="36">
        <v>45372</v>
      </c>
      <c r="H372">
        <v>6</v>
      </c>
      <c r="I372" t="s">
        <v>2503</v>
      </c>
      <c r="J372">
        <v>3</v>
      </c>
      <c r="K372">
        <v>5.5</v>
      </c>
      <c r="L372">
        <v>3</v>
      </c>
      <c r="M372">
        <v>0</v>
      </c>
      <c r="N372">
        <v>0</v>
      </c>
      <c r="O372">
        <v>-2.5</v>
      </c>
      <c r="P372">
        <v>2.5</v>
      </c>
      <c r="Q372">
        <v>6.25</v>
      </c>
      <c r="R372">
        <v>-0.29999999999999982</v>
      </c>
      <c r="S372">
        <v>0.29999999999999982</v>
      </c>
      <c r="T372" t="s">
        <v>157</v>
      </c>
      <c r="U372">
        <v>5.0999999999999996</v>
      </c>
      <c r="V372">
        <v>2.0999999999999996</v>
      </c>
      <c r="W372" t="s">
        <v>2496</v>
      </c>
      <c r="X372" t="s">
        <v>73</v>
      </c>
    </row>
    <row r="373" spans="1:24">
      <c r="A373" t="s">
        <v>210</v>
      </c>
      <c r="B373" t="s">
        <v>74</v>
      </c>
      <c r="C373" s="36">
        <v>45148</v>
      </c>
      <c r="D373" t="s">
        <v>355</v>
      </c>
      <c r="E373" s="36">
        <v>45382</v>
      </c>
      <c r="F373" t="s">
        <v>84</v>
      </c>
      <c r="G373" s="36">
        <v>45372</v>
      </c>
      <c r="H373">
        <v>5</v>
      </c>
      <c r="I373" t="s">
        <v>2500</v>
      </c>
      <c r="J373">
        <v>3.1</v>
      </c>
      <c r="K373">
        <v>5.5</v>
      </c>
      <c r="L373">
        <v>3</v>
      </c>
      <c r="M373">
        <v>0.10000000000000009</v>
      </c>
      <c r="N373">
        <v>0.10000000000000009</v>
      </c>
      <c r="O373">
        <v>-2.4</v>
      </c>
      <c r="P373">
        <v>2.4</v>
      </c>
      <c r="Q373">
        <v>5.76</v>
      </c>
      <c r="R373">
        <v>0.10000000000000009</v>
      </c>
      <c r="S373">
        <v>0.10000000000000009</v>
      </c>
      <c r="T373" t="s">
        <v>160</v>
      </c>
      <c r="U373">
        <v>3.9</v>
      </c>
      <c r="V373">
        <v>0.89999999999999991</v>
      </c>
      <c r="W373" t="s">
        <v>2496</v>
      </c>
      <c r="X373" t="s">
        <v>75</v>
      </c>
    </row>
    <row r="374" spans="1:24">
      <c r="A374" t="s">
        <v>210</v>
      </c>
      <c r="B374" t="s">
        <v>76</v>
      </c>
      <c r="C374" s="36">
        <v>45197</v>
      </c>
      <c r="D374" t="s">
        <v>355</v>
      </c>
      <c r="E374" s="36">
        <v>45382</v>
      </c>
      <c r="F374" t="s">
        <v>84</v>
      </c>
      <c r="G374" s="36">
        <v>45372</v>
      </c>
      <c r="H374">
        <v>4</v>
      </c>
      <c r="I374" t="s">
        <v>2501</v>
      </c>
      <c r="J374">
        <v>3.6</v>
      </c>
      <c r="K374">
        <v>5.5</v>
      </c>
      <c r="L374">
        <v>3</v>
      </c>
      <c r="M374">
        <v>0.60000000000000009</v>
      </c>
      <c r="N374">
        <v>0.60000000000000009</v>
      </c>
      <c r="O374">
        <v>-1.9</v>
      </c>
      <c r="P374">
        <v>1.9</v>
      </c>
      <c r="Q374">
        <v>3.61</v>
      </c>
      <c r="R374">
        <v>0.5</v>
      </c>
      <c r="S374">
        <v>0.5</v>
      </c>
      <c r="T374" t="s">
        <v>160</v>
      </c>
      <c r="U374">
        <v>4</v>
      </c>
      <c r="V374">
        <v>1</v>
      </c>
      <c r="W374" t="s">
        <v>2496</v>
      </c>
      <c r="X374" t="s">
        <v>77</v>
      </c>
    </row>
    <row r="375" spans="1:24">
      <c r="A375" t="s">
        <v>210</v>
      </c>
      <c r="B375" t="s">
        <v>78</v>
      </c>
      <c r="C375" s="36">
        <v>45239</v>
      </c>
      <c r="D375" t="s">
        <v>355</v>
      </c>
      <c r="E375" s="36">
        <v>45382</v>
      </c>
      <c r="F375" t="s">
        <v>84</v>
      </c>
      <c r="G375" s="36">
        <v>45372</v>
      </c>
      <c r="H375">
        <v>3</v>
      </c>
      <c r="I375" t="s">
        <v>2498</v>
      </c>
      <c r="J375">
        <v>4</v>
      </c>
      <c r="K375">
        <v>5.5</v>
      </c>
      <c r="L375">
        <v>3</v>
      </c>
      <c r="M375">
        <v>1</v>
      </c>
      <c r="N375">
        <v>1</v>
      </c>
      <c r="O375">
        <v>-1.5</v>
      </c>
      <c r="P375">
        <v>1.5</v>
      </c>
      <c r="Q375">
        <v>2.25</v>
      </c>
      <c r="R375">
        <v>0.39999999999999991</v>
      </c>
      <c r="S375">
        <v>0.39999999999999991</v>
      </c>
      <c r="T375" t="s">
        <v>183</v>
      </c>
      <c r="U375">
        <v>4.4000000000000004</v>
      </c>
      <c r="V375">
        <v>1.4000000000000004</v>
      </c>
      <c r="W375" t="s">
        <v>2496</v>
      </c>
      <c r="X375" t="s">
        <v>79</v>
      </c>
    </row>
    <row r="376" spans="1:24">
      <c r="A376" t="s">
        <v>210</v>
      </c>
      <c r="B376" t="s">
        <v>80</v>
      </c>
      <c r="C376" s="36">
        <v>45274</v>
      </c>
      <c r="D376" t="s">
        <v>355</v>
      </c>
      <c r="E376" s="36">
        <v>45382</v>
      </c>
      <c r="F376" t="s">
        <v>84</v>
      </c>
      <c r="G376" s="36">
        <v>45372</v>
      </c>
      <c r="H376">
        <v>2</v>
      </c>
      <c r="I376" t="s">
        <v>2499</v>
      </c>
      <c r="J376">
        <v>4.3</v>
      </c>
      <c r="K376">
        <v>5.5</v>
      </c>
      <c r="L376">
        <v>3</v>
      </c>
      <c r="M376">
        <v>1.2999999999999998</v>
      </c>
      <c r="N376">
        <v>1.2999999999999998</v>
      </c>
      <c r="O376">
        <v>-1.2000000000000002</v>
      </c>
      <c r="P376">
        <v>1.2000000000000002</v>
      </c>
      <c r="Q376">
        <v>1.4400000000000004</v>
      </c>
      <c r="R376">
        <v>0.29999999999999982</v>
      </c>
      <c r="S376">
        <v>0.29999999999999982</v>
      </c>
      <c r="T376" t="s">
        <v>183</v>
      </c>
      <c r="U376">
        <v>4.4000000000000004</v>
      </c>
      <c r="V376">
        <v>1.4000000000000004</v>
      </c>
      <c r="W376" t="s">
        <v>2496</v>
      </c>
      <c r="X376" t="s">
        <v>81</v>
      </c>
    </row>
    <row r="377" spans="1:24">
      <c r="A377" t="s">
        <v>210</v>
      </c>
      <c r="B377" t="s">
        <v>82</v>
      </c>
      <c r="C377" s="36">
        <v>45330</v>
      </c>
      <c r="D377" t="s">
        <v>355</v>
      </c>
      <c r="E377" s="36">
        <v>45382</v>
      </c>
      <c r="F377" t="s">
        <v>84</v>
      </c>
      <c r="G377" s="36">
        <v>45372</v>
      </c>
      <c r="H377">
        <v>1</v>
      </c>
      <c r="I377" t="s">
        <v>2495</v>
      </c>
      <c r="J377">
        <v>5</v>
      </c>
      <c r="K377">
        <v>5.5</v>
      </c>
      <c r="L377">
        <v>3</v>
      </c>
      <c r="M377">
        <v>2</v>
      </c>
      <c r="N377">
        <v>2</v>
      </c>
      <c r="O377">
        <v>-0.5</v>
      </c>
      <c r="P377">
        <v>0.5</v>
      </c>
      <c r="Q377">
        <v>0.25</v>
      </c>
      <c r="R377">
        <v>0.70000000000000018</v>
      </c>
      <c r="S377">
        <v>0.70000000000000018</v>
      </c>
      <c r="T377" t="s">
        <v>254</v>
      </c>
      <c r="U377">
        <v>5.2</v>
      </c>
      <c r="V377">
        <v>2.2000000000000002</v>
      </c>
      <c r="W377" t="s">
        <v>2496</v>
      </c>
      <c r="X377" t="s">
        <v>83</v>
      </c>
    </row>
    <row r="378" spans="1:24">
      <c r="A378" t="s">
        <v>210</v>
      </c>
      <c r="B378" t="s">
        <v>84</v>
      </c>
      <c r="C378" s="36">
        <v>45372</v>
      </c>
      <c r="D378" t="s">
        <v>355</v>
      </c>
      <c r="E378" s="36">
        <v>45382</v>
      </c>
      <c r="F378" t="s">
        <v>84</v>
      </c>
      <c r="G378" s="36">
        <v>45372</v>
      </c>
      <c r="H378">
        <v>0</v>
      </c>
      <c r="I378" t="s">
        <v>2497</v>
      </c>
      <c r="J378">
        <v>4.9000000000000004</v>
      </c>
      <c r="K378">
        <v>5.5</v>
      </c>
      <c r="L378">
        <v>3</v>
      </c>
      <c r="M378">
        <v>1.9000000000000004</v>
      </c>
      <c r="N378">
        <v>1.9000000000000004</v>
      </c>
      <c r="O378">
        <v>-0.59999999999999964</v>
      </c>
      <c r="P378">
        <v>0.59999999999999964</v>
      </c>
      <c r="Q378">
        <v>0.3599999999999996</v>
      </c>
      <c r="R378">
        <v>-9.9999999999999645E-2</v>
      </c>
      <c r="S378">
        <v>9.9999999999999645E-2</v>
      </c>
      <c r="T378" t="s">
        <v>254</v>
      </c>
      <c r="U378">
        <v>5.2</v>
      </c>
      <c r="V378">
        <v>2.2000000000000002</v>
      </c>
      <c r="W378" t="s">
        <v>2496</v>
      </c>
      <c r="X378" t="s">
        <v>85</v>
      </c>
    </row>
    <row r="379" spans="1:24">
      <c r="A379" t="s">
        <v>210</v>
      </c>
      <c r="B379" t="s">
        <v>56</v>
      </c>
      <c r="C379" s="36">
        <v>44735</v>
      </c>
      <c r="D379" t="s">
        <v>460</v>
      </c>
      <c r="E379" s="36">
        <v>45473</v>
      </c>
      <c r="F379" t="s">
        <v>88</v>
      </c>
      <c r="G379" s="36">
        <v>45470</v>
      </c>
      <c r="H379">
        <v>16</v>
      </c>
      <c r="I379" t="s">
        <v>2512</v>
      </c>
      <c r="J379">
        <v>2.2999999999999998</v>
      </c>
      <c r="K379">
        <v>3.9</v>
      </c>
      <c r="L379">
        <v>3</v>
      </c>
      <c r="M379">
        <v>-0.70000000000000018</v>
      </c>
      <c r="N379">
        <v>0.70000000000000018</v>
      </c>
      <c r="O379">
        <v>-1.6</v>
      </c>
      <c r="P379">
        <v>1.6</v>
      </c>
      <c r="Q379">
        <v>2.5600000000000005</v>
      </c>
      <c r="T379" t="s">
        <v>145</v>
      </c>
      <c r="U379">
        <v>7.4</v>
      </c>
      <c r="V379">
        <v>4.4000000000000004</v>
      </c>
      <c r="W379" t="s">
        <v>2513</v>
      </c>
      <c r="X379" t="s">
        <v>57</v>
      </c>
    </row>
    <row r="380" spans="1:24">
      <c r="A380" t="s">
        <v>210</v>
      </c>
      <c r="B380" t="s">
        <v>58</v>
      </c>
      <c r="C380" s="36">
        <v>44784</v>
      </c>
      <c r="D380" t="s">
        <v>460</v>
      </c>
      <c r="E380" s="36">
        <v>45473</v>
      </c>
      <c r="F380" t="s">
        <v>88</v>
      </c>
      <c r="G380" s="36">
        <v>45470</v>
      </c>
      <c r="H380">
        <v>15</v>
      </c>
      <c r="I380" t="s">
        <v>2510</v>
      </c>
      <c r="J380">
        <v>2.2999999999999998</v>
      </c>
      <c r="K380">
        <v>3.9</v>
      </c>
      <c r="L380">
        <v>3</v>
      </c>
      <c r="M380">
        <v>-0.70000000000000018</v>
      </c>
      <c r="N380">
        <v>0.70000000000000018</v>
      </c>
      <c r="O380">
        <v>-1.6</v>
      </c>
      <c r="P380">
        <v>1.6</v>
      </c>
      <c r="Q380">
        <v>2.5600000000000005</v>
      </c>
      <c r="R380">
        <v>0</v>
      </c>
      <c r="S380">
        <v>0</v>
      </c>
      <c r="T380" t="s">
        <v>148</v>
      </c>
      <c r="U380">
        <v>10.7</v>
      </c>
      <c r="V380">
        <v>7.6999999999999993</v>
      </c>
      <c r="W380" t="s">
        <v>2513</v>
      </c>
      <c r="X380" t="s">
        <v>59</v>
      </c>
    </row>
    <row r="381" spans="1:24">
      <c r="A381" t="s">
        <v>210</v>
      </c>
      <c r="B381" t="s">
        <v>60</v>
      </c>
      <c r="C381" s="36">
        <v>44833</v>
      </c>
      <c r="D381" t="s">
        <v>460</v>
      </c>
      <c r="E381" s="36">
        <v>45473</v>
      </c>
      <c r="F381" t="s">
        <v>88</v>
      </c>
      <c r="G381" s="36">
        <v>45470</v>
      </c>
      <c r="H381">
        <v>14</v>
      </c>
      <c r="I381" t="s">
        <v>2511</v>
      </c>
      <c r="J381">
        <v>2.2999999999999998</v>
      </c>
      <c r="K381">
        <v>3.9</v>
      </c>
      <c r="L381">
        <v>3</v>
      </c>
      <c r="M381">
        <v>-0.70000000000000018</v>
      </c>
      <c r="N381">
        <v>0.70000000000000018</v>
      </c>
      <c r="O381">
        <v>-1.6</v>
      </c>
      <c r="P381">
        <v>1.6</v>
      </c>
      <c r="Q381">
        <v>2.5600000000000005</v>
      </c>
      <c r="R381">
        <v>0</v>
      </c>
      <c r="S381">
        <v>0</v>
      </c>
      <c r="T381" t="s">
        <v>148</v>
      </c>
      <c r="U381">
        <v>10.7</v>
      </c>
      <c r="V381">
        <v>7.6999999999999993</v>
      </c>
      <c r="W381" t="s">
        <v>2513</v>
      </c>
      <c r="X381" t="s">
        <v>61</v>
      </c>
    </row>
    <row r="382" spans="1:24">
      <c r="A382" t="s">
        <v>210</v>
      </c>
      <c r="B382" t="s">
        <v>62</v>
      </c>
      <c r="C382" s="36">
        <v>44875</v>
      </c>
      <c r="D382" t="s">
        <v>460</v>
      </c>
      <c r="E382" s="36">
        <v>45473</v>
      </c>
      <c r="F382" t="s">
        <v>88</v>
      </c>
      <c r="G382" s="36">
        <v>45470</v>
      </c>
      <c r="H382">
        <v>13</v>
      </c>
      <c r="I382" t="s">
        <v>2508</v>
      </c>
      <c r="J382">
        <v>2.2000000000000002</v>
      </c>
      <c r="K382">
        <v>3.9</v>
      </c>
      <c r="L382">
        <v>3</v>
      </c>
      <c r="M382">
        <v>-0.79999999999999982</v>
      </c>
      <c r="N382">
        <v>0.79999999999999982</v>
      </c>
      <c r="O382">
        <v>-1.6999999999999997</v>
      </c>
      <c r="P382">
        <v>1.6999999999999997</v>
      </c>
      <c r="Q382">
        <v>2.8899999999999992</v>
      </c>
      <c r="R382">
        <v>-9.9999999999999645E-2</v>
      </c>
      <c r="S382">
        <v>9.9999999999999645E-2</v>
      </c>
      <c r="T382" t="s">
        <v>151</v>
      </c>
      <c r="U382">
        <v>8.6999999999999993</v>
      </c>
      <c r="V382">
        <v>5.6999999999999993</v>
      </c>
      <c r="W382" t="s">
        <v>2513</v>
      </c>
      <c r="X382" t="s">
        <v>63</v>
      </c>
    </row>
    <row r="383" spans="1:24">
      <c r="A383" t="s">
        <v>210</v>
      </c>
      <c r="B383" t="s">
        <v>64</v>
      </c>
      <c r="C383" s="36">
        <v>44910</v>
      </c>
      <c r="D383" t="s">
        <v>460</v>
      </c>
      <c r="E383" s="36">
        <v>45473</v>
      </c>
      <c r="F383" t="s">
        <v>88</v>
      </c>
      <c r="G383" s="36">
        <v>45470</v>
      </c>
      <c r="H383">
        <v>12</v>
      </c>
      <c r="I383" t="s">
        <v>2509</v>
      </c>
      <c r="J383">
        <v>2.4</v>
      </c>
      <c r="K383">
        <v>3.9</v>
      </c>
      <c r="L383">
        <v>3</v>
      </c>
      <c r="M383">
        <v>-0.60000000000000009</v>
      </c>
      <c r="N383">
        <v>0.60000000000000009</v>
      </c>
      <c r="O383">
        <v>-1.5</v>
      </c>
      <c r="P383">
        <v>1.5</v>
      </c>
      <c r="Q383">
        <v>2.25</v>
      </c>
      <c r="R383">
        <v>0.19999999999999973</v>
      </c>
      <c r="S383">
        <v>0.19999999999999973</v>
      </c>
      <c r="T383" t="s">
        <v>151</v>
      </c>
      <c r="U383">
        <v>8.6</v>
      </c>
      <c r="V383">
        <v>5.6</v>
      </c>
      <c r="W383" t="s">
        <v>2513</v>
      </c>
      <c r="X383" t="s">
        <v>65</v>
      </c>
    </row>
    <row r="384" spans="1:24">
      <c r="A384" t="s">
        <v>210</v>
      </c>
      <c r="B384" t="s">
        <v>66</v>
      </c>
      <c r="C384" s="36">
        <v>44966</v>
      </c>
      <c r="D384" t="s">
        <v>460</v>
      </c>
      <c r="E384" s="36">
        <v>45473</v>
      </c>
      <c r="F384" t="s">
        <v>88</v>
      </c>
      <c r="G384" s="36">
        <v>45470</v>
      </c>
      <c r="H384">
        <v>11</v>
      </c>
      <c r="I384" t="s">
        <v>2506</v>
      </c>
      <c r="J384">
        <v>2.7</v>
      </c>
      <c r="K384">
        <v>3.9</v>
      </c>
      <c r="L384">
        <v>3</v>
      </c>
      <c r="M384">
        <v>-0.29999999999999982</v>
      </c>
      <c r="N384">
        <v>0.29999999999999982</v>
      </c>
      <c r="O384">
        <v>-1.1999999999999997</v>
      </c>
      <c r="P384">
        <v>1.1999999999999997</v>
      </c>
      <c r="Q384">
        <v>1.4399999999999993</v>
      </c>
      <c r="R384">
        <v>0.30000000000000027</v>
      </c>
      <c r="S384">
        <v>0.30000000000000027</v>
      </c>
      <c r="T384" t="s">
        <v>154</v>
      </c>
      <c r="U384">
        <v>6.4</v>
      </c>
      <c r="V384">
        <v>3.4000000000000004</v>
      </c>
      <c r="W384" t="s">
        <v>2513</v>
      </c>
      <c r="X384" t="s">
        <v>67</v>
      </c>
    </row>
    <row r="385" spans="1:24">
      <c r="A385" t="s">
        <v>210</v>
      </c>
      <c r="B385" t="s">
        <v>68</v>
      </c>
      <c r="C385" s="36">
        <v>45015</v>
      </c>
      <c r="D385" t="s">
        <v>460</v>
      </c>
      <c r="E385" s="36">
        <v>45473</v>
      </c>
      <c r="F385" t="s">
        <v>88</v>
      </c>
      <c r="G385" s="36">
        <v>45470</v>
      </c>
      <c r="H385">
        <v>10</v>
      </c>
      <c r="I385" t="s">
        <v>2507</v>
      </c>
      <c r="J385">
        <v>2.8</v>
      </c>
      <c r="K385">
        <v>3.9</v>
      </c>
      <c r="L385">
        <v>3</v>
      </c>
      <c r="M385">
        <v>-0.20000000000000018</v>
      </c>
      <c r="N385">
        <v>0.20000000000000018</v>
      </c>
      <c r="O385">
        <v>-1.1000000000000001</v>
      </c>
      <c r="P385">
        <v>1.1000000000000001</v>
      </c>
      <c r="Q385">
        <v>1.2100000000000002</v>
      </c>
      <c r="R385">
        <v>9.9999999999999645E-2</v>
      </c>
      <c r="S385">
        <v>9.9999999999999645E-2</v>
      </c>
      <c r="T385" t="s">
        <v>154</v>
      </c>
      <c r="U385">
        <v>6.2</v>
      </c>
      <c r="V385">
        <v>3.2</v>
      </c>
      <c r="W385" t="s">
        <v>2513</v>
      </c>
      <c r="X385" t="s">
        <v>69</v>
      </c>
    </row>
    <row r="386" spans="1:24">
      <c r="A386" t="s">
        <v>210</v>
      </c>
      <c r="B386" t="s">
        <v>70</v>
      </c>
      <c r="C386" s="36">
        <v>45064</v>
      </c>
      <c r="D386" t="s">
        <v>460</v>
      </c>
      <c r="E386" s="36">
        <v>45473</v>
      </c>
      <c r="F386" t="s">
        <v>88</v>
      </c>
      <c r="G386" s="36">
        <v>45470</v>
      </c>
      <c r="H386">
        <v>9</v>
      </c>
      <c r="I386" t="s">
        <v>2504</v>
      </c>
      <c r="J386">
        <v>2.6</v>
      </c>
      <c r="K386">
        <v>3.9</v>
      </c>
      <c r="L386">
        <v>3</v>
      </c>
      <c r="M386">
        <v>-0.39999999999999991</v>
      </c>
      <c r="N386">
        <v>0.39999999999999991</v>
      </c>
      <c r="O386">
        <v>-1.2999999999999998</v>
      </c>
      <c r="P386">
        <v>1.2999999999999998</v>
      </c>
      <c r="Q386">
        <v>1.6899999999999995</v>
      </c>
      <c r="R386">
        <v>-0.19999999999999973</v>
      </c>
      <c r="S386">
        <v>0.19999999999999973</v>
      </c>
      <c r="T386" t="s">
        <v>157</v>
      </c>
      <c r="U386">
        <v>5.4</v>
      </c>
      <c r="V386">
        <v>2.4000000000000004</v>
      </c>
      <c r="W386" t="s">
        <v>2513</v>
      </c>
      <c r="X386" t="s">
        <v>71</v>
      </c>
    </row>
    <row r="387" spans="1:24">
      <c r="A387" t="s">
        <v>210</v>
      </c>
      <c r="B387" t="s">
        <v>72</v>
      </c>
      <c r="C387" s="36">
        <v>45099</v>
      </c>
      <c r="D387" t="s">
        <v>460</v>
      </c>
      <c r="E387" s="36">
        <v>45473</v>
      </c>
      <c r="F387" t="s">
        <v>88</v>
      </c>
      <c r="G387" s="36">
        <v>45470</v>
      </c>
      <c r="H387">
        <v>8</v>
      </c>
      <c r="I387" t="s">
        <v>2505</v>
      </c>
      <c r="J387">
        <v>2.8</v>
      </c>
      <c r="K387">
        <v>3.9</v>
      </c>
      <c r="L387">
        <v>3</v>
      </c>
      <c r="M387">
        <v>-0.20000000000000018</v>
      </c>
      <c r="N387">
        <v>0.20000000000000018</v>
      </c>
      <c r="O387">
        <v>-1.1000000000000001</v>
      </c>
      <c r="P387">
        <v>1.1000000000000001</v>
      </c>
      <c r="Q387">
        <v>1.2100000000000002</v>
      </c>
      <c r="R387">
        <v>0.19999999999999973</v>
      </c>
      <c r="S387">
        <v>0.19999999999999973</v>
      </c>
      <c r="T387" t="s">
        <v>157</v>
      </c>
      <c r="U387">
        <v>5.0999999999999996</v>
      </c>
      <c r="V387">
        <v>2.0999999999999996</v>
      </c>
      <c r="W387" t="s">
        <v>2513</v>
      </c>
      <c r="X387" t="s">
        <v>73</v>
      </c>
    </row>
    <row r="388" spans="1:24">
      <c r="A388" t="s">
        <v>210</v>
      </c>
      <c r="B388" t="s">
        <v>74</v>
      </c>
      <c r="C388" s="36">
        <v>45148</v>
      </c>
      <c r="D388" t="s">
        <v>460</v>
      </c>
      <c r="E388" s="36">
        <v>45473</v>
      </c>
      <c r="F388" t="s">
        <v>88</v>
      </c>
      <c r="G388" s="36">
        <v>45470</v>
      </c>
      <c r="H388">
        <v>7</v>
      </c>
      <c r="I388" t="s">
        <v>2502</v>
      </c>
      <c r="J388">
        <v>2.7</v>
      </c>
      <c r="K388">
        <v>3.9</v>
      </c>
      <c r="L388">
        <v>3</v>
      </c>
      <c r="M388">
        <v>-0.29999999999999982</v>
      </c>
      <c r="N388">
        <v>0.29999999999999982</v>
      </c>
      <c r="O388">
        <v>-1.1999999999999997</v>
      </c>
      <c r="P388">
        <v>1.1999999999999997</v>
      </c>
      <c r="Q388">
        <v>1.4399999999999993</v>
      </c>
      <c r="R388">
        <v>-9.9999999999999645E-2</v>
      </c>
      <c r="S388">
        <v>9.9999999999999645E-2</v>
      </c>
      <c r="T388" t="s">
        <v>160</v>
      </c>
      <c r="U388">
        <v>3.9</v>
      </c>
      <c r="V388">
        <v>0.89999999999999991</v>
      </c>
      <c r="W388" t="s">
        <v>2513</v>
      </c>
      <c r="X388" t="s">
        <v>75</v>
      </c>
    </row>
    <row r="389" spans="1:24">
      <c r="A389" t="s">
        <v>210</v>
      </c>
      <c r="B389" t="s">
        <v>76</v>
      </c>
      <c r="C389" s="36">
        <v>45197</v>
      </c>
      <c r="D389" t="s">
        <v>460</v>
      </c>
      <c r="E389" s="36">
        <v>45473</v>
      </c>
      <c r="F389" t="s">
        <v>88</v>
      </c>
      <c r="G389" s="36">
        <v>45470</v>
      </c>
      <c r="H389">
        <v>6</v>
      </c>
      <c r="I389" t="s">
        <v>2503</v>
      </c>
      <c r="J389">
        <v>2.9</v>
      </c>
      <c r="K389">
        <v>3.9</v>
      </c>
      <c r="L389">
        <v>3</v>
      </c>
      <c r="M389">
        <v>-0.10000000000000009</v>
      </c>
      <c r="N389">
        <v>0.10000000000000009</v>
      </c>
      <c r="O389">
        <v>-1</v>
      </c>
      <c r="P389">
        <v>1</v>
      </c>
      <c r="Q389">
        <v>1</v>
      </c>
      <c r="R389">
        <v>0.19999999999999973</v>
      </c>
      <c r="S389">
        <v>0.19999999999999973</v>
      </c>
      <c r="T389" t="s">
        <v>160</v>
      </c>
      <c r="U389">
        <v>4</v>
      </c>
      <c r="V389">
        <v>1</v>
      </c>
      <c r="W389" t="s">
        <v>2513</v>
      </c>
      <c r="X389" t="s">
        <v>77</v>
      </c>
    </row>
    <row r="390" spans="1:24">
      <c r="A390" t="s">
        <v>210</v>
      </c>
      <c r="B390" t="s">
        <v>78</v>
      </c>
      <c r="C390" s="36">
        <v>45239</v>
      </c>
      <c r="D390" t="s">
        <v>460</v>
      </c>
      <c r="E390" s="36">
        <v>45473</v>
      </c>
      <c r="F390" t="s">
        <v>88</v>
      </c>
      <c r="G390" s="36">
        <v>45470</v>
      </c>
      <c r="H390">
        <v>5</v>
      </c>
      <c r="I390" t="s">
        <v>2500</v>
      </c>
      <c r="J390">
        <v>3</v>
      </c>
      <c r="K390">
        <v>3.9</v>
      </c>
      <c r="L390">
        <v>3</v>
      </c>
      <c r="M390">
        <v>0</v>
      </c>
      <c r="N390">
        <v>0</v>
      </c>
      <c r="O390">
        <v>-0.89999999999999991</v>
      </c>
      <c r="P390">
        <v>0.89999999999999991</v>
      </c>
      <c r="Q390">
        <v>0.80999999999999983</v>
      </c>
      <c r="R390">
        <v>0.10000000000000009</v>
      </c>
      <c r="S390">
        <v>0.10000000000000009</v>
      </c>
      <c r="T390" t="s">
        <v>183</v>
      </c>
      <c r="U390">
        <v>4.4000000000000004</v>
      </c>
      <c r="V390">
        <v>1.4000000000000004</v>
      </c>
      <c r="W390" t="s">
        <v>2513</v>
      </c>
      <c r="X390" t="s">
        <v>79</v>
      </c>
    </row>
    <row r="391" spans="1:24">
      <c r="A391" t="s">
        <v>210</v>
      </c>
      <c r="B391" t="s">
        <v>80</v>
      </c>
      <c r="C391" s="36">
        <v>45274</v>
      </c>
      <c r="D391" t="s">
        <v>460</v>
      </c>
      <c r="E391" s="36">
        <v>45473</v>
      </c>
      <c r="F391" t="s">
        <v>88</v>
      </c>
      <c r="G391" s="36">
        <v>45470</v>
      </c>
      <c r="H391">
        <v>4</v>
      </c>
      <c r="I391" t="s">
        <v>2501</v>
      </c>
      <c r="J391">
        <v>3.1</v>
      </c>
      <c r="K391">
        <v>3.9</v>
      </c>
      <c r="L391">
        <v>3</v>
      </c>
      <c r="M391">
        <v>0.10000000000000009</v>
      </c>
      <c r="N391">
        <v>0.10000000000000009</v>
      </c>
      <c r="O391">
        <v>-0.79999999999999982</v>
      </c>
      <c r="P391">
        <v>0.79999999999999982</v>
      </c>
      <c r="Q391">
        <v>0.63999999999999968</v>
      </c>
      <c r="R391">
        <v>0.10000000000000009</v>
      </c>
      <c r="S391">
        <v>0.10000000000000009</v>
      </c>
      <c r="T391" t="s">
        <v>183</v>
      </c>
      <c r="U391">
        <v>4.4000000000000004</v>
      </c>
      <c r="V391">
        <v>1.4000000000000004</v>
      </c>
      <c r="W391" t="s">
        <v>2513</v>
      </c>
      <c r="X391" t="s">
        <v>81</v>
      </c>
    </row>
    <row r="392" spans="1:24">
      <c r="A392" t="s">
        <v>210</v>
      </c>
      <c r="B392" t="s">
        <v>82</v>
      </c>
      <c r="C392" s="36">
        <v>45330</v>
      </c>
      <c r="D392" t="s">
        <v>460</v>
      </c>
      <c r="E392" s="36">
        <v>45473</v>
      </c>
      <c r="F392" t="s">
        <v>88</v>
      </c>
      <c r="G392" s="36">
        <v>45470</v>
      </c>
      <c r="H392">
        <v>3</v>
      </c>
      <c r="I392" t="s">
        <v>2498</v>
      </c>
      <c r="J392">
        <v>2.8</v>
      </c>
      <c r="K392">
        <v>3.9</v>
      </c>
      <c r="L392">
        <v>3</v>
      </c>
      <c r="M392">
        <v>-0.20000000000000018</v>
      </c>
      <c r="N392">
        <v>0.20000000000000018</v>
      </c>
      <c r="O392">
        <v>-1.1000000000000001</v>
      </c>
      <c r="P392">
        <v>1.1000000000000001</v>
      </c>
      <c r="Q392">
        <v>1.2100000000000002</v>
      </c>
      <c r="R392">
        <v>-0.30000000000000027</v>
      </c>
      <c r="S392">
        <v>0.30000000000000027</v>
      </c>
      <c r="T392" t="s">
        <v>254</v>
      </c>
      <c r="U392">
        <v>5.2</v>
      </c>
      <c r="V392">
        <v>2.2000000000000002</v>
      </c>
      <c r="W392" t="s">
        <v>2513</v>
      </c>
      <c r="X392" t="s">
        <v>83</v>
      </c>
    </row>
    <row r="393" spans="1:24">
      <c r="A393" t="s">
        <v>210</v>
      </c>
      <c r="B393" t="s">
        <v>84</v>
      </c>
      <c r="C393" s="36">
        <v>45372</v>
      </c>
      <c r="D393" t="s">
        <v>460</v>
      </c>
      <c r="E393" s="36">
        <v>45473</v>
      </c>
      <c r="F393" t="s">
        <v>88</v>
      </c>
      <c r="G393" s="36">
        <v>45470</v>
      </c>
      <c r="H393">
        <v>2</v>
      </c>
      <c r="I393" t="s">
        <v>2499</v>
      </c>
      <c r="J393">
        <v>2.8</v>
      </c>
      <c r="K393">
        <v>3.9</v>
      </c>
      <c r="L393">
        <v>3</v>
      </c>
      <c r="M393">
        <v>-0.20000000000000018</v>
      </c>
      <c r="N393">
        <v>0.20000000000000018</v>
      </c>
      <c r="O393">
        <v>-1.1000000000000001</v>
      </c>
      <c r="P393">
        <v>1.1000000000000001</v>
      </c>
      <c r="Q393">
        <v>1.2100000000000002</v>
      </c>
      <c r="R393">
        <v>0</v>
      </c>
      <c r="S393">
        <v>0</v>
      </c>
      <c r="T393" t="s">
        <v>254</v>
      </c>
      <c r="U393">
        <v>5.2</v>
      </c>
      <c r="V393">
        <v>2.2000000000000002</v>
      </c>
      <c r="W393" t="s">
        <v>2513</v>
      </c>
      <c r="X393" t="s">
        <v>85</v>
      </c>
    </row>
    <row r="394" spans="1:24">
      <c r="A394" t="s">
        <v>210</v>
      </c>
      <c r="B394" t="s">
        <v>86</v>
      </c>
      <c r="C394" s="36">
        <v>45421</v>
      </c>
      <c r="D394" t="s">
        <v>460</v>
      </c>
      <c r="E394" s="36">
        <v>45473</v>
      </c>
      <c r="F394" t="s">
        <v>88</v>
      </c>
      <c r="G394" s="36">
        <v>45470</v>
      </c>
      <c r="H394">
        <v>1</v>
      </c>
      <c r="I394" t="s">
        <v>2495</v>
      </c>
      <c r="J394">
        <v>3.3</v>
      </c>
      <c r="K394">
        <v>3.9</v>
      </c>
      <c r="L394">
        <v>3</v>
      </c>
      <c r="M394">
        <v>0.29999999999999982</v>
      </c>
      <c r="N394">
        <v>0.29999999999999982</v>
      </c>
      <c r="O394">
        <v>-0.60000000000000009</v>
      </c>
      <c r="P394">
        <v>0.60000000000000009</v>
      </c>
      <c r="Q394">
        <v>0.3600000000000001</v>
      </c>
      <c r="R394">
        <v>0.5</v>
      </c>
      <c r="S394">
        <v>0.5</v>
      </c>
      <c r="T394" t="s">
        <v>355</v>
      </c>
      <c r="U394">
        <v>4.9000000000000004</v>
      </c>
      <c r="V394">
        <v>1.9000000000000004</v>
      </c>
      <c r="W394" t="s">
        <v>2513</v>
      </c>
      <c r="X394" t="s">
        <v>87</v>
      </c>
    </row>
    <row r="395" spans="1:24">
      <c r="A395" t="s">
        <v>210</v>
      </c>
      <c r="B395" t="s">
        <v>88</v>
      </c>
      <c r="C395" s="36">
        <v>45470</v>
      </c>
      <c r="D395" t="s">
        <v>460</v>
      </c>
      <c r="E395" s="36">
        <v>45473</v>
      </c>
      <c r="F395" t="s">
        <v>88</v>
      </c>
      <c r="G395" s="36">
        <v>45470</v>
      </c>
      <c r="H395">
        <v>0</v>
      </c>
      <c r="I395" t="s">
        <v>2497</v>
      </c>
      <c r="J395">
        <v>3.6</v>
      </c>
      <c r="K395">
        <v>3.9</v>
      </c>
      <c r="L395">
        <v>3</v>
      </c>
      <c r="M395">
        <v>0.60000000000000009</v>
      </c>
      <c r="N395">
        <v>0.60000000000000009</v>
      </c>
      <c r="O395">
        <v>-0.29999999999999982</v>
      </c>
      <c r="P395">
        <v>0.29999999999999982</v>
      </c>
      <c r="Q395">
        <v>8.99999999999999E-2</v>
      </c>
      <c r="R395">
        <v>0.30000000000000027</v>
      </c>
      <c r="S395">
        <v>0.30000000000000027</v>
      </c>
      <c r="T395" t="s">
        <v>355</v>
      </c>
      <c r="U395">
        <v>4.9000000000000004</v>
      </c>
      <c r="V395">
        <v>1.9000000000000004</v>
      </c>
      <c r="W395" t="s">
        <v>2513</v>
      </c>
      <c r="X395" t="s">
        <v>89</v>
      </c>
    </row>
    <row r="396" spans="1:24">
      <c r="A396" t="s">
        <v>210</v>
      </c>
      <c r="B396" t="s">
        <v>60</v>
      </c>
      <c r="C396" s="36">
        <v>44833</v>
      </c>
      <c r="D396" t="s">
        <v>565</v>
      </c>
      <c r="E396" s="36">
        <v>45565</v>
      </c>
      <c r="F396" t="s">
        <v>92</v>
      </c>
      <c r="G396" s="36">
        <v>45561</v>
      </c>
      <c r="H396">
        <v>16</v>
      </c>
      <c r="I396" t="s">
        <v>2512</v>
      </c>
      <c r="J396">
        <v>2.9</v>
      </c>
      <c r="K396">
        <v>5.3</v>
      </c>
      <c r="L396">
        <v>3</v>
      </c>
      <c r="M396">
        <v>-0.10000000000000009</v>
      </c>
      <c r="N396">
        <v>0.10000000000000009</v>
      </c>
      <c r="O396">
        <v>-2.4</v>
      </c>
      <c r="P396">
        <v>2.4</v>
      </c>
      <c r="Q396">
        <v>5.76</v>
      </c>
      <c r="T396" t="s">
        <v>148</v>
      </c>
      <c r="U396">
        <v>10.7</v>
      </c>
      <c r="V396">
        <v>7.6999999999999993</v>
      </c>
      <c r="W396" t="s">
        <v>2496</v>
      </c>
      <c r="X396" t="s">
        <v>61</v>
      </c>
    </row>
    <row r="397" spans="1:24">
      <c r="A397" t="s">
        <v>210</v>
      </c>
      <c r="B397" t="s">
        <v>62</v>
      </c>
      <c r="C397" s="36">
        <v>44875</v>
      </c>
      <c r="D397" t="s">
        <v>565</v>
      </c>
      <c r="E397" s="36">
        <v>45565</v>
      </c>
      <c r="F397" t="s">
        <v>92</v>
      </c>
      <c r="G397" s="36">
        <v>45561</v>
      </c>
      <c r="H397">
        <v>15</v>
      </c>
      <c r="I397" t="s">
        <v>2510</v>
      </c>
      <c r="J397">
        <v>2.9</v>
      </c>
      <c r="K397">
        <v>5.3</v>
      </c>
      <c r="L397">
        <v>3</v>
      </c>
      <c r="M397">
        <v>-0.10000000000000009</v>
      </c>
      <c r="N397">
        <v>0.10000000000000009</v>
      </c>
      <c r="O397">
        <v>-2.4</v>
      </c>
      <c r="P397">
        <v>2.4</v>
      </c>
      <c r="Q397">
        <v>5.76</v>
      </c>
      <c r="R397">
        <v>0</v>
      </c>
      <c r="S397">
        <v>0</v>
      </c>
      <c r="T397" t="s">
        <v>151</v>
      </c>
      <c r="U397">
        <v>8.6999999999999993</v>
      </c>
      <c r="V397">
        <v>5.6999999999999993</v>
      </c>
      <c r="W397" t="s">
        <v>2496</v>
      </c>
      <c r="X397" t="s">
        <v>63</v>
      </c>
    </row>
    <row r="398" spans="1:24">
      <c r="A398" t="s">
        <v>210</v>
      </c>
      <c r="B398" t="s">
        <v>64</v>
      </c>
      <c r="C398" s="36">
        <v>44910</v>
      </c>
      <c r="D398" t="s">
        <v>565</v>
      </c>
      <c r="E398" s="36">
        <v>45565</v>
      </c>
      <c r="F398" t="s">
        <v>92</v>
      </c>
      <c r="G398" s="36">
        <v>45561</v>
      </c>
      <c r="H398">
        <v>14</v>
      </c>
      <c r="I398" t="s">
        <v>2511</v>
      </c>
      <c r="J398">
        <v>2.8</v>
      </c>
      <c r="K398">
        <v>5.3</v>
      </c>
      <c r="L398">
        <v>3</v>
      </c>
      <c r="M398">
        <v>-0.20000000000000018</v>
      </c>
      <c r="N398">
        <v>0.20000000000000018</v>
      </c>
      <c r="O398">
        <v>-2.5</v>
      </c>
      <c r="P398">
        <v>2.5</v>
      </c>
      <c r="Q398">
        <v>6.25</v>
      </c>
      <c r="R398">
        <v>-0.10000000000000009</v>
      </c>
      <c r="S398">
        <v>0.10000000000000009</v>
      </c>
      <c r="T398" t="s">
        <v>151</v>
      </c>
      <c r="U398">
        <v>8.6</v>
      </c>
      <c r="V398">
        <v>5.6</v>
      </c>
      <c r="W398" t="s">
        <v>2496</v>
      </c>
      <c r="X398" t="s">
        <v>65</v>
      </c>
    </row>
    <row r="399" spans="1:24">
      <c r="A399" t="s">
        <v>210</v>
      </c>
      <c r="B399" t="s">
        <v>66</v>
      </c>
      <c r="C399" s="36">
        <v>44966</v>
      </c>
      <c r="D399" t="s">
        <v>565</v>
      </c>
      <c r="E399" s="36">
        <v>45565</v>
      </c>
      <c r="F399" t="s">
        <v>92</v>
      </c>
      <c r="G399" s="36">
        <v>45561</v>
      </c>
      <c r="H399">
        <v>13</v>
      </c>
      <c r="I399" t="s">
        <v>2508</v>
      </c>
      <c r="J399">
        <v>3</v>
      </c>
      <c r="K399">
        <v>5.3</v>
      </c>
      <c r="L399">
        <v>3</v>
      </c>
      <c r="M399">
        <v>0</v>
      </c>
      <c r="N399">
        <v>0</v>
      </c>
      <c r="O399">
        <v>-2.2999999999999998</v>
      </c>
      <c r="P399">
        <v>2.2999999999999998</v>
      </c>
      <c r="Q399">
        <v>5.2899999999999991</v>
      </c>
      <c r="R399">
        <v>0.20000000000000018</v>
      </c>
      <c r="S399">
        <v>0.20000000000000018</v>
      </c>
      <c r="T399" t="s">
        <v>154</v>
      </c>
      <c r="U399">
        <v>6.4</v>
      </c>
      <c r="V399">
        <v>3.4000000000000004</v>
      </c>
      <c r="W399" t="s">
        <v>2496</v>
      </c>
      <c r="X399" t="s">
        <v>67</v>
      </c>
    </row>
    <row r="400" spans="1:24">
      <c r="A400" t="s">
        <v>210</v>
      </c>
      <c r="B400" t="s">
        <v>68</v>
      </c>
      <c r="C400" s="36">
        <v>45015</v>
      </c>
      <c r="D400" t="s">
        <v>565</v>
      </c>
      <c r="E400" s="36">
        <v>45565</v>
      </c>
      <c r="F400" t="s">
        <v>92</v>
      </c>
      <c r="G400" s="36">
        <v>45561</v>
      </c>
      <c r="H400">
        <v>12</v>
      </c>
      <c r="I400" t="s">
        <v>2509</v>
      </c>
      <c r="J400">
        <v>3.1</v>
      </c>
      <c r="K400">
        <v>5.3</v>
      </c>
      <c r="L400">
        <v>3</v>
      </c>
      <c r="M400">
        <v>0.10000000000000009</v>
      </c>
      <c r="N400">
        <v>0.10000000000000009</v>
      </c>
      <c r="O400">
        <v>-2.1999999999999997</v>
      </c>
      <c r="P400">
        <v>2.1999999999999997</v>
      </c>
      <c r="Q400">
        <v>4.839999999999999</v>
      </c>
      <c r="R400">
        <v>0.10000000000000009</v>
      </c>
      <c r="S400">
        <v>0.10000000000000009</v>
      </c>
      <c r="T400" t="s">
        <v>154</v>
      </c>
      <c r="U400">
        <v>6.2</v>
      </c>
      <c r="V400">
        <v>3.2</v>
      </c>
      <c r="W400" t="s">
        <v>2496</v>
      </c>
      <c r="X400" t="s">
        <v>69</v>
      </c>
    </row>
    <row r="401" spans="1:24">
      <c r="A401" t="s">
        <v>210</v>
      </c>
      <c r="B401" t="s">
        <v>70</v>
      </c>
      <c r="C401" s="36">
        <v>45064</v>
      </c>
      <c r="D401" t="s">
        <v>565</v>
      </c>
      <c r="E401" s="36">
        <v>45565</v>
      </c>
      <c r="F401" t="s">
        <v>92</v>
      </c>
      <c r="G401" s="36">
        <v>45561</v>
      </c>
      <c r="H401">
        <v>11</v>
      </c>
      <c r="I401" t="s">
        <v>2506</v>
      </c>
      <c r="J401">
        <v>3.2</v>
      </c>
      <c r="K401">
        <v>5.3</v>
      </c>
      <c r="L401">
        <v>3</v>
      </c>
      <c r="M401">
        <v>0.20000000000000018</v>
      </c>
      <c r="N401">
        <v>0.20000000000000018</v>
      </c>
      <c r="O401">
        <v>-2.0999999999999996</v>
      </c>
      <c r="P401">
        <v>2.0999999999999996</v>
      </c>
      <c r="Q401">
        <v>4.4099999999999984</v>
      </c>
      <c r="R401">
        <v>0.10000000000000009</v>
      </c>
      <c r="S401">
        <v>0.10000000000000009</v>
      </c>
      <c r="T401" t="s">
        <v>157</v>
      </c>
      <c r="U401">
        <v>5.4</v>
      </c>
      <c r="V401">
        <v>2.4000000000000004</v>
      </c>
      <c r="W401" t="s">
        <v>2496</v>
      </c>
      <c r="X401" t="s">
        <v>71</v>
      </c>
    </row>
    <row r="402" spans="1:24">
      <c r="A402" t="s">
        <v>210</v>
      </c>
      <c r="B402" t="s">
        <v>72</v>
      </c>
      <c r="C402" s="36">
        <v>45099</v>
      </c>
      <c r="D402" t="s">
        <v>565</v>
      </c>
      <c r="E402" s="36">
        <v>45565</v>
      </c>
      <c r="F402" t="s">
        <v>92</v>
      </c>
      <c r="G402" s="36">
        <v>45561</v>
      </c>
      <c r="H402">
        <v>10</v>
      </c>
      <c r="I402" t="s">
        <v>2507</v>
      </c>
      <c r="J402">
        <v>3.4</v>
      </c>
      <c r="K402">
        <v>5.3</v>
      </c>
      <c r="L402">
        <v>3</v>
      </c>
      <c r="M402">
        <v>0.39999999999999991</v>
      </c>
      <c r="N402">
        <v>0.39999999999999991</v>
      </c>
      <c r="O402">
        <v>-1.9</v>
      </c>
      <c r="P402">
        <v>1.9</v>
      </c>
      <c r="Q402">
        <v>3.61</v>
      </c>
      <c r="R402">
        <v>0.19999999999999973</v>
      </c>
      <c r="S402">
        <v>0.19999999999999973</v>
      </c>
      <c r="T402" t="s">
        <v>157</v>
      </c>
      <c r="U402">
        <v>5.0999999999999996</v>
      </c>
      <c r="V402">
        <v>2.0999999999999996</v>
      </c>
      <c r="W402" t="s">
        <v>2496</v>
      </c>
      <c r="X402" t="s">
        <v>73</v>
      </c>
    </row>
    <row r="403" spans="1:24">
      <c r="A403" t="s">
        <v>210</v>
      </c>
      <c r="B403" t="s">
        <v>74</v>
      </c>
      <c r="C403" s="36">
        <v>45148</v>
      </c>
      <c r="D403" t="s">
        <v>565</v>
      </c>
      <c r="E403" s="36">
        <v>45565</v>
      </c>
      <c r="F403" t="s">
        <v>92</v>
      </c>
      <c r="G403" s="36">
        <v>45561</v>
      </c>
      <c r="H403">
        <v>9</v>
      </c>
      <c r="I403" t="s">
        <v>2504</v>
      </c>
      <c r="J403">
        <v>3.2</v>
      </c>
      <c r="K403">
        <v>5.3</v>
      </c>
      <c r="L403">
        <v>3</v>
      </c>
      <c r="M403">
        <v>0.20000000000000018</v>
      </c>
      <c r="N403">
        <v>0.20000000000000018</v>
      </c>
      <c r="O403">
        <v>-2.0999999999999996</v>
      </c>
      <c r="P403">
        <v>2.0999999999999996</v>
      </c>
      <c r="Q403">
        <v>4.4099999999999984</v>
      </c>
      <c r="R403">
        <v>-0.19999999999999973</v>
      </c>
      <c r="S403">
        <v>0.19999999999999973</v>
      </c>
      <c r="T403" t="s">
        <v>160</v>
      </c>
      <c r="U403">
        <v>3.9</v>
      </c>
      <c r="V403">
        <v>0.89999999999999991</v>
      </c>
      <c r="W403" t="s">
        <v>2496</v>
      </c>
      <c r="X403" t="s">
        <v>75</v>
      </c>
    </row>
    <row r="404" spans="1:24">
      <c r="A404" t="s">
        <v>210</v>
      </c>
      <c r="B404" t="s">
        <v>76</v>
      </c>
      <c r="C404" s="36">
        <v>45197</v>
      </c>
      <c r="D404" t="s">
        <v>565</v>
      </c>
      <c r="E404" s="36">
        <v>45565</v>
      </c>
      <c r="F404" t="s">
        <v>92</v>
      </c>
      <c r="G404" s="36">
        <v>45561</v>
      </c>
      <c r="H404">
        <v>8</v>
      </c>
      <c r="I404" t="s">
        <v>2505</v>
      </c>
      <c r="J404">
        <v>3.3</v>
      </c>
      <c r="K404">
        <v>5.3</v>
      </c>
      <c r="L404">
        <v>3</v>
      </c>
      <c r="M404">
        <v>0.29999999999999982</v>
      </c>
      <c r="N404">
        <v>0.29999999999999982</v>
      </c>
      <c r="O404">
        <v>-2</v>
      </c>
      <c r="P404">
        <v>2</v>
      </c>
      <c r="Q404">
        <v>4</v>
      </c>
      <c r="R404">
        <v>9.9999999999999645E-2</v>
      </c>
      <c r="S404">
        <v>9.9999999999999645E-2</v>
      </c>
      <c r="T404" t="s">
        <v>160</v>
      </c>
      <c r="U404">
        <v>4</v>
      </c>
      <c r="V404">
        <v>1</v>
      </c>
      <c r="W404" t="s">
        <v>2496</v>
      </c>
      <c r="X404" t="s">
        <v>77</v>
      </c>
    </row>
    <row r="405" spans="1:24">
      <c r="A405" t="s">
        <v>210</v>
      </c>
      <c r="B405" t="s">
        <v>78</v>
      </c>
      <c r="C405" s="36">
        <v>45239</v>
      </c>
      <c r="D405" t="s">
        <v>565</v>
      </c>
      <c r="E405" s="36">
        <v>45565</v>
      </c>
      <c r="F405" t="s">
        <v>92</v>
      </c>
      <c r="G405" s="36">
        <v>45561</v>
      </c>
      <c r="H405">
        <v>7</v>
      </c>
      <c r="I405" t="s">
        <v>2502</v>
      </c>
      <c r="J405">
        <v>3.3</v>
      </c>
      <c r="K405">
        <v>5.3</v>
      </c>
      <c r="L405">
        <v>3</v>
      </c>
      <c r="M405">
        <v>0.29999999999999982</v>
      </c>
      <c r="N405">
        <v>0.29999999999999982</v>
      </c>
      <c r="O405">
        <v>-2</v>
      </c>
      <c r="P405">
        <v>2</v>
      </c>
      <c r="Q405">
        <v>4</v>
      </c>
      <c r="R405">
        <v>0</v>
      </c>
      <c r="S405">
        <v>0</v>
      </c>
      <c r="T405" t="s">
        <v>183</v>
      </c>
      <c r="U405">
        <v>4.4000000000000004</v>
      </c>
      <c r="V405">
        <v>1.4000000000000004</v>
      </c>
      <c r="W405" t="s">
        <v>2496</v>
      </c>
      <c r="X405" t="s">
        <v>79</v>
      </c>
    </row>
    <row r="406" spans="1:24">
      <c r="A406" t="s">
        <v>210</v>
      </c>
      <c r="B406" t="s">
        <v>80</v>
      </c>
      <c r="C406" s="36">
        <v>45274</v>
      </c>
      <c r="D406" t="s">
        <v>565</v>
      </c>
      <c r="E406" s="36">
        <v>45565</v>
      </c>
      <c r="F406" t="s">
        <v>92</v>
      </c>
      <c r="G406" s="36">
        <v>45561</v>
      </c>
      <c r="H406">
        <v>6</v>
      </c>
      <c r="I406" t="s">
        <v>2503</v>
      </c>
      <c r="J406">
        <v>3.2</v>
      </c>
      <c r="K406">
        <v>5.3</v>
      </c>
      <c r="L406">
        <v>3</v>
      </c>
      <c r="M406">
        <v>0.20000000000000018</v>
      </c>
      <c r="N406">
        <v>0.20000000000000018</v>
      </c>
      <c r="O406">
        <v>-2.0999999999999996</v>
      </c>
      <c r="P406">
        <v>2.0999999999999996</v>
      </c>
      <c r="Q406">
        <v>4.4099999999999984</v>
      </c>
      <c r="R406">
        <v>-9.9999999999999645E-2</v>
      </c>
      <c r="S406">
        <v>9.9999999999999645E-2</v>
      </c>
      <c r="T406" t="s">
        <v>183</v>
      </c>
      <c r="U406">
        <v>4.4000000000000004</v>
      </c>
      <c r="V406">
        <v>1.4000000000000004</v>
      </c>
      <c r="W406" t="s">
        <v>2496</v>
      </c>
      <c r="X406" t="s">
        <v>81</v>
      </c>
    </row>
    <row r="407" spans="1:24">
      <c r="A407" t="s">
        <v>210</v>
      </c>
      <c r="B407" t="s">
        <v>82</v>
      </c>
      <c r="C407" s="36">
        <v>45330</v>
      </c>
      <c r="D407" t="s">
        <v>565</v>
      </c>
      <c r="E407" s="36">
        <v>45565</v>
      </c>
      <c r="F407" t="s">
        <v>92</v>
      </c>
      <c r="G407" s="36">
        <v>45561</v>
      </c>
      <c r="H407">
        <v>5</v>
      </c>
      <c r="I407" t="s">
        <v>2500</v>
      </c>
      <c r="J407">
        <v>3.1</v>
      </c>
      <c r="K407">
        <v>5.3</v>
      </c>
      <c r="L407">
        <v>3</v>
      </c>
      <c r="M407">
        <v>0.10000000000000009</v>
      </c>
      <c r="N407">
        <v>0.10000000000000009</v>
      </c>
      <c r="O407">
        <v>-2.1999999999999997</v>
      </c>
      <c r="P407">
        <v>2.1999999999999997</v>
      </c>
      <c r="Q407">
        <v>4.839999999999999</v>
      </c>
      <c r="R407">
        <v>-0.10000000000000009</v>
      </c>
      <c r="S407">
        <v>0.10000000000000009</v>
      </c>
      <c r="T407" t="s">
        <v>254</v>
      </c>
      <c r="U407">
        <v>5.2</v>
      </c>
      <c r="V407">
        <v>2.2000000000000002</v>
      </c>
      <c r="W407" t="s">
        <v>2496</v>
      </c>
      <c r="X407" t="s">
        <v>83</v>
      </c>
    </row>
    <row r="408" spans="1:24">
      <c r="A408" t="s">
        <v>210</v>
      </c>
      <c r="B408" t="s">
        <v>84</v>
      </c>
      <c r="C408" s="36">
        <v>45372</v>
      </c>
      <c r="D408" t="s">
        <v>565</v>
      </c>
      <c r="E408" s="36">
        <v>45565</v>
      </c>
      <c r="F408" t="s">
        <v>92</v>
      </c>
      <c r="G408" s="36">
        <v>45561</v>
      </c>
      <c r="H408">
        <v>4</v>
      </c>
      <c r="I408" t="s">
        <v>2501</v>
      </c>
      <c r="J408">
        <v>3.1</v>
      </c>
      <c r="K408">
        <v>5.3</v>
      </c>
      <c r="L408">
        <v>3</v>
      </c>
      <c r="M408">
        <v>0.10000000000000009</v>
      </c>
      <c r="N408">
        <v>0.10000000000000009</v>
      </c>
      <c r="O408">
        <v>-2.1999999999999997</v>
      </c>
      <c r="P408">
        <v>2.1999999999999997</v>
      </c>
      <c r="Q408">
        <v>4.839999999999999</v>
      </c>
      <c r="R408">
        <v>0</v>
      </c>
      <c r="S408">
        <v>0</v>
      </c>
      <c r="T408" t="s">
        <v>254</v>
      </c>
      <c r="U408">
        <v>5.2</v>
      </c>
      <c r="V408">
        <v>2.2000000000000002</v>
      </c>
      <c r="W408" t="s">
        <v>2496</v>
      </c>
      <c r="X408" t="s">
        <v>85</v>
      </c>
    </row>
    <row r="409" spans="1:24">
      <c r="A409" t="s">
        <v>210</v>
      </c>
      <c r="B409" t="s">
        <v>86</v>
      </c>
      <c r="C409" s="36">
        <v>45421</v>
      </c>
      <c r="D409" t="s">
        <v>565</v>
      </c>
      <c r="E409" s="36">
        <v>45565</v>
      </c>
      <c r="F409" t="s">
        <v>92</v>
      </c>
      <c r="G409" s="36">
        <v>45561</v>
      </c>
      <c r="H409">
        <v>3</v>
      </c>
      <c r="I409" t="s">
        <v>2498</v>
      </c>
      <c r="J409">
        <v>3.5</v>
      </c>
      <c r="K409">
        <v>5.3</v>
      </c>
      <c r="L409">
        <v>3</v>
      </c>
      <c r="M409">
        <v>0.5</v>
      </c>
      <c r="N409">
        <v>0.5</v>
      </c>
      <c r="O409">
        <v>-1.7999999999999998</v>
      </c>
      <c r="P409">
        <v>1.7999999999999998</v>
      </c>
      <c r="Q409">
        <v>3.2399999999999993</v>
      </c>
      <c r="R409">
        <v>0.39999999999999991</v>
      </c>
      <c r="S409">
        <v>0.39999999999999991</v>
      </c>
      <c r="T409" t="s">
        <v>355</v>
      </c>
      <c r="U409">
        <v>4.9000000000000004</v>
      </c>
      <c r="V409">
        <v>1.9000000000000004</v>
      </c>
      <c r="W409" t="s">
        <v>2496</v>
      </c>
      <c r="X409" t="s">
        <v>87</v>
      </c>
    </row>
    <row r="410" spans="1:24">
      <c r="A410" t="s">
        <v>210</v>
      </c>
      <c r="B410" t="s">
        <v>88</v>
      </c>
      <c r="C410" s="36">
        <v>45470</v>
      </c>
      <c r="D410" t="s">
        <v>565</v>
      </c>
      <c r="E410" s="36">
        <v>45565</v>
      </c>
      <c r="F410" t="s">
        <v>92</v>
      </c>
      <c r="G410" s="36">
        <v>45561</v>
      </c>
      <c r="H410">
        <v>2</v>
      </c>
      <c r="I410" t="s">
        <v>2499</v>
      </c>
      <c r="J410">
        <v>3.6</v>
      </c>
      <c r="K410">
        <v>5.3</v>
      </c>
      <c r="L410">
        <v>3</v>
      </c>
      <c r="M410">
        <v>0.60000000000000009</v>
      </c>
      <c r="N410">
        <v>0.60000000000000009</v>
      </c>
      <c r="O410">
        <v>-1.6999999999999997</v>
      </c>
      <c r="P410">
        <v>1.6999999999999997</v>
      </c>
      <c r="Q410">
        <v>2.8899999999999992</v>
      </c>
      <c r="R410">
        <v>0.10000000000000009</v>
      </c>
      <c r="S410">
        <v>0.10000000000000009</v>
      </c>
      <c r="T410" t="s">
        <v>355</v>
      </c>
      <c r="U410">
        <v>4.9000000000000004</v>
      </c>
      <c r="V410">
        <v>1.9000000000000004</v>
      </c>
      <c r="W410" t="s">
        <v>2496</v>
      </c>
      <c r="X410" t="s">
        <v>89</v>
      </c>
    </row>
    <row r="411" spans="1:24">
      <c r="A411" t="s">
        <v>210</v>
      </c>
      <c r="B411" t="s">
        <v>90</v>
      </c>
      <c r="C411" s="36">
        <v>45512</v>
      </c>
      <c r="D411" t="s">
        <v>565</v>
      </c>
      <c r="E411" s="36">
        <v>45565</v>
      </c>
      <c r="F411" t="s">
        <v>92</v>
      </c>
      <c r="G411" s="36">
        <v>45561</v>
      </c>
      <c r="H411">
        <v>1</v>
      </c>
      <c r="I411" t="s">
        <v>2495</v>
      </c>
      <c r="J411">
        <v>5.2</v>
      </c>
      <c r="K411">
        <v>5.3</v>
      </c>
      <c r="L411">
        <v>3</v>
      </c>
      <c r="M411">
        <v>2.2000000000000002</v>
      </c>
      <c r="N411">
        <v>2.2000000000000002</v>
      </c>
      <c r="O411">
        <v>-9.9999999999999645E-2</v>
      </c>
      <c r="P411">
        <v>9.9999999999999645E-2</v>
      </c>
      <c r="Q411">
        <v>9.9999999999999291E-3</v>
      </c>
      <c r="R411">
        <v>1.6</v>
      </c>
      <c r="S411">
        <v>1.6</v>
      </c>
      <c r="T411" t="s">
        <v>460</v>
      </c>
      <c r="U411">
        <v>4.4000000000000004</v>
      </c>
      <c r="V411">
        <v>1.4000000000000004</v>
      </c>
      <c r="W411" t="s">
        <v>2496</v>
      </c>
      <c r="X411" t="s">
        <v>91</v>
      </c>
    </row>
    <row r="412" spans="1:24">
      <c r="A412" t="s">
        <v>210</v>
      </c>
      <c r="B412" t="s">
        <v>92</v>
      </c>
      <c r="C412" s="36">
        <v>45561</v>
      </c>
      <c r="D412" t="s">
        <v>565</v>
      </c>
      <c r="E412" s="36">
        <v>45565</v>
      </c>
      <c r="F412" t="s">
        <v>92</v>
      </c>
      <c r="G412" s="36">
        <v>45561</v>
      </c>
      <c r="H412">
        <v>0</v>
      </c>
      <c r="I412" t="s">
        <v>2497</v>
      </c>
      <c r="J412">
        <v>4.9000000000000004</v>
      </c>
      <c r="K412">
        <v>5.3</v>
      </c>
      <c r="L412">
        <v>3</v>
      </c>
      <c r="M412">
        <v>1.9000000000000004</v>
      </c>
      <c r="N412">
        <v>1.9000000000000004</v>
      </c>
      <c r="O412">
        <v>-0.39999999999999947</v>
      </c>
      <c r="P412">
        <v>0.39999999999999947</v>
      </c>
      <c r="Q412">
        <v>0.15999999999999959</v>
      </c>
      <c r="R412">
        <v>-0.29999999999999982</v>
      </c>
      <c r="S412">
        <v>0.29999999999999982</v>
      </c>
      <c r="T412" t="s">
        <v>460</v>
      </c>
      <c r="U412">
        <v>4.3</v>
      </c>
      <c r="V412">
        <v>1.2999999999999998</v>
      </c>
      <c r="W412" t="s">
        <v>2496</v>
      </c>
      <c r="X412" t="s">
        <v>93</v>
      </c>
    </row>
    <row r="413" spans="1:24">
      <c r="A413" t="s">
        <v>210</v>
      </c>
      <c r="B413" t="s">
        <v>64</v>
      </c>
      <c r="C413" s="36">
        <v>44910</v>
      </c>
      <c r="D413" t="s">
        <v>670</v>
      </c>
      <c r="E413" s="36">
        <v>45657</v>
      </c>
      <c r="F413" t="s">
        <v>96</v>
      </c>
      <c r="G413" s="36">
        <v>45645</v>
      </c>
      <c r="H413">
        <v>16</v>
      </c>
      <c r="I413" t="s">
        <v>2512</v>
      </c>
      <c r="J413">
        <v>3.3</v>
      </c>
      <c r="K413">
        <v>3.3</v>
      </c>
      <c r="L413">
        <v>3</v>
      </c>
      <c r="M413">
        <v>0.29999999999999982</v>
      </c>
      <c r="N413">
        <v>0.29999999999999982</v>
      </c>
      <c r="O413">
        <v>0</v>
      </c>
      <c r="P413">
        <v>0</v>
      </c>
      <c r="Q413">
        <v>0</v>
      </c>
      <c r="T413" t="s">
        <v>151</v>
      </c>
      <c r="U413">
        <v>8.6</v>
      </c>
      <c r="V413">
        <v>5.6</v>
      </c>
      <c r="W413" t="s">
        <v>2513</v>
      </c>
      <c r="X413" t="s">
        <v>65</v>
      </c>
    </row>
    <row r="414" spans="1:24">
      <c r="A414" t="s">
        <v>210</v>
      </c>
      <c r="B414" t="s">
        <v>66</v>
      </c>
      <c r="C414" s="36">
        <v>44966</v>
      </c>
      <c r="D414" t="s">
        <v>670</v>
      </c>
      <c r="E414" s="36">
        <v>45657</v>
      </c>
      <c r="F414" t="s">
        <v>96</v>
      </c>
      <c r="G414" s="36">
        <v>45645</v>
      </c>
      <c r="H414">
        <v>15</v>
      </c>
      <c r="I414" t="s">
        <v>2510</v>
      </c>
      <c r="J414">
        <v>3.5</v>
      </c>
      <c r="K414">
        <v>3.3</v>
      </c>
      <c r="L414">
        <v>3</v>
      </c>
      <c r="M414">
        <v>0.5</v>
      </c>
      <c r="N414">
        <v>0.5</v>
      </c>
      <c r="O414">
        <v>0.20000000000000018</v>
      </c>
      <c r="P414">
        <v>0.20000000000000018</v>
      </c>
      <c r="Q414">
        <v>4.000000000000007E-2</v>
      </c>
      <c r="R414">
        <v>0.20000000000000018</v>
      </c>
      <c r="S414">
        <v>0.20000000000000018</v>
      </c>
      <c r="T414" t="s">
        <v>154</v>
      </c>
      <c r="U414">
        <v>6.4</v>
      </c>
      <c r="V414">
        <v>3.4000000000000004</v>
      </c>
      <c r="W414" t="s">
        <v>2513</v>
      </c>
      <c r="X414" t="s">
        <v>67</v>
      </c>
    </row>
    <row r="415" spans="1:24">
      <c r="A415" t="s">
        <v>210</v>
      </c>
      <c r="B415" t="s">
        <v>68</v>
      </c>
      <c r="C415" s="36">
        <v>45015</v>
      </c>
      <c r="D415" t="s">
        <v>670</v>
      </c>
      <c r="E415" s="36">
        <v>45657</v>
      </c>
      <c r="F415" t="s">
        <v>96</v>
      </c>
      <c r="G415" s="36">
        <v>45645</v>
      </c>
      <c r="H415">
        <v>14</v>
      </c>
      <c r="I415" t="s">
        <v>2511</v>
      </c>
      <c r="J415">
        <v>3.3</v>
      </c>
      <c r="K415">
        <v>3.3</v>
      </c>
      <c r="L415">
        <v>3</v>
      </c>
      <c r="M415">
        <v>0.29999999999999982</v>
      </c>
      <c r="N415">
        <v>0.29999999999999982</v>
      </c>
      <c r="O415">
        <v>0</v>
      </c>
      <c r="P415">
        <v>0</v>
      </c>
      <c r="Q415">
        <v>0</v>
      </c>
      <c r="R415">
        <v>-0.20000000000000018</v>
      </c>
      <c r="S415">
        <v>0.20000000000000018</v>
      </c>
      <c r="T415" t="s">
        <v>154</v>
      </c>
      <c r="U415">
        <v>6.2</v>
      </c>
      <c r="V415">
        <v>3.2</v>
      </c>
      <c r="W415" t="s">
        <v>2513</v>
      </c>
      <c r="X415" t="s">
        <v>69</v>
      </c>
    </row>
    <row r="416" spans="1:24">
      <c r="A416" t="s">
        <v>210</v>
      </c>
      <c r="B416" t="s">
        <v>70</v>
      </c>
      <c r="C416" s="36">
        <v>45064</v>
      </c>
      <c r="D416" t="s">
        <v>670</v>
      </c>
      <c r="E416" s="36">
        <v>45657</v>
      </c>
      <c r="F416" t="s">
        <v>96</v>
      </c>
      <c r="G416" s="36">
        <v>45645</v>
      </c>
      <c r="H416">
        <v>13</v>
      </c>
      <c r="I416" t="s">
        <v>2508</v>
      </c>
      <c r="J416">
        <v>3.2</v>
      </c>
      <c r="K416">
        <v>3.3</v>
      </c>
      <c r="L416">
        <v>3</v>
      </c>
      <c r="M416">
        <v>0.20000000000000018</v>
      </c>
      <c r="N416">
        <v>0.20000000000000018</v>
      </c>
      <c r="O416">
        <v>-9.9999999999999645E-2</v>
      </c>
      <c r="P416">
        <v>9.9999999999999645E-2</v>
      </c>
      <c r="Q416">
        <v>9.9999999999999291E-3</v>
      </c>
      <c r="R416">
        <v>-9.9999999999999645E-2</v>
      </c>
      <c r="S416">
        <v>9.9999999999999645E-2</v>
      </c>
      <c r="T416" t="s">
        <v>157</v>
      </c>
      <c r="U416">
        <v>5.4</v>
      </c>
      <c r="V416">
        <v>2.4000000000000004</v>
      </c>
      <c r="W416" t="s">
        <v>2513</v>
      </c>
      <c r="X416" t="s">
        <v>71</v>
      </c>
    </row>
    <row r="417" spans="1:24">
      <c r="A417" t="s">
        <v>210</v>
      </c>
      <c r="B417" t="s">
        <v>72</v>
      </c>
      <c r="C417" s="36">
        <v>45099</v>
      </c>
      <c r="D417" t="s">
        <v>670</v>
      </c>
      <c r="E417" s="36">
        <v>45657</v>
      </c>
      <c r="F417" t="s">
        <v>96</v>
      </c>
      <c r="G417" s="36">
        <v>45645</v>
      </c>
      <c r="H417">
        <v>12</v>
      </c>
      <c r="I417" t="s">
        <v>2509</v>
      </c>
      <c r="J417">
        <v>3.1</v>
      </c>
      <c r="K417">
        <v>3.3</v>
      </c>
      <c r="L417">
        <v>3</v>
      </c>
      <c r="M417">
        <v>0.10000000000000009</v>
      </c>
      <c r="N417">
        <v>0.10000000000000009</v>
      </c>
      <c r="O417">
        <v>-0.19999999999999973</v>
      </c>
      <c r="P417">
        <v>0.19999999999999973</v>
      </c>
      <c r="Q417">
        <v>3.9999999999999897E-2</v>
      </c>
      <c r="R417">
        <v>-0.10000000000000009</v>
      </c>
      <c r="S417">
        <v>0.10000000000000009</v>
      </c>
      <c r="T417" t="s">
        <v>157</v>
      </c>
      <c r="U417">
        <v>5.0999999999999996</v>
      </c>
      <c r="V417">
        <v>2.0999999999999996</v>
      </c>
      <c r="W417" t="s">
        <v>2513</v>
      </c>
      <c r="X417" t="s">
        <v>73</v>
      </c>
    </row>
    <row r="418" spans="1:24">
      <c r="A418" t="s">
        <v>210</v>
      </c>
      <c r="B418" t="s">
        <v>74</v>
      </c>
      <c r="C418" s="36">
        <v>45148</v>
      </c>
      <c r="D418" t="s">
        <v>670</v>
      </c>
      <c r="E418" s="36">
        <v>45657</v>
      </c>
      <c r="F418" t="s">
        <v>96</v>
      </c>
      <c r="G418" s="36">
        <v>45645</v>
      </c>
      <c r="H418">
        <v>11</v>
      </c>
      <c r="I418" t="s">
        <v>2506</v>
      </c>
      <c r="J418">
        <v>3.5</v>
      </c>
      <c r="K418">
        <v>3.3</v>
      </c>
      <c r="L418">
        <v>3</v>
      </c>
      <c r="M418">
        <v>0.5</v>
      </c>
      <c r="N418">
        <v>0.5</v>
      </c>
      <c r="O418">
        <v>0.20000000000000018</v>
      </c>
      <c r="P418">
        <v>0.20000000000000018</v>
      </c>
      <c r="Q418">
        <v>4.000000000000007E-2</v>
      </c>
      <c r="R418">
        <v>0.39999999999999991</v>
      </c>
      <c r="S418">
        <v>0.39999999999999991</v>
      </c>
      <c r="T418" t="s">
        <v>160</v>
      </c>
      <c r="U418">
        <v>3.9</v>
      </c>
      <c r="V418">
        <v>0.89999999999999991</v>
      </c>
      <c r="W418" t="s">
        <v>2513</v>
      </c>
      <c r="X418" t="s">
        <v>75</v>
      </c>
    </row>
    <row r="419" spans="1:24">
      <c r="A419" t="s">
        <v>210</v>
      </c>
      <c r="B419" t="s">
        <v>76</v>
      </c>
      <c r="C419" s="36">
        <v>45197</v>
      </c>
      <c r="D419" t="s">
        <v>670</v>
      </c>
      <c r="E419" s="36">
        <v>45657</v>
      </c>
      <c r="F419" t="s">
        <v>96</v>
      </c>
      <c r="G419" s="36">
        <v>45645</v>
      </c>
      <c r="H419">
        <v>10</v>
      </c>
      <c r="I419" t="s">
        <v>2507</v>
      </c>
      <c r="J419">
        <v>3.5</v>
      </c>
      <c r="K419">
        <v>3.3</v>
      </c>
      <c r="L419">
        <v>3</v>
      </c>
      <c r="M419">
        <v>0.5</v>
      </c>
      <c r="N419">
        <v>0.5</v>
      </c>
      <c r="O419">
        <v>0.20000000000000018</v>
      </c>
      <c r="P419">
        <v>0.20000000000000018</v>
      </c>
      <c r="Q419">
        <v>4.000000000000007E-2</v>
      </c>
      <c r="R419">
        <v>0</v>
      </c>
      <c r="S419">
        <v>0</v>
      </c>
      <c r="T419" t="s">
        <v>160</v>
      </c>
      <c r="U419">
        <v>4</v>
      </c>
      <c r="V419">
        <v>1</v>
      </c>
      <c r="W419" t="s">
        <v>2513</v>
      </c>
      <c r="X419" t="s">
        <v>77</v>
      </c>
    </row>
    <row r="420" spans="1:24">
      <c r="A420" t="s">
        <v>210</v>
      </c>
      <c r="B420" t="s">
        <v>78</v>
      </c>
      <c r="C420" s="36">
        <v>45239</v>
      </c>
      <c r="D420" t="s">
        <v>670</v>
      </c>
      <c r="E420" s="36">
        <v>45657</v>
      </c>
      <c r="F420" t="s">
        <v>96</v>
      </c>
      <c r="G420" s="36">
        <v>45645</v>
      </c>
      <c r="H420">
        <v>9</v>
      </c>
      <c r="I420" t="s">
        <v>2504</v>
      </c>
      <c r="J420">
        <v>3.2</v>
      </c>
      <c r="K420">
        <v>3.3</v>
      </c>
      <c r="L420">
        <v>3</v>
      </c>
      <c r="M420">
        <v>0.20000000000000018</v>
      </c>
      <c r="N420">
        <v>0.20000000000000018</v>
      </c>
      <c r="O420">
        <v>-9.9999999999999645E-2</v>
      </c>
      <c r="P420">
        <v>9.9999999999999645E-2</v>
      </c>
      <c r="Q420">
        <v>9.9999999999999291E-3</v>
      </c>
      <c r="R420">
        <v>-0.29999999999999982</v>
      </c>
      <c r="S420">
        <v>0.29999999999999982</v>
      </c>
      <c r="T420" t="s">
        <v>183</v>
      </c>
      <c r="U420">
        <v>4.4000000000000004</v>
      </c>
      <c r="V420">
        <v>1.4000000000000004</v>
      </c>
      <c r="W420" t="s">
        <v>2513</v>
      </c>
      <c r="X420" t="s">
        <v>79</v>
      </c>
    </row>
    <row r="421" spans="1:24">
      <c r="A421" t="s">
        <v>210</v>
      </c>
      <c r="B421" t="s">
        <v>80</v>
      </c>
      <c r="C421" s="36">
        <v>45274</v>
      </c>
      <c r="D421" t="s">
        <v>670</v>
      </c>
      <c r="E421" s="36">
        <v>45657</v>
      </c>
      <c r="F421" t="s">
        <v>96</v>
      </c>
      <c r="G421" s="36">
        <v>45645</v>
      </c>
      <c r="H421">
        <v>8</v>
      </c>
      <c r="I421" t="s">
        <v>2505</v>
      </c>
      <c r="J421">
        <v>3.3</v>
      </c>
      <c r="K421">
        <v>3.3</v>
      </c>
      <c r="L421">
        <v>3</v>
      </c>
      <c r="M421">
        <v>0.29999999999999982</v>
      </c>
      <c r="N421">
        <v>0.29999999999999982</v>
      </c>
      <c r="O421">
        <v>0</v>
      </c>
      <c r="P421">
        <v>0</v>
      </c>
      <c r="Q421">
        <v>0</v>
      </c>
      <c r="R421">
        <v>9.9999999999999645E-2</v>
      </c>
      <c r="S421">
        <v>9.9999999999999645E-2</v>
      </c>
      <c r="T421" t="s">
        <v>183</v>
      </c>
      <c r="U421">
        <v>4.4000000000000004</v>
      </c>
      <c r="V421">
        <v>1.4000000000000004</v>
      </c>
      <c r="W421" t="s">
        <v>2513</v>
      </c>
      <c r="X421" t="s">
        <v>81</v>
      </c>
    </row>
    <row r="422" spans="1:24">
      <c r="A422" t="s">
        <v>210</v>
      </c>
      <c r="B422" t="s">
        <v>82</v>
      </c>
      <c r="C422" s="36">
        <v>45330</v>
      </c>
      <c r="D422" t="s">
        <v>670</v>
      </c>
      <c r="E422" s="36">
        <v>45657</v>
      </c>
      <c r="F422" t="s">
        <v>96</v>
      </c>
      <c r="G422" s="36">
        <v>45645</v>
      </c>
      <c r="H422">
        <v>7</v>
      </c>
      <c r="I422" t="s">
        <v>2502</v>
      </c>
      <c r="J422">
        <v>3.2</v>
      </c>
      <c r="K422">
        <v>3.3</v>
      </c>
      <c r="L422">
        <v>3</v>
      </c>
      <c r="M422">
        <v>0.20000000000000018</v>
      </c>
      <c r="N422">
        <v>0.20000000000000018</v>
      </c>
      <c r="O422">
        <v>-9.9999999999999645E-2</v>
      </c>
      <c r="P422">
        <v>9.9999999999999645E-2</v>
      </c>
      <c r="Q422">
        <v>9.9999999999999291E-3</v>
      </c>
      <c r="R422">
        <v>-9.9999999999999645E-2</v>
      </c>
      <c r="S422">
        <v>9.9999999999999645E-2</v>
      </c>
      <c r="T422" t="s">
        <v>254</v>
      </c>
      <c r="U422">
        <v>5.2</v>
      </c>
      <c r="V422">
        <v>2.2000000000000002</v>
      </c>
      <c r="W422" t="s">
        <v>2513</v>
      </c>
      <c r="X422" t="s">
        <v>83</v>
      </c>
    </row>
    <row r="423" spans="1:24">
      <c r="A423" t="s">
        <v>210</v>
      </c>
      <c r="B423" t="s">
        <v>84</v>
      </c>
      <c r="C423" s="36">
        <v>45372</v>
      </c>
      <c r="D423" t="s">
        <v>670</v>
      </c>
      <c r="E423" s="36">
        <v>45657</v>
      </c>
      <c r="F423" t="s">
        <v>96</v>
      </c>
      <c r="G423" s="36">
        <v>45645</v>
      </c>
      <c r="H423">
        <v>6</v>
      </c>
      <c r="I423" t="s">
        <v>2503</v>
      </c>
      <c r="J423">
        <v>3.3</v>
      </c>
      <c r="K423">
        <v>3.3</v>
      </c>
      <c r="L423">
        <v>3</v>
      </c>
      <c r="M423">
        <v>0.29999999999999982</v>
      </c>
      <c r="N423">
        <v>0.29999999999999982</v>
      </c>
      <c r="O423">
        <v>0</v>
      </c>
      <c r="P423">
        <v>0</v>
      </c>
      <c r="Q423">
        <v>0</v>
      </c>
      <c r="R423">
        <v>9.9999999999999645E-2</v>
      </c>
      <c r="S423">
        <v>9.9999999999999645E-2</v>
      </c>
      <c r="T423" t="s">
        <v>254</v>
      </c>
      <c r="U423">
        <v>5.2</v>
      </c>
      <c r="V423">
        <v>2.2000000000000002</v>
      </c>
      <c r="W423" t="s">
        <v>2513</v>
      </c>
      <c r="X423" t="s">
        <v>85</v>
      </c>
    </row>
    <row r="424" spans="1:24">
      <c r="A424" t="s">
        <v>210</v>
      </c>
      <c r="B424" t="s">
        <v>86</v>
      </c>
      <c r="C424" s="36">
        <v>45421</v>
      </c>
      <c r="D424" t="s">
        <v>670</v>
      </c>
      <c r="E424" s="36">
        <v>45657</v>
      </c>
      <c r="F424" t="s">
        <v>96</v>
      </c>
      <c r="G424" s="36">
        <v>45645</v>
      </c>
      <c r="H424">
        <v>5</v>
      </c>
      <c r="I424" t="s">
        <v>2500</v>
      </c>
      <c r="J424">
        <v>3.6</v>
      </c>
      <c r="K424">
        <v>3.3</v>
      </c>
      <c r="L424">
        <v>3</v>
      </c>
      <c r="M424">
        <v>0.60000000000000009</v>
      </c>
      <c r="N424">
        <v>0.60000000000000009</v>
      </c>
      <c r="O424">
        <v>0.30000000000000027</v>
      </c>
      <c r="P424">
        <v>0.30000000000000027</v>
      </c>
      <c r="Q424">
        <v>9.0000000000000163E-2</v>
      </c>
      <c r="R424">
        <v>0.30000000000000027</v>
      </c>
      <c r="S424">
        <v>0.30000000000000027</v>
      </c>
      <c r="T424" t="s">
        <v>355</v>
      </c>
      <c r="U424">
        <v>4.9000000000000004</v>
      </c>
      <c r="V424">
        <v>1.9000000000000004</v>
      </c>
      <c r="W424" t="s">
        <v>2513</v>
      </c>
      <c r="X424" t="s">
        <v>87</v>
      </c>
    </row>
    <row r="425" spans="1:24">
      <c r="A425" t="s">
        <v>210</v>
      </c>
      <c r="B425" t="s">
        <v>88</v>
      </c>
      <c r="C425" s="36">
        <v>45470</v>
      </c>
      <c r="D425" t="s">
        <v>670</v>
      </c>
      <c r="E425" s="36">
        <v>45657</v>
      </c>
      <c r="F425" t="s">
        <v>96</v>
      </c>
      <c r="G425" s="36">
        <v>45645</v>
      </c>
      <c r="H425">
        <v>4</v>
      </c>
      <c r="I425" t="s">
        <v>2501</v>
      </c>
      <c r="J425">
        <v>3.4</v>
      </c>
      <c r="K425">
        <v>3.3</v>
      </c>
      <c r="L425">
        <v>3</v>
      </c>
      <c r="M425">
        <v>0.39999999999999991</v>
      </c>
      <c r="N425">
        <v>0.39999999999999991</v>
      </c>
      <c r="O425">
        <v>0.10000000000000009</v>
      </c>
      <c r="P425">
        <v>0.10000000000000009</v>
      </c>
      <c r="Q425">
        <v>1.0000000000000018E-2</v>
      </c>
      <c r="R425">
        <v>-0.20000000000000018</v>
      </c>
      <c r="S425">
        <v>0.20000000000000018</v>
      </c>
      <c r="T425" t="s">
        <v>355</v>
      </c>
      <c r="U425">
        <v>4.9000000000000004</v>
      </c>
      <c r="V425">
        <v>1.9000000000000004</v>
      </c>
      <c r="W425" t="s">
        <v>2513</v>
      </c>
      <c r="X425" t="s">
        <v>89</v>
      </c>
    </row>
    <row r="426" spans="1:24">
      <c r="A426" t="s">
        <v>210</v>
      </c>
      <c r="B426" t="s">
        <v>90</v>
      </c>
      <c r="C426" s="36">
        <v>45512</v>
      </c>
      <c r="D426" t="s">
        <v>670</v>
      </c>
      <c r="E426" s="36">
        <v>45657</v>
      </c>
      <c r="F426" t="s">
        <v>96</v>
      </c>
      <c r="G426" s="36">
        <v>45645</v>
      </c>
      <c r="H426">
        <v>3</v>
      </c>
      <c r="I426" t="s">
        <v>2498</v>
      </c>
      <c r="J426">
        <v>2.6</v>
      </c>
      <c r="K426">
        <v>3.3</v>
      </c>
      <c r="L426">
        <v>3</v>
      </c>
      <c r="M426">
        <v>-0.39999999999999991</v>
      </c>
      <c r="N426">
        <v>0.39999999999999991</v>
      </c>
      <c r="O426">
        <v>-0.69999999999999973</v>
      </c>
      <c r="P426">
        <v>0.69999999999999973</v>
      </c>
      <c r="Q426">
        <v>0.4899999999999996</v>
      </c>
      <c r="R426">
        <v>-0.79999999999999982</v>
      </c>
      <c r="S426">
        <v>0.79999999999999982</v>
      </c>
      <c r="T426" t="s">
        <v>460</v>
      </c>
      <c r="U426">
        <v>4.4000000000000004</v>
      </c>
      <c r="V426">
        <v>1.4000000000000004</v>
      </c>
      <c r="W426" t="s">
        <v>2513</v>
      </c>
      <c r="X426" t="s">
        <v>91</v>
      </c>
    </row>
    <row r="427" spans="1:24">
      <c r="A427" t="s">
        <v>210</v>
      </c>
      <c r="B427" t="s">
        <v>92</v>
      </c>
      <c r="C427" s="36">
        <v>45561</v>
      </c>
      <c r="D427" t="s">
        <v>670</v>
      </c>
      <c r="E427" s="36">
        <v>45657</v>
      </c>
      <c r="F427" t="s">
        <v>96</v>
      </c>
      <c r="G427" s="36">
        <v>45645</v>
      </c>
      <c r="H427">
        <v>2</v>
      </c>
      <c r="I427" t="s">
        <v>2499</v>
      </c>
      <c r="J427">
        <v>2.6</v>
      </c>
      <c r="K427">
        <v>3.3</v>
      </c>
      <c r="L427">
        <v>3</v>
      </c>
      <c r="M427">
        <v>-0.39999999999999991</v>
      </c>
      <c r="N427">
        <v>0.39999999999999991</v>
      </c>
      <c r="O427">
        <v>-0.69999999999999973</v>
      </c>
      <c r="P427">
        <v>0.69999999999999973</v>
      </c>
      <c r="Q427">
        <v>0.4899999999999996</v>
      </c>
      <c r="R427">
        <v>0</v>
      </c>
      <c r="S427">
        <v>0</v>
      </c>
      <c r="T427" t="s">
        <v>460</v>
      </c>
      <c r="U427">
        <v>4.3</v>
      </c>
      <c r="V427">
        <v>1.2999999999999998</v>
      </c>
      <c r="W427" t="s">
        <v>2513</v>
      </c>
      <c r="X427" t="s">
        <v>93</v>
      </c>
    </row>
    <row r="428" spans="1:24">
      <c r="A428" t="s">
        <v>210</v>
      </c>
      <c r="B428" t="s">
        <v>94</v>
      </c>
      <c r="C428" s="36">
        <v>45610</v>
      </c>
      <c r="D428" t="s">
        <v>670</v>
      </c>
      <c r="E428" s="36">
        <v>45657</v>
      </c>
      <c r="F428" t="s">
        <v>96</v>
      </c>
      <c r="G428" s="36">
        <v>45645</v>
      </c>
      <c r="H428">
        <v>1</v>
      </c>
      <c r="I428" t="s">
        <v>2495</v>
      </c>
      <c r="J428">
        <v>3.5</v>
      </c>
      <c r="K428">
        <v>3.3</v>
      </c>
      <c r="L428">
        <v>3</v>
      </c>
      <c r="M428">
        <v>0.5</v>
      </c>
      <c r="N428">
        <v>0.5</v>
      </c>
      <c r="O428">
        <v>0.20000000000000018</v>
      </c>
      <c r="P428">
        <v>0.20000000000000018</v>
      </c>
      <c r="Q428">
        <v>4.000000000000007E-2</v>
      </c>
      <c r="R428">
        <v>0.89999999999999991</v>
      </c>
      <c r="S428">
        <v>0.89999999999999991</v>
      </c>
      <c r="T428" t="s">
        <v>565</v>
      </c>
      <c r="U428">
        <v>5.3</v>
      </c>
      <c r="V428">
        <v>2.2999999999999998</v>
      </c>
      <c r="W428" t="s">
        <v>2513</v>
      </c>
      <c r="X428" t="s">
        <v>95</v>
      </c>
    </row>
    <row r="429" spans="1:24">
      <c r="A429" t="s">
        <v>210</v>
      </c>
      <c r="B429" t="s">
        <v>96</v>
      </c>
      <c r="C429" s="36">
        <v>45645</v>
      </c>
      <c r="D429" t="s">
        <v>670</v>
      </c>
      <c r="E429" s="36">
        <v>45657</v>
      </c>
      <c r="F429" t="s">
        <v>96</v>
      </c>
      <c r="G429" s="36">
        <v>45645</v>
      </c>
      <c r="H429">
        <v>0</v>
      </c>
      <c r="I429" t="s">
        <v>2497</v>
      </c>
      <c r="J429">
        <v>3.2</v>
      </c>
      <c r="K429">
        <v>3.3</v>
      </c>
      <c r="L429">
        <v>3</v>
      </c>
      <c r="M429">
        <v>0.20000000000000018</v>
      </c>
      <c r="N429">
        <v>0.20000000000000018</v>
      </c>
      <c r="O429">
        <v>-9.9999999999999645E-2</v>
      </c>
      <c r="P429">
        <v>9.9999999999999645E-2</v>
      </c>
      <c r="Q429">
        <v>9.9999999999999291E-3</v>
      </c>
      <c r="R429">
        <v>-0.29999999999999982</v>
      </c>
      <c r="S429">
        <v>0.29999999999999982</v>
      </c>
      <c r="T429" t="s">
        <v>565</v>
      </c>
      <c r="U429">
        <v>5.3</v>
      </c>
      <c r="V429">
        <v>2.2999999999999998</v>
      </c>
      <c r="W429" t="s">
        <v>2513</v>
      </c>
      <c r="X429" t="s">
        <v>97</v>
      </c>
    </row>
    <row r="430" spans="1:24">
      <c r="A430" t="s">
        <v>210</v>
      </c>
      <c r="B430" t="s">
        <v>68</v>
      </c>
      <c r="C430" s="36">
        <v>45015</v>
      </c>
      <c r="D430" t="s">
        <v>771</v>
      </c>
      <c r="E430" s="36">
        <v>45747</v>
      </c>
      <c r="F430" t="s">
        <v>100</v>
      </c>
      <c r="G430" s="36">
        <v>45743</v>
      </c>
      <c r="H430">
        <v>16</v>
      </c>
      <c r="I430" t="s">
        <v>2512</v>
      </c>
      <c r="J430">
        <v>3.4</v>
      </c>
      <c r="K430">
        <v>2.8</v>
      </c>
      <c r="L430">
        <v>3</v>
      </c>
      <c r="M430">
        <v>0.39999999999999991</v>
      </c>
      <c r="N430">
        <v>0.39999999999999991</v>
      </c>
      <c r="O430">
        <v>0.60000000000000009</v>
      </c>
      <c r="P430">
        <v>0.60000000000000009</v>
      </c>
      <c r="Q430">
        <v>0.3600000000000001</v>
      </c>
      <c r="T430" t="s">
        <v>154</v>
      </c>
      <c r="U430">
        <v>6.2</v>
      </c>
      <c r="V430">
        <v>3.2</v>
      </c>
      <c r="W430" t="s">
        <v>2513</v>
      </c>
      <c r="X430" t="s">
        <v>69</v>
      </c>
    </row>
    <row r="431" spans="1:24">
      <c r="A431" t="s">
        <v>210</v>
      </c>
      <c r="B431" t="s">
        <v>70</v>
      </c>
      <c r="C431" s="36">
        <v>45064</v>
      </c>
      <c r="D431" t="s">
        <v>771</v>
      </c>
      <c r="E431" s="36">
        <v>45747</v>
      </c>
      <c r="F431" t="s">
        <v>100</v>
      </c>
      <c r="G431" s="36">
        <v>45743</v>
      </c>
      <c r="H431">
        <v>15</v>
      </c>
      <c r="I431" t="s">
        <v>2510</v>
      </c>
      <c r="J431">
        <v>3.4</v>
      </c>
      <c r="K431">
        <v>2.8</v>
      </c>
      <c r="L431">
        <v>3</v>
      </c>
      <c r="M431">
        <v>0.39999999999999991</v>
      </c>
      <c r="N431">
        <v>0.39999999999999991</v>
      </c>
      <c r="O431">
        <v>0.60000000000000009</v>
      </c>
      <c r="P431">
        <v>0.60000000000000009</v>
      </c>
      <c r="Q431">
        <v>0.3600000000000001</v>
      </c>
      <c r="R431">
        <v>0</v>
      </c>
      <c r="S431">
        <v>0</v>
      </c>
      <c r="T431" t="s">
        <v>157</v>
      </c>
      <c r="U431">
        <v>5.4</v>
      </c>
      <c r="V431">
        <v>2.4000000000000004</v>
      </c>
      <c r="W431" t="s">
        <v>2513</v>
      </c>
      <c r="X431" t="s">
        <v>71</v>
      </c>
    </row>
    <row r="432" spans="1:24">
      <c r="A432" t="s">
        <v>210</v>
      </c>
      <c r="B432" t="s">
        <v>72</v>
      </c>
      <c r="C432" s="36">
        <v>45099</v>
      </c>
      <c r="D432" t="s">
        <v>771</v>
      </c>
      <c r="E432" s="36">
        <v>45747</v>
      </c>
      <c r="F432" t="s">
        <v>100</v>
      </c>
      <c r="G432" s="36">
        <v>45743</v>
      </c>
      <c r="H432">
        <v>14</v>
      </c>
      <c r="I432" t="s">
        <v>2511</v>
      </c>
      <c r="J432">
        <v>3.1</v>
      </c>
      <c r="K432">
        <v>2.8</v>
      </c>
      <c r="L432">
        <v>3</v>
      </c>
      <c r="M432">
        <v>0.10000000000000009</v>
      </c>
      <c r="N432">
        <v>0.10000000000000009</v>
      </c>
      <c r="O432">
        <v>0.30000000000000027</v>
      </c>
      <c r="P432">
        <v>0.30000000000000027</v>
      </c>
      <c r="Q432">
        <v>9.0000000000000163E-2</v>
      </c>
      <c r="R432">
        <v>-0.29999999999999982</v>
      </c>
      <c r="S432">
        <v>0.29999999999999982</v>
      </c>
      <c r="T432" t="s">
        <v>157</v>
      </c>
      <c r="U432">
        <v>5.0999999999999996</v>
      </c>
      <c r="V432">
        <v>2.0999999999999996</v>
      </c>
      <c r="W432" t="s">
        <v>2513</v>
      </c>
      <c r="X432" t="s">
        <v>73</v>
      </c>
    </row>
    <row r="433" spans="1:24">
      <c r="A433" t="s">
        <v>210</v>
      </c>
      <c r="B433" t="s">
        <v>74</v>
      </c>
      <c r="C433" s="36">
        <v>45148</v>
      </c>
      <c r="D433" t="s">
        <v>771</v>
      </c>
      <c r="E433" s="36">
        <v>45747</v>
      </c>
      <c r="F433" t="s">
        <v>100</v>
      </c>
      <c r="G433" s="36">
        <v>45743</v>
      </c>
      <c r="H433">
        <v>13</v>
      </c>
      <c r="I433" t="s">
        <v>2508</v>
      </c>
      <c r="J433">
        <v>3.1</v>
      </c>
      <c r="K433">
        <v>2.8</v>
      </c>
      <c r="L433">
        <v>3</v>
      </c>
      <c r="M433">
        <v>0.10000000000000009</v>
      </c>
      <c r="N433">
        <v>0.10000000000000009</v>
      </c>
      <c r="O433">
        <v>0.30000000000000027</v>
      </c>
      <c r="P433">
        <v>0.30000000000000027</v>
      </c>
      <c r="Q433">
        <v>9.0000000000000163E-2</v>
      </c>
      <c r="R433">
        <v>0</v>
      </c>
      <c r="S433">
        <v>0</v>
      </c>
      <c r="T433" t="s">
        <v>160</v>
      </c>
      <c r="U433">
        <v>3.9</v>
      </c>
      <c r="V433">
        <v>0.89999999999999991</v>
      </c>
      <c r="W433" t="s">
        <v>2513</v>
      </c>
      <c r="X433" t="s">
        <v>75</v>
      </c>
    </row>
    <row r="434" spans="1:24">
      <c r="A434" t="s">
        <v>210</v>
      </c>
      <c r="B434" t="s">
        <v>76</v>
      </c>
      <c r="C434" s="36">
        <v>45197</v>
      </c>
      <c r="D434" t="s">
        <v>771</v>
      </c>
      <c r="E434" s="36">
        <v>45747</v>
      </c>
      <c r="F434" t="s">
        <v>100</v>
      </c>
      <c r="G434" s="36">
        <v>45743</v>
      </c>
      <c r="H434">
        <v>12</v>
      </c>
      <c r="I434" t="s">
        <v>2509</v>
      </c>
      <c r="J434">
        <v>3</v>
      </c>
      <c r="K434">
        <v>2.8</v>
      </c>
      <c r="L434">
        <v>3</v>
      </c>
      <c r="M434">
        <v>0</v>
      </c>
      <c r="N434">
        <v>0</v>
      </c>
      <c r="O434">
        <v>0.20000000000000018</v>
      </c>
      <c r="P434">
        <v>0.20000000000000018</v>
      </c>
      <c r="Q434">
        <v>4.000000000000007E-2</v>
      </c>
      <c r="R434">
        <v>-0.10000000000000009</v>
      </c>
      <c r="S434">
        <v>0.10000000000000009</v>
      </c>
      <c r="T434" t="s">
        <v>160</v>
      </c>
      <c r="U434">
        <v>4</v>
      </c>
      <c r="V434">
        <v>1</v>
      </c>
      <c r="W434" t="s">
        <v>2513</v>
      </c>
      <c r="X434" t="s">
        <v>77</v>
      </c>
    </row>
    <row r="435" spans="1:24">
      <c r="A435" t="s">
        <v>210</v>
      </c>
      <c r="B435" t="s">
        <v>78</v>
      </c>
      <c r="C435" s="36">
        <v>45239</v>
      </c>
      <c r="D435" t="s">
        <v>771</v>
      </c>
      <c r="E435" s="36">
        <v>45747</v>
      </c>
      <c r="F435" t="s">
        <v>100</v>
      </c>
      <c r="G435" s="36">
        <v>45743</v>
      </c>
      <c r="H435">
        <v>11</v>
      </c>
      <c r="I435" t="s">
        <v>2506</v>
      </c>
      <c r="J435">
        <v>3.2</v>
      </c>
      <c r="K435">
        <v>2.8</v>
      </c>
      <c r="L435">
        <v>3</v>
      </c>
      <c r="M435">
        <v>0.20000000000000018</v>
      </c>
      <c r="N435">
        <v>0.20000000000000018</v>
      </c>
      <c r="O435">
        <v>0.40000000000000036</v>
      </c>
      <c r="P435">
        <v>0.40000000000000036</v>
      </c>
      <c r="Q435">
        <v>0.16000000000000028</v>
      </c>
      <c r="R435">
        <v>0.20000000000000018</v>
      </c>
      <c r="S435">
        <v>0.20000000000000018</v>
      </c>
      <c r="T435" t="s">
        <v>183</v>
      </c>
      <c r="U435">
        <v>4.4000000000000004</v>
      </c>
      <c r="V435">
        <v>1.4000000000000004</v>
      </c>
      <c r="W435" t="s">
        <v>2513</v>
      </c>
      <c r="X435" t="s">
        <v>79</v>
      </c>
    </row>
    <row r="436" spans="1:24">
      <c r="A436" t="s">
        <v>210</v>
      </c>
      <c r="B436" t="s">
        <v>80</v>
      </c>
      <c r="C436" s="36">
        <v>45274</v>
      </c>
      <c r="D436" t="s">
        <v>771</v>
      </c>
      <c r="E436" s="36">
        <v>45747</v>
      </c>
      <c r="F436" t="s">
        <v>100</v>
      </c>
      <c r="G436" s="36">
        <v>45743</v>
      </c>
      <c r="H436">
        <v>10</v>
      </c>
      <c r="I436" t="s">
        <v>2507</v>
      </c>
      <c r="J436">
        <v>3.3</v>
      </c>
      <c r="K436">
        <v>2.8</v>
      </c>
      <c r="L436">
        <v>3</v>
      </c>
      <c r="M436">
        <v>0.29999999999999982</v>
      </c>
      <c r="N436">
        <v>0.29999999999999982</v>
      </c>
      <c r="O436">
        <v>0.5</v>
      </c>
      <c r="P436">
        <v>0.5</v>
      </c>
      <c r="Q436">
        <v>0.25</v>
      </c>
      <c r="R436">
        <v>9.9999999999999645E-2</v>
      </c>
      <c r="S436">
        <v>9.9999999999999645E-2</v>
      </c>
      <c r="T436" t="s">
        <v>183</v>
      </c>
      <c r="U436">
        <v>4.4000000000000004</v>
      </c>
      <c r="V436">
        <v>1.4000000000000004</v>
      </c>
      <c r="W436" t="s">
        <v>2513</v>
      </c>
      <c r="X436" t="s">
        <v>81</v>
      </c>
    </row>
    <row r="437" spans="1:24">
      <c r="A437" t="s">
        <v>210</v>
      </c>
      <c r="B437" t="s">
        <v>82</v>
      </c>
      <c r="C437" s="36">
        <v>45330</v>
      </c>
      <c r="D437" t="s">
        <v>771</v>
      </c>
      <c r="E437" s="36">
        <v>45747</v>
      </c>
      <c r="F437" t="s">
        <v>100</v>
      </c>
      <c r="G437" s="36">
        <v>45743</v>
      </c>
      <c r="H437">
        <v>9</v>
      </c>
      <c r="I437" t="s">
        <v>2504</v>
      </c>
      <c r="J437">
        <v>3.6</v>
      </c>
      <c r="K437">
        <v>2.8</v>
      </c>
      <c r="L437">
        <v>3</v>
      </c>
      <c r="M437">
        <v>0.60000000000000009</v>
      </c>
      <c r="N437">
        <v>0.60000000000000009</v>
      </c>
      <c r="O437">
        <v>0.80000000000000027</v>
      </c>
      <c r="P437">
        <v>0.80000000000000027</v>
      </c>
      <c r="Q437">
        <v>0.64000000000000046</v>
      </c>
      <c r="R437">
        <v>0.30000000000000027</v>
      </c>
      <c r="S437">
        <v>0.30000000000000027</v>
      </c>
      <c r="T437" t="s">
        <v>254</v>
      </c>
      <c r="U437">
        <v>5.2</v>
      </c>
      <c r="V437">
        <v>2.2000000000000002</v>
      </c>
      <c r="W437" t="s">
        <v>2513</v>
      </c>
      <c r="X437" t="s">
        <v>83</v>
      </c>
    </row>
    <row r="438" spans="1:24">
      <c r="A438" t="s">
        <v>210</v>
      </c>
      <c r="B438" t="s">
        <v>84</v>
      </c>
      <c r="C438" s="36">
        <v>45372</v>
      </c>
      <c r="D438" t="s">
        <v>771</v>
      </c>
      <c r="E438" s="36">
        <v>45747</v>
      </c>
      <c r="F438" t="s">
        <v>100</v>
      </c>
      <c r="G438" s="36">
        <v>45743</v>
      </c>
      <c r="H438">
        <v>8</v>
      </c>
      <c r="I438" t="s">
        <v>2505</v>
      </c>
      <c r="J438">
        <v>3.4</v>
      </c>
      <c r="K438">
        <v>2.8</v>
      </c>
      <c r="L438">
        <v>3</v>
      </c>
      <c r="M438">
        <v>0.39999999999999991</v>
      </c>
      <c r="N438">
        <v>0.39999999999999991</v>
      </c>
      <c r="O438">
        <v>0.60000000000000009</v>
      </c>
      <c r="P438">
        <v>0.60000000000000009</v>
      </c>
      <c r="Q438">
        <v>0.3600000000000001</v>
      </c>
      <c r="R438">
        <v>-0.20000000000000018</v>
      </c>
      <c r="S438">
        <v>0.20000000000000018</v>
      </c>
      <c r="T438" t="s">
        <v>254</v>
      </c>
      <c r="U438">
        <v>5.2</v>
      </c>
      <c r="V438">
        <v>2.2000000000000002</v>
      </c>
      <c r="W438" t="s">
        <v>2513</v>
      </c>
      <c r="X438" t="s">
        <v>85</v>
      </c>
    </row>
    <row r="439" spans="1:24">
      <c r="A439" t="s">
        <v>210</v>
      </c>
      <c r="B439" t="s">
        <v>86</v>
      </c>
      <c r="C439" s="36">
        <v>45421</v>
      </c>
      <c r="D439" t="s">
        <v>771</v>
      </c>
      <c r="E439" s="36">
        <v>45747</v>
      </c>
      <c r="F439" t="s">
        <v>100</v>
      </c>
      <c r="G439" s="36">
        <v>45743</v>
      </c>
      <c r="H439">
        <v>7</v>
      </c>
      <c r="I439" t="s">
        <v>2502</v>
      </c>
      <c r="J439">
        <v>3.4</v>
      </c>
      <c r="K439">
        <v>2.8</v>
      </c>
      <c r="L439">
        <v>3</v>
      </c>
      <c r="M439">
        <v>0.39999999999999991</v>
      </c>
      <c r="N439">
        <v>0.39999999999999991</v>
      </c>
      <c r="O439">
        <v>0.60000000000000009</v>
      </c>
      <c r="P439">
        <v>0.60000000000000009</v>
      </c>
      <c r="Q439">
        <v>0.3600000000000001</v>
      </c>
      <c r="R439">
        <v>0</v>
      </c>
      <c r="S439">
        <v>0</v>
      </c>
      <c r="T439" t="s">
        <v>355</v>
      </c>
      <c r="U439">
        <v>4.9000000000000004</v>
      </c>
      <c r="V439">
        <v>1.9000000000000004</v>
      </c>
      <c r="W439" t="s">
        <v>2513</v>
      </c>
      <c r="X439" t="s">
        <v>87</v>
      </c>
    </row>
    <row r="440" spans="1:24">
      <c r="A440" t="s">
        <v>210</v>
      </c>
      <c r="B440" t="s">
        <v>88</v>
      </c>
      <c r="C440" s="36">
        <v>45470</v>
      </c>
      <c r="D440" t="s">
        <v>771</v>
      </c>
      <c r="E440" s="36">
        <v>45747</v>
      </c>
      <c r="F440" t="s">
        <v>100</v>
      </c>
      <c r="G440" s="36">
        <v>45743</v>
      </c>
      <c r="H440">
        <v>6</v>
      </c>
      <c r="I440" t="s">
        <v>2503</v>
      </c>
      <c r="J440">
        <v>3.1</v>
      </c>
      <c r="K440">
        <v>2.8</v>
      </c>
      <c r="L440">
        <v>3</v>
      </c>
      <c r="M440">
        <v>0.10000000000000009</v>
      </c>
      <c r="N440">
        <v>0.10000000000000009</v>
      </c>
      <c r="O440">
        <v>0.30000000000000027</v>
      </c>
      <c r="P440">
        <v>0.30000000000000027</v>
      </c>
      <c r="Q440">
        <v>9.0000000000000163E-2</v>
      </c>
      <c r="R440">
        <v>-0.29999999999999982</v>
      </c>
      <c r="S440">
        <v>0.29999999999999982</v>
      </c>
      <c r="T440" t="s">
        <v>355</v>
      </c>
      <c r="U440">
        <v>4.9000000000000004</v>
      </c>
      <c r="V440">
        <v>1.9000000000000004</v>
      </c>
      <c r="W440" t="s">
        <v>2513</v>
      </c>
      <c r="X440" t="s">
        <v>89</v>
      </c>
    </row>
    <row r="441" spans="1:24">
      <c r="A441" t="s">
        <v>210</v>
      </c>
      <c r="B441" t="s">
        <v>90</v>
      </c>
      <c r="C441" s="36">
        <v>45512</v>
      </c>
      <c r="D441" t="s">
        <v>771</v>
      </c>
      <c r="E441" s="36">
        <v>45747</v>
      </c>
      <c r="F441" t="s">
        <v>100</v>
      </c>
      <c r="G441" s="36">
        <v>45743</v>
      </c>
      <c r="H441">
        <v>5</v>
      </c>
      <c r="I441" t="s">
        <v>2500</v>
      </c>
      <c r="J441">
        <v>2.9</v>
      </c>
      <c r="K441">
        <v>2.8</v>
      </c>
      <c r="L441">
        <v>3</v>
      </c>
      <c r="M441">
        <v>-0.10000000000000009</v>
      </c>
      <c r="N441">
        <v>0.10000000000000009</v>
      </c>
      <c r="O441">
        <v>0.10000000000000009</v>
      </c>
      <c r="P441">
        <v>0.10000000000000009</v>
      </c>
      <c r="Q441">
        <v>1.0000000000000018E-2</v>
      </c>
      <c r="R441">
        <v>-0.20000000000000018</v>
      </c>
      <c r="S441">
        <v>0.20000000000000018</v>
      </c>
      <c r="T441" t="s">
        <v>460</v>
      </c>
      <c r="U441">
        <v>4.4000000000000004</v>
      </c>
      <c r="V441">
        <v>1.4000000000000004</v>
      </c>
      <c r="W441" t="s">
        <v>2513</v>
      </c>
      <c r="X441" t="s">
        <v>91</v>
      </c>
    </row>
    <row r="442" spans="1:24">
      <c r="A442" t="s">
        <v>210</v>
      </c>
      <c r="B442" t="s">
        <v>92</v>
      </c>
      <c r="C442" s="36">
        <v>45561</v>
      </c>
      <c r="D442" t="s">
        <v>771</v>
      </c>
      <c r="E442" s="36">
        <v>45747</v>
      </c>
      <c r="F442" t="s">
        <v>100</v>
      </c>
      <c r="G442" s="36">
        <v>45743</v>
      </c>
      <c r="H442">
        <v>4</v>
      </c>
      <c r="I442" t="s">
        <v>2501</v>
      </c>
      <c r="J442">
        <v>3</v>
      </c>
      <c r="K442">
        <v>2.8</v>
      </c>
      <c r="L442">
        <v>3</v>
      </c>
      <c r="M442">
        <v>0</v>
      </c>
      <c r="N442">
        <v>0</v>
      </c>
      <c r="O442">
        <v>0.20000000000000018</v>
      </c>
      <c r="P442">
        <v>0.20000000000000018</v>
      </c>
      <c r="Q442">
        <v>4.000000000000007E-2</v>
      </c>
      <c r="R442">
        <v>0.10000000000000009</v>
      </c>
      <c r="S442">
        <v>0.10000000000000009</v>
      </c>
      <c r="T442" t="s">
        <v>460</v>
      </c>
      <c r="U442">
        <v>4.3</v>
      </c>
      <c r="V442">
        <v>1.2999999999999998</v>
      </c>
      <c r="W442" t="s">
        <v>2513</v>
      </c>
      <c r="X442" t="s">
        <v>93</v>
      </c>
    </row>
    <row r="443" spans="1:24">
      <c r="A443" t="s">
        <v>210</v>
      </c>
      <c r="B443" t="s">
        <v>94</v>
      </c>
      <c r="C443" s="36">
        <v>45610</v>
      </c>
      <c r="D443" t="s">
        <v>771</v>
      </c>
      <c r="E443" s="36">
        <v>45747</v>
      </c>
      <c r="F443" t="s">
        <v>100</v>
      </c>
      <c r="G443" s="36">
        <v>45743</v>
      </c>
      <c r="H443">
        <v>3</v>
      </c>
      <c r="I443" t="s">
        <v>2498</v>
      </c>
      <c r="J443">
        <v>2.8</v>
      </c>
      <c r="K443">
        <v>2.8</v>
      </c>
      <c r="L443">
        <v>3</v>
      </c>
      <c r="M443">
        <v>-0.20000000000000018</v>
      </c>
      <c r="N443">
        <v>0.20000000000000018</v>
      </c>
      <c r="O443">
        <v>0</v>
      </c>
      <c r="P443">
        <v>0</v>
      </c>
      <c r="Q443">
        <v>0</v>
      </c>
      <c r="R443">
        <v>-0.20000000000000018</v>
      </c>
      <c r="S443">
        <v>0.20000000000000018</v>
      </c>
      <c r="T443" t="s">
        <v>565</v>
      </c>
      <c r="U443">
        <v>5.3</v>
      </c>
      <c r="V443">
        <v>2.2999999999999998</v>
      </c>
      <c r="W443" t="s">
        <v>2513</v>
      </c>
      <c r="X443" t="s">
        <v>95</v>
      </c>
    </row>
    <row r="444" spans="1:24">
      <c r="A444" t="s">
        <v>210</v>
      </c>
      <c r="B444" t="s">
        <v>96</v>
      </c>
      <c r="C444" s="36">
        <v>45645</v>
      </c>
      <c r="D444" t="s">
        <v>771</v>
      </c>
      <c r="E444" s="36">
        <v>45747</v>
      </c>
      <c r="F444" t="s">
        <v>100</v>
      </c>
      <c r="G444" s="36">
        <v>45743</v>
      </c>
      <c r="H444">
        <v>2</v>
      </c>
      <c r="I444" t="s">
        <v>2499</v>
      </c>
      <c r="J444">
        <v>3</v>
      </c>
      <c r="K444">
        <v>2.8</v>
      </c>
      <c r="L444">
        <v>3</v>
      </c>
      <c r="M444">
        <v>0</v>
      </c>
      <c r="N444">
        <v>0</v>
      </c>
      <c r="O444">
        <v>0.20000000000000018</v>
      </c>
      <c r="P444">
        <v>0.20000000000000018</v>
      </c>
      <c r="Q444">
        <v>4.000000000000007E-2</v>
      </c>
      <c r="R444">
        <v>0.20000000000000018</v>
      </c>
      <c r="S444">
        <v>0.20000000000000018</v>
      </c>
      <c r="T444" t="s">
        <v>565</v>
      </c>
      <c r="U444">
        <v>5.3</v>
      </c>
      <c r="V444">
        <v>2.2999999999999998</v>
      </c>
      <c r="W444" t="s">
        <v>2513</v>
      </c>
      <c r="X444" t="s">
        <v>97</v>
      </c>
    </row>
    <row r="445" spans="1:24">
      <c r="A445" t="s">
        <v>210</v>
      </c>
      <c r="B445" t="s">
        <v>98</v>
      </c>
      <c r="C445" s="36">
        <v>45694</v>
      </c>
      <c r="D445" t="s">
        <v>771</v>
      </c>
      <c r="E445" s="36">
        <v>45747</v>
      </c>
      <c r="F445" t="s">
        <v>100</v>
      </c>
      <c r="G445" s="36">
        <v>45743</v>
      </c>
      <c r="H445">
        <v>1</v>
      </c>
      <c r="I445" t="s">
        <v>2495</v>
      </c>
      <c r="J445">
        <v>2.8</v>
      </c>
      <c r="K445">
        <v>2.8</v>
      </c>
      <c r="L445">
        <v>3</v>
      </c>
      <c r="M445">
        <v>-0.20000000000000018</v>
      </c>
      <c r="N445">
        <v>0.20000000000000018</v>
      </c>
      <c r="O445">
        <v>0</v>
      </c>
      <c r="P445">
        <v>0</v>
      </c>
      <c r="Q445">
        <v>0</v>
      </c>
      <c r="R445">
        <v>-0.20000000000000018</v>
      </c>
      <c r="S445">
        <v>0.20000000000000018</v>
      </c>
      <c r="T445" t="s">
        <v>670</v>
      </c>
      <c r="U445">
        <v>3.2</v>
      </c>
      <c r="V445">
        <v>0.20000000000000018</v>
      </c>
      <c r="W445" t="s">
        <v>2513</v>
      </c>
      <c r="X445" t="s">
        <v>99</v>
      </c>
    </row>
    <row r="446" spans="1:24">
      <c r="A446" t="s">
        <v>210</v>
      </c>
      <c r="B446" t="s">
        <v>100</v>
      </c>
      <c r="C446" s="36">
        <v>45743</v>
      </c>
      <c r="D446" t="s">
        <v>771</v>
      </c>
      <c r="E446" s="36">
        <v>45747</v>
      </c>
      <c r="F446" t="s">
        <v>100</v>
      </c>
      <c r="G446" s="36">
        <v>45743</v>
      </c>
      <c r="H446">
        <v>0</v>
      </c>
      <c r="I446" t="s">
        <v>2497</v>
      </c>
      <c r="J446">
        <v>2.9</v>
      </c>
      <c r="K446">
        <v>2.8</v>
      </c>
      <c r="L446">
        <v>3</v>
      </c>
      <c r="M446">
        <v>-0.10000000000000009</v>
      </c>
      <c r="N446">
        <v>0.10000000000000009</v>
      </c>
      <c r="O446">
        <v>0.10000000000000009</v>
      </c>
      <c r="P446">
        <v>0.10000000000000009</v>
      </c>
      <c r="Q446">
        <v>1.0000000000000018E-2</v>
      </c>
      <c r="R446">
        <v>0.10000000000000009</v>
      </c>
      <c r="S446">
        <v>0.10000000000000009</v>
      </c>
      <c r="T446" t="s">
        <v>670</v>
      </c>
      <c r="U446">
        <v>3</v>
      </c>
      <c r="V446">
        <v>0</v>
      </c>
      <c r="W446" t="s">
        <v>2513</v>
      </c>
      <c r="X446" t="s">
        <v>101</v>
      </c>
    </row>
    <row r="447" spans="1:24">
      <c r="A447" t="s">
        <v>210</v>
      </c>
      <c r="B447" t="s">
        <v>72</v>
      </c>
      <c r="C447" s="36">
        <v>45099</v>
      </c>
      <c r="D447" t="s">
        <v>876</v>
      </c>
      <c r="E447" s="36">
        <v>45838</v>
      </c>
      <c r="F447" t="s">
        <v>104</v>
      </c>
      <c r="G447" s="36">
        <v>45834</v>
      </c>
      <c r="H447">
        <v>16</v>
      </c>
      <c r="I447" t="s">
        <v>2512</v>
      </c>
      <c r="J447">
        <v>2.9</v>
      </c>
      <c r="K447">
        <v>5.3</v>
      </c>
      <c r="L447">
        <v>3</v>
      </c>
      <c r="M447">
        <v>-0.10000000000000009</v>
      </c>
      <c r="N447">
        <v>0.10000000000000009</v>
      </c>
      <c r="O447">
        <v>-2.4</v>
      </c>
      <c r="P447">
        <v>2.4</v>
      </c>
      <c r="Q447">
        <v>5.76</v>
      </c>
      <c r="T447" t="s">
        <v>157</v>
      </c>
      <c r="U447">
        <v>5.0999999999999996</v>
      </c>
      <c r="V447">
        <v>2.0999999999999996</v>
      </c>
      <c r="W447" t="s">
        <v>2496</v>
      </c>
      <c r="X447" t="s">
        <v>73</v>
      </c>
    </row>
    <row r="448" spans="1:24">
      <c r="A448" t="s">
        <v>210</v>
      </c>
      <c r="B448" t="s">
        <v>74</v>
      </c>
      <c r="C448" s="36">
        <v>45148</v>
      </c>
      <c r="D448" t="s">
        <v>876</v>
      </c>
      <c r="E448" s="36">
        <v>45838</v>
      </c>
      <c r="F448" t="s">
        <v>104</v>
      </c>
      <c r="G448" s="36">
        <v>45834</v>
      </c>
      <c r="H448">
        <v>15</v>
      </c>
      <c r="I448" t="s">
        <v>2510</v>
      </c>
      <c r="J448">
        <v>2.8</v>
      </c>
      <c r="K448">
        <v>5.3</v>
      </c>
      <c r="L448">
        <v>3</v>
      </c>
      <c r="M448">
        <v>-0.20000000000000018</v>
      </c>
      <c r="N448">
        <v>0.20000000000000018</v>
      </c>
      <c r="O448">
        <v>-2.5</v>
      </c>
      <c r="P448">
        <v>2.5</v>
      </c>
      <c r="Q448">
        <v>6.25</v>
      </c>
      <c r="R448">
        <v>-0.10000000000000009</v>
      </c>
      <c r="S448">
        <v>0.10000000000000009</v>
      </c>
      <c r="T448" t="s">
        <v>160</v>
      </c>
      <c r="U448">
        <v>3.9</v>
      </c>
      <c r="V448">
        <v>0.89999999999999991</v>
      </c>
      <c r="W448" t="s">
        <v>2496</v>
      </c>
      <c r="X448" t="s">
        <v>75</v>
      </c>
    </row>
    <row r="449" spans="1:24">
      <c r="A449" t="s">
        <v>210</v>
      </c>
      <c r="B449" t="s">
        <v>76</v>
      </c>
      <c r="C449" s="36">
        <v>45197</v>
      </c>
      <c r="D449" t="s">
        <v>876</v>
      </c>
      <c r="E449" s="36">
        <v>45838</v>
      </c>
      <c r="F449" t="s">
        <v>104</v>
      </c>
      <c r="G449" s="36">
        <v>45834</v>
      </c>
      <c r="H449">
        <v>14</v>
      </c>
      <c r="I449" t="s">
        <v>2511</v>
      </c>
      <c r="J449">
        <v>2.8</v>
      </c>
      <c r="K449">
        <v>5.3</v>
      </c>
      <c r="L449">
        <v>3</v>
      </c>
      <c r="M449">
        <v>-0.20000000000000018</v>
      </c>
      <c r="N449">
        <v>0.20000000000000018</v>
      </c>
      <c r="O449">
        <v>-2.5</v>
      </c>
      <c r="P449">
        <v>2.5</v>
      </c>
      <c r="Q449">
        <v>6.25</v>
      </c>
      <c r="R449">
        <v>0</v>
      </c>
      <c r="S449">
        <v>0</v>
      </c>
      <c r="T449" t="s">
        <v>160</v>
      </c>
      <c r="U449">
        <v>4</v>
      </c>
      <c r="V449">
        <v>1</v>
      </c>
      <c r="W449" t="s">
        <v>2496</v>
      </c>
      <c r="X449" t="s">
        <v>77</v>
      </c>
    </row>
    <row r="450" spans="1:24">
      <c r="A450" t="s">
        <v>210</v>
      </c>
      <c r="B450" t="s">
        <v>78</v>
      </c>
      <c r="C450" s="36">
        <v>45239</v>
      </c>
      <c r="D450" t="s">
        <v>876</v>
      </c>
      <c r="E450" s="36">
        <v>45838</v>
      </c>
      <c r="F450" t="s">
        <v>104</v>
      </c>
      <c r="G450" s="36">
        <v>45834</v>
      </c>
      <c r="H450">
        <v>13</v>
      </c>
      <c r="I450" t="s">
        <v>2508</v>
      </c>
      <c r="J450">
        <v>2.9</v>
      </c>
      <c r="K450">
        <v>5.3</v>
      </c>
      <c r="L450">
        <v>3</v>
      </c>
      <c r="M450">
        <v>-0.10000000000000009</v>
      </c>
      <c r="N450">
        <v>0.10000000000000009</v>
      </c>
      <c r="O450">
        <v>-2.4</v>
      </c>
      <c r="P450">
        <v>2.4</v>
      </c>
      <c r="Q450">
        <v>5.76</v>
      </c>
      <c r="R450">
        <v>0.10000000000000009</v>
      </c>
      <c r="S450">
        <v>0.10000000000000009</v>
      </c>
      <c r="T450" t="s">
        <v>183</v>
      </c>
      <c r="U450">
        <v>4.4000000000000004</v>
      </c>
      <c r="V450">
        <v>1.4000000000000004</v>
      </c>
      <c r="W450" t="s">
        <v>2496</v>
      </c>
      <c r="X450" t="s">
        <v>79</v>
      </c>
    </row>
    <row r="451" spans="1:24">
      <c r="A451" t="s">
        <v>210</v>
      </c>
      <c r="B451" t="s">
        <v>80</v>
      </c>
      <c r="C451" s="36">
        <v>45274</v>
      </c>
      <c r="D451" t="s">
        <v>876</v>
      </c>
      <c r="E451" s="36">
        <v>45838</v>
      </c>
      <c r="F451" t="s">
        <v>104</v>
      </c>
      <c r="G451" s="36">
        <v>45834</v>
      </c>
      <c r="H451">
        <v>12</v>
      </c>
      <c r="I451" t="s">
        <v>2509</v>
      </c>
      <c r="J451">
        <v>2.9</v>
      </c>
      <c r="K451">
        <v>5.3</v>
      </c>
      <c r="L451">
        <v>3</v>
      </c>
      <c r="M451">
        <v>-0.10000000000000009</v>
      </c>
      <c r="N451">
        <v>0.10000000000000009</v>
      </c>
      <c r="O451">
        <v>-2.4</v>
      </c>
      <c r="P451">
        <v>2.4</v>
      </c>
      <c r="Q451">
        <v>5.76</v>
      </c>
      <c r="R451">
        <v>0</v>
      </c>
      <c r="S451">
        <v>0</v>
      </c>
      <c r="T451" t="s">
        <v>183</v>
      </c>
      <c r="U451">
        <v>4.4000000000000004</v>
      </c>
      <c r="V451">
        <v>1.4000000000000004</v>
      </c>
      <c r="W451" t="s">
        <v>2496</v>
      </c>
      <c r="X451" t="s">
        <v>81</v>
      </c>
    </row>
    <row r="452" spans="1:24">
      <c r="A452" t="s">
        <v>210</v>
      </c>
      <c r="B452" t="s">
        <v>82</v>
      </c>
      <c r="C452" s="36">
        <v>45330</v>
      </c>
      <c r="D452" t="s">
        <v>876</v>
      </c>
      <c r="E452" s="36">
        <v>45838</v>
      </c>
      <c r="F452" t="s">
        <v>104</v>
      </c>
      <c r="G452" s="36">
        <v>45834</v>
      </c>
      <c r="H452">
        <v>11</v>
      </c>
      <c r="I452" t="s">
        <v>2506</v>
      </c>
      <c r="J452">
        <v>2.7</v>
      </c>
      <c r="K452">
        <v>5.3</v>
      </c>
      <c r="L452">
        <v>3</v>
      </c>
      <c r="M452">
        <v>-0.29999999999999982</v>
      </c>
      <c r="N452">
        <v>0.29999999999999982</v>
      </c>
      <c r="O452">
        <v>-2.5999999999999996</v>
      </c>
      <c r="P452">
        <v>2.5999999999999996</v>
      </c>
      <c r="Q452">
        <v>6.759999999999998</v>
      </c>
      <c r="R452">
        <v>-0.19999999999999973</v>
      </c>
      <c r="S452">
        <v>0.19999999999999973</v>
      </c>
      <c r="T452" t="s">
        <v>254</v>
      </c>
      <c r="U452">
        <v>5.2</v>
      </c>
      <c r="V452">
        <v>2.2000000000000002</v>
      </c>
      <c r="W452" t="s">
        <v>2496</v>
      </c>
      <c r="X452" t="s">
        <v>83</v>
      </c>
    </row>
    <row r="453" spans="1:24">
      <c r="A453" t="s">
        <v>210</v>
      </c>
      <c r="B453" t="s">
        <v>84</v>
      </c>
      <c r="C453" s="36">
        <v>45372</v>
      </c>
      <c r="D453" t="s">
        <v>876</v>
      </c>
      <c r="E453" s="36">
        <v>45838</v>
      </c>
      <c r="F453" t="s">
        <v>104</v>
      </c>
      <c r="G453" s="36">
        <v>45834</v>
      </c>
      <c r="H453">
        <v>10</v>
      </c>
      <c r="I453" t="s">
        <v>2507</v>
      </c>
      <c r="J453">
        <v>2.5</v>
      </c>
      <c r="K453">
        <v>5.3</v>
      </c>
      <c r="L453">
        <v>3</v>
      </c>
      <c r="M453">
        <v>-0.5</v>
      </c>
      <c r="N453">
        <v>0.5</v>
      </c>
      <c r="O453">
        <v>-2.8</v>
      </c>
      <c r="P453">
        <v>2.8</v>
      </c>
      <c r="Q453">
        <v>7.839999999999999</v>
      </c>
      <c r="R453">
        <v>-0.20000000000000018</v>
      </c>
      <c r="S453">
        <v>0.20000000000000018</v>
      </c>
      <c r="T453" t="s">
        <v>254</v>
      </c>
      <c r="U453">
        <v>5.2</v>
      </c>
      <c r="V453">
        <v>2.2000000000000002</v>
      </c>
      <c r="W453" t="s">
        <v>2496</v>
      </c>
      <c r="X453" t="s">
        <v>85</v>
      </c>
    </row>
    <row r="454" spans="1:24">
      <c r="A454" t="s">
        <v>210</v>
      </c>
      <c r="B454" t="s">
        <v>86</v>
      </c>
      <c r="C454" s="36">
        <v>45421</v>
      </c>
      <c r="D454" t="s">
        <v>876</v>
      </c>
      <c r="E454" s="36">
        <v>45838</v>
      </c>
      <c r="F454" t="s">
        <v>104</v>
      </c>
      <c r="G454" s="36">
        <v>45834</v>
      </c>
      <c r="H454">
        <v>9</v>
      </c>
      <c r="I454" t="s">
        <v>2504</v>
      </c>
      <c r="J454">
        <v>2.7</v>
      </c>
      <c r="K454">
        <v>5.3</v>
      </c>
      <c r="L454">
        <v>3</v>
      </c>
      <c r="M454">
        <v>-0.29999999999999982</v>
      </c>
      <c r="N454">
        <v>0.29999999999999982</v>
      </c>
      <c r="O454">
        <v>-2.5999999999999996</v>
      </c>
      <c r="P454">
        <v>2.5999999999999996</v>
      </c>
      <c r="Q454">
        <v>6.759999999999998</v>
      </c>
      <c r="R454">
        <v>0.20000000000000018</v>
      </c>
      <c r="S454">
        <v>0.20000000000000018</v>
      </c>
      <c r="T454" t="s">
        <v>355</v>
      </c>
      <c r="U454">
        <v>4.9000000000000004</v>
      </c>
      <c r="V454">
        <v>1.9000000000000004</v>
      </c>
      <c r="W454" t="s">
        <v>2496</v>
      </c>
      <c r="X454" t="s">
        <v>87</v>
      </c>
    </row>
    <row r="455" spans="1:24">
      <c r="A455" t="s">
        <v>210</v>
      </c>
      <c r="B455" t="s">
        <v>88</v>
      </c>
      <c r="C455" s="36">
        <v>45470</v>
      </c>
      <c r="D455" t="s">
        <v>876</v>
      </c>
      <c r="E455" s="36">
        <v>45838</v>
      </c>
      <c r="F455" t="s">
        <v>104</v>
      </c>
      <c r="G455" s="36">
        <v>45834</v>
      </c>
      <c r="H455">
        <v>8</v>
      </c>
      <c r="I455" t="s">
        <v>2505</v>
      </c>
      <c r="J455">
        <v>2.9</v>
      </c>
      <c r="K455">
        <v>5.3</v>
      </c>
      <c r="L455">
        <v>3</v>
      </c>
      <c r="M455">
        <v>-0.10000000000000009</v>
      </c>
      <c r="N455">
        <v>0.10000000000000009</v>
      </c>
      <c r="O455">
        <v>-2.4</v>
      </c>
      <c r="P455">
        <v>2.4</v>
      </c>
      <c r="Q455">
        <v>5.76</v>
      </c>
      <c r="R455">
        <v>0.19999999999999973</v>
      </c>
      <c r="S455">
        <v>0.19999999999999973</v>
      </c>
      <c r="T455" t="s">
        <v>355</v>
      </c>
      <c r="U455">
        <v>4.9000000000000004</v>
      </c>
      <c r="V455">
        <v>1.9000000000000004</v>
      </c>
      <c r="W455" t="s">
        <v>2496</v>
      </c>
      <c r="X455" t="s">
        <v>89</v>
      </c>
    </row>
    <row r="456" spans="1:24">
      <c r="A456" t="s">
        <v>210</v>
      </c>
      <c r="B456" t="s">
        <v>90</v>
      </c>
      <c r="C456" s="36">
        <v>45512</v>
      </c>
      <c r="D456" t="s">
        <v>876</v>
      </c>
      <c r="E456" s="36">
        <v>45838</v>
      </c>
      <c r="F456" t="s">
        <v>104</v>
      </c>
      <c r="G456" s="36">
        <v>45834</v>
      </c>
      <c r="H456">
        <v>7</v>
      </c>
      <c r="I456" t="s">
        <v>2502</v>
      </c>
      <c r="J456">
        <v>2.8</v>
      </c>
      <c r="K456">
        <v>5.3</v>
      </c>
      <c r="L456">
        <v>3</v>
      </c>
      <c r="M456">
        <v>-0.20000000000000018</v>
      </c>
      <c r="N456">
        <v>0.20000000000000018</v>
      </c>
      <c r="O456">
        <v>-2.5</v>
      </c>
      <c r="P456">
        <v>2.5</v>
      </c>
      <c r="Q456">
        <v>6.25</v>
      </c>
      <c r="R456">
        <v>-0.10000000000000009</v>
      </c>
      <c r="S456">
        <v>0.10000000000000009</v>
      </c>
      <c r="T456" t="s">
        <v>460</v>
      </c>
      <c r="U456">
        <v>4.4000000000000004</v>
      </c>
      <c r="V456">
        <v>1.4000000000000004</v>
      </c>
      <c r="W456" t="s">
        <v>2496</v>
      </c>
      <c r="X456" t="s">
        <v>91</v>
      </c>
    </row>
    <row r="457" spans="1:24">
      <c r="A457" t="s">
        <v>210</v>
      </c>
      <c r="B457" t="s">
        <v>92</v>
      </c>
      <c r="C457" s="36">
        <v>45561</v>
      </c>
      <c r="D457" t="s">
        <v>876</v>
      </c>
      <c r="E457" s="36">
        <v>45838</v>
      </c>
      <c r="F457" t="s">
        <v>104</v>
      </c>
      <c r="G457" s="36">
        <v>45834</v>
      </c>
      <c r="H457">
        <v>6</v>
      </c>
      <c r="I457" t="s">
        <v>2503</v>
      </c>
      <c r="J457">
        <v>3</v>
      </c>
      <c r="K457">
        <v>5.3</v>
      </c>
      <c r="L457">
        <v>3</v>
      </c>
      <c r="M457">
        <v>0</v>
      </c>
      <c r="N457">
        <v>0</v>
      </c>
      <c r="O457">
        <v>-2.2999999999999998</v>
      </c>
      <c r="P457">
        <v>2.2999999999999998</v>
      </c>
      <c r="Q457">
        <v>5.2899999999999991</v>
      </c>
      <c r="R457">
        <v>0.20000000000000018</v>
      </c>
      <c r="S457">
        <v>0.20000000000000018</v>
      </c>
      <c r="T457" t="s">
        <v>460</v>
      </c>
      <c r="U457">
        <v>4.3</v>
      </c>
      <c r="V457">
        <v>1.2999999999999998</v>
      </c>
      <c r="W457" t="s">
        <v>2496</v>
      </c>
      <c r="X457" t="s">
        <v>93</v>
      </c>
    </row>
    <row r="458" spans="1:24">
      <c r="A458" t="s">
        <v>210</v>
      </c>
      <c r="B458" t="s">
        <v>94</v>
      </c>
      <c r="C458" s="36">
        <v>45610</v>
      </c>
      <c r="D458" t="s">
        <v>876</v>
      </c>
      <c r="E458" s="36">
        <v>45838</v>
      </c>
      <c r="F458" t="s">
        <v>104</v>
      </c>
      <c r="G458" s="36">
        <v>45834</v>
      </c>
      <c r="H458">
        <v>5</v>
      </c>
      <c r="I458" t="s">
        <v>2500</v>
      </c>
      <c r="J458">
        <v>2.5</v>
      </c>
      <c r="K458">
        <v>5.3</v>
      </c>
      <c r="L458">
        <v>3</v>
      </c>
      <c r="M458">
        <v>-0.5</v>
      </c>
      <c r="N458">
        <v>0.5</v>
      </c>
      <c r="O458">
        <v>-2.8</v>
      </c>
      <c r="P458">
        <v>2.8</v>
      </c>
      <c r="Q458">
        <v>7.839999999999999</v>
      </c>
      <c r="R458">
        <v>-0.5</v>
      </c>
      <c r="S458">
        <v>0.5</v>
      </c>
      <c r="T458" t="s">
        <v>565</v>
      </c>
      <c r="U458">
        <v>5.3</v>
      </c>
      <c r="V458">
        <v>2.2999999999999998</v>
      </c>
      <c r="W458" t="s">
        <v>2496</v>
      </c>
      <c r="X458" t="s">
        <v>95</v>
      </c>
    </row>
    <row r="459" spans="1:24">
      <c r="A459" t="s">
        <v>210</v>
      </c>
      <c r="B459" t="s">
        <v>96</v>
      </c>
      <c r="C459" s="36">
        <v>45645</v>
      </c>
      <c r="D459" t="s">
        <v>876</v>
      </c>
      <c r="E459" s="36">
        <v>45838</v>
      </c>
      <c r="F459" t="s">
        <v>104</v>
      </c>
      <c r="G459" s="36">
        <v>45834</v>
      </c>
      <c r="H459">
        <v>4</v>
      </c>
      <c r="I459" t="s">
        <v>2501</v>
      </c>
      <c r="J459">
        <v>3.1</v>
      </c>
      <c r="K459">
        <v>5.3</v>
      </c>
      <c r="L459">
        <v>3</v>
      </c>
      <c r="M459">
        <v>0.10000000000000009</v>
      </c>
      <c r="N459">
        <v>0.10000000000000009</v>
      </c>
      <c r="O459">
        <v>-2.1999999999999997</v>
      </c>
      <c r="P459">
        <v>2.1999999999999997</v>
      </c>
      <c r="Q459">
        <v>4.839999999999999</v>
      </c>
      <c r="R459">
        <v>0.60000000000000009</v>
      </c>
      <c r="S459">
        <v>0.60000000000000009</v>
      </c>
      <c r="T459" t="s">
        <v>565</v>
      </c>
      <c r="U459">
        <v>5.3</v>
      </c>
      <c r="V459">
        <v>2.2999999999999998</v>
      </c>
      <c r="W459" t="s">
        <v>2496</v>
      </c>
      <c r="X459" t="s">
        <v>97</v>
      </c>
    </row>
    <row r="460" spans="1:24">
      <c r="A460" t="s">
        <v>210</v>
      </c>
      <c r="B460" t="s">
        <v>98</v>
      </c>
      <c r="C460" s="36">
        <v>45694</v>
      </c>
      <c r="D460" t="s">
        <v>876</v>
      </c>
      <c r="E460" s="36">
        <v>45838</v>
      </c>
      <c r="F460" t="s">
        <v>104</v>
      </c>
      <c r="G460" s="36">
        <v>45834</v>
      </c>
      <c r="H460">
        <v>3</v>
      </c>
      <c r="I460" t="s">
        <v>2498</v>
      </c>
      <c r="J460">
        <v>3.6</v>
      </c>
      <c r="K460">
        <v>5.3</v>
      </c>
      <c r="L460">
        <v>3</v>
      </c>
      <c r="M460">
        <v>0.60000000000000009</v>
      </c>
      <c r="N460">
        <v>0.60000000000000009</v>
      </c>
      <c r="O460">
        <v>-1.6999999999999997</v>
      </c>
      <c r="P460">
        <v>1.6999999999999997</v>
      </c>
      <c r="Q460">
        <v>2.8899999999999992</v>
      </c>
      <c r="R460">
        <v>0.5</v>
      </c>
      <c r="S460">
        <v>0.5</v>
      </c>
      <c r="T460" t="s">
        <v>670</v>
      </c>
      <c r="U460">
        <v>3.2</v>
      </c>
      <c r="V460">
        <v>0.20000000000000018</v>
      </c>
      <c r="W460" t="s">
        <v>2496</v>
      </c>
      <c r="X460" t="s">
        <v>99</v>
      </c>
    </row>
    <row r="461" spans="1:24">
      <c r="A461" t="s">
        <v>210</v>
      </c>
      <c r="B461" t="s">
        <v>100</v>
      </c>
      <c r="C461" s="36">
        <v>45743</v>
      </c>
      <c r="D461" t="s">
        <v>876</v>
      </c>
      <c r="E461" s="36">
        <v>45838</v>
      </c>
      <c r="F461" t="s">
        <v>104</v>
      </c>
      <c r="G461" s="36">
        <v>45834</v>
      </c>
      <c r="H461">
        <v>2</v>
      </c>
      <c r="I461" t="s">
        <v>2499</v>
      </c>
      <c r="J461">
        <v>3.4</v>
      </c>
      <c r="K461">
        <v>5.3</v>
      </c>
      <c r="L461">
        <v>3</v>
      </c>
      <c r="M461">
        <v>0.39999999999999991</v>
      </c>
      <c r="N461">
        <v>0.39999999999999991</v>
      </c>
      <c r="O461">
        <v>-1.9</v>
      </c>
      <c r="P461">
        <v>1.9</v>
      </c>
      <c r="Q461">
        <v>3.61</v>
      </c>
      <c r="R461">
        <v>-0.20000000000000018</v>
      </c>
      <c r="S461">
        <v>0.20000000000000018</v>
      </c>
      <c r="T461" t="s">
        <v>670</v>
      </c>
      <c r="U461">
        <v>3</v>
      </c>
      <c r="V461">
        <v>0</v>
      </c>
      <c r="W461" t="s">
        <v>2496</v>
      </c>
      <c r="X461" t="s">
        <v>101</v>
      </c>
    </row>
    <row r="462" spans="1:24">
      <c r="A462" t="s">
        <v>210</v>
      </c>
      <c r="B462" t="s">
        <v>102</v>
      </c>
      <c r="C462" s="36">
        <v>45792</v>
      </c>
      <c r="D462" t="s">
        <v>876</v>
      </c>
      <c r="E462" s="36">
        <v>45838</v>
      </c>
      <c r="F462" t="s">
        <v>104</v>
      </c>
      <c r="G462" s="36">
        <v>45834</v>
      </c>
      <c r="H462">
        <v>1</v>
      </c>
      <c r="I462" t="s">
        <v>2495</v>
      </c>
      <c r="J462">
        <v>4.5999999999999996</v>
      </c>
      <c r="K462">
        <v>5.3</v>
      </c>
      <c r="L462">
        <v>3</v>
      </c>
      <c r="M462">
        <v>1.5999999999999996</v>
      </c>
      <c r="N462">
        <v>1.5999999999999996</v>
      </c>
      <c r="O462">
        <v>-0.70000000000000018</v>
      </c>
      <c r="P462">
        <v>0.70000000000000018</v>
      </c>
      <c r="Q462">
        <v>0.49000000000000027</v>
      </c>
      <c r="R462">
        <v>1.1999999999999997</v>
      </c>
      <c r="S462">
        <v>1.1999999999999997</v>
      </c>
      <c r="T462" t="s">
        <v>771</v>
      </c>
      <c r="U462">
        <v>2.8</v>
      </c>
      <c r="V462">
        <v>-0.20000000000000018</v>
      </c>
      <c r="W462" t="s">
        <v>2496</v>
      </c>
      <c r="X462" t="s">
        <v>103</v>
      </c>
    </row>
    <row r="463" spans="1:24">
      <c r="A463" t="s">
        <v>210</v>
      </c>
      <c r="B463" t="s">
        <v>104</v>
      </c>
      <c r="C463" s="36">
        <v>45834</v>
      </c>
      <c r="D463" t="s">
        <v>876</v>
      </c>
      <c r="E463" s="36">
        <v>45838</v>
      </c>
      <c r="F463" t="s">
        <v>104</v>
      </c>
      <c r="G463" s="36">
        <v>45834</v>
      </c>
      <c r="H463">
        <v>0</v>
      </c>
      <c r="I463" t="s">
        <v>2497</v>
      </c>
      <c r="J463">
        <v>5.7</v>
      </c>
      <c r="K463">
        <v>5.3</v>
      </c>
      <c r="L463">
        <v>3</v>
      </c>
      <c r="M463">
        <v>2.7</v>
      </c>
      <c r="N463">
        <v>2.7</v>
      </c>
      <c r="O463">
        <v>0.40000000000000036</v>
      </c>
      <c r="P463">
        <v>0.40000000000000036</v>
      </c>
      <c r="Q463">
        <v>0.16000000000000028</v>
      </c>
      <c r="R463">
        <v>1.1000000000000005</v>
      </c>
      <c r="S463">
        <v>1.1000000000000005</v>
      </c>
      <c r="T463" t="s">
        <v>771</v>
      </c>
      <c r="U463">
        <v>2.9</v>
      </c>
      <c r="V463">
        <v>-0.10000000000000009</v>
      </c>
      <c r="W463" t="s">
        <v>2496</v>
      </c>
      <c r="X463" t="s">
        <v>105</v>
      </c>
    </row>
    <row r="464" spans="1:24">
      <c r="A464" t="s">
        <v>210</v>
      </c>
      <c r="B464" t="s">
        <v>76</v>
      </c>
      <c r="C464" s="36">
        <v>45197</v>
      </c>
      <c r="D464" t="s">
        <v>981</v>
      </c>
      <c r="E464" s="36">
        <v>45930</v>
      </c>
      <c r="F464" t="s">
        <v>108</v>
      </c>
      <c r="G464" s="36">
        <v>45925</v>
      </c>
      <c r="H464">
        <v>16</v>
      </c>
      <c r="I464" t="s">
        <v>2512</v>
      </c>
      <c r="J464">
        <v>3.3</v>
      </c>
      <c r="K464">
        <v>3.6</v>
      </c>
      <c r="L464">
        <v>3</v>
      </c>
      <c r="M464">
        <v>0.29999999999999982</v>
      </c>
      <c r="N464">
        <v>0.29999999999999982</v>
      </c>
      <c r="O464">
        <v>-0.30000000000000027</v>
      </c>
      <c r="P464">
        <v>0.30000000000000027</v>
      </c>
      <c r="Q464">
        <v>9.0000000000000163E-2</v>
      </c>
      <c r="T464" t="s">
        <v>160</v>
      </c>
      <c r="U464">
        <v>4</v>
      </c>
      <c r="V464">
        <v>1</v>
      </c>
      <c r="W464" t="s">
        <v>2513</v>
      </c>
      <c r="X464" t="s">
        <v>77</v>
      </c>
    </row>
    <row r="465" spans="1:24">
      <c r="A465" t="s">
        <v>210</v>
      </c>
      <c r="B465" t="s">
        <v>78</v>
      </c>
      <c r="C465" s="36">
        <v>45239</v>
      </c>
      <c r="D465" t="s">
        <v>981</v>
      </c>
      <c r="E465" s="36">
        <v>45930</v>
      </c>
      <c r="F465" t="s">
        <v>108</v>
      </c>
      <c r="G465" s="36">
        <v>45925</v>
      </c>
      <c r="H465">
        <v>15</v>
      </c>
      <c r="I465" t="s">
        <v>2510</v>
      </c>
      <c r="J465">
        <v>3.3</v>
      </c>
      <c r="K465">
        <v>3.6</v>
      </c>
      <c r="L465">
        <v>3</v>
      </c>
      <c r="M465">
        <v>0.29999999999999982</v>
      </c>
      <c r="N465">
        <v>0.29999999999999982</v>
      </c>
      <c r="O465">
        <v>-0.30000000000000027</v>
      </c>
      <c r="P465">
        <v>0.30000000000000027</v>
      </c>
      <c r="Q465">
        <v>9.0000000000000163E-2</v>
      </c>
      <c r="R465">
        <v>0</v>
      </c>
      <c r="S465">
        <v>0</v>
      </c>
      <c r="T465" t="s">
        <v>183</v>
      </c>
      <c r="U465">
        <v>4.4000000000000004</v>
      </c>
      <c r="V465">
        <v>1.4000000000000004</v>
      </c>
      <c r="W465" t="s">
        <v>2513</v>
      </c>
      <c r="X465" t="s">
        <v>79</v>
      </c>
    </row>
    <row r="466" spans="1:24">
      <c r="A466" t="s">
        <v>210</v>
      </c>
      <c r="B466" t="s">
        <v>80</v>
      </c>
      <c r="C466" s="36">
        <v>45274</v>
      </c>
      <c r="D466" t="s">
        <v>981</v>
      </c>
      <c r="E466" s="36">
        <v>45930</v>
      </c>
      <c r="F466" t="s">
        <v>108</v>
      </c>
      <c r="G466" s="36">
        <v>45925</v>
      </c>
      <c r="H466">
        <v>14</v>
      </c>
      <c r="I466" t="s">
        <v>2511</v>
      </c>
      <c r="J466">
        <v>3.1</v>
      </c>
      <c r="K466">
        <v>3.6</v>
      </c>
      <c r="L466">
        <v>3</v>
      </c>
      <c r="M466">
        <v>0.10000000000000009</v>
      </c>
      <c r="N466">
        <v>0.10000000000000009</v>
      </c>
      <c r="O466">
        <v>-0.5</v>
      </c>
      <c r="P466">
        <v>0.5</v>
      </c>
      <c r="Q466">
        <v>0.25</v>
      </c>
      <c r="R466">
        <v>-0.19999999999999973</v>
      </c>
      <c r="S466">
        <v>0.19999999999999973</v>
      </c>
      <c r="T466" t="s">
        <v>183</v>
      </c>
      <c r="U466">
        <v>4.4000000000000004</v>
      </c>
      <c r="V466">
        <v>1.4000000000000004</v>
      </c>
      <c r="W466" t="s">
        <v>2513</v>
      </c>
      <c r="X466" t="s">
        <v>81</v>
      </c>
    </row>
    <row r="467" spans="1:24">
      <c r="A467" t="s">
        <v>210</v>
      </c>
      <c r="B467" t="s">
        <v>82</v>
      </c>
      <c r="C467" s="36">
        <v>45330</v>
      </c>
      <c r="D467" t="s">
        <v>981</v>
      </c>
      <c r="E467" s="36">
        <v>45930</v>
      </c>
      <c r="F467" t="s">
        <v>108</v>
      </c>
      <c r="G467" s="36">
        <v>45925</v>
      </c>
      <c r="H467">
        <v>13</v>
      </c>
      <c r="I467" t="s">
        <v>2508</v>
      </c>
      <c r="J467">
        <v>3.1</v>
      </c>
      <c r="K467">
        <v>3.6</v>
      </c>
      <c r="L467">
        <v>3</v>
      </c>
      <c r="M467">
        <v>0.10000000000000009</v>
      </c>
      <c r="N467">
        <v>0.10000000000000009</v>
      </c>
      <c r="O467">
        <v>-0.5</v>
      </c>
      <c r="P467">
        <v>0.5</v>
      </c>
      <c r="Q467">
        <v>0.25</v>
      </c>
      <c r="R467">
        <v>0</v>
      </c>
      <c r="S467">
        <v>0</v>
      </c>
      <c r="T467" t="s">
        <v>254</v>
      </c>
      <c r="U467">
        <v>5.2</v>
      </c>
      <c r="V467">
        <v>2.2000000000000002</v>
      </c>
      <c r="W467" t="s">
        <v>2513</v>
      </c>
      <c r="X467" t="s">
        <v>83</v>
      </c>
    </row>
    <row r="468" spans="1:24">
      <c r="A468" t="s">
        <v>210</v>
      </c>
      <c r="B468" t="s">
        <v>84</v>
      </c>
      <c r="C468" s="36">
        <v>45372</v>
      </c>
      <c r="D468" t="s">
        <v>981</v>
      </c>
      <c r="E468" s="36">
        <v>45930</v>
      </c>
      <c r="F468" t="s">
        <v>108</v>
      </c>
      <c r="G468" s="36">
        <v>45925</v>
      </c>
      <c r="H468">
        <v>12</v>
      </c>
      <c r="I468" t="s">
        <v>2509</v>
      </c>
      <c r="J468">
        <v>3.3</v>
      </c>
      <c r="K468">
        <v>3.6</v>
      </c>
      <c r="L468">
        <v>3</v>
      </c>
      <c r="M468">
        <v>0.29999999999999982</v>
      </c>
      <c r="N468">
        <v>0.29999999999999982</v>
      </c>
      <c r="O468">
        <v>-0.30000000000000027</v>
      </c>
      <c r="P468">
        <v>0.30000000000000027</v>
      </c>
      <c r="Q468">
        <v>9.0000000000000163E-2</v>
      </c>
      <c r="R468">
        <v>0.19999999999999973</v>
      </c>
      <c r="S468">
        <v>0.19999999999999973</v>
      </c>
      <c r="T468" t="s">
        <v>254</v>
      </c>
      <c r="U468">
        <v>5.2</v>
      </c>
      <c r="V468">
        <v>2.2000000000000002</v>
      </c>
      <c r="W468" t="s">
        <v>2513</v>
      </c>
      <c r="X468" t="s">
        <v>85</v>
      </c>
    </row>
    <row r="469" spans="1:24">
      <c r="A469" t="s">
        <v>210</v>
      </c>
      <c r="B469" t="s">
        <v>86</v>
      </c>
      <c r="C469" s="36">
        <v>45421</v>
      </c>
      <c r="D469" t="s">
        <v>981</v>
      </c>
      <c r="E469" s="36">
        <v>45930</v>
      </c>
      <c r="F469" t="s">
        <v>108</v>
      </c>
      <c r="G469" s="36">
        <v>45925</v>
      </c>
      <c r="H469">
        <v>11</v>
      </c>
      <c r="I469" t="s">
        <v>2506</v>
      </c>
      <c r="J469">
        <v>3</v>
      </c>
      <c r="K469">
        <v>3.6</v>
      </c>
      <c r="L469">
        <v>3</v>
      </c>
      <c r="M469">
        <v>0</v>
      </c>
      <c r="N469">
        <v>0</v>
      </c>
      <c r="O469">
        <v>-0.60000000000000009</v>
      </c>
      <c r="P469">
        <v>0.60000000000000009</v>
      </c>
      <c r="Q469">
        <v>0.3600000000000001</v>
      </c>
      <c r="R469">
        <v>-0.29999999999999982</v>
      </c>
      <c r="S469">
        <v>0.29999999999999982</v>
      </c>
      <c r="T469" t="s">
        <v>355</v>
      </c>
      <c r="U469">
        <v>4.9000000000000004</v>
      </c>
      <c r="V469">
        <v>1.9000000000000004</v>
      </c>
      <c r="W469" t="s">
        <v>2513</v>
      </c>
      <c r="X469" t="s">
        <v>87</v>
      </c>
    </row>
    <row r="470" spans="1:24">
      <c r="A470" t="s">
        <v>210</v>
      </c>
      <c r="B470" t="s">
        <v>88</v>
      </c>
      <c r="C470" s="36">
        <v>45470</v>
      </c>
      <c r="D470" t="s">
        <v>981</v>
      </c>
      <c r="E470" s="36">
        <v>45930</v>
      </c>
      <c r="F470" t="s">
        <v>108</v>
      </c>
      <c r="G470" s="36">
        <v>45925</v>
      </c>
      <c r="H470">
        <v>10</v>
      </c>
      <c r="I470" t="s">
        <v>2507</v>
      </c>
      <c r="J470">
        <v>3.1</v>
      </c>
      <c r="K470">
        <v>3.6</v>
      </c>
      <c r="L470">
        <v>3</v>
      </c>
      <c r="M470">
        <v>0.10000000000000009</v>
      </c>
      <c r="N470">
        <v>0.10000000000000009</v>
      </c>
      <c r="O470">
        <v>-0.5</v>
      </c>
      <c r="P470">
        <v>0.5</v>
      </c>
      <c r="Q470">
        <v>0.25</v>
      </c>
      <c r="R470">
        <v>0.10000000000000009</v>
      </c>
      <c r="S470">
        <v>0.10000000000000009</v>
      </c>
      <c r="T470" t="s">
        <v>355</v>
      </c>
      <c r="U470">
        <v>4.9000000000000004</v>
      </c>
      <c r="V470">
        <v>1.9000000000000004</v>
      </c>
      <c r="W470" t="s">
        <v>2513</v>
      </c>
      <c r="X470" t="s">
        <v>89</v>
      </c>
    </row>
    <row r="471" spans="1:24">
      <c r="A471" t="s">
        <v>210</v>
      </c>
      <c r="B471" t="s">
        <v>90</v>
      </c>
      <c r="C471" s="36">
        <v>45512</v>
      </c>
      <c r="D471" t="s">
        <v>981</v>
      </c>
      <c r="E471" s="36">
        <v>45930</v>
      </c>
      <c r="F471" t="s">
        <v>108</v>
      </c>
      <c r="G471" s="36">
        <v>45925</v>
      </c>
      <c r="H471">
        <v>9</v>
      </c>
      <c r="I471" t="s">
        <v>2504</v>
      </c>
      <c r="J471">
        <v>3.9</v>
      </c>
      <c r="K471">
        <v>3.6</v>
      </c>
      <c r="L471">
        <v>3</v>
      </c>
      <c r="M471">
        <v>0.89999999999999991</v>
      </c>
      <c r="N471">
        <v>0.89999999999999991</v>
      </c>
      <c r="O471">
        <v>0.29999999999999982</v>
      </c>
      <c r="P471">
        <v>0.29999999999999982</v>
      </c>
      <c r="Q471">
        <v>8.99999999999999E-2</v>
      </c>
      <c r="R471">
        <v>0.79999999999999982</v>
      </c>
      <c r="S471">
        <v>0.79999999999999982</v>
      </c>
      <c r="T471" t="s">
        <v>460</v>
      </c>
      <c r="U471">
        <v>4.4000000000000004</v>
      </c>
      <c r="V471">
        <v>1.4000000000000004</v>
      </c>
      <c r="W471" t="s">
        <v>2513</v>
      </c>
      <c r="X471" t="s">
        <v>91</v>
      </c>
    </row>
    <row r="472" spans="1:24">
      <c r="A472" t="s">
        <v>210</v>
      </c>
      <c r="B472" t="s">
        <v>92</v>
      </c>
      <c r="C472" s="36">
        <v>45561</v>
      </c>
      <c r="D472" t="s">
        <v>981</v>
      </c>
      <c r="E472" s="36">
        <v>45930</v>
      </c>
      <c r="F472" t="s">
        <v>108</v>
      </c>
      <c r="G472" s="36">
        <v>45925</v>
      </c>
      <c r="H472">
        <v>8</v>
      </c>
      <c r="I472" t="s">
        <v>2505</v>
      </c>
      <c r="J472">
        <v>3.7</v>
      </c>
      <c r="K472">
        <v>3.6</v>
      </c>
      <c r="L472">
        <v>3</v>
      </c>
      <c r="M472">
        <v>0.70000000000000018</v>
      </c>
      <c r="N472">
        <v>0.70000000000000018</v>
      </c>
      <c r="O472">
        <v>0.10000000000000009</v>
      </c>
      <c r="P472">
        <v>0.10000000000000009</v>
      </c>
      <c r="Q472">
        <v>1.0000000000000018E-2</v>
      </c>
      <c r="R472">
        <v>-0.19999999999999973</v>
      </c>
      <c r="S472">
        <v>0.19999999999999973</v>
      </c>
      <c r="T472" t="s">
        <v>460</v>
      </c>
      <c r="U472">
        <v>4.3</v>
      </c>
      <c r="V472">
        <v>1.2999999999999998</v>
      </c>
      <c r="W472" t="s">
        <v>2513</v>
      </c>
      <c r="X472" t="s">
        <v>93</v>
      </c>
    </row>
    <row r="473" spans="1:24">
      <c r="A473" t="s">
        <v>210</v>
      </c>
      <c r="B473" t="s">
        <v>94</v>
      </c>
      <c r="C473" s="36">
        <v>45610</v>
      </c>
      <c r="D473" t="s">
        <v>981</v>
      </c>
      <c r="E473" s="36">
        <v>45930</v>
      </c>
      <c r="F473" t="s">
        <v>108</v>
      </c>
      <c r="G473" s="36">
        <v>45925</v>
      </c>
      <c r="H473">
        <v>7</v>
      </c>
      <c r="I473" t="s">
        <v>2502</v>
      </c>
      <c r="J473">
        <v>3.7</v>
      </c>
      <c r="K473">
        <v>3.6</v>
      </c>
      <c r="L473">
        <v>3</v>
      </c>
      <c r="M473">
        <v>0.70000000000000018</v>
      </c>
      <c r="N473">
        <v>0.70000000000000018</v>
      </c>
      <c r="O473">
        <v>0.10000000000000009</v>
      </c>
      <c r="P473">
        <v>0.10000000000000009</v>
      </c>
      <c r="Q473">
        <v>1.0000000000000018E-2</v>
      </c>
      <c r="R473">
        <v>0</v>
      </c>
      <c r="S473">
        <v>0</v>
      </c>
      <c r="T473" t="s">
        <v>565</v>
      </c>
      <c r="U473">
        <v>5.3</v>
      </c>
      <c r="V473">
        <v>2.2999999999999998</v>
      </c>
      <c r="W473" t="s">
        <v>2513</v>
      </c>
      <c r="X473" t="s">
        <v>95</v>
      </c>
    </row>
    <row r="474" spans="1:24">
      <c r="A474" t="s">
        <v>210</v>
      </c>
      <c r="B474" t="s">
        <v>96</v>
      </c>
      <c r="C474" s="36">
        <v>45645</v>
      </c>
      <c r="D474" t="s">
        <v>981</v>
      </c>
      <c r="E474" s="36">
        <v>45930</v>
      </c>
      <c r="F474" t="s">
        <v>108</v>
      </c>
      <c r="G474" s="36">
        <v>45925</v>
      </c>
      <c r="H474">
        <v>6</v>
      </c>
      <c r="I474" t="s">
        <v>2503</v>
      </c>
      <c r="J474">
        <v>4</v>
      </c>
      <c r="K474">
        <v>3.6</v>
      </c>
      <c r="L474">
        <v>3</v>
      </c>
      <c r="M474">
        <v>1</v>
      </c>
      <c r="N474">
        <v>1</v>
      </c>
      <c r="O474">
        <v>0.39999999999999991</v>
      </c>
      <c r="P474">
        <v>0.39999999999999991</v>
      </c>
      <c r="Q474">
        <v>0.15999999999999992</v>
      </c>
      <c r="R474">
        <v>0.29999999999999982</v>
      </c>
      <c r="S474">
        <v>0.29999999999999982</v>
      </c>
      <c r="T474" t="s">
        <v>565</v>
      </c>
      <c r="U474">
        <v>5.3</v>
      </c>
      <c r="V474">
        <v>2.2999999999999998</v>
      </c>
      <c r="W474" t="s">
        <v>2513</v>
      </c>
      <c r="X474" t="s">
        <v>97</v>
      </c>
    </row>
    <row r="475" spans="1:24">
      <c r="A475" t="s">
        <v>210</v>
      </c>
      <c r="B475" t="s">
        <v>98</v>
      </c>
      <c r="C475" s="36">
        <v>45694</v>
      </c>
      <c r="D475" t="s">
        <v>981</v>
      </c>
      <c r="E475" s="36">
        <v>45930</v>
      </c>
      <c r="F475" t="s">
        <v>108</v>
      </c>
      <c r="G475" s="36">
        <v>45925</v>
      </c>
      <c r="H475">
        <v>5</v>
      </c>
      <c r="I475" t="s">
        <v>2500</v>
      </c>
      <c r="J475">
        <v>4</v>
      </c>
      <c r="K475">
        <v>3.6</v>
      </c>
      <c r="L475">
        <v>3</v>
      </c>
      <c r="M475">
        <v>1</v>
      </c>
      <c r="N475">
        <v>1</v>
      </c>
      <c r="O475">
        <v>0.39999999999999991</v>
      </c>
      <c r="P475">
        <v>0.39999999999999991</v>
      </c>
      <c r="Q475">
        <v>0.15999999999999992</v>
      </c>
      <c r="R475">
        <v>0</v>
      </c>
      <c r="S475">
        <v>0</v>
      </c>
      <c r="T475" t="s">
        <v>670</v>
      </c>
      <c r="U475">
        <v>3.2</v>
      </c>
      <c r="V475">
        <v>0.20000000000000018</v>
      </c>
      <c r="W475" t="s">
        <v>2513</v>
      </c>
      <c r="X475" t="s">
        <v>99</v>
      </c>
    </row>
    <row r="476" spans="1:24">
      <c r="A476" t="s">
        <v>210</v>
      </c>
      <c r="B476" t="s">
        <v>100</v>
      </c>
      <c r="C476" s="36">
        <v>45743</v>
      </c>
      <c r="D476" t="s">
        <v>981</v>
      </c>
      <c r="E476" s="36">
        <v>45930</v>
      </c>
      <c r="F476" t="s">
        <v>108</v>
      </c>
      <c r="G476" s="36">
        <v>45925</v>
      </c>
      <c r="H476">
        <v>4</v>
      </c>
      <c r="I476" t="s">
        <v>2501</v>
      </c>
      <c r="J476">
        <v>3.9</v>
      </c>
      <c r="K476">
        <v>3.6</v>
      </c>
      <c r="L476">
        <v>3</v>
      </c>
      <c r="M476">
        <v>0.89999999999999991</v>
      </c>
      <c r="N476">
        <v>0.89999999999999991</v>
      </c>
      <c r="O476">
        <v>0.29999999999999982</v>
      </c>
      <c r="P476">
        <v>0.29999999999999982</v>
      </c>
      <c r="Q476">
        <v>8.99999999999999E-2</v>
      </c>
      <c r="R476">
        <v>-0.10000000000000009</v>
      </c>
      <c r="S476">
        <v>0.10000000000000009</v>
      </c>
      <c r="T476" t="s">
        <v>670</v>
      </c>
      <c r="U476">
        <v>3</v>
      </c>
      <c r="V476">
        <v>0</v>
      </c>
      <c r="W476" t="s">
        <v>2513</v>
      </c>
      <c r="X476" t="s">
        <v>101</v>
      </c>
    </row>
    <row r="477" spans="1:24">
      <c r="A477" t="s">
        <v>210</v>
      </c>
      <c r="B477" t="s">
        <v>102</v>
      </c>
      <c r="C477" s="36">
        <v>45792</v>
      </c>
      <c r="D477" t="s">
        <v>981</v>
      </c>
      <c r="E477" s="36">
        <v>45930</v>
      </c>
      <c r="F477" t="s">
        <v>108</v>
      </c>
      <c r="G477" s="36">
        <v>45925</v>
      </c>
      <c r="H477">
        <v>3</v>
      </c>
      <c r="I477" t="s">
        <v>2498</v>
      </c>
      <c r="J477">
        <v>3.3</v>
      </c>
      <c r="K477">
        <v>3.6</v>
      </c>
      <c r="L477">
        <v>3</v>
      </c>
      <c r="M477">
        <v>0.29999999999999982</v>
      </c>
      <c r="N477">
        <v>0.29999999999999982</v>
      </c>
      <c r="O477">
        <v>-0.30000000000000027</v>
      </c>
      <c r="P477">
        <v>0.30000000000000027</v>
      </c>
      <c r="Q477">
        <v>9.0000000000000163E-2</v>
      </c>
      <c r="R477">
        <v>-0.60000000000000009</v>
      </c>
      <c r="S477">
        <v>0.60000000000000009</v>
      </c>
      <c r="T477" t="s">
        <v>771</v>
      </c>
      <c r="U477">
        <v>2.8</v>
      </c>
      <c r="V477">
        <v>-0.20000000000000018</v>
      </c>
      <c r="W477" t="s">
        <v>2513</v>
      </c>
      <c r="X477" t="s">
        <v>103</v>
      </c>
    </row>
    <row r="478" spans="1:24">
      <c r="A478" t="s">
        <v>210</v>
      </c>
      <c r="B478" t="s">
        <v>104</v>
      </c>
      <c r="C478" s="36">
        <v>45834</v>
      </c>
      <c r="D478" t="s">
        <v>981</v>
      </c>
      <c r="E478" s="36">
        <v>45930</v>
      </c>
      <c r="F478" t="s">
        <v>108</v>
      </c>
      <c r="G478" s="36">
        <v>45925</v>
      </c>
      <c r="H478">
        <v>2</v>
      </c>
      <c r="I478" t="s">
        <v>2499</v>
      </c>
      <c r="J478">
        <v>4.0999999999999996</v>
      </c>
      <c r="K478">
        <v>3.6</v>
      </c>
      <c r="L478">
        <v>3</v>
      </c>
      <c r="M478">
        <v>1.0999999999999996</v>
      </c>
      <c r="N478">
        <v>1.0999999999999996</v>
      </c>
      <c r="O478">
        <v>0.49999999999999956</v>
      </c>
      <c r="P478">
        <v>0.49999999999999956</v>
      </c>
      <c r="Q478">
        <v>0.24999999999999956</v>
      </c>
      <c r="R478">
        <v>0.79999999999999982</v>
      </c>
      <c r="S478">
        <v>0.79999999999999982</v>
      </c>
      <c r="T478" t="s">
        <v>771</v>
      </c>
      <c r="U478">
        <v>2.9</v>
      </c>
      <c r="V478">
        <v>-0.10000000000000009</v>
      </c>
      <c r="W478" t="s">
        <v>2513</v>
      </c>
      <c r="X478" t="s">
        <v>105</v>
      </c>
    </row>
    <row r="479" spans="1:24">
      <c r="A479" t="s">
        <v>210</v>
      </c>
      <c r="B479" t="s">
        <v>106</v>
      </c>
      <c r="C479" s="36">
        <v>45876</v>
      </c>
      <c r="D479" t="s">
        <v>981</v>
      </c>
      <c r="E479" s="36">
        <v>45930</v>
      </c>
      <c r="F479" t="s">
        <v>108</v>
      </c>
      <c r="G479" s="36">
        <v>45925</v>
      </c>
      <c r="H479">
        <v>1</v>
      </c>
      <c r="I479" t="s">
        <v>2495</v>
      </c>
      <c r="J479">
        <v>3.7</v>
      </c>
      <c r="K479">
        <v>3.6</v>
      </c>
      <c r="L479">
        <v>3</v>
      </c>
      <c r="M479">
        <v>0.70000000000000018</v>
      </c>
      <c r="N479">
        <v>0.70000000000000018</v>
      </c>
      <c r="O479">
        <v>0.10000000000000009</v>
      </c>
      <c r="P479">
        <v>0.10000000000000009</v>
      </c>
      <c r="Q479">
        <v>1.0000000000000018E-2</v>
      </c>
      <c r="R479">
        <v>-0.39999999999999947</v>
      </c>
      <c r="S479">
        <v>0.39999999999999947</v>
      </c>
      <c r="T479" t="s">
        <v>876</v>
      </c>
      <c r="U479">
        <v>5.8</v>
      </c>
      <c r="V479">
        <v>2.8</v>
      </c>
      <c r="W479" t="s">
        <v>2513</v>
      </c>
      <c r="X479" t="s">
        <v>107</v>
      </c>
    </row>
    <row r="480" spans="1:24">
      <c r="A480" t="s">
        <v>210</v>
      </c>
      <c r="B480" t="s">
        <v>108</v>
      </c>
      <c r="C480" s="36">
        <v>45925</v>
      </c>
      <c r="D480" t="s">
        <v>981</v>
      </c>
      <c r="E480" s="36">
        <v>45930</v>
      </c>
      <c r="F480" t="s">
        <v>108</v>
      </c>
      <c r="G480" s="36">
        <v>45925</v>
      </c>
      <c r="H480">
        <v>0</v>
      </c>
      <c r="I480" t="s">
        <v>2497</v>
      </c>
      <c r="J480">
        <v>3.3</v>
      </c>
      <c r="K480">
        <v>3.6</v>
      </c>
      <c r="L480">
        <v>3</v>
      </c>
      <c r="M480">
        <v>0.29999999999999982</v>
      </c>
      <c r="N480">
        <v>0.29999999999999982</v>
      </c>
      <c r="O480">
        <v>-0.30000000000000027</v>
      </c>
      <c r="P480">
        <v>0.30000000000000027</v>
      </c>
      <c r="Q480">
        <v>9.0000000000000163E-2</v>
      </c>
      <c r="R480">
        <v>-0.40000000000000036</v>
      </c>
      <c r="S480">
        <v>0.40000000000000036</v>
      </c>
      <c r="T480" t="s">
        <v>876</v>
      </c>
      <c r="U480">
        <v>5.7</v>
      </c>
      <c r="V480">
        <v>2.7</v>
      </c>
      <c r="W480" t="s">
        <v>2513</v>
      </c>
      <c r="X480" t="s">
        <v>109</v>
      </c>
    </row>
    <row r="481" spans="1:24">
      <c r="A481" t="s">
        <v>210</v>
      </c>
      <c r="B481" t="s">
        <v>80</v>
      </c>
      <c r="C481" s="36">
        <v>45274</v>
      </c>
      <c r="D481" t="s">
        <v>1086</v>
      </c>
      <c r="E481" s="36">
        <v>46022</v>
      </c>
      <c r="F481" t="s">
        <v>112</v>
      </c>
      <c r="G481" s="36">
        <v>46009</v>
      </c>
      <c r="H481">
        <v>16</v>
      </c>
      <c r="I481" t="s">
        <v>2512</v>
      </c>
      <c r="J481">
        <v>3.2</v>
      </c>
      <c r="K481">
        <v>3.4</v>
      </c>
      <c r="L481">
        <v>3</v>
      </c>
      <c r="M481">
        <v>0.20000000000000018</v>
      </c>
      <c r="N481">
        <v>0.20000000000000018</v>
      </c>
      <c r="O481">
        <v>-0.19999999999999973</v>
      </c>
      <c r="P481">
        <v>0.19999999999999973</v>
      </c>
      <c r="Q481">
        <v>3.9999999999999897E-2</v>
      </c>
      <c r="T481" t="s">
        <v>183</v>
      </c>
      <c r="U481">
        <v>4.4000000000000004</v>
      </c>
      <c r="V481">
        <v>1.4000000000000004</v>
      </c>
      <c r="W481" t="s">
        <v>2513</v>
      </c>
      <c r="X481" t="s">
        <v>81</v>
      </c>
    </row>
    <row r="482" spans="1:24">
      <c r="A482" t="s">
        <v>210</v>
      </c>
      <c r="B482" t="s">
        <v>82</v>
      </c>
      <c r="C482" s="36">
        <v>45330</v>
      </c>
      <c r="D482" t="s">
        <v>1086</v>
      </c>
      <c r="E482" s="36">
        <v>46022</v>
      </c>
      <c r="F482" t="s">
        <v>112</v>
      </c>
      <c r="G482" s="36">
        <v>46009</v>
      </c>
      <c r="H482">
        <v>15</v>
      </c>
      <c r="I482" t="s">
        <v>2510</v>
      </c>
      <c r="J482">
        <v>3.1</v>
      </c>
      <c r="K482">
        <v>3.4</v>
      </c>
      <c r="L482">
        <v>3</v>
      </c>
      <c r="M482">
        <v>0.10000000000000009</v>
      </c>
      <c r="N482">
        <v>0.10000000000000009</v>
      </c>
      <c r="O482">
        <v>-0.29999999999999982</v>
      </c>
      <c r="P482">
        <v>0.29999999999999982</v>
      </c>
      <c r="Q482">
        <v>8.99999999999999E-2</v>
      </c>
      <c r="R482">
        <v>-0.10000000000000009</v>
      </c>
      <c r="S482">
        <v>0.10000000000000009</v>
      </c>
      <c r="T482" t="s">
        <v>254</v>
      </c>
      <c r="U482">
        <v>5.2</v>
      </c>
      <c r="V482">
        <v>2.2000000000000002</v>
      </c>
      <c r="W482" t="s">
        <v>2513</v>
      </c>
      <c r="X482" t="s">
        <v>83</v>
      </c>
    </row>
    <row r="483" spans="1:24">
      <c r="A483" t="s">
        <v>210</v>
      </c>
      <c r="B483" t="s">
        <v>84</v>
      </c>
      <c r="C483" s="36">
        <v>45372</v>
      </c>
      <c r="D483" t="s">
        <v>1086</v>
      </c>
      <c r="E483" s="36">
        <v>46022</v>
      </c>
      <c r="F483" t="s">
        <v>112</v>
      </c>
      <c r="G483" s="36">
        <v>46009</v>
      </c>
      <c r="H483">
        <v>14</v>
      </c>
      <c r="I483" t="s">
        <v>2511</v>
      </c>
      <c r="J483">
        <v>3.2</v>
      </c>
      <c r="K483">
        <v>3.4</v>
      </c>
      <c r="L483">
        <v>3</v>
      </c>
      <c r="M483">
        <v>0.20000000000000018</v>
      </c>
      <c r="N483">
        <v>0.20000000000000018</v>
      </c>
      <c r="O483">
        <v>-0.19999999999999973</v>
      </c>
      <c r="P483">
        <v>0.19999999999999973</v>
      </c>
      <c r="Q483">
        <v>3.9999999999999897E-2</v>
      </c>
      <c r="R483">
        <v>0.10000000000000009</v>
      </c>
      <c r="S483">
        <v>0.10000000000000009</v>
      </c>
      <c r="T483" t="s">
        <v>254</v>
      </c>
      <c r="U483">
        <v>5.2</v>
      </c>
      <c r="V483">
        <v>2.2000000000000002</v>
      </c>
      <c r="W483" t="s">
        <v>2513</v>
      </c>
      <c r="X483" t="s">
        <v>85</v>
      </c>
    </row>
    <row r="484" spans="1:24">
      <c r="A484" t="s">
        <v>210</v>
      </c>
      <c r="B484" t="s">
        <v>86</v>
      </c>
      <c r="C484" s="36">
        <v>45421</v>
      </c>
      <c r="D484" t="s">
        <v>1086</v>
      </c>
      <c r="E484" s="36">
        <v>46022</v>
      </c>
      <c r="F484" t="s">
        <v>112</v>
      </c>
      <c r="G484" s="36">
        <v>46009</v>
      </c>
      <c r="H484">
        <v>13</v>
      </c>
      <c r="I484" t="s">
        <v>2508</v>
      </c>
      <c r="J484">
        <v>3</v>
      </c>
      <c r="K484">
        <v>3.4</v>
      </c>
      <c r="L484">
        <v>3</v>
      </c>
      <c r="M484">
        <v>0</v>
      </c>
      <c r="N484">
        <v>0</v>
      </c>
      <c r="O484">
        <v>-0.39999999999999991</v>
      </c>
      <c r="P484">
        <v>0.39999999999999991</v>
      </c>
      <c r="Q484">
        <v>0.15999999999999992</v>
      </c>
      <c r="R484">
        <v>-0.20000000000000018</v>
      </c>
      <c r="S484">
        <v>0.20000000000000018</v>
      </c>
      <c r="T484" t="s">
        <v>355</v>
      </c>
      <c r="U484">
        <v>4.9000000000000004</v>
      </c>
      <c r="V484">
        <v>1.9000000000000004</v>
      </c>
      <c r="W484" t="s">
        <v>2513</v>
      </c>
      <c r="X484" t="s">
        <v>87</v>
      </c>
    </row>
    <row r="485" spans="1:24">
      <c r="A485" t="s">
        <v>210</v>
      </c>
      <c r="B485" t="s">
        <v>88</v>
      </c>
      <c r="C485" s="36">
        <v>45470</v>
      </c>
      <c r="D485" t="s">
        <v>1086</v>
      </c>
      <c r="E485" s="36">
        <v>46022</v>
      </c>
      <c r="F485" t="s">
        <v>112</v>
      </c>
      <c r="G485" s="36">
        <v>46009</v>
      </c>
      <c r="H485">
        <v>12</v>
      </c>
      <c r="I485" t="s">
        <v>2509</v>
      </c>
      <c r="J485">
        <v>2.8</v>
      </c>
      <c r="K485">
        <v>3.4</v>
      </c>
      <c r="L485">
        <v>3</v>
      </c>
      <c r="M485">
        <v>-0.20000000000000018</v>
      </c>
      <c r="N485">
        <v>0.20000000000000018</v>
      </c>
      <c r="O485">
        <v>-0.60000000000000009</v>
      </c>
      <c r="P485">
        <v>0.60000000000000009</v>
      </c>
      <c r="Q485">
        <v>0.3600000000000001</v>
      </c>
      <c r="R485">
        <v>-0.20000000000000018</v>
      </c>
      <c r="S485">
        <v>0.20000000000000018</v>
      </c>
      <c r="T485" t="s">
        <v>355</v>
      </c>
      <c r="U485">
        <v>4.9000000000000004</v>
      </c>
      <c r="V485">
        <v>1.9000000000000004</v>
      </c>
      <c r="W485" t="s">
        <v>2513</v>
      </c>
      <c r="X485" t="s">
        <v>89</v>
      </c>
    </row>
    <row r="486" spans="1:24">
      <c r="A486" t="s">
        <v>210</v>
      </c>
      <c r="B486" t="s">
        <v>90</v>
      </c>
      <c r="C486" s="36">
        <v>45512</v>
      </c>
      <c r="D486" t="s">
        <v>1086</v>
      </c>
      <c r="E486" s="36">
        <v>46022</v>
      </c>
      <c r="F486" t="s">
        <v>112</v>
      </c>
      <c r="G486" s="36">
        <v>46009</v>
      </c>
      <c r="H486">
        <v>11</v>
      </c>
      <c r="I486" t="s">
        <v>2506</v>
      </c>
      <c r="J486">
        <v>2.2999999999999998</v>
      </c>
      <c r="K486">
        <v>3.4</v>
      </c>
      <c r="L486">
        <v>3</v>
      </c>
      <c r="M486">
        <v>-0.70000000000000018</v>
      </c>
      <c r="N486">
        <v>0.70000000000000018</v>
      </c>
      <c r="O486">
        <v>-1.1000000000000001</v>
      </c>
      <c r="P486">
        <v>1.1000000000000001</v>
      </c>
      <c r="Q486">
        <v>1.2100000000000002</v>
      </c>
      <c r="R486">
        <v>-0.5</v>
      </c>
      <c r="S486">
        <v>0.5</v>
      </c>
      <c r="T486" t="s">
        <v>460</v>
      </c>
      <c r="U486">
        <v>4.4000000000000004</v>
      </c>
      <c r="V486">
        <v>1.4000000000000004</v>
      </c>
      <c r="W486" t="s">
        <v>2513</v>
      </c>
      <c r="X486" t="s">
        <v>91</v>
      </c>
    </row>
    <row r="487" spans="1:24">
      <c r="A487" t="s">
        <v>210</v>
      </c>
      <c r="B487" t="s">
        <v>92</v>
      </c>
      <c r="C487" s="36">
        <v>45561</v>
      </c>
      <c r="D487" t="s">
        <v>1086</v>
      </c>
      <c r="E487" s="36">
        <v>46022</v>
      </c>
      <c r="F487" t="s">
        <v>112</v>
      </c>
      <c r="G487" s="36">
        <v>46009</v>
      </c>
      <c r="H487">
        <v>10</v>
      </c>
      <c r="I487" t="s">
        <v>2507</v>
      </c>
      <c r="J487">
        <v>2.2000000000000002</v>
      </c>
      <c r="K487">
        <v>3.4</v>
      </c>
      <c r="L487">
        <v>3</v>
      </c>
      <c r="M487">
        <v>-0.79999999999999982</v>
      </c>
      <c r="N487">
        <v>0.79999999999999982</v>
      </c>
      <c r="O487">
        <v>-1.1999999999999997</v>
      </c>
      <c r="P487">
        <v>1.1999999999999997</v>
      </c>
      <c r="Q487">
        <v>1.4399999999999993</v>
      </c>
      <c r="R487">
        <v>-9.9999999999999645E-2</v>
      </c>
      <c r="S487">
        <v>9.9999999999999645E-2</v>
      </c>
      <c r="T487" t="s">
        <v>460</v>
      </c>
      <c r="U487">
        <v>4.3</v>
      </c>
      <c r="V487">
        <v>1.2999999999999998</v>
      </c>
      <c r="W487" t="s">
        <v>2513</v>
      </c>
      <c r="X487" t="s">
        <v>93</v>
      </c>
    </row>
    <row r="488" spans="1:24">
      <c r="A488" t="s">
        <v>210</v>
      </c>
      <c r="B488" t="s">
        <v>94</v>
      </c>
      <c r="C488" s="36">
        <v>45610</v>
      </c>
      <c r="D488" t="s">
        <v>1086</v>
      </c>
      <c r="E488" s="36">
        <v>46022</v>
      </c>
      <c r="F488" t="s">
        <v>112</v>
      </c>
      <c r="G488" s="36">
        <v>46009</v>
      </c>
      <c r="H488">
        <v>9</v>
      </c>
      <c r="I488" t="s">
        <v>2504</v>
      </c>
      <c r="J488">
        <v>3.1</v>
      </c>
      <c r="K488">
        <v>3.4</v>
      </c>
      <c r="L488">
        <v>3</v>
      </c>
      <c r="M488">
        <v>0.10000000000000009</v>
      </c>
      <c r="N488">
        <v>0.10000000000000009</v>
      </c>
      <c r="O488">
        <v>-0.29999999999999982</v>
      </c>
      <c r="P488">
        <v>0.29999999999999982</v>
      </c>
      <c r="Q488">
        <v>8.99999999999999E-2</v>
      </c>
      <c r="R488">
        <v>0.89999999999999991</v>
      </c>
      <c r="S488">
        <v>0.89999999999999991</v>
      </c>
      <c r="T488" t="s">
        <v>565</v>
      </c>
      <c r="U488">
        <v>5.3</v>
      </c>
      <c r="V488">
        <v>2.2999999999999998</v>
      </c>
      <c r="W488" t="s">
        <v>2513</v>
      </c>
      <c r="X488" t="s">
        <v>95</v>
      </c>
    </row>
    <row r="489" spans="1:24">
      <c r="A489" t="s">
        <v>210</v>
      </c>
      <c r="B489" t="s">
        <v>96</v>
      </c>
      <c r="C489" s="36">
        <v>45645</v>
      </c>
      <c r="D489" t="s">
        <v>1086</v>
      </c>
      <c r="E489" s="36">
        <v>46022</v>
      </c>
      <c r="F489" t="s">
        <v>112</v>
      </c>
      <c r="G489" s="36">
        <v>46009</v>
      </c>
      <c r="H489">
        <v>8</v>
      </c>
      <c r="I489" t="s">
        <v>2505</v>
      </c>
      <c r="J489">
        <v>3</v>
      </c>
      <c r="K489">
        <v>3.4</v>
      </c>
      <c r="L489">
        <v>3</v>
      </c>
      <c r="M489">
        <v>0</v>
      </c>
      <c r="N489">
        <v>0</v>
      </c>
      <c r="O489">
        <v>-0.39999999999999991</v>
      </c>
      <c r="P489">
        <v>0.39999999999999991</v>
      </c>
      <c r="Q489">
        <v>0.15999999999999992</v>
      </c>
      <c r="R489">
        <v>-0.10000000000000009</v>
      </c>
      <c r="S489">
        <v>0.10000000000000009</v>
      </c>
      <c r="T489" t="s">
        <v>565</v>
      </c>
      <c r="U489">
        <v>5.3</v>
      </c>
      <c r="V489">
        <v>2.2999999999999998</v>
      </c>
      <c r="W489" t="s">
        <v>2513</v>
      </c>
      <c r="X489" t="s">
        <v>97</v>
      </c>
    </row>
    <row r="490" spans="1:24">
      <c r="A490" t="s">
        <v>210</v>
      </c>
      <c r="B490" t="s">
        <v>98</v>
      </c>
      <c r="C490" s="36">
        <v>45694</v>
      </c>
      <c r="D490" t="s">
        <v>1086</v>
      </c>
      <c r="E490" s="36">
        <v>46022</v>
      </c>
      <c r="F490" t="s">
        <v>112</v>
      </c>
      <c r="G490" s="36">
        <v>46009</v>
      </c>
      <c r="H490">
        <v>7</v>
      </c>
      <c r="I490" t="s">
        <v>2502</v>
      </c>
      <c r="J490">
        <v>3</v>
      </c>
      <c r="K490">
        <v>3.4</v>
      </c>
      <c r="L490">
        <v>3</v>
      </c>
      <c r="M490">
        <v>0</v>
      </c>
      <c r="N490">
        <v>0</v>
      </c>
      <c r="O490">
        <v>-0.39999999999999991</v>
      </c>
      <c r="P490">
        <v>0.39999999999999991</v>
      </c>
      <c r="Q490">
        <v>0.15999999999999992</v>
      </c>
      <c r="R490">
        <v>0</v>
      </c>
      <c r="S490">
        <v>0</v>
      </c>
      <c r="T490" t="s">
        <v>670</v>
      </c>
      <c r="U490">
        <v>3.2</v>
      </c>
      <c r="V490">
        <v>0.20000000000000018</v>
      </c>
      <c r="W490" t="s">
        <v>2513</v>
      </c>
      <c r="X490" t="s">
        <v>99</v>
      </c>
    </row>
    <row r="491" spans="1:24">
      <c r="A491" t="s">
        <v>210</v>
      </c>
      <c r="B491" t="s">
        <v>100</v>
      </c>
      <c r="C491" s="36">
        <v>45743</v>
      </c>
      <c r="D491" t="s">
        <v>1086</v>
      </c>
      <c r="E491" s="36">
        <v>46022</v>
      </c>
      <c r="F491" t="s">
        <v>112</v>
      </c>
      <c r="G491" s="36">
        <v>46009</v>
      </c>
      <c r="H491">
        <v>6</v>
      </c>
      <c r="I491" t="s">
        <v>2503</v>
      </c>
      <c r="J491">
        <v>2.8</v>
      </c>
      <c r="K491">
        <v>3.4</v>
      </c>
      <c r="L491">
        <v>3</v>
      </c>
      <c r="M491">
        <v>-0.20000000000000018</v>
      </c>
      <c r="N491">
        <v>0.20000000000000018</v>
      </c>
      <c r="O491">
        <v>-0.60000000000000009</v>
      </c>
      <c r="P491">
        <v>0.60000000000000009</v>
      </c>
      <c r="Q491">
        <v>0.3600000000000001</v>
      </c>
      <c r="R491">
        <v>-0.20000000000000018</v>
      </c>
      <c r="S491">
        <v>0.20000000000000018</v>
      </c>
      <c r="T491" t="s">
        <v>670</v>
      </c>
      <c r="U491">
        <v>3</v>
      </c>
      <c r="V491">
        <v>0</v>
      </c>
      <c r="W491" t="s">
        <v>2513</v>
      </c>
      <c r="X491" t="s">
        <v>101</v>
      </c>
    </row>
    <row r="492" spans="1:24">
      <c r="A492" t="s">
        <v>210</v>
      </c>
      <c r="B492" t="s">
        <v>102</v>
      </c>
      <c r="C492" s="36">
        <v>45792</v>
      </c>
      <c r="D492" t="s">
        <v>1086</v>
      </c>
      <c r="E492" s="36">
        <v>46022</v>
      </c>
      <c r="F492" t="s">
        <v>112</v>
      </c>
      <c r="G492" s="36">
        <v>46009</v>
      </c>
      <c r="H492">
        <v>5</v>
      </c>
      <c r="I492" t="s">
        <v>2500</v>
      </c>
      <c r="J492">
        <v>2.6</v>
      </c>
      <c r="K492">
        <v>3.4</v>
      </c>
      <c r="L492">
        <v>3</v>
      </c>
      <c r="M492">
        <v>-0.39999999999999991</v>
      </c>
      <c r="N492">
        <v>0.39999999999999991</v>
      </c>
      <c r="O492">
        <v>-0.79999999999999982</v>
      </c>
      <c r="P492">
        <v>0.79999999999999982</v>
      </c>
      <c r="Q492">
        <v>0.63999999999999968</v>
      </c>
      <c r="R492">
        <v>-0.19999999999999973</v>
      </c>
      <c r="S492">
        <v>0.19999999999999973</v>
      </c>
      <c r="T492" t="s">
        <v>771</v>
      </c>
      <c r="U492">
        <v>2.8</v>
      </c>
      <c r="V492">
        <v>-0.20000000000000018</v>
      </c>
      <c r="W492" t="s">
        <v>2513</v>
      </c>
      <c r="X492" t="s">
        <v>103</v>
      </c>
    </row>
    <row r="493" spans="1:24">
      <c r="A493" t="s">
        <v>210</v>
      </c>
      <c r="B493" t="s">
        <v>104</v>
      </c>
      <c r="C493" s="36">
        <v>45834</v>
      </c>
      <c r="D493" t="s">
        <v>1086</v>
      </c>
      <c r="E493" s="36">
        <v>46022</v>
      </c>
      <c r="F493" t="s">
        <v>112</v>
      </c>
      <c r="G493" s="36">
        <v>46009</v>
      </c>
      <c r="H493">
        <v>4</v>
      </c>
      <c r="I493" t="s">
        <v>2501</v>
      </c>
      <c r="J493">
        <v>2.1</v>
      </c>
      <c r="K493">
        <v>3.4</v>
      </c>
      <c r="L493">
        <v>3</v>
      </c>
      <c r="M493">
        <v>-0.89999999999999991</v>
      </c>
      <c r="N493">
        <v>0.89999999999999991</v>
      </c>
      <c r="O493">
        <v>-1.2999999999999998</v>
      </c>
      <c r="P493">
        <v>1.2999999999999998</v>
      </c>
      <c r="Q493">
        <v>1.6899999999999995</v>
      </c>
      <c r="R493">
        <v>-0.5</v>
      </c>
      <c r="S493">
        <v>0.5</v>
      </c>
      <c r="T493" t="s">
        <v>771</v>
      </c>
      <c r="U493">
        <v>2.9</v>
      </c>
      <c r="V493">
        <v>-0.10000000000000009</v>
      </c>
      <c r="W493" t="s">
        <v>2513</v>
      </c>
      <c r="X493" t="s">
        <v>105</v>
      </c>
    </row>
    <row r="494" spans="1:24">
      <c r="A494" t="s">
        <v>210</v>
      </c>
      <c r="B494" t="s">
        <v>106</v>
      </c>
      <c r="C494" s="36">
        <v>45876</v>
      </c>
      <c r="D494" t="s">
        <v>1086</v>
      </c>
      <c r="E494" s="36">
        <v>46022</v>
      </c>
      <c r="F494" t="s">
        <v>112</v>
      </c>
      <c r="G494" s="36">
        <v>46009</v>
      </c>
      <c r="H494">
        <v>3</v>
      </c>
      <c r="I494" t="s">
        <v>2498</v>
      </c>
      <c r="J494">
        <v>2.9</v>
      </c>
      <c r="K494">
        <v>3.4</v>
      </c>
      <c r="L494">
        <v>3</v>
      </c>
      <c r="M494">
        <v>-0.10000000000000009</v>
      </c>
      <c r="N494">
        <v>0.10000000000000009</v>
      </c>
      <c r="O494">
        <v>-0.5</v>
      </c>
      <c r="P494">
        <v>0.5</v>
      </c>
      <c r="Q494">
        <v>0.25</v>
      </c>
      <c r="R494">
        <v>0.79999999999999982</v>
      </c>
      <c r="S494">
        <v>0.79999999999999982</v>
      </c>
      <c r="T494" t="s">
        <v>876</v>
      </c>
      <c r="U494">
        <v>5.8</v>
      </c>
      <c r="V494">
        <v>2.8</v>
      </c>
      <c r="W494" t="s">
        <v>2513</v>
      </c>
      <c r="X494" t="s">
        <v>107</v>
      </c>
    </row>
    <row r="495" spans="1:24">
      <c r="A495" t="s">
        <v>210</v>
      </c>
      <c r="B495" t="s">
        <v>108</v>
      </c>
      <c r="C495" s="36">
        <v>45925</v>
      </c>
      <c r="D495" t="s">
        <v>1086</v>
      </c>
      <c r="E495" s="36">
        <v>46022</v>
      </c>
      <c r="F495" t="s">
        <v>112</v>
      </c>
      <c r="G495" s="36">
        <v>46009</v>
      </c>
      <c r="H495">
        <v>2</v>
      </c>
      <c r="I495" t="s">
        <v>2499</v>
      </c>
      <c r="J495">
        <v>3.1</v>
      </c>
      <c r="K495">
        <v>3.4</v>
      </c>
      <c r="L495">
        <v>3</v>
      </c>
      <c r="M495">
        <v>0.10000000000000009</v>
      </c>
      <c r="N495">
        <v>0.10000000000000009</v>
      </c>
      <c r="O495">
        <v>-0.29999999999999982</v>
      </c>
      <c r="P495">
        <v>0.29999999999999982</v>
      </c>
      <c r="Q495">
        <v>8.99999999999999E-2</v>
      </c>
      <c r="R495">
        <v>0.20000000000000018</v>
      </c>
      <c r="S495">
        <v>0.20000000000000018</v>
      </c>
      <c r="T495" t="s">
        <v>876</v>
      </c>
      <c r="U495">
        <v>5.7</v>
      </c>
      <c r="V495">
        <v>2.7</v>
      </c>
      <c r="W495" t="s">
        <v>2513</v>
      </c>
      <c r="X495" t="s">
        <v>109</v>
      </c>
    </row>
    <row r="496" spans="1:24">
      <c r="A496" t="s">
        <v>210</v>
      </c>
      <c r="B496" t="s">
        <v>110</v>
      </c>
      <c r="C496" s="36">
        <v>45967</v>
      </c>
      <c r="D496" t="s">
        <v>1086</v>
      </c>
      <c r="E496" s="36">
        <v>46022</v>
      </c>
      <c r="F496" t="s">
        <v>112</v>
      </c>
      <c r="G496" s="36">
        <v>46009</v>
      </c>
      <c r="H496">
        <v>1</v>
      </c>
      <c r="I496" t="s">
        <v>2495</v>
      </c>
      <c r="J496">
        <v>2.8</v>
      </c>
      <c r="K496">
        <v>3.4</v>
      </c>
      <c r="L496">
        <v>3</v>
      </c>
      <c r="M496">
        <v>-0.20000000000000018</v>
      </c>
      <c r="N496">
        <v>0.20000000000000018</v>
      </c>
      <c r="O496">
        <v>-0.60000000000000009</v>
      </c>
      <c r="P496">
        <v>0.60000000000000009</v>
      </c>
      <c r="Q496">
        <v>0.3600000000000001</v>
      </c>
      <c r="R496">
        <v>-0.30000000000000027</v>
      </c>
      <c r="S496">
        <v>0.30000000000000027</v>
      </c>
      <c r="T496" t="s">
        <v>981</v>
      </c>
      <c r="U496">
        <v>2.8</v>
      </c>
      <c r="V496">
        <v>-0.20000000000000018</v>
      </c>
      <c r="W496" t="s">
        <v>2513</v>
      </c>
      <c r="X496" t="s">
        <v>111</v>
      </c>
    </row>
    <row r="497" spans="1:24">
      <c r="A497" t="s">
        <v>210</v>
      </c>
      <c r="B497" t="s">
        <v>112</v>
      </c>
      <c r="C497" s="36">
        <v>46009</v>
      </c>
      <c r="D497" t="s">
        <v>1086</v>
      </c>
      <c r="E497" s="36">
        <v>46022</v>
      </c>
      <c r="F497" t="s">
        <v>112</v>
      </c>
      <c r="G497" s="36">
        <v>46009</v>
      </c>
      <c r="H497">
        <v>0</v>
      </c>
      <c r="I497" t="s">
        <v>2497</v>
      </c>
      <c r="J497">
        <v>3.4</v>
      </c>
      <c r="K497">
        <v>3.4</v>
      </c>
      <c r="L497">
        <v>3</v>
      </c>
      <c r="M497">
        <v>0.39999999999999991</v>
      </c>
      <c r="N497">
        <v>0.39999999999999991</v>
      </c>
      <c r="O497">
        <v>0</v>
      </c>
      <c r="P497">
        <v>0</v>
      </c>
      <c r="Q497">
        <v>0</v>
      </c>
      <c r="R497">
        <v>0.60000000000000009</v>
      </c>
      <c r="S497">
        <v>0.60000000000000009</v>
      </c>
      <c r="T497" t="s">
        <v>981</v>
      </c>
      <c r="U497">
        <v>2.9</v>
      </c>
      <c r="V497">
        <v>-0.10000000000000009</v>
      </c>
      <c r="W497" t="s">
        <v>2513</v>
      </c>
      <c r="X497" t="s">
        <v>113</v>
      </c>
    </row>
    <row r="498" spans="1:24">
      <c r="A498" t="s">
        <v>210</v>
      </c>
      <c r="B498" t="s">
        <v>84</v>
      </c>
      <c r="C498" s="36">
        <v>45372</v>
      </c>
      <c r="D498" t="s">
        <v>1183</v>
      </c>
      <c r="E498" s="36">
        <v>46112</v>
      </c>
      <c r="F498" t="s">
        <v>116</v>
      </c>
      <c r="G498" s="36">
        <v>46107</v>
      </c>
      <c r="H498">
        <v>16</v>
      </c>
      <c r="I498" t="s">
        <v>2512</v>
      </c>
      <c r="J498">
        <v>3.3</v>
      </c>
      <c r="K498">
        <v>4.5</v>
      </c>
      <c r="L498">
        <v>3</v>
      </c>
      <c r="M498">
        <v>0.29999999999999982</v>
      </c>
      <c r="N498">
        <v>0.29999999999999982</v>
      </c>
      <c r="O498">
        <v>-1.2000000000000002</v>
      </c>
      <c r="P498">
        <v>1.2000000000000002</v>
      </c>
      <c r="Q498">
        <v>1.4400000000000004</v>
      </c>
      <c r="T498" t="s">
        <v>254</v>
      </c>
      <c r="U498">
        <v>5.2</v>
      </c>
      <c r="V498">
        <v>2.2000000000000002</v>
      </c>
      <c r="W498" t="s">
        <v>2496</v>
      </c>
      <c r="X498" t="s">
        <v>85</v>
      </c>
    </row>
    <row r="499" spans="1:24">
      <c r="A499" t="s">
        <v>210</v>
      </c>
      <c r="B499" t="s">
        <v>86</v>
      </c>
      <c r="C499" s="36">
        <v>45421</v>
      </c>
      <c r="D499" t="s">
        <v>1183</v>
      </c>
      <c r="E499" s="36">
        <v>46112</v>
      </c>
      <c r="F499" t="s">
        <v>116</v>
      </c>
      <c r="G499" s="36">
        <v>46107</v>
      </c>
      <c r="H499">
        <v>15</v>
      </c>
      <c r="I499" t="s">
        <v>2510</v>
      </c>
      <c r="J499">
        <v>3.3</v>
      </c>
      <c r="K499">
        <v>4.5</v>
      </c>
      <c r="L499">
        <v>3</v>
      </c>
      <c r="M499">
        <v>0.29999999999999982</v>
      </c>
      <c r="N499">
        <v>0.29999999999999982</v>
      </c>
      <c r="O499">
        <v>-1.2000000000000002</v>
      </c>
      <c r="P499">
        <v>1.2000000000000002</v>
      </c>
      <c r="Q499">
        <v>1.4400000000000004</v>
      </c>
      <c r="R499">
        <v>0</v>
      </c>
      <c r="S499">
        <v>0</v>
      </c>
      <c r="T499" t="s">
        <v>355</v>
      </c>
      <c r="U499">
        <v>4.9000000000000004</v>
      </c>
      <c r="V499">
        <v>1.9000000000000004</v>
      </c>
      <c r="W499" t="s">
        <v>2496</v>
      </c>
      <c r="X499" t="s">
        <v>87</v>
      </c>
    </row>
    <row r="500" spans="1:24">
      <c r="A500" t="s">
        <v>210</v>
      </c>
      <c r="B500" t="s">
        <v>88</v>
      </c>
      <c r="C500" s="36">
        <v>45470</v>
      </c>
      <c r="D500" t="s">
        <v>1183</v>
      </c>
      <c r="E500" s="36">
        <v>46112</v>
      </c>
      <c r="F500" t="s">
        <v>116</v>
      </c>
      <c r="G500" s="36">
        <v>46107</v>
      </c>
      <c r="H500">
        <v>14</v>
      </c>
      <c r="I500" t="s">
        <v>2511</v>
      </c>
      <c r="J500">
        <v>3</v>
      </c>
      <c r="K500">
        <v>4.5</v>
      </c>
      <c r="L500">
        <v>3</v>
      </c>
      <c r="M500">
        <v>0</v>
      </c>
      <c r="N500">
        <v>0</v>
      </c>
      <c r="O500">
        <v>-1.5</v>
      </c>
      <c r="P500">
        <v>1.5</v>
      </c>
      <c r="Q500">
        <v>2.25</v>
      </c>
      <c r="R500">
        <v>-0.29999999999999982</v>
      </c>
      <c r="S500">
        <v>0.29999999999999982</v>
      </c>
      <c r="T500" t="s">
        <v>355</v>
      </c>
      <c r="U500">
        <v>4.9000000000000004</v>
      </c>
      <c r="V500">
        <v>1.9000000000000004</v>
      </c>
      <c r="W500" t="s">
        <v>2496</v>
      </c>
      <c r="X500" t="s">
        <v>89</v>
      </c>
    </row>
    <row r="501" spans="1:24">
      <c r="A501" t="s">
        <v>210</v>
      </c>
      <c r="B501" t="s">
        <v>90</v>
      </c>
      <c r="C501" s="36">
        <v>45512</v>
      </c>
      <c r="D501" t="s">
        <v>1183</v>
      </c>
      <c r="E501" s="36">
        <v>46112</v>
      </c>
      <c r="F501" t="s">
        <v>116</v>
      </c>
      <c r="G501" s="36">
        <v>46107</v>
      </c>
      <c r="H501">
        <v>13</v>
      </c>
      <c r="I501" t="s">
        <v>2508</v>
      </c>
      <c r="J501">
        <v>2.8</v>
      </c>
      <c r="K501">
        <v>4.5</v>
      </c>
      <c r="L501">
        <v>3</v>
      </c>
      <c r="M501">
        <v>-0.20000000000000018</v>
      </c>
      <c r="N501">
        <v>0.20000000000000018</v>
      </c>
      <c r="O501">
        <v>-1.7000000000000002</v>
      </c>
      <c r="P501">
        <v>1.7000000000000002</v>
      </c>
      <c r="Q501">
        <v>2.8900000000000006</v>
      </c>
      <c r="R501">
        <v>-0.20000000000000018</v>
      </c>
      <c r="S501">
        <v>0.20000000000000018</v>
      </c>
      <c r="T501" t="s">
        <v>460</v>
      </c>
      <c r="U501">
        <v>4.4000000000000004</v>
      </c>
      <c r="V501">
        <v>1.4000000000000004</v>
      </c>
      <c r="W501" t="s">
        <v>2496</v>
      </c>
      <c r="X501" t="s">
        <v>91</v>
      </c>
    </row>
    <row r="502" spans="1:24">
      <c r="A502" t="s">
        <v>210</v>
      </c>
      <c r="B502" t="s">
        <v>92</v>
      </c>
      <c r="C502" s="36">
        <v>45561</v>
      </c>
      <c r="D502" t="s">
        <v>1183</v>
      </c>
      <c r="E502" s="36">
        <v>46112</v>
      </c>
      <c r="F502" t="s">
        <v>116</v>
      </c>
      <c r="G502" s="36">
        <v>46107</v>
      </c>
      <c r="H502">
        <v>12</v>
      </c>
      <c r="I502" t="s">
        <v>2509</v>
      </c>
      <c r="J502">
        <v>3</v>
      </c>
      <c r="K502">
        <v>4.5</v>
      </c>
      <c r="L502">
        <v>3</v>
      </c>
      <c r="M502">
        <v>0</v>
      </c>
      <c r="N502">
        <v>0</v>
      </c>
      <c r="O502">
        <v>-1.5</v>
      </c>
      <c r="P502">
        <v>1.5</v>
      </c>
      <c r="Q502">
        <v>2.25</v>
      </c>
      <c r="R502">
        <v>0.20000000000000018</v>
      </c>
      <c r="S502">
        <v>0.20000000000000018</v>
      </c>
      <c r="T502" t="s">
        <v>460</v>
      </c>
      <c r="U502">
        <v>4.3</v>
      </c>
      <c r="V502">
        <v>1.2999999999999998</v>
      </c>
      <c r="W502" t="s">
        <v>2496</v>
      </c>
      <c r="X502" t="s">
        <v>93</v>
      </c>
    </row>
    <row r="503" spans="1:24">
      <c r="A503" t="s">
        <v>210</v>
      </c>
      <c r="B503" t="s">
        <v>94</v>
      </c>
      <c r="C503" s="36">
        <v>45610</v>
      </c>
      <c r="D503" t="s">
        <v>1183</v>
      </c>
      <c r="E503" s="36">
        <v>46112</v>
      </c>
      <c r="F503" t="s">
        <v>116</v>
      </c>
      <c r="G503" s="36">
        <v>46107</v>
      </c>
      <c r="H503">
        <v>11</v>
      </c>
      <c r="I503" t="s">
        <v>2506</v>
      </c>
      <c r="J503">
        <v>2.8</v>
      </c>
      <c r="K503">
        <v>4.5</v>
      </c>
      <c r="L503">
        <v>3</v>
      </c>
      <c r="M503">
        <v>-0.20000000000000018</v>
      </c>
      <c r="N503">
        <v>0.20000000000000018</v>
      </c>
      <c r="O503">
        <v>-1.7000000000000002</v>
      </c>
      <c r="P503">
        <v>1.7000000000000002</v>
      </c>
      <c r="Q503">
        <v>2.8900000000000006</v>
      </c>
      <c r="R503">
        <v>-0.20000000000000018</v>
      </c>
      <c r="S503">
        <v>0.20000000000000018</v>
      </c>
      <c r="T503" t="s">
        <v>565</v>
      </c>
      <c r="U503">
        <v>5.3</v>
      </c>
      <c r="V503">
        <v>2.2999999999999998</v>
      </c>
      <c r="W503" t="s">
        <v>2496</v>
      </c>
      <c r="X503" t="s">
        <v>95</v>
      </c>
    </row>
    <row r="504" spans="1:24">
      <c r="A504" t="s">
        <v>210</v>
      </c>
      <c r="B504" t="s">
        <v>96</v>
      </c>
      <c r="C504" s="36">
        <v>45645</v>
      </c>
      <c r="D504" t="s">
        <v>1183</v>
      </c>
      <c r="E504" s="36">
        <v>46112</v>
      </c>
      <c r="F504" t="s">
        <v>116</v>
      </c>
      <c r="G504" s="36">
        <v>46107</v>
      </c>
      <c r="H504">
        <v>10</v>
      </c>
      <c r="I504" t="s">
        <v>2507</v>
      </c>
      <c r="J504">
        <v>2.7</v>
      </c>
      <c r="K504">
        <v>4.5</v>
      </c>
      <c r="L504">
        <v>3</v>
      </c>
      <c r="M504">
        <v>-0.29999999999999982</v>
      </c>
      <c r="N504">
        <v>0.29999999999999982</v>
      </c>
      <c r="O504">
        <v>-1.7999999999999998</v>
      </c>
      <c r="P504">
        <v>1.7999999999999998</v>
      </c>
      <c r="Q504">
        <v>3.2399999999999993</v>
      </c>
      <c r="R504">
        <v>-9.9999999999999645E-2</v>
      </c>
      <c r="S504">
        <v>9.9999999999999645E-2</v>
      </c>
      <c r="T504" t="s">
        <v>565</v>
      </c>
      <c r="U504">
        <v>5.3</v>
      </c>
      <c r="V504">
        <v>2.2999999999999998</v>
      </c>
      <c r="W504" t="s">
        <v>2496</v>
      </c>
      <c r="X504" t="s">
        <v>97</v>
      </c>
    </row>
    <row r="505" spans="1:24">
      <c r="A505" t="s">
        <v>210</v>
      </c>
      <c r="B505" t="s">
        <v>98</v>
      </c>
      <c r="C505" s="36">
        <v>45694</v>
      </c>
      <c r="D505" t="s">
        <v>1183</v>
      </c>
      <c r="E505" s="36">
        <v>46112</v>
      </c>
      <c r="F505" t="s">
        <v>116</v>
      </c>
      <c r="G505" s="36">
        <v>46107</v>
      </c>
      <c r="H505">
        <v>9</v>
      </c>
      <c r="I505" t="s">
        <v>2504</v>
      </c>
      <c r="J505">
        <v>2.4</v>
      </c>
      <c r="K505">
        <v>4.5</v>
      </c>
      <c r="L505">
        <v>3</v>
      </c>
      <c r="M505">
        <v>-0.60000000000000009</v>
      </c>
      <c r="N505">
        <v>0.60000000000000009</v>
      </c>
      <c r="O505">
        <v>-2.1</v>
      </c>
      <c r="P505">
        <v>2.1</v>
      </c>
      <c r="Q505">
        <v>4.41</v>
      </c>
      <c r="R505">
        <v>-0.30000000000000027</v>
      </c>
      <c r="S505">
        <v>0.30000000000000027</v>
      </c>
      <c r="T505" t="s">
        <v>670</v>
      </c>
      <c r="U505">
        <v>3.2</v>
      </c>
      <c r="V505">
        <v>0.20000000000000018</v>
      </c>
      <c r="W505" t="s">
        <v>2496</v>
      </c>
      <c r="X505" t="s">
        <v>99</v>
      </c>
    </row>
    <row r="506" spans="1:24">
      <c r="A506" t="s">
        <v>210</v>
      </c>
      <c r="B506" t="s">
        <v>100</v>
      </c>
      <c r="C506" s="36">
        <v>45743</v>
      </c>
      <c r="D506" t="s">
        <v>1183</v>
      </c>
      <c r="E506" s="36">
        <v>46112</v>
      </c>
      <c r="F506" t="s">
        <v>116</v>
      </c>
      <c r="G506" s="36">
        <v>46107</v>
      </c>
      <c r="H506">
        <v>8</v>
      </c>
      <c r="I506" t="s">
        <v>2505</v>
      </c>
      <c r="J506">
        <v>2.6</v>
      </c>
      <c r="K506">
        <v>4.5</v>
      </c>
      <c r="L506">
        <v>3</v>
      </c>
      <c r="M506">
        <v>-0.39999999999999991</v>
      </c>
      <c r="N506">
        <v>0.39999999999999991</v>
      </c>
      <c r="O506">
        <v>-1.9</v>
      </c>
      <c r="P506">
        <v>1.9</v>
      </c>
      <c r="Q506">
        <v>3.61</v>
      </c>
      <c r="R506">
        <v>0.20000000000000018</v>
      </c>
      <c r="S506">
        <v>0.20000000000000018</v>
      </c>
      <c r="T506" t="s">
        <v>670</v>
      </c>
      <c r="U506">
        <v>3</v>
      </c>
      <c r="V506">
        <v>0</v>
      </c>
      <c r="W506" t="s">
        <v>2496</v>
      </c>
      <c r="X506" t="s">
        <v>101</v>
      </c>
    </row>
    <row r="507" spans="1:24">
      <c r="A507" t="s">
        <v>210</v>
      </c>
      <c r="B507" t="s">
        <v>102</v>
      </c>
      <c r="C507" s="36">
        <v>45792</v>
      </c>
      <c r="D507" t="s">
        <v>1183</v>
      </c>
      <c r="E507" s="36">
        <v>46112</v>
      </c>
      <c r="F507" t="s">
        <v>116</v>
      </c>
      <c r="G507" s="36">
        <v>46107</v>
      </c>
      <c r="H507">
        <v>7</v>
      </c>
      <c r="I507" t="s">
        <v>2502</v>
      </c>
      <c r="J507">
        <v>2.6</v>
      </c>
      <c r="K507">
        <v>4.5</v>
      </c>
      <c r="L507">
        <v>3</v>
      </c>
      <c r="M507">
        <v>-0.39999999999999991</v>
      </c>
      <c r="N507">
        <v>0.39999999999999991</v>
      </c>
      <c r="O507">
        <v>-1.9</v>
      </c>
      <c r="P507">
        <v>1.9</v>
      </c>
      <c r="Q507">
        <v>3.61</v>
      </c>
      <c r="R507">
        <v>0</v>
      </c>
      <c r="S507">
        <v>0</v>
      </c>
      <c r="T507" t="s">
        <v>771</v>
      </c>
      <c r="U507">
        <v>2.8</v>
      </c>
      <c r="V507">
        <v>-0.20000000000000018</v>
      </c>
      <c r="W507" t="s">
        <v>2496</v>
      </c>
      <c r="X507" t="s">
        <v>103</v>
      </c>
    </row>
    <row r="508" spans="1:24">
      <c r="A508" t="s">
        <v>210</v>
      </c>
      <c r="B508" t="s">
        <v>104</v>
      </c>
      <c r="C508" s="36">
        <v>45834</v>
      </c>
      <c r="D508" t="s">
        <v>1183</v>
      </c>
      <c r="E508" s="36">
        <v>46112</v>
      </c>
      <c r="F508" t="s">
        <v>116</v>
      </c>
      <c r="G508" s="36">
        <v>46107</v>
      </c>
      <c r="H508">
        <v>6</v>
      </c>
      <c r="I508" t="s">
        <v>2503</v>
      </c>
      <c r="J508">
        <v>2.4</v>
      </c>
      <c r="K508">
        <v>4.5</v>
      </c>
      <c r="L508">
        <v>3</v>
      </c>
      <c r="M508">
        <v>-0.60000000000000009</v>
      </c>
      <c r="N508">
        <v>0.60000000000000009</v>
      </c>
      <c r="O508">
        <v>-2.1</v>
      </c>
      <c r="P508">
        <v>2.1</v>
      </c>
      <c r="Q508">
        <v>4.41</v>
      </c>
      <c r="R508">
        <v>-0.20000000000000018</v>
      </c>
      <c r="S508">
        <v>0.20000000000000018</v>
      </c>
      <c r="T508" t="s">
        <v>771</v>
      </c>
      <c r="U508">
        <v>2.9</v>
      </c>
      <c r="V508">
        <v>-0.10000000000000009</v>
      </c>
      <c r="W508" t="s">
        <v>2496</v>
      </c>
      <c r="X508" t="s">
        <v>105</v>
      </c>
    </row>
    <row r="509" spans="1:24">
      <c r="A509" t="s">
        <v>210</v>
      </c>
      <c r="B509" t="s">
        <v>106</v>
      </c>
      <c r="C509" s="36">
        <v>45876</v>
      </c>
      <c r="D509" t="s">
        <v>1183</v>
      </c>
      <c r="E509" s="36">
        <v>46112</v>
      </c>
      <c r="F509" t="s">
        <v>116</v>
      </c>
      <c r="G509" s="36">
        <v>46107</v>
      </c>
      <c r="H509">
        <v>5</v>
      </c>
      <c r="I509" t="s">
        <v>2500</v>
      </c>
      <c r="J509">
        <v>2.4</v>
      </c>
      <c r="K509">
        <v>4.5</v>
      </c>
      <c r="L509">
        <v>3</v>
      </c>
      <c r="M509">
        <v>-0.60000000000000009</v>
      </c>
      <c r="N509">
        <v>0.60000000000000009</v>
      </c>
      <c r="O509">
        <v>-2.1</v>
      </c>
      <c r="P509">
        <v>2.1</v>
      </c>
      <c r="Q509">
        <v>4.41</v>
      </c>
      <c r="R509">
        <v>0</v>
      </c>
      <c r="S509">
        <v>0</v>
      </c>
      <c r="T509" t="s">
        <v>876</v>
      </c>
      <c r="U509">
        <v>5.8</v>
      </c>
      <c r="V509">
        <v>2.8</v>
      </c>
      <c r="W509" t="s">
        <v>2496</v>
      </c>
      <c r="X509" t="s">
        <v>107</v>
      </c>
    </row>
    <row r="510" spans="1:24">
      <c r="A510" t="s">
        <v>210</v>
      </c>
      <c r="B510" t="s">
        <v>108</v>
      </c>
      <c r="C510" s="36">
        <v>45925</v>
      </c>
      <c r="D510" t="s">
        <v>1183</v>
      </c>
      <c r="E510" s="36">
        <v>46112</v>
      </c>
      <c r="F510" t="s">
        <v>116</v>
      </c>
      <c r="G510" s="36">
        <v>46107</v>
      </c>
      <c r="H510">
        <v>4</v>
      </c>
      <c r="I510" t="s">
        <v>2501</v>
      </c>
      <c r="J510">
        <v>2.4</v>
      </c>
      <c r="K510">
        <v>4.5</v>
      </c>
      <c r="L510">
        <v>3</v>
      </c>
      <c r="M510">
        <v>-0.60000000000000009</v>
      </c>
      <c r="N510">
        <v>0.60000000000000009</v>
      </c>
      <c r="O510">
        <v>-2.1</v>
      </c>
      <c r="P510">
        <v>2.1</v>
      </c>
      <c r="Q510">
        <v>4.41</v>
      </c>
      <c r="R510">
        <v>0</v>
      </c>
      <c r="S510">
        <v>0</v>
      </c>
      <c r="T510" t="s">
        <v>876</v>
      </c>
      <c r="U510">
        <v>5.7</v>
      </c>
      <c r="V510">
        <v>2.7</v>
      </c>
      <c r="W510" t="s">
        <v>2496</v>
      </c>
      <c r="X510" t="s">
        <v>109</v>
      </c>
    </row>
    <row r="511" spans="1:24">
      <c r="A511" t="s">
        <v>210</v>
      </c>
      <c r="B511" t="s">
        <v>110</v>
      </c>
      <c r="C511" s="36">
        <v>45967</v>
      </c>
      <c r="D511" t="s">
        <v>1183</v>
      </c>
      <c r="E511" s="36">
        <v>46112</v>
      </c>
      <c r="F511" t="s">
        <v>116</v>
      </c>
      <c r="G511" s="36">
        <v>46107</v>
      </c>
      <c r="H511">
        <v>3</v>
      </c>
      <c r="I511" t="s">
        <v>2498</v>
      </c>
      <c r="J511">
        <v>2.9</v>
      </c>
      <c r="K511">
        <v>4.5</v>
      </c>
      <c r="L511">
        <v>3</v>
      </c>
      <c r="M511">
        <v>-0.10000000000000009</v>
      </c>
      <c r="N511">
        <v>0.10000000000000009</v>
      </c>
      <c r="O511">
        <v>-1.6</v>
      </c>
      <c r="P511">
        <v>1.6</v>
      </c>
      <c r="Q511">
        <v>2.5600000000000005</v>
      </c>
      <c r="R511">
        <v>0.5</v>
      </c>
      <c r="S511">
        <v>0.5</v>
      </c>
      <c r="T511" t="s">
        <v>981</v>
      </c>
      <c r="U511">
        <v>2.8</v>
      </c>
      <c r="V511">
        <v>-0.20000000000000018</v>
      </c>
      <c r="W511" t="s">
        <v>2496</v>
      </c>
      <c r="X511" t="s">
        <v>111</v>
      </c>
    </row>
    <row r="512" spans="1:24">
      <c r="A512" t="s">
        <v>210</v>
      </c>
      <c r="B512" t="s">
        <v>112</v>
      </c>
      <c r="C512" s="36">
        <v>46009</v>
      </c>
      <c r="D512" t="s">
        <v>1183</v>
      </c>
      <c r="E512" s="36">
        <v>46112</v>
      </c>
      <c r="F512" t="s">
        <v>116</v>
      </c>
      <c r="G512" s="36">
        <v>46107</v>
      </c>
      <c r="H512">
        <v>2</v>
      </c>
      <c r="I512" t="s">
        <v>2499</v>
      </c>
      <c r="J512">
        <v>3</v>
      </c>
      <c r="K512">
        <v>4.5</v>
      </c>
      <c r="L512">
        <v>3</v>
      </c>
      <c r="M512">
        <v>0</v>
      </c>
      <c r="N512">
        <v>0</v>
      </c>
      <c r="O512">
        <v>-1.5</v>
      </c>
      <c r="P512">
        <v>1.5</v>
      </c>
      <c r="Q512">
        <v>2.25</v>
      </c>
      <c r="R512">
        <v>0.10000000000000009</v>
      </c>
      <c r="S512">
        <v>0.10000000000000009</v>
      </c>
      <c r="T512" t="s">
        <v>981</v>
      </c>
      <c r="U512">
        <v>2.9</v>
      </c>
      <c r="V512">
        <v>-0.10000000000000009</v>
      </c>
      <c r="W512" t="s">
        <v>2496</v>
      </c>
      <c r="X512" t="s">
        <v>113</v>
      </c>
    </row>
    <row r="513" spans="1:24">
      <c r="A513" t="s">
        <v>210</v>
      </c>
      <c r="B513" t="s">
        <v>114</v>
      </c>
      <c r="C513" s="36">
        <v>46058</v>
      </c>
      <c r="D513" t="s">
        <v>1183</v>
      </c>
      <c r="E513" s="36">
        <v>46112</v>
      </c>
      <c r="F513" t="s">
        <v>116</v>
      </c>
      <c r="G513" s="36">
        <v>46107</v>
      </c>
      <c r="H513">
        <v>1</v>
      </c>
      <c r="I513" t="s">
        <v>2495</v>
      </c>
      <c r="J513">
        <v>4.0999999999999996</v>
      </c>
      <c r="K513">
        <v>4.5</v>
      </c>
      <c r="L513">
        <v>3</v>
      </c>
      <c r="M513">
        <v>1.0999999999999996</v>
      </c>
      <c r="N513">
        <v>1.0999999999999996</v>
      </c>
      <c r="O513">
        <v>-0.40000000000000036</v>
      </c>
      <c r="P513">
        <v>0.40000000000000036</v>
      </c>
      <c r="Q513">
        <v>0.16000000000000028</v>
      </c>
      <c r="R513">
        <v>1.0999999999999996</v>
      </c>
      <c r="S513">
        <v>1.0999999999999996</v>
      </c>
      <c r="T513" t="s">
        <v>1086</v>
      </c>
      <c r="U513">
        <v>3.5</v>
      </c>
      <c r="V513">
        <v>0.5</v>
      </c>
      <c r="W513" t="s">
        <v>2496</v>
      </c>
      <c r="X513" t="s">
        <v>115</v>
      </c>
    </row>
    <row r="514" spans="1:24">
      <c r="A514" t="s">
        <v>210</v>
      </c>
      <c r="B514" t="s">
        <v>116</v>
      </c>
      <c r="C514" s="36">
        <v>46107</v>
      </c>
      <c r="D514" t="s">
        <v>1183</v>
      </c>
      <c r="E514" s="36">
        <v>46112</v>
      </c>
      <c r="F514" t="s">
        <v>116</v>
      </c>
      <c r="G514" s="36">
        <v>46107</v>
      </c>
      <c r="H514">
        <v>0</v>
      </c>
      <c r="I514" t="s">
        <v>2497</v>
      </c>
      <c r="J514">
        <v>4.8</v>
      </c>
      <c r="K514">
        <v>4.5</v>
      </c>
      <c r="L514">
        <v>3</v>
      </c>
      <c r="M514">
        <v>1.7999999999999998</v>
      </c>
      <c r="N514">
        <v>1.7999999999999998</v>
      </c>
      <c r="O514">
        <v>0.29999999999999982</v>
      </c>
      <c r="P514">
        <v>0.29999999999999982</v>
      </c>
      <c r="Q514">
        <v>8.99999999999999E-2</v>
      </c>
      <c r="R514">
        <v>0.70000000000000018</v>
      </c>
      <c r="S514">
        <v>0.70000000000000018</v>
      </c>
      <c r="T514" t="s">
        <v>1086</v>
      </c>
      <c r="U514">
        <v>3.7</v>
      </c>
      <c r="V514">
        <v>0.70000000000000018</v>
      </c>
      <c r="W514" t="s">
        <v>2496</v>
      </c>
      <c r="X514" t="s">
        <v>117</v>
      </c>
    </row>
    <row r="515" spans="1:24">
      <c r="A515" t="s">
        <v>210</v>
      </c>
      <c r="B515" t="s">
        <v>88</v>
      </c>
      <c r="C515" s="36">
        <v>45470</v>
      </c>
      <c r="D515" t="s">
        <v>1276</v>
      </c>
      <c r="E515" s="36">
        <v>46203</v>
      </c>
      <c r="F515" t="s">
        <v>120</v>
      </c>
      <c r="G515" s="36">
        <v>46198</v>
      </c>
      <c r="H515">
        <v>16</v>
      </c>
      <c r="I515" t="s">
        <v>2512</v>
      </c>
      <c r="J515">
        <v>2.9</v>
      </c>
      <c r="K515">
        <v>4.0999999999999996</v>
      </c>
      <c r="L515">
        <v>3</v>
      </c>
      <c r="M515">
        <v>-0.10000000000000009</v>
      </c>
      <c r="N515">
        <v>0.10000000000000009</v>
      </c>
      <c r="O515">
        <v>-1.1999999999999997</v>
      </c>
      <c r="P515">
        <v>1.1999999999999997</v>
      </c>
      <c r="Q515">
        <v>1.4399999999999993</v>
      </c>
      <c r="T515" t="s">
        <v>355</v>
      </c>
      <c r="U515">
        <v>4.9000000000000004</v>
      </c>
      <c r="V515">
        <v>1.9000000000000004</v>
      </c>
      <c r="W515" t="s">
        <v>2496</v>
      </c>
      <c r="X515" t="s">
        <v>89</v>
      </c>
    </row>
    <row r="516" spans="1:24">
      <c r="A516" t="s">
        <v>210</v>
      </c>
      <c r="B516" t="s">
        <v>90</v>
      </c>
      <c r="C516" s="36">
        <v>45512</v>
      </c>
      <c r="D516" t="s">
        <v>1276</v>
      </c>
      <c r="E516" s="36">
        <v>46203</v>
      </c>
      <c r="F516" t="s">
        <v>120</v>
      </c>
      <c r="G516" s="36">
        <v>46198</v>
      </c>
      <c r="H516">
        <v>15</v>
      </c>
      <c r="I516" t="s">
        <v>2510</v>
      </c>
      <c r="J516">
        <v>2.8</v>
      </c>
      <c r="K516">
        <v>4.0999999999999996</v>
      </c>
      <c r="L516">
        <v>3</v>
      </c>
      <c r="M516">
        <v>-0.20000000000000018</v>
      </c>
      <c r="N516">
        <v>0.20000000000000018</v>
      </c>
      <c r="O516">
        <v>-1.2999999999999998</v>
      </c>
      <c r="P516">
        <v>1.2999999999999998</v>
      </c>
      <c r="Q516">
        <v>1.6899999999999995</v>
      </c>
      <c r="R516">
        <v>-0.10000000000000009</v>
      </c>
      <c r="S516">
        <v>0.10000000000000009</v>
      </c>
      <c r="T516" t="s">
        <v>460</v>
      </c>
      <c r="U516">
        <v>4.4000000000000004</v>
      </c>
      <c r="V516">
        <v>1.4000000000000004</v>
      </c>
      <c r="W516" t="s">
        <v>2496</v>
      </c>
      <c r="X516" t="s">
        <v>91</v>
      </c>
    </row>
    <row r="517" spans="1:24">
      <c r="A517" t="s">
        <v>210</v>
      </c>
      <c r="B517" t="s">
        <v>92</v>
      </c>
      <c r="C517" s="36">
        <v>45561</v>
      </c>
      <c r="D517" t="s">
        <v>1276</v>
      </c>
      <c r="E517" s="36">
        <v>46203</v>
      </c>
      <c r="F517" t="s">
        <v>120</v>
      </c>
      <c r="G517" s="36">
        <v>46198</v>
      </c>
      <c r="H517">
        <v>14</v>
      </c>
      <c r="I517" t="s">
        <v>2511</v>
      </c>
      <c r="J517">
        <v>3.1</v>
      </c>
      <c r="K517">
        <v>4.0999999999999996</v>
      </c>
      <c r="L517">
        <v>3</v>
      </c>
      <c r="M517">
        <v>0.10000000000000009</v>
      </c>
      <c r="N517">
        <v>0.10000000000000009</v>
      </c>
      <c r="O517">
        <v>-0.99999999999999956</v>
      </c>
      <c r="P517">
        <v>0.99999999999999956</v>
      </c>
      <c r="Q517">
        <v>0.99999999999999911</v>
      </c>
      <c r="R517">
        <v>0.30000000000000027</v>
      </c>
      <c r="S517">
        <v>0.30000000000000027</v>
      </c>
      <c r="T517" t="s">
        <v>460</v>
      </c>
      <c r="U517">
        <v>4.3</v>
      </c>
      <c r="V517">
        <v>1.2999999999999998</v>
      </c>
      <c r="W517" t="s">
        <v>2496</v>
      </c>
      <c r="X517" t="s">
        <v>93</v>
      </c>
    </row>
    <row r="518" spans="1:24">
      <c r="A518" t="s">
        <v>210</v>
      </c>
      <c r="B518" t="s">
        <v>94</v>
      </c>
      <c r="C518" s="36">
        <v>45610</v>
      </c>
      <c r="D518" t="s">
        <v>1276</v>
      </c>
      <c r="E518" s="36">
        <v>46203</v>
      </c>
      <c r="F518" t="s">
        <v>120</v>
      </c>
      <c r="G518" s="36">
        <v>46198</v>
      </c>
      <c r="H518">
        <v>13</v>
      </c>
      <c r="I518" t="s">
        <v>2508</v>
      </c>
      <c r="J518">
        <v>2.6</v>
      </c>
      <c r="K518">
        <v>4.0999999999999996</v>
      </c>
      <c r="L518">
        <v>3</v>
      </c>
      <c r="M518">
        <v>-0.39999999999999991</v>
      </c>
      <c r="N518">
        <v>0.39999999999999991</v>
      </c>
      <c r="O518">
        <v>-1.4999999999999996</v>
      </c>
      <c r="P518">
        <v>1.4999999999999996</v>
      </c>
      <c r="Q518">
        <v>2.2499999999999987</v>
      </c>
      <c r="R518">
        <v>-0.5</v>
      </c>
      <c r="S518">
        <v>0.5</v>
      </c>
      <c r="T518" t="s">
        <v>565</v>
      </c>
      <c r="U518">
        <v>5.3</v>
      </c>
      <c r="V518">
        <v>2.2999999999999998</v>
      </c>
      <c r="W518" t="s">
        <v>2496</v>
      </c>
      <c r="X518" t="s">
        <v>95</v>
      </c>
    </row>
    <row r="519" spans="1:24">
      <c r="A519" t="s">
        <v>210</v>
      </c>
      <c r="B519" t="s">
        <v>96</v>
      </c>
      <c r="C519" s="36">
        <v>45645</v>
      </c>
      <c r="D519" t="s">
        <v>1276</v>
      </c>
      <c r="E519" s="36">
        <v>46203</v>
      </c>
      <c r="F519" t="s">
        <v>120</v>
      </c>
      <c r="G519" s="36">
        <v>46198</v>
      </c>
      <c r="H519">
        <v>12</v>
      </c>
      <c r="I519" t="s">
        <v>2509</v>
      </c>
      <c r="J519">
        <v>2.7</v>
      </c>
      <c r="K519">
        <v>4.0999999999999996</v>
      </c>
      <c r="L519">
        <v>3</v>
      </c>
      <c r="M519">
        <v>-0.29999999999999982</v>
      </c>
      <c r="N519">
        <v>0.29999999999999982</v>
      </c>
      <c r="O519">
        <v>-1.3999999999999995</v>
      </c>
      <c r="P519">
        <v>1.3999999999999995</v>
      </c>
      <c r="Q519">
        <v>1.9599999999999984</v>
      </c>
      <c r="R519">
        <v>0.10000000000000009</v>
      </c>
      <c r="S519">
        <v>0.10000000000000009</v>
      </c>
      <c r="T519" t="s">
        <v>565</v>
      </c>
      <c r="U519">
        <v>5.3</v>
      </c>
      <c r="V519">
        <v>2.2999999999999998</v>
      </c>
      <c r="W519" t="s">
        <v>2496</v>
      </c>
      <c r="X519" t="s">
        <v>97</v>
      </c>
    </row>
    <row r="520" spans="1:24">
      <c r="A520" t="s">
        <v>210</v>
      </c>
      <c r="B520" t="s">
        <v>98</v>
      </c>
      <c r="C520" s="36">
        <v>45694</v>
      </c>
      <c r="D520" t="s">
        <v>1276</v>
      </c>
      <c r="E520" s="36">
        <v>46203</v>
      </c>
      <c r="F520" t="s">
        <v>120</v>
      </c>
      <c r="G520" s="36">
        <v>46198</v>
      </c>
      <c r="H520">
        <v>11</v>
      </c>
      <c r="I520" t="s">
        <v>2506</v>
      </c>
      <c r="J520">
        <v>3.1</v>
      </c>
      <c r="K520">
        <v>4.0999999999999996</v>
      </c>
      <c r="L520">
        <v>3</v>
      </c>
      <c r="M520">
        <v>0.10000000000000009</v>
      </c>
      <c r="N520">
        <v>0.10000000000000009</v>
      </c>
      <c r="O520">
        <v>-0.99999999999999956</v>
      </c>
      <c r="P520">
        <v>0.99999999999999956</v>
      </c>
      <c r="Q520">
        <v>0.99999999999999911</v>
      </c>
      <c r="R520">
        <v>0.39999999999999991</v>
      </c>
      <c r="S520">
        <v>0.39999999999999991</v>
      </c>
      <c r="T520" t="s">
        <v>670</v>
      </c>
      <c r="U520">
        <v>3.2</v>
      </c>
      <c r="V520">
        <v>0.20000000000000018</v>
      </c>
      <c r="W520" t="s">
        <v>2496</v>
      </c>
      <c r="X520" t="s">
        <v>99</v>
      </c>
    </row>
    <row r="521" spans="1:24">
      <c r="A521" t="s">
        <v>210</v>
      </c>
      <c r="B521" t="s">
        <v>100</v>
      </c>
      <c r="C521" s="36">
        <v>45743</v>
      </c>
      <c r="D521" t="s">
        <v>1276</v>
      </c>
      <c r="E521" s="36">
        <v>46203</v>
      </c>
      <c r="F521" t="s">
        <v>120</v>
      </c>
      <c r="G521" s="36">
        <v>46198</v>
      </c>
      <c r="H521">
        <v>10</v>
      </c>
      <c r="I521" t="s">
        <v>2507</v>
      </c>
      <c r="J521">
        <v>3.1</v>
      </c>
      <c r="K521">
        <v>4.0999999999999996</v>
      </c>
      <c r="L521">
        <v>3</v>
      </c>
      <c r="M521">
        <v>0.10000000000000009</v>
      </c>
      <c r="N521">
        <v>0.10000000000000009</v>
      </c>
      <c r="O521">
        <v>-0.99999999999999956</v>
      </c>
      <c r="P521">
        <v>0.99999999999999956</v>
      </c>
      <c r="Q521">
        <v>0.99999999999999911</v>
      </c>
      <c r="R521">
        <v>0</v>
      </c>
      <c r="S521">
        <v>0</v>
      </c>
      <c r="T521" t="s">
        <v>670</v>
      </c>
      <c r="U521">
        <v>3</v>
      </c>
      <c r="V521">
        <v>0</v>
      </c>
      <c r="W521" t="s">
        <v>2496</v>
      </c>
      <c r="X521" t="s">
        <v>101</v>
      </c>
    </row>
    <row r="522" spans="1:24">
      <c r="A522" t="s">
        <v>210</v>
      </c>
      <c r="B522" t="s">
        <v>102</v>
      </c>
      <c r="C522" s="36">
        <v>45792</v>
      </c>
      <c r="D522" t="s">
        <v>1276</v>
      </c>
      <c r="E522" s="36">
        <v>46203</v>
      </c>
      <c r="F522" t="s">
        <v>120</v>
      </c>
      <c r="G522" s="36">
        <v>46198</v>
      </c>
      <c r="H522">
        <v>9</v>
      </c>
      <c r="I522" t="s">
        <v>2504</v>
      </c>
      <c r="J522">
        <v>3.6</v>
      </c>
      <c r="K522">
        <v>4.0999999999999996</v>
      </c>
      <c r="L522">
        <v>3</v>
      </c>
      <c r="M522">
        <v>0.60000000000000009</v>
      </c>
      <c r="N522">
        <v>0.60000000000000009</v>
      </c>
      <c r="O522">
        <v>-0.49999999999999956</v>
      </c>
      <c r="P522">
        <v>0.49999999999999956</v>
      </c>
      <c r="Q522">
        <v>0.24999999999999956</v>
      </c>
      <c r="R522">
        <v>0.5</v>
      </c>
      <c r="S522">
        <v>0.5</v>
      </c>
      <c r="T522" t="s">
        <v>771</v>
      </c>
      <c r="U522">
        <v>2.8</v>
      </c>
      <c r="V522">
        <v>-0.20000000000000018</v>
      </c>
      <c r="W522" t="s">
        <v>2496</v>
      </c>
      <c r="X522" t="s">
        <v>103</v>
      </c>
    </row>
    <row r="523" spans="1:24">
      <c r="A523" t="s">
        <v>210</v>
      </c>
      <c r="B523" t="s">
        <v>104</v>
      </c>
      <c r="C523" s="36">
        <v>45834</v>
      </c>
      <c r="D523" t="s">
        <v>1276</v>
      </c>
      <c r="E523" s="36">
        <v>46203</v>
      </c>
      <c r="F523" t="s">
        <v>120</v>
      </c>
      <c r="G523" s="36">
        <v>46198</v>
      </c>
      <c r="H523">
        <v>8</v>
      </c>
      <c r="I523" t="s">
        <v>2505</v>
      </c>
      <c r="J523">
        <v>3.8</v>
      </c>
      <c r="K523">
        <v>4.0999999999999996</v>
      </c>
      <c r="L523">
        <v>3</v>
      </c>
      <c r="M523">
        <v>0.79999999999999982</v>
      </c>
      <c r="N523">
        <v>0.79999999999999982</v>
      </c>
      <c r="O523">
        <v>-0.29999999999999982</v>
      </c>
      <c r="P523">
        <v>0.29999999999999982</v>
      </c>
      <c r="Q523">
        <v>8.99999999999999E-2</v>
      </c>
      <c r="R523">
        <v>0.19999999999999973</v>
      </c>
      <c r="S523">
        <v>0.19999999999999973</v>
      </c>
      <c r="T523" t="s">
        <v>771</v>
      </c>
      <c r="U523">
        <v>2.9</v>
      </c>
      <c r="V523">
        <v>-0.10000000000000009</v>
      </c>
      <c r="W523" t="s">
        <v>2496</v>
      </c>
      <c r="X523" t="s">
        <v>105</v>
      </c>
    </row>
    <row r="524" spans="1:24">
      <c r="A524" t="s">
        <v>210</v>
      </c>
      <c r="B524" t="s">
        <v>106</v>
      </c>
      <c r="C524" s="36">
        <v>45876</v>
      </c>
      <c r="D524" t="s">
        <v>1276</v>
      </c>
      <c r="E524" s="36">
        <v>46203</v>
      </c>
      <c r="F524" t="s">
        <v>120</v>
      </c>
      <c r="G524" s="36">
        <v>46198</v>
      </c>
      <c r="H524">
        <v>7</v>
      </c>
      <c r="I524" t="s">
        <v>2502</v>
      </c>
      <c r="J524">
        <v>3.5</v>
      </c>
      <c r="K524">
        <v>4.0999999999999996</v>
      </c>
      <c r="L524">
        <v>3</v>
      </c>
      <c r="M524">
        <v>0.5</v>
      </c>
      <c r="N524">
        <v>0.5</v>
      </c>
      <c r="O524">
        <v>-0.59999999999999964</v>
      </c>
      <c r="P524">
        <v>0.59999999999999964</v>
      </c>
      <c r="Q524">
        <v>0.3599999999999996</v>
      </c>
      <c r="R524">
        <v>-0.29999999999999982</v>
      </c>
      <c r="S524">
        <v>0.29999999999999982</v>
      </c>
      <c r="T524" t="s">
        <v>876</v>
      </c>
      <c r="U524">
        <v>5.8</v>
      </c>
      <c r="V524">
        <v>2.8</v>
      </c>
      <c r="W524" t="s">
        <v>2496</v>
      </c>
      <c r="X524" t="s">
        <v>107</v>
      </c>
    </row>
    <row r="525" spans="1:24">
      <c r="A525" t="s">
        <v>210</v>
      </c>
      <c r="B525" t="s">
        <v>108</v>
      </c>
      <c r="C525" s="36">
        <v>45925</v>
      </c>
      <c r="D525" t="s">
        <v>1276</v>
      </c>
      <c r="E525" s="36">
        <v>46203</v>
      </c>
      <c r="F525" t="s">
        <v>120</v>
      </c>
      <c r="G525" s="36">
        <v>46198</v>
      </c>
      <c r="H525">
        <v>6</v>
      </c>
      <c r="I525" t="s">
        <v>2503</v>
      </c>
      <c r="J525">
        <v>3.5</v>
      </c>
      <c r="K525">
        <v>4.0999999999999996</v>
      </c>
      <c r="L525">
        <v>3</v>
      </c>
      <c r="M525">
        <v>0.5</v>
      </c>
      <c r="N525">
        <v>0.5</v>
      </c>
      <c r="O525">
        <v>-0.59999999999999964</v>
      </c>
      <c r="P525">
        <v>0.59999999999999964</v>
      </c>
      <c r="Q525">
        <v>0.3599999999999996</v>
      </c>
      <c r="R525">
        <v>0</v>
      </c>
      <c r="S525">
        <v>0</v>
      </c>
      <c r="T525" t="s">
        <v>876</v>
      </c>
      <c r="U525">
        <v>5.7</v>
      </c>
      <c r="V525">
        <v>2.7</v>
      </c>
      <c r="W525" t="s">
        <v>2496</v>
      </c>
      <c r="X525" t="s">
        <v>109</v>
      </c>
    </row>
    <row r="526" spans="1:24">
      <c r="A526" t="s">
        <v>210</v>
      </c>
      <c r="B526" t="s">
        <v>110</v>
      </c>
      <c r="C526" s="36">
        <v>45967</v>
      </c>
      <c r="D526" t="s">
        <v>1276</v>
      </c>
      <c r="E526" s="36">
        <v>46203</v>
      </c>
      <c r="F526" t="s">
        <v>120</v>
      </c>
      <c r="G526" s="36">
        <v>46198</v>
      </c>
      <c r="H526">
        <v>5</v>
      </c>
      <c r="I526" t="s">
        <v>2500</v>
      </c>
      <c r="J526">
        <v>3.6</v>
      </c>
      <c r="K526">
        <v>4.0999999999999996</v>
      </c>
      <c r="L526">
        <v>3</v>
      </c>
      <c r="M526">
        <v>0.60000000000000009</v>
      </c>
      <c r="N526">
        <v>0.60000000000000009</v>
      </c>
      <c r="O526">
        <v>-0.49999999999999956</v>
      </c>
      <c r="P526">
        <v>0.49999999999999956</v>
      </c>
      <c r="Q526">
        <v>0.24999999999999956</v>
      </c>
      <c r="R526">
        <v>0.10000000000000009</v>
      </c>
      <c r="S526">
        <v>0.10000000000000009</v>
      </c>
      <c r="T526" t="s">
        <v>981</v>
      </c>
      <c r="U526">
        <v>2.8</v>
      </c>
      <c r="V526">
        <v>-0.20000000000000018</v>
      </c>
      <c r="W526" t="s">
        <v>2496</v>
      </c>
      <c r="X526" t="s">
        <v>111</v>
      </c>
    </row>
    <row r="527" spans="1:24">
      <c r="A527" t="s">
        <v>210</v>
      </c>
      <c r="B527" t="s">
        <v>112</v>
      </c>
      <c r="C527" s="36">
        <v>46009</v>
      </c>
      <c r="D527" t="s">
        <v>1276</v>
      </c>
      <c r="E527" s="36">
        <v>46203</v>
      </c>
      <c r="F527" t="s">
        <v>120</v>
      </c>
      <c r="G527" s="36">
        <v>46198</v>
      </c>
      <c r="H527">
        <v>4</v>
      </c>
      <c r="I527" t="s">
        <v>2501</v>
      </c>
      <c r="J527">
        <v>3.2</v>
      </c>
      <c r="K527">
        <v>4.0999999999999996</v>
      </c>
      <c r="L527">
        <v>3</v>
      </c>
      <c r="M527">
        <v>0.20000000000000018</v>
      </c>
      <c r="N527">
        <v>0.20000000000000018</v>
      </c>
      <c r="O527">
        <v>-0.89999999999999947</v>
      </c>
      <c r="P527">
        <v>0.89999999999999947</v>
      </c>
      <c r="Q527">
        <v>0.80999999999999905</v>
      </c>
      <c r="R527">
        <v>-0.39999999999999991</v>
      </c>
      <c r="S527">
        <v>0.39999999999999991</v>
      </c>
      <c r="T527" t="s">
        <v>981</v>
      </c>
      <c r="U527">
        <v>2.9</v>
      </c>
      <c r="V527">
        <v>-0.10000000000000009</v>
      </c>
      <c r="W527" t="s">
        <v>2496</v>
      </c>
      <c r="X527" t="s">
        <v>113</v>
      </c>
    </row>
    <row r="528" spans="1:24">
      <c r="A528" t="s">
        <v>210</v>
      </c>
      <c r="B528" t="s">
        <v>114</v>
      </c>
      <c r="C528" s="36">
        <v>46058</v>
      </c>
      <c r="D528" t="s">
        <v>1276</v>
      </c>
      <c r="E528" s="36">
        <v>46203</v>
      </c>
      <c r="F528" t="s">
        <v>120</v>
      </c>
      <c r="G528" s="36">
        <v>46198</v>
      </c>
      <c r="H528">
        <v>3</v>
      </c>
      <c r="I528" t="s">
        <v>2498</v>
      </c>
      <c r="J528">
        <v>4</v>
      </c>
      <c r="K528">
        <v>4.0999999999999996</v>
      </c>
      <c r="L528">
        <v>3</v>
      </c>
      <c r="M528">
        <v>1</v>
      </c>
      <c r="N528">
        <v>1</v>
      </c>
      <c r="O528">
        <v>-9.9999999999999645E-2</v>
      </c>
      <c r="P528">
        <v>9.9999999999999645E-2</v>
      </c>
      <c r="Q528">
        <v>9.9999999999999291E-3</v>
      </c>
      <c r="R528">
        <v>0.79999999999999982</v>
      </c>
      <c r="S528">
        <v>0.79999999999999982</v>
      </c>
      <c r="T528" t="s">
        <v>1086</v>
      </c>
      <c r="U528">
        <v>3.5</v>
      </c>
      <c r="V528">
        <v>0.5</v>
      </c>
      <c r="W528" t="s">
        <v>2496</v>
      </c>
      <c r="X528" t="s">
        <v>115</v>
      </c>
    </row>
    <row r="529" spans="1:24">
      <c r="A529" t="s">
        <v>210</v>
      </c>
      <c r="B529" t="s">
        <v>116</v>
      </c>
      <c r="C529" s="36">
        <v>46107</v>
      </c>
      <c r="D529" t="s">
        <v>1276</v>
      </c>
      <c r="E529" s="36">
        <v>46203</v>
      </c>
      <c r="F529" t="s">
        <v>120</v>
      </c>
      <c r="G529" s="36">
        <v>46198</v>
      </c>
      <c r="H529">
        <v>2</v>
      </c>
      <c r="I529" t="s">
        <v>2499</v>
      </c>
      <c r="J529">
        <v>4.2</v>
      </c>
      <c r="K529">
        <v>4.0999999999999996</v>
      </c>
      <c r="L529">
        <v>3</v>
      </c>
      <c r="M529">
        <v>1.2000000000000002</v>
      </c>
      <c r="N529">
        <v>1.2000000000000002</v>
      </c>
      <c r="O529">
        <v>0.10000000000000053</v>
      </c>
      <c r="P529">
        <v>0.10000000000000053</v>
      </c>
      <c r="Q529">
        <v>1.0000000000000106E-2</v>
      </c>
      <c r="R529">
        <v>0.20000000000000018</v>
      </c>
      <c r="S529">
        <v>0.20000000000000018</v>
      </c>
      <c r="T529" t="s">
        <v>1086</v>
      </c>
      <c r="U529">
        <v>3.7</v>
      </c>
      <c r="V529">
        <v>0.70000000000000018</v>
      </c>
      <c r="W529" t="s">
        <v>2496</v>
      </c>
      <c r="X529" t="s">
        <v>117</v>
      </c>
    </row>
    <row r="530" spans="1:24">
      <c r="A530" t="s">
        <v>210</v>
      </c>
      <c r="B530" t="s">
        <v>118</v>
      </c>
      <c r="C530" s="36">
        <v>46149</v>
      </c>
      <c r="D530" t="s">
        <v>1276</v>
      </c>
      <c r="E530" s="36">
        <v>46203</v>
      </c>
      <c r="F530" t="s">
        <v>120</v>
      </c>
      <c r="G530" s="36">
        <v>46198</v>
      </c>
      <c r="H530">
        <v>1</v>
      </c>
      <c r="I530" t="s">
        <v>2495</v>
      </c>
      <c r="J530">
        <v>4.5999999999999996</v>
      </c>
      <c r="K530">
        <v>4.0999999999999996</v>
      </c>
      <c r="L530">
        <v>3</v>
      </c>
      <c r="M530">
        <v>1.5999999999999996</v>
      </c>
      <c r="N530">
        <v>1.5999999999999996</v>
      </c>
      <c r="O530">
        <v>0.5</v>
      </c>
      <c r="P530">
        <v>0.5</v>
      </c>
      <c r="Q530">
        <v>0.25</v>
      </c>
      <c r="R530">
        <v>0.39999999999999947</v>
      </c>
      <c r="S530">
        <v>0.39999999999999947</v>
      </c>
      <c r="T530" t="s">
        <v>1183</v>
      </c>
      <c r="U530">
        <v>4.7</v>
      </c>
      <c r="V530">
        <v>1.7000000000000002</v>
      </c>
      <c r="W530" t="s">
        <v>2496</v>
      </c>
      <c r="X530" t="s">
        <v>119</v>
      </c>
    </row>
    <row r="531" spans="1:24">
      <c r="A531" t="s">
        <v>210</v>
      </c>
      <c r="B531" t="s">
        <v>120</v>
      </c>
      <c r="C531" s="36">
        <v>46198</v>
      </c>
      <c r="D531" t="s">
        <v>1276</v>
      </c>
      <c r="E531" s="36">
        <v>46203</v>
      </c>
      <c r="F531" t="s">
        <v>120</v>
      </c>
      <c r="G531" s="36">
        <v>46198</v>
      </c>
      <c r="H531">
        <v>0</v>
      </c>
      <c r="I531" t="s">
        <v>2497</v>
      </c>
      <c r="J531">
        <v>4.0999999999999996</v>
      </c>
      <c r="K531">
        <v>4.0999999999999996</v>
      </c>
      <c r="L531">
        <v>3</v>
      </c>
      <c r="M531">
        <v>1.0999999999999996</v>
      </c>
      <c r="N531">
        <v>1.0999999999999996</v>
      </c>
      <c r="O531">
        <v>0</v>
      </c>
      <c r="P531">
        <v>0</v>
      </c>
      <c r="Q531">
        <v>0</v>
      </c>
      <c r="R531">
        <v>-0.5</v>
      </c>
      <c r="S531">
        <v>0.5</v>
      </c>
      <c r="T531" t="s">
        <v>1183</v>
      </c>
      <c r="U531">
        <v>4.5999999999999996</v>
      </c>
      <c r="V531">
        <v>1.5999999999999996</v>
      </c>
      <c r="W531" t="s">
        <v>2496</v>
      </c>
      <c r="X531" t="s">
        <v>121</v>
      </c>
    </row>
    <row r="532" spans="1:24">
      <c r="A532" t="s">
        <v>134</v>
      </c>
      <c r="B532" t="s">
        <v>39</v>
      </c>
      <c r="C532" s="36">
        <v>44420</v>
      </c>
      <c r="D532" t="s">
        <v>139</v>
      </c>
      <c r="E532" s="36">
        <v>44469</v>
      </c>
      <c r="F532" t="s">
        <v>43</v>
      </c>
      <c r="G532" s="36">
        <v>44469</v>
      </c>
      <c r="H532">
        <v>1</v>
      </c>
      <c r="I532" t="s">
        <v>2495</v>
      </c>
      <c r="J532">
        <v>4.7</v>
      </c>
      <c r="K532">
        <v>4.8</v>
      </c>
      <c r="L532">
        <v>3</v>
      </c>
      <c r="M532">
        <v>1.7000000000000002</v>
      </c>
      <c r="N532">
        <v>1.7000000000000002</v>
      </c>
      <c r="O532">
        <v>-9.9999999999999645E-2</v>
      </c>
      <c r="P532">
        <v>9.9999999999999645E-2</v>
      </c>
      <c r="Q532">
        <v>9.9999999999999291E-3</v>
      </c>
      <c r="T532" t="s">
        <v>136</v>
      </c>
      <c r="U532">
        <v>4.4000000000000004</v>
      </c>
      <c r="V532">
        <v>1.4000000000000004</v>
      </c>
      <c r="W532" t="s">
        <v>2496</v>
      </c>
      <c r="X532" t="s">
        <v>42</v>
      </c>
    </row>
    <row r="533" spans="1:24">
      <c r="A533" t="s">
        <v>134</v>
      </c>
      <c r="B533" t="s">
        <v>43</v>
      </c>
      <c r="C533" s="36">
        <v>44469</v>
      </c>
      <c r="D533" t="s">
        <v>139</v>
      </c>
      <c r="E533" s="36">
        <v>44469</v>
      </c>
      <c r="F533" t="s">
        <v>43</v>
      </c>
      <c r="G533" s="36">
        <v>44469</v>
      </c>
      <c r="H533">
        <v>0</v>
      </c>
      <c r="I533" t="s">
        <v>2497</v>
      </c>
      <c r="J533">
        <v>4.8</v>
      </c>
      <c r="K533">
        <v>4.8</v>
      </c>
      <c r="L533">
        <v>3</v>
      </c>
      <c r="M533">
        <v>1.7999999999999998</v>
      </c>
      <c r="N533">
        <v>1.7999999999999998</v>
      </c>
      <c r="O533">
        <v>0</v>
      </c>
      <c r="P533">
        <v>0</v>
      </c>
      <c r="Q533">
        <v>0</v>
      </c>
      <c r="R533">
        <v>9.9999999999999645E-2</v>
      </c>
      <c r="S533">
        <v>9.9999999999999645E-2</v>
      </c>
      <c r="T533" t="s">
        <v>136</v>
      </c>
      <c r="U533">
        <v>4.4000000000000004</v>
      </c>
      <c r="V533">
        <v>1.4000000000000004</v>
      </c>
      <c r="W533" t="s">
        <v>2496</v>
      </c>
      <c r="X533" t="s">
        <v>44</v>
      </c>
    </row>
    <row r="534" spans="1:24">
      <c r="A534" t="s">
        <v>134</v>
      </c>
      <c r="B534" t="s">
        <v>39</v>
      </c>
      <c r="C534" s="36">
        <v>44420</v>
      </c>
      <c r="D534" t="s">
        <v>142</v>
      </c>
      <c r="E534" s="36">
        <v>44561</v>
      </c>
      <c r="F534" t="s">
        <v>47</v>
      </c>
      <c r="G534" s="36">
        <v>44546</v>
      </c>
      <c r="H534">
        <v>3</v>
      </c>
      <c r="I534" t="s">
        <v>2498</v>
      </c>
      <c r="J534">
        <v>5</v>
      </c>
      <c r="K534">
        <v>5.6</v>
      </c>
      <c r="L534">
        <v>3</v>
      </c>
      <c r="M534">
        <v>2</v>
      </c>
      <c r="N534">
        <v>2</v>
      </c>
      <c r="O534">
        <v>-0.59999999999999964</v>
      </c>
      <c r="P534">
        <v>0.59999999999999964</v>
      </c>
      <c r="Q534">
        <v>0.3599999999999996</v>
      </c>
      <c r="T534" t="s">
        <v>136</v>
      </c>
      <c r="U534">
        <v>4.4000000000000004</v>
      </c>
      <c r="V534">
        <v>1.4000000000000004</v>
      </c>
      <c r="W534" t="s">
        <v>2496</v>
      </c>
      <c r="X534" t="s">
        <v>42</v>
      </c>
    </row>
    <row r="535" spans="1:24">
      <c r="A535" t="s">
        <v>134</v>
      </c>
      <c r="B535" t="s">
        <v>43</v>
      </c>
      <c r="C535" s="36">
        <v>44469</v>
      </c>
      <c r="D535" t="s">
        <v>142</v>
      </c>
      <c r="E535" s="36">
        <v>44561</v>
      </c>
      <c r="F535" t="s">
        <v>47</v>
      </c>
      <c r="G535" s="36">
        <v>44546</v>
      </c>
      <c r="H535">
        <v>2</v>
      </c>
      <c r="I535" t="s">
        <v>2499</v>
      </c>
      <c r="J535">
        <v>5.3</v>
      </c>
      <c r="K535">
        <v>5.6</v>
      </c>
      <c r="L535">
        <v>3</v>
      </c>
      <c r="M535">
        <v>2.2999999999999998</v>
      </c>
      <c r="N535">
        <v>2.2999999999999998</v>
      </c>
      <c r="O535">
        <v>-0.29999999999999982</v>
      </c>
      <c r="P535">
        <v>0.29999999999999982</v>
      </c>
      <c r="Q535">
        <v>8.99999999999999E-2</v>
      </c>
      <c r="R535">
        <v>0.29999999999999982</v>
      </c>
      <c r="S535">
        <v>0.29999999999999982</v>
      </c>
      <c r="T535" t="s">
        <v>136</v>
      </c>
      <c r="U535">
        <v>4.4000000000000004</v>
      </c>
      <c r="V535">
        <v>1.4000000000000004</v>
      </c>
      <c r="W535" t="s">
        <v>2496</v>
      </c>
      <c r="X535" t="s">
        <v>44</v>
      </c>
    </row>
    <row r="536" spans="1:24">
      <c r="A536" t="s">
        <v>134</v>
      </c>
      <c r="B536" t="s">
        <v>45</v>
      </c>
      <c r="C536" s="36">
        <v>44511</v>
      </c>
      <c r="D536" t="s">
        <v>142</v>
      </c>
      <c r="E536" s="36">
        <v>44561</v>
      </c>
      <c r="F536" t="s">
        <v>47</v>
      </c>
      <c r="G536" s="36">
        <v>44546</v>
      </c>
      <c r="H536">
        <v>1</v>
      </c>
      <c r="I536" t="s">
        <v>2495</v>
      </c>
      <c r="J536">
        <v>5.5</v>
      </c>
      <c r="K536">
        <v>5.6</v>
      </c>
      <c r="L536">
        <v>3</v>
      </c>
      <c r="M536">
        <v>2.5</v>
      </c>
      <c r="N536">
        <v>2.5</v>
      </c>
      <c r="O536">
        <v>-9.9999999999999645E-2</v>
      </c>
      <c r="P536">
        <v>9.9999999999999645E-2</v>
      </c>
      <c r="Q536">
        <v>9.9999999999999291E-3</v>
      </c>
      <c r="R536">
        <v>0.20000000000000018</v>
      </c>
      <c r="S536">
        <v>0.20000000000000018</v>
      </c>
      <c r="T536" t="s">
        <v>139</v>
      </c>
      <c r="U536">
        <v>4.8</v>
      </c>
      <c r="V536">
        <v>1.7999999999999998</v>
      </c>
      <c r="W536" t="s">
        <v>2496</v>
      </c>
      <c r="X536" t="s">
        <v>46</v>
      </c>
    </row>
    <row r="537" spans="1:24">
      <c r="A537" t="s">
        <v>134</v>
      </c>
      <c r="B537" t="s">
        <v>47</v>
      </c>
      <c r="C537" s="36">
        <v>44546</v>
      </c>
      <c r="D537" t="s">
        <v>142</v>
      </c>
      <c r="E537" s="36">
        <v>44561</v>
      </c>
      <c r="F537" t="s">
        <v>47</v>
      </c>
      <c r="G537" s="36">
        <v>44546</v>
      </c>
      <c r="H537">
        <v>0</v>
      </c>
      <c r="I537" t="s">
        <v>2497</v>
      </c>
      <c r="J537">
        <v>5.6</v>
      </c>
      <c r="K537">
        <v>5.6</v>
      </c>
      <c r="L537">
        <v>3</v>
      </c>
      <c r="M537">
        <v>2.5999999999999996</v>
      </c>
      <c r="N537">
        <v>2.5999999999999996</v>
      </c>
      <c r="O537">
        <v>0</v>
      </c>
      <c r="P537">
        <v>0</v>
      </c>
      <c r="Q537">
        <v>0</v>
      </c>
      <c r="R537">
        <v>9.9999999999999645E-2</v>
      </c>
      <c r="S537">
        <v>9.9999999999999645E-2</v>
      </c>
      <c r="T537" t="s">
        <v>139</v>
      </c>
      <c r="U537">
        <v>4.8</v>
      </c>
      <c r="V537">
        <v>1.7999999999999998</v>
      </c>
      <c r="W537" t="s">
        <v>2496</v>
      </c>
      <c r="X537" t="s">
        <v>49</v>
      </c>
    </row>
    <row r="538" spans="1:24">
      <c r="A538" t="s">
        <v>134</v>
      </c>
      <c r="B538" t="s">
        <v>39</v>
      </c>
      <c r="C538" s="36">
        <v>44420</v>
      </c>
      <c r="D538" t="s">
        <v>145</v>
      </c>
      <c r="E538" s="36">
        <v>44651</v>
      </c>
      <c r="F538" t="s">
        <v>52</v>
      </c>
      <c r="G538" s="36">
        <v>44644</v>
      </c>
      <c r="H538">
        <v>5</v>
      </c>
      <c r="I538" t="s">
        <v>2500</v>
      </c>
      <c r="J538">
        <v>5.0999999999999996</v>
      </c>
      <c r="K538">
        <v>6.5</v>
      </c>
      <c r="L538">
        <v>3</v>
      </c>
      <c r="M538">
        <v>2.0999999999999996</v>
      </c>
      <c r="N538">
        <v>2.0999999999999996</v>
      </c>
      <c r="O538">
        <v>-1.4000000000000004</v>
      </c>
      <c r="P538">
        <v>1.4000000000000004</v>
      </c>
      <c r="Q538">
        <v>1.9600000000000011</v>
      </c>
      <c r="T538" t="s">
        <v>136</v>
      </c>
      <c r="U538">
        <v>4.4000000000000004</v>
      </c>
      <c r="V538">
        <v>1.4000000000000004</v>
      </c>
      <c r="W538" t="s">
        <v>2496</v>
      </c>
      <c r="X538" t="s">
        <v>42</v>
      </c>
    </row>
    <row r="539" spans="1:24">
      <c r="A539" t="s">
        <v>134</v>
      </c>
      <c r="B539" t="s">
        <v>43</v>
      </c>
      <c r="C539" s="36">
        <v>44469</v>
      </c>
      <c r="D539" t="s">
        <v>145</v>
      </c>
      <c r="E539" s="36">
        <v>44651</v>
      </c>
      <c r="F539" t="s">
        <v>52</v>
      </c>
      <c r="G539" s="36">
        <v>44644</v>
      </c>
      <c r="H539">
        <v>4</v>
      </c>
      <c r="I539" t="s">
        <v>2501</v>
      </c>
      <c r="J539">
        <v>5.4</v>
      </c>
      <c r="K539">
        <v>6.5</v>
      </c>
      <c r="L539">
        <v>3</v>
      </c>
      <c r="M539">
        <v>2.4000000000000004</v>
      </c>
      <c r="N539">
        <v>2.4000000000000004</v>
      </c>
      <c r="O539">
        <v>-1.0999999999999996</v>
      </c>
      <c r="P539">
        <v>1.0999999999999996</v>
      </c>
      <c r="Q539">
        <v>1.2099999999999993</v>
      </c>
      <c r="R539">
        <v>0.30000000000000071</v>
      </c>
      <c r="S539">
        <v>0.30000000000000071</v>
      </c>
      <c r="T539" t="s">
        <v>136</v>
      </c>
      <c r="U539">
        <v>4.4000000000000004</v>
      </c>
      <c r="V539">
        <v>1.4000000000000004</v>
      </c>
      <c r="W539" t="s">
        <v>2496</v>
      </c>
      <c r="X539" t="s">
        <v>44</v>
      </c>
    </row>
    <row r="540" spans="1:24">
      <c r="A540" t="s">
        <v>134</v>
      </c>
      <c r="B540" t="s">
        <v>45</v>
      </c>
      <c r="C540" s="36">
        <v>44511</v>
      </c>
      <c r="D540" t="s">
        <v>145</v>
      </c>
      <c r="E540" s="36">
        <v>44651</v>
      </c>
      <c r="F540" t="s">
        <v>52</v>
      </c>
      <c r="G540" s="36">
        <v>44644</v>
      </c>
      <c r="H540">
        <v>3</v>
      </c>
      <c r="I540" t="s">
        <v>2498</v>
      </c>
      <c r="J540">
        <v>5.8</v>
      </c>
      <c r="K540">
        <v>6.5</v>
      </c>
      <c r="L540">
        <v>3</v>
      </c>
      <c r="M540">
        <v>2.8</v>
      </c>
      <c r="N540">
        <v>2.8</v>
      </c>
      <c r="O540">
        <v>-0.70000000000000018</v>
      </c>
      <c r="P540">
        <v>0.70000000000000018</v>
      </c>
      <c r="Q540">
        <v>0.49000000000000027</v>
      </c>
      <c r="R540">
        <v>0.39999999999999947</v>
      </c>
      <c r="S540">
        <v>0.39999999999999947</v>
      </c>
      <c r="T540" t="s">
        <v>139</v>
      </c>
      <c r="U540">
        <v>4.8</v>
      </c>
      <c r="V540">
        <v>1.7999999999999998</v>
      </c>
      <c r="W540" t="s">
        <v>2496</v>
      </c>
      <c r="X540" t="s">
        <v>46</v>
      </c>
    </row>
    <row r="541" spans="1:24">
      <c r="A541" t="s">
        <v>134</v>
      </c>
      <c r="B541" t="s">
        <v>47</v>
      </c>
      <c r="C541" s="36">
        <v>44546</v>
      </c>
      <c r="D541" t="s">
        <v>145</v>
      </c>
      <c r="E541" s="36">
        <v>44651</v>
      </c>
      <c r="F541" t="s">
        <v>52</v>
      </c>
      <c r="G541" s="36">
        <v>44644</v>
      </c>
      <c r="H541">
        <v>2</v>
      </c>
      <c r="I541" t="s">
        <v>2499</v>
      </c>
      <c r="J541">
        <v>6.2</v>
      </c>
      <c r="K541">
        <v>6.5</v>
      </c>
      <c r="L541">
        <v>3</v>
      </c>
      <c r="M541">
        <v>3.2</v>
      </c>
      <c r="N541">
        <v>3.2</v>
      </c>
      <c r="O541">
        <v>-0.29999999999999982</v>
      </c>
      <c r="P541">
        <v>0.29999999999999982</v>
      </c>
      <c r="Q541">
        <v>8.99999999999999E-2</v>
      </c>
      <c r="R541">
        <v>0.40000000000000036</v>
      </c>
      <c r="S541">
        <v>0.40000000000000036</v>
      </c>
      <c r="T541" t="s">
        <v>139</v>
      </c>
      <c r="U541">
        <v>4.8</v>
      </c>
      <c r="V541">
        <v>1.7999999999999998</v>
      </c>
      <c r="W541" t="s">
        <v>2496</v>
      </c>
      <c r="X541" t="s">
        <v>49</v>
      </c>
    </row>
    <row r="542" spans="1:24">
      <c r="A542" t="s">
        <v>134</v>
      </c>
      <c r="B542" t="s">
        <v>50</v>
      </c>
      <c r="C542" s="36">
        <v>44602</v>
      </c>
      <c r="D542" t="s">
        <v>145</v>
      </c>
      <c r="E542" s="36">
        <v>44651</v>
      </c>
      <c r="F542" t="s">
        <v>52</v>
      </c>
      <c r="G542" s="36">
        <v>44644</v>
      </c>
      <c r="H542">
        <v>1</v>
      </c>
      <c r="I542" t="s">
        <v>2495</v>
      </c>
      <c r="J542">
        <v>6.4</v>
      </c>
      <c r="K542">
        <v>6.5</v>
      </c>
      <c r="L542">
        <v>3</v>
      </c>
      <c r="M542">
        <v>3.4000000000000004</v>
      </c>
      <c r="N542">
        <v>3.4000000000000004</v>
      </c>
      <c r="O542">
        <v>-9.9999999999999645E-2</v>
      </c>
      <c r="P542">
        <v>9.9999999999999645E-2</v>
      </c>
      <c r="Q542">
        <v>9.9999999999999291E-3</v>
      </c>
      <c r="R542">
        <v>0.20000000000000018</v>
      </c>
      <c r="S542">
        <v>0.20000000000000018</v>
      </c>
      <c r="T542" t="s">
        <v>142</v>
      </c>
      <c r="U542">
        <v>5.6</v>
      </c>
      <c r="V542">
        <v>2.5999999999999996</v>
      </c>
      <c r="W542" t="s">
        <v>2496</v>
      </c>
      <c r="X542" t="s">
        <v>51</v>
      </c>
    </row>
    <row r="543" spans="1:24">
      <c r="A543" t="s">
        <v>134</v>
      </c>
      <c r="B543" t="s">
        <v>52</v>
      </c>
      <c r="C543" s="36">
        <v>44644</v>
      </c>
      <c r="D543" t="s">
        <v>145</v>
      </c>
      <c r="E543" s="36">
        <v>44651</v>
      </c>
      <c r="F543" t="s">
        <v>52</v>
      </c>
      <c r="G543" s="36">
        <v>44644</v>
      </c>
      <c r="H543">
        <v>0</v>
      </c>
      <c r="I543" t="s">
        <v>2497</v>
      </c>
      <c r="J543">
        <v>6.5</v>
      </c>
      <c r="K543">
        <v>6.5</v>
      </c>
      <c r="L543">
        <v>3</v>
      </c>
      <c r="M543">
        <v>3.5</v>
      </c>
      <c r="N543">
        <v>3.5</v>
      </c>
      <c r="O543">
        <v>0</v>
      </c>
      <c r="P543">
        <v>0</v>
      </c>
      <c r="Q543">
        <v>0</v>
      </c>
      <c r="R543">
        <v>9.9999999999999645E-2</v>
      </c>
      <c r="S543">
        <v>9.9999999999999645E-2</v>
      </c>
      <c r="T543" t="s">
        <v>142</v>
      </c>
      <c r="U543">
        <v>5.6</v>
      </c>
      <c r="V543">
        <v>2.5999999999999996</v>
      </c>
      <c r="W543" t="s">
        <v>2496</v>
      </c>
      <c r="X543" t="s">
        <v>53</v>
      </c>
    </row>
    <row r="544" spans="1:24">
      <c r="A544" t="s">
        <v>134</v>
      </c>
      <c r="B544" t="s">
        <v>39</v>
      </c>
      <c r="C544" s="36">
        <v>44420</v>
      </c>
      <c r="D544" t="s">
        <v>148</v>
      </c>
      <c r="E544" s="36">
        <v>44742</v>
      </c>
      <c r="F544" t="s">
        <v>56</v>
      </c>
      <c r="G544" s="36">
        <v>44735</v>
      </c>
      <c r="H544">
        <v>7</v>
      </c>
      <c r="I544" t="s">
        <v>2502</v>
      </c>
      <c r="J544">
        <v>4.4000000000000004</v>
      </c>
      <c r="K544">
        <v>7.3</v>
      </c>
      <c r="L544">
        <v>3</v>
      </c>
      <c r="M544">
        <v>1.4000000000000004</v>
      </c>
      <c r="N544">
        <v>1.4000000000000004</v>
      </c>
      <c r="O544">
        <v>-2.8999999999999995</v>
      </c>
      <c r="P544">
        <v>2.8999999999999995</v>
      </c>
      <c r="Q544">
        <v>8.4099999999999966</v>
      </c>
      <c r="T544" t="s">
        <v>136</v>
      </c>
      <c r="U544">
        <v>4.4000000000000004</v>
      </c>
      <c r="V544">
        <v>1.4000000000000004</v>
      </c>
      <c r="W544" t="s">
        <v>2496</v>
      </c>
      <c r="X544" t="s">
        <v>42</v>
      </c>
    </row>
    <row r="545" spans="1:24">
      <c r="A545" t="s">
        <v>134</v>
      </c>
      <c r="B545" t="s">
        <v>43</v>
      </c>
      <c r="C545" s="36">
        <v>44469</v>
      </c>
      <c r="D545" t="s">
        <v>148</v>
      </c>
      <c r="E545" s="36">
        <v>44742</v>
      </c>
      <c r="F545" t="s">
        <v>56</v>
      </c>
      <c r="G545" s="36">
        <v>44735</v>
      </c>
      <c r="H545">
        <v>6</v>
      </c>
      <c r="I545" t="s">
        <v>2503</v>
      </c>
      <c r="J545">
        <v>4.8</v>
      </c>
      <c r="K545">
        <v>7.3</v>
      </c>
      <c r="L545">
        <v>3</v>
      </c>
      <c r="M545">
        <v>1.7999999999999998</v>
      </c>
      <c r="N545">
        <v>1.7999999999999998</v>
      </c>
      <c r="O545">
        <v>-2.5</v>
      </c>
      <c r="P545">
        <v>2.5</v>
      </c>
      <c r="Q545">
        <v>6.25</v>
      </c>
      <c r="R545">
        <v>0.39999999999999947</v>
      </c>
      <c r="S545">
        <v>0.39999999999999947</v>
      </c>
      <c r="T545" t="s">
        <v>136</v>
      </c>
      <c r="U545">
        <v>4.4000000000000004</v>
      </c>
      <c r="V545">
        <v>1.4000000000000004</v>
      </c>
      <c r="W545" t="s">
        <v>2496</v>
      </c>
      <c r="X545" t="s">
        <v>44</v>
      </c>
    </row>
    <row r="546" spans="1:24">
      <c r="A546" t="s">
        <v>134</v>
      </c>
      <c r="B546" t="s">
        <v>45</v>
      </c>
      <c r="C546" s="36">
        <v>44511</v>
      </c>
      <c r="D546" t="s">
        <v>148</v>
      </c>
      <c r="E546" s="36">
        <v>44742</v>
      </c>
      <c r="F546" t="s">
        <v>56</v>
      </c>
      <c r="G546" s="36">
        <v>44735</v>
      </c>
      <c r="H546">
        <v>5</v>
      </c>
      <c r="I546" t="s">
        <v>2500</v>
      </c>
      <c r="J546">
        <v>5.3</v>
      </c>
      <c r="K546">
        <v>7.3</v>
      </c>
      <c r="L546">
        <v>3</v>
      </c>
      <c r="M546">
        <v>2.2999999999999998</v>
      </c>
      <c r="N546">
        <v>2.2999999999999998</v>
      </c>
      <c r="O546">
        <v>-2</v>
      </c>
      <c r="P546">
        <v>2</v>
      </c>
      <c r="Q546">
        <v>4</v>
      </c>
      <c r="R546">
        <v>0.5</v>
      </c>
      <c r="S546">
        <v>0.5</v>
      </c>
      <c r="T546" t="s">
        <v>139</v>
      </c>
      <c r="U546">
        <v>4.8</v>
      </c>
      <c r="V546">
        <v>1.7999999999999998</v>
      </c>
      <c r="W546" t="s">
        <v>2496</v>
      </c>
      <c r="X546" t="s">
        <v>46</v>
      </c>
    </row>
    <row r="547" spans="1:24">
      <c r="A547" t="s">
        <v>134</v>
      </c>
      <c r="B547" t="s">
        <v>47</v>
      </c>
      <c r="C547" s="36">
        <v>44546</v>
      </c>
      <c r="D547" t="s">
        <v>148</v>
      </c>
      <c r="E547" s="36">
        <v>44742</v>
      </c>
      <c r="F547" t="s">
        <v>56</v>
      </c>
      <c r="G547" s="36">
        <v>44735</v>
      </c>
      <c r="H547">
        <v>4</v>
      </c>
      <c r="I547" t="s">
        <v>2501</v>
      </c>
      <c r="J547">
        <v>5.8</v>
      </c>
      <c r="K547">
        <v>7.3</v>
      </c>
      <c r="L547">
        <v>3</v>
      </c>
      <c r="M547">
        <v>2.8</v>
      </c>
      <c r="N547">
        <v>2.8</v>
      </c>
      <c r="O547">
        <v>-1.5</v>
      </c>
      <c r="P547">
        <v>1.5</v>
      </c>
      <c r="Q547">
        <v>2.25</v>
      </c>
      <c r="R547">
        <v>0.5</v>
      </c>
      <c r="S547">
        <v>0.5</v>
      </c>
      <c r="T547" t="s">
        <v>139</v>
      </c>
      <c r="U547">
        <v>4.8</v>
      </c>
      <c r="V547">
        <v>1.7999999999999998</v>
      </c>
      <c r="W547" t="s">
        <v>2496</v>
      </c>
      <c r="X547" t="s">
        <v>49</v>
      </c>
    </row>
    <row r="548" spans="1:24">
      <c r="A548" t="s">
        <v>134</v>
      </c>
      <c r="B548" t="s">
        <v>50</v>
      </c>
      <c r="C548" s="36">
        <v>44602</v>
      </c>
      <c r="D548" t="s">
        <v>148</v>
      </c>
      <c r="E548" s="36">
        <v>44742</v>
      </c>
      <c r="F548" t="s">
        <v>56</v>
      </c>
      <c r="G548" s="36">
        <v>44735</v>
      </c>
      <c r="H548">
        <v>3</v>
      </c>
      <c r="I548" t="s">
        <v>2498</v>
      </c>
      <c r="J548">
        <v>6.1</v>
      </c>
      <c r="K548">
        <v>7.3</v>
      </c>
      <c r="L548">
        <v>3</v>
      </c>
      <c r="M548">
        <v>3.0999999999999996</v>
      </c>
      <c r="N548">
        <v>3.0999999999999996</v>
      </c>
      <c r="O548">
        <v>-1.2000000000000002</v>
      </c>
      <c r="P548">
        <v>1.2000000000000002</v>
      </c>
      <c r="Q548">
        <v>1.4400000000000004</v>
      </c>
      <c r="R548">
        <v>0.29999999999999982</v>
      </c>
      <c r="S548">
        <v>0.29999999999999982</v>
      </c>
      <c r="T548" t="s">
        <v>142</v>
      </c>
      <c r="U548">
        <v>5.6</v>
      </c>
      <c r="V548">
        <v>2.5999999999999996</v>
      </c>
      <c r="W548" t="s">
        <v>2496</v>
      </c>
      <c r="X548" t="s">
        <v>51</v>
      </c>
    </row>
    <row r="549" spans="1:24">
      <c r="A549" t="s">
        <v>134</v>
      </c>
      <c r="B549" t="s">
        <v>52</v>
      </c>
      <c r="C549" s="36">
        <v>44644</v>
      </c>
      <c r="D549" t="s">
        <v>148</v>
      </c>
      <c r="E549" s="36">
        <v>44742</v>
      </c>
      <c r="F549" t="s">
        <v>56</v>
      </c>
      <c r="G549" s="36">
        <v>44735</v>
      </c>
      <c r="H549">
        <v>2</v>
      </c>
      <c r="I549" t="s">
        <v>2499</v>
      </c>
      <c r="J549">
        <v>6.7</v>
      </c>
      <c r="K549">
        <v>7.3</v>
      </c>
      <c r="L549">
        <v>3</v>
      </c>
      <c r="M549">
        <v>3.7</v>
      </c>
      <c r="N549">
        <v>3.7</v>
      </c>
      <c r="O549">
        <v>-0.59999999999999964</v>
      </c>
      <c r="P549">
        <v>0.59999999999999964</v>
      </c>
      <c r="Q549">
        <v>0.3599999999999996</v>
      </c>
      <c r="R549">
        <v>0.60000000000000053</v>
      </c>
      <c r="S549">
        <v>0.60000000000000053</v>
      </c>
      <c r="T549" t="s">
        <v>142</v>
      </c>
      <c r="U549">
        <v>5.6</v>
      </c>
      <c r="V549">
        <v>2.5999999999999996</v>
      </c>
      <c r="W549" t="s">
        <v>2496</v>
      </c>
      <c r="X549" t="s">
        <v>53</v>
      </c>
    </row>
    <row r="550" spans="1:24">
      <c r="A550" t="s">
        <v>134</v>
      </c>
      <c r="B550" t="s">
        <v>54</v>
      </c>
      <c r="C550" s="36">
        <v>44693</v>
      </c>
      <c r="D550" t="s">
        <v>148</v>
      </c>
      <c r="E550" s="36">
        <v>44742</v>
      </c>
      <c r="F550" t="s">
        <v>56</v>
      </c>
      <c r="G550" s="36">
        <v>44735</v>
      </c>
      <c r="H550">
        <v>1</v>
      </c>
      <c r="I550" t="s">
        <v>2495</v>
      </c>
      <c r="J550">
        <v>7.2</v>
      </c>
      <c r="K550">
        <v>7.3</v>
      </c>
      <c r="L550">
        <v>3</v>
      </c>
      <c r="M550">
        <v>4.2</v>
      </c>
      <c r="N550">
        <v>4.2</v>
      </c>
      <c r="O550">
        <v>-9.9999999999999645E-2</v>
      </c>
      <c r="P550">
        <v>9.9999999999999645E-2</v>
      </c>
      <c r="Q550">
        <v>9.9999999999999291E-3</v>
      </c>
      <c r="R550">
        <v>0.5</v>
      </c>
      <c r="S550">
        <v>0.5</v>
      </c>
      <c r="T550" t="s">
        <v>145</v>
      </c>
      <c r="U550">
        <v>6.5</v>
      </c>
      <c r="V550">
        <v>3.5</v>
      </c>
      <c r="W550" t="s">
        <v>2496</v>
      </c>
      <c r="X550" t="s">
        <v>55</v>
      </c>
    </row>
    <row r="551" spans="1:24">
      <c r="A551" t="s">
        <v>134</v>
      </c>
      <c r="B551" t="s">
        <v>56</v>
      </c>
      <c r="C551" s="36">
        <v>44735</v>
      </c>
      <c r="D551" t="s">
        <v>148</v>
      </c>
      <c r="E551" s="36">
        <v>44742</v>
      </c>
      <c r="F551" t="s">
        <v>56</v>
      </c>
      <c r="G551" s="36">
        <v>44735</v>
      </c>
      <c r="H551">
        <v>0</v>
      </c>
      <c r="I551" t="s">
        <v>2497</v>
      </c>
      <c r="J551">
        <v>7.3</v>
      </c>
      <c r="K551">
        <v>7.3</v>
      </c>
      <c r="L551">
        <v>3</v>
      </c>
      <c r="M551">
        <v>4.3</v>
      </c>
      <c r="N551">
        <v>4.3</v>
      </c>
      <c r="O551">
        <v>0</v>
      </c>
      <c r="P551">
        <v>0</v>
      </c>
      <c r="Q551">
        <v>0</v>
      </c>
      <c r="R551">
        <v>9.9999999999999645E-2</v>
      </c>
      <c r="S551">
        <v>9.9999999999999645E-2</v>
      </c>
      <c r="T551" t="s">
        <v>145</v>
      </c>
      <c r="U551">
        <v>6.5</v>
      </c>
      <c r="V551">
        <v>3.5</v>
      </c>
      <c r="W551" t="s">
        <v>2496</v>
      </c>
      <c r="X551" t="s">
        <v>57</v>
      </c>
    </row>
    <row r="552" spans="1:24">
      <c r="A552" t="s">
        <v>134</v>
      </c>
      <c r="B552" t="s">
        <v>39</v>
      </c>
      <c r="C552" s="36">
        <v>44420</v>
      </c>
      <c r="D552" t="s">
        <v>151</v>
      </c>
      <c r="E552" s="36">
        <v>44834</v>
      </c>
      <c r="F552" t="s">
        <v>60</v>
      </c>
      <c r="G552" s="36">
        <v>44833</v>
      </c>
      <c r="H552">
        <v>9</v>
      </c>
      <c r="I552" t="s">
        <v>2504</v>
      </c>
      <c r="J552">
        <v>3.6</v>
      </c>
      <c r="K552">
        <v>8</v>
      </c>
      <c r="L552">
        <v>3</v>
      </c>
      <c r="M552">
        <v>0.60000000000000009</v>
      </c>
      <c r="N552">
        <v>0.60000000000000009</v>
      </c>
      <c r="O552">
        <v>-4.4000000000000004</v>
      </c>
      <c r="P552">
        <v>4.4000000000000004</v>
      </c>
      <c r="Q552">
        <v>19.360000000000003</v>
      </c>
      <c r="T552" t="s">
        <v>136</v>
      </c>
      <c r="U552">
        <v>4.4000000000000004</v>
      </c>
      <c r="V552">
        <v>1.4000000000000004</v>
      </c>
      <c r="W552" t="s">
        <v>2496</v>
      </c>
      <c r="X552" t="s">
        <v>42</v>
      </c>
    </row>
    <row r="553" spans="1:24">
      <c r="A553" t="s">
        <v>134</v>
      </c>
      <c r="B553" t="s">
        <v>43</v>
      </c>
      <c r="C553" s="36">
        <v>44469</v>
      </c>
      <c r="D553" t="s">
        <v>151</v>
      </c>
      <c r="E553" s="36">
        <v>44834</v>
      </c>
      <c r="F553" t="s">
        <v>60</v>
      </c>
      <c r="G553" s="36">
        <v>44833</v>
      </c>
      <c r="H553">
        <v>8</v>
      </c>
      <c r="I553" t="s">
        <v>2505</v>
      </c>
      <c r="J553">
        <v>4</v>
      </c>
      <c r="K553">
        <v>8</v>
      </c>
      <c r="L553">
        <v>3</v>
      </c>
      <c r="M553">
        <v>1</v>
      </c>
      <c r="N553">
        <v>1</v>
      </c>
      <c r="O553">
        <v>-4</v>
      </c>
      <c r="P553">
        <v>4</v>
      </c>
      <c r="Q553">
        <v>16</v>
      </c>
      <c r="R553">
        <v>0.39999999999999991</v>
      </c>
      <c r="S553">
        <v>0.39999999999999991</v>
      </c>
      <c r="T553" t="s">
        <v>136</v>
      </c>
      <c r="U553">
        <v>4.4000000000000004</v>
      </c>
      <c r="V553">
        <v>1.4000000000000004</v>
      </c>
      <c r="W553" t="s">
        <v>2496</v>
      </c>
      <c r="X553" t="s">
        <v>44</v>
      </c>
    </row>
    <row r="554" spans="1:24">
      <c r="A554" t="s">
        <v>134</v>
      </c>
      <c r="B554" t="s">
        <v>45</v>
      </c>
      <c r="C554" s="36">
        <v>44511</v>
      </c>
      <c r="D554" t="s">
        <v>151</v>
      </c>
      <c r="E554" s="36">
        <v>44834</v>
      </c>
      <c r="F554" t="s">
        <v>60</v>
      </c>
      <c r="G554" s="36">
        <v>44833</v>
      </c>
      <c r="H554">
        <v>7</v>
      </c>
      <c r="I554" t="s">
        <v>2502</v>
      </c>
      <c r="J554">
        <v>4.3</v>
      </c>
      <c r="K554">
        <v>8</v>
      </c>
      <c r="L554">
        <v>3</v>
      </c>
      <c r="M554">
        <v>1.2999999999999998</v>
      </c>
      <c r="N554">
        <v>1.2999999999999998</v>
      </c>
      <c r="O554">
        <v>-3.7</v>
      </c>
      <c r="P554">
        <v>3.7</v>
      </c>
      <c r="Q554">
        <v>13.690000000000001</v>
      </c>
      <c r="R554">
        <v>0.29999999999999982</v>
      </c>
      <c r="S554">
        <v>0.29999999999999982</v>
      </c>
      <c r="T554" t="s">
        <v>139</v>
      </c>
      <c r="U554">
        <v>4.8</v>
      </c>
      <c r="V554">
        <v>1.7999999999999998</v>
      </c>
      <c r="W554" t="s">
        <v>2496</v>
      </c>
      <c r="X554" t="s">
        <v>46</v>
      </c>
    </row>
    <row r="555" spans="1:24">
      <c r="A555" t="s">
        <v>134</v>
      </c>
      <c r="B555" t="s">
        <v>47</v>
      </c>
      <c r="C555" s="36">
        <v>44546</v>
      </c>
      <c r="D555" t="s">
        <v>151</v>
      </c>
      <c r="E555" s="36">
        <v>44834</v>
      </c>
      <c r="F555" t="s">
        <v>60</v>
      </c>
      <c r="G555" s="36">
        <v>44833</v>
      </c>
      <c r="H555">
        <v>6</v>
      </c>
      <c r="I555" t="s">
        <v>2503</v>
      </c>
      <c r="J555">
        <v>4.9000000000000004</v>
      </c>
      <c r="K555">
        <v>8</v>
      </c>
      <c r="L555">
        <v>3</v>
      </c>
      <c r="M555">
        <v>1.9000000000000004</v>
      </c>
      <c r="N555">
        <v>1.9000000000000004</v>
      </c>
      <c r="O555">
        <v>-3.0999999999999996</v>
      </c>
      <c r="P555">
        <v>3.0999999999999996</v>
      </c>
      <c r="Q555">
        <v>9.6099999999999977</v>
      </c>
      <c r="R555">
        <v>0.60000000000000053</v>
      </c>
      <c r="S555">
        <v>0.60000000000000053</v>
      </c>
      <c r="T555" t="s">
        <v>139</v>
      </c>
      <c r="U555">
        <v>4.8</v>
      </c>
      <c r="V555">
        <v>1.7999999999999998</v>
      </c>
      <c r="W555" t="s">
        <v>2496</v>
      </c>
      <c r="X555" t="s">
        <v>49</v>
      </c>
    </row>
    <row r="556" spans="1:24">
      <c r="A556" t="s">
        <v>134</v>
      </c>
      <c r="B556" t="s">
        <v>50</v>
      </c>
      <c r="C556" s="36">
        <v>44602</v>
      </c>
      <c r="D556" t="s">
        <v>151</v>
      </c>
      <c r="E556" s="36">
        <v>44834</v>
      </c>
      <c r="F556" t="s">
        <v>60</v>
      </c>
      <c r="G556" s="36">
        <v>44833</v>
      </c>
      <c r="H556">
        <v>5</v>
      </c>
      <c r="I556" t="s">
        <v>2500</v>
      </c>
      <c r="J556">
        <v>5.0999999999999996</v>
      </c>
      <c r="K556">
        <v>8</v>
      </c>
      <c r="L556">
        <v>3</v>
      </c>
      <c r="M556">
        <v>2.0999999999999996</v>
      </c>
      <c r="N556">
        <v>2.0999999999999996</v>
      </c>
      <c r="O556">
        <v>-2.9000000000000004</v>
      </c>
      <c r="P556">
        <v>2.9000000000000004</v>
      </c>
      <c r="Q556">
        <v>8.4100000000000019</v>
      </c>
      <c r="R556">
        <v>0.19999999999999929</v>
      </c>
      <c r="S556">
        <v>0.19999999999999929</v>
      </c>
      <c r="T556" t="s">
        <v>142</v>
      </c>
      <c r="U556">
        <v>5.6</v>
      </c>
      <c r="V556">
        <v>2.5999999999999996</v>
      </c>
      <c r="W556" t="s">
        <v>2496</v>
      </c>
      <c r="X556" t="s">
        <v>51</v>
      </c>
    </row>
    <row r="557" spans="1:24">
      <c r="A557" t="s">
        <v>134</v>
      </c>
      <c r="B557" t="s">
        <v>52</v>
      </c>
      <c r="C557" s="36">
        <v>44644</v>
      </c>
      <c r="D557" t="s">
        <v>151</v>
      </c>
      <c r="E557" s="36">
        <v>44834</v>
      </c>
      <c r="F557" t="s">
        <v>60</v>
      </c>
      <c r="G557" s="36">
        <v>44833</v>
      </c>
      <c r="H557">
        <v>4</v>
      </c>
      <c r="I557" t="s">
        <v>2501</v>
      </c>
      <c r="J557">
        <v>5.9</v>
      </c>
      <c r="K557">
        <v>8</v>
      </c>
      <c r="L557">
        <v>3</v>
      </c>
      <c r="M557">
        <v>2.9000000000000004</v>
      </c>
      <c r="N557">
        <v>2.9000000000000004</v>
      </c>
      <c r="O557">
        <v>-2.0999999999999996</v>
      </c>
      <c r="P557">
        <v>2.0999999999999996</v>
      </c>
      <c r="Q557">
        <v>4.4099999999999984</v>
      </c>
      <c r="R557">
        <v>0.80000000000000071</v>
      </c>
      <c r="S557">
        <v>0.80000000000000071</v>
      </c>
      <c r="T557" t="s">
        <v>142</v>
      </c>
      <c r="U557">
        <v>5.6</v>
      </c>
      <c r="V557">
        <v>2.5999999999999996</v>
      </c>
      <c r="W557" t="s">
        <v>2496</v>
      </c>
      <c r="X557" t="s">
        <v>53</v>
      </c>
    </row>
    <row r="558" spans="1:24">
      <c r="A558" t="s">
        <v>134</v>
      </c>
      <c r="B558" t="s">
        <v>54</v>
      </c>
      <c r="C558" s="36">
        <v>44693</v>
      </c>
      <c r="D558" t="s">
        <v>151</v>
      </c>
      <c r="E558" s="36">
        <v>44834</v>
      </c>
      <c r="F558" t="s">
        <v>60</v>
      </c>
      <c r="G558" s="36">
        <v>44833</v>
      </c>
      <c r="H558">
        <v>3</v>
      </c>
      <c r="I558" t="s">
        <v>2498</v>
      </c>
      <c r="J558">
        <v>6.6</v>
      </c>
      <c r="K558">
        <v>8</v>
      </c>
      <c r="L558">
        <v>3</v>
      </c>
      <c r="M558">
        <v>3.5999999999999996</v>
      </c>
      <c r="N558">
        <v>3.5999999999999996</v>
      </c>
      <c r="O558">
        <v>-1.4000000000000004</v>
      </c>
      <c r="P558">
        <v>1.4000000000000004</v>
      </c>
      <c r="Q558">
        <v>1.9600000000000011</v>
      </c>
      <c r="R558">
        <v>0.69999999999999929</v>
      </c>
      <c r="S558">
        <v>0.69999999999999929</v>
      </c>
      <c r="T558" t="s">
        <v>145</v>
      </c>
      <c r="U558">
        <v>6.5</v>
      </c>
      <c r="V558">
        <v>3.5</v>
      </c>
      <c r="W558" t="s">
        <v>2496</v>
      </c>
      <c r="X558" t="s">
        <v>55</v>
      </c>
    </row>
    <row r="559" spans="1:24">
      <c r="A559" t="s">
        <v>134</v>
      </c>
      <c r="B559" t="s">
        <v>56</v>
      </c>
      <c r="C559" s="36">
        <v>44735</v>
      </c>
      <c r="D559" t="s">
        <v>151</v>
      </c>
      <c r="E559" s="36">
        <v>44834</v>
      </c>
      <c r="F559" t="s">
        <v>60</v>
      </c>
      <c r="G559" s="36">
        <v>44833</v>
      </c>
      <c r="H559">
        <v>2</v>
      </c>
      <c r="I559" t="s">
        <v>2499</v>
      </c>
      <c r="J559">
        <v>7.4</v>
      </c>
      <c r="K559">
        <v>8</v>
      </c>
      <c r="L559">
        <v>3</v>
      </c>
      <c r="M559">
        <v>4.4000000000000004</v>
      </c>
      <c r="N559">
        <v>4.4000000000000004</v>
      </c>
      <c r="O559">
        <v>-0.59999999999999964</v>
      </c>
      <c r="P559">
        <v>0.59999999999999964</v>
      </c>
      <c r="Q559">
        <v>0.3599999999999996</v>
      </c>
      <c r="R559">
        <v>0.80000000000000071</v>
      </c>
      <c r="S559">
        <v>0.80000000000000071</v>
      </c>
      <c r="T559" t="s">
        <v>145</v>
      </c>
      <c r="U559">
        <v>6.5</v>
      </c>
      <c r="V559">
        <v>3.5</v>
      </c>
      <c r="W559" t="s">
        <v>2496</v>
      </c>
      <c r="X559" t="s">
        <v>57</v>
      </c>
    </row>
    <row r="560" spans="1:24">
      <c r="A560" t="s">
        <v>134</v>
      </c>
      <c r="B560" t="s">
        <v>58</v>
      </c>
      <c r="C560" s="36">
        <v>44784</v>
      </c>
      <c r="D560" t="s">
        <v>151</v>
      </c>
      <c r="E560" s="36">
        <v>44834</v>
      </c>
      <c r="F560" t="s">
        <v>60</v>
      </c>
      <c r="G560" s="36">
        <v>44833</v>
      </c>
      <c r="H560">
        <v>1</v>
      </c>
      <c r="I560" t="s">
        <v>2495</v>
      </c>
      <c r="J560">
        <v>7.9</v>
      </c>
      <c r="K560">
        <v>8</v>
      </c>
      <c r="L560">
        <v>3</v>
      </c>
      <c r="M560">
        <v>4.9000000000000004</v>
      </c>
      <c r="N560">
        <v>4.9000000000000004</v>
      </c>
      <c r="O560">
        <v>-9.9999999999999645E-2</v>
      </c>
      <c r="P560">
        <v>9.9999999999999645E-2</v>
      </c>
      <c r="Q560">
        <v>9.9999999999999291E-3</v>
      </c>
      <c r="R560">
        <v>0.5</v>
      </c>
      <c r="S560">
        <v>0.5</v>
      </c>
      <c r="T560" t="s">
        <v>148</v>
      </c>
      <c r="U560">
        <v>7.3</v>
      </c>
      <c r="V560">
        <v>4.3</v>
      </c>
      <c r="W560" t="s">
        <v>2496</v>
      </c>
      <c r="X560" t="s">
        <v>59</v>
      </c>
    </row>
    <row r="561" spans="1:24">
      <c r="A561" t="s">
        <v>134</v>
      </c>
      <c r="B561" t="s">
        <v>60</v>
      </c>
      <c r="C561" s="36">
        <v>44833</v>
      </c>
      <c r="D561" t="s">
        <v>151</v>
      </c>
      <c r="E561" s="36">
        <v>44834</v>
      </c>
      <c r="F561" t="s">
        <v>60</v>
      </c>
      <c r="G561" s="36">
        <v>44833</v>
      </c>
      <c r="H561">
        <v>0</v>
      </c>
      <c r="I561" t="s">
        <v>2497</v>
      </c>
      <c r="J561">
        <v>8</v>
      </c>
      <c r="K561">
        <v>8</v>
      </c>
      <c r="L561">
        <v>3</v>
      </c>
      <c r="M561">
        <v>5</v>
      </c>
      <c r="N561">
        <v>5</v>
      </c>
      <c r="O561">
        <v>0</v>
      </c>
      <c r="P561">
        <v>0</v>
      </c>
      <c r="Q561">
        <v>0</v>
      </c>
      <c r="R561">
        <v>9.9999999999999645E-2</v>
      </c>
      <c r="S561">
        <v>9.9999999999999645E-2</v>
      </c>
      <c r="T561" t="s">
        <v>148</v>
      </c>
      <c r="U561">
        <v>7.3</v>
      </c>
      <c r="V561">
        <v>4.3</v>
      </c>
      <c r="W561" t="s">
        <v>2496</v>
      </c>
      <c r="X561" t="s">
        <v>61</v>
      </c>
    </row>
    <row r="562" spans="1:24">
      <c r="A562" t="s">
        <v>134</v>
      </c>
      <c r="B562" t="s">
        <v>39</v>
      </c>
      <c r="C562" s="36">
        <v>44420</v>
      </c>
      <c r="D562" t="s">
        <v>154</v>
      </c>
      <c r="E562" s="36">
        <v>44926</v>
      </c>
      <c r="F562" t="s">
        <v>64</v>
      </c>
      <c r="G562" s="36">
        <v>44910</v>
      </c>
      <c r="H562">
        <v>11</v>
      </c>
      <c r="I562" t="s">
        <v>2506</v>
      </c>
      <c r="J562">
        <v>3.3</v>
      </c>
      <c r="K562">
        <v>8.4</v>
      </c>
      <c r="L562">
        <v>3</v>
      </c>
      <c r="M562">
        <v>0.29999999999999982</v>
      </c>
      <c r="N562">
        <v>0.29999999999999982</v>
      </c>
      <c r="O562">
        <v>-5.1000000000000005</v>
      </c>
      <c r="P562">
        <v>5.1000000000000005</v>
      </c>
      <c r="Q562">
        <v>26.010000000000005</v>
      </c>
      <c r="T562" t="s">
        <v>136</v>
      </c>
      <c r="U562">
        <v>4.4000000000000004</v>
      </c>
      <c r="V562">
        <v>1.4000000000000004</v>
      </c>
      <c r="W562" t="s">
        <v>2496</v>
      </c>
      <c r="X562" t="s">
        <v>42</v>
      </c>
    </row>
    <row r="563" spans="1:24">
      <c r="A563" t="s">
        <v>134</v>
      </c>
      <c r="B563" t="s">
        <v>43</v>
      </c>
      <c r="C563" s="36">
        <v>44469</v>
      </c>
      <c r="D563" t="s">
        <v>154</v>
      </c>
      <c r="E563" s="36">
        <v>44926</v>
      </c>
      <c r="F563" t="s">
        <v>64</v>
      </c>
      <c r="G563" s="36">
        <v>44910</v>
      </c>
      <c r="H563">
        <v>10</v>
      </c>
      <c r="I563" t="s">
        <v>2507</v>
      </c>
      <c r="J563">
        <v>3.4</v>
      </c>
      <c r="K563">
        <v>8.4</v>
      </c>
      <c r="L563">
        <v>3</v>
      </c>
      <c r="M563">
        <v>0.39999999999999991</v>
      </c>
      <c r="N563">
        <v>0.39999999999999991</v>
      </c>
      <c r="O563">
        <v>-5</v>
      </c>
      <c r="P563">
        <v>5</v>
      </c>
      <c r="Q563">
        <v>25</v>
      </c>
      <c r="R563">
        <v>0.10000000000000009</v>
      </c>
      <c r="S563">
        <v>0.10000000000000009</v>
      </c>
      <c r="T563" t="s">
        <v>136</v>
      </c>
      <c r="U563">
        <v>4.4000000000000004</v>
      </c>
      <c r="V563">
        <v>1.4000000000000004</v>
      </c>
      <c r="W563" t="s">
        <v>2496</v>
      </c>
      <c r="X563" t="s">
        <v>44</v>
      </c>
    </row>
    <row r="564" spans="1:24">
      <c r="A564" t="s">
        <v>134</v>
      </c>
      <c r="B564" t="s">
        <v>45</v>
      </c>
      <c r="C564" s="36">
        <v>44511</v>
      </c>
      <c r="D564" t="s">
        <v>154</v>
      </c>
      <c r="E564" s="36">
        <v>44926</v>
      </c>
      <c r="F564" t="s">
        <v>64</v>
      </c>
      <c r="G564" s="36">
        <v>44910</v>
      </c>
      <c r="H564">
        <v>9</v>
      </c>
      <c r="I564" t="s">
        <v>2504</v>
      </c>
      <c r="J564">
        <v>3.5</v>
      </c>
      <c r="K564">
        <v>8.4</v>
      </c>
      <c r="L564">
        <v>3</v>
      </c>
      <c r="M564">
        <v>0.5</v>
      </c>
      <c r="N564">
        <v>0.5</v>
      </c>
      <c r="O564">
        <v>-4.9000000000000004</v>
      </c>
      <c r="P564">
        <v>4.9000000000000004</v>
      </c>
      <c r="Q564">
        <v>24.010000000000005</v>
      </c>
      <c r="R564">
        <v>0.10000000000000009</v>
      </c>
      <c r="S564">
        <v>0.10000000000000009</v>
      </c>
      <c r="T564" t="s">
        <v>139</v>
      </c>
      <c r="U564">
        <v>4.8</v>
      </c>
      <c r="V564">
        <v>1.7999999999999998</v>
      </c>
      <c r="W564" t="s">
        <v>2496</v>
      </c>
      <c r="X564" t="s">
        <v>46</v>
      </c>
    </row>
    <row r="565" spans="1:24">
      <c r="A565" t="s">
        <v>134</v>
      </c>
      <c r="B565" t="s">
        <v>47</v>
      </c>
      <c r="C565" s="36">
        <v>44546</v>
      </c>
      <c r="D565" t="s">
        <v>154</v>
      </c>
      <c r="E565" s="36">
        <v>44926</v>
      </c>
      <c r="F565" t="s">
        <v>64</v>
      </c>
      <c r="G565" s="36">
        <v>44910</v>
      </c>
      <c r="H565">
        <v>8</v>
      </c>
      <c r="I565" t="s">
        <v>2505</v>
      </c>
      <c r="J565">
        <v>4.0999999999999996</v>
      </c>
      <c r="K565">
        <v>8.4</v>
      </c>
      <c r="L565">
        <v>3</v>
      </c>
      <c r="M565">
        <v>1.0999999999999996</v>
      </c>
      <c r="N565">
        <v>1.0999999999999996</v>
      </c>
      <c r="O565">
        <v>-4.3000000000000007</v>
      </c>
      <c r="P565">
        <v>4.3000000000000007</v>
      </c>
      <c r="Q565">
        <v>18.490000000000006</v>
      </c>
      <c r="R565">
        <v>0.59999999999999964</v>
      </c>
      <c r="S565">
        <v>0.59999999999999964</v>
      </c>
      <c r="T565" t="s">
        <v>139</v>
      </c>
      <c r="U565">
        <v>4.8</v>
      </c>
      <c r="V565">
        <v>1.7999999999999998</v>
      </c>
      <c r="W565" t="s">
        <v>2496</v>
      </c>
      <c r="X565" t="s">
        <v>49</v>
      </c>
    </row>
    <row r="566" spans="1:24">
      <c r="A566" t="s">
        <v>134</v>
      </c>
      <c r="B566" t="s">
        <v>50</v>
      </c>
      <c r="C566" s="36">
        <v>44602</v>
      </c>
      <c r="D566" t="s">
        <v>154</v>
      </c>
      <c r="E566" s="36">
        <v>44926</v>
      </c>
      <c r="F566" t="s">
        <v>64</v>
      </c>
      <c r="G566" s="36">
        <v>44910</v>
      </c>
      <c r="H566">
        <v>7</v>
      </c>
      <c r="I566" t="s">
        <v>2502</v>
      </c>
      <c r="J566">
        <v>4.3</v>
      </c>
      <c r="K566">
        <v>8.4</v>
      </c>
      <c r="L566">
        <v>3</v>
      </c>
      <c r="M566">
        <v>1.2999999999999998</v>
      </c>
      <c r="N566">
        <v>1.2999999999999998</v>
      </c>
      <c r="O566">
        <v>-4.1000000000000005</v>
      </c>
      <c r="P566">
        <v>4.1000000000000005</v>
      </c>
      <c r="Q566">
        <v>16.810000000000006</v>
      </c>
      <c r="R566">
        <v>0.20000000000000018</v>
      </c>
      <c r="S566">
        <v>0.20000000000000018</v>
      </c>
      <c r="T566" t="s">
        <v>142</v>
      </c>
      <c r="U566">
        <v>5.6</v>
      </c>
      <c r="V566">
        <v>2.5999999999999996</v>
      </c>
      <c r="W566" t="s">
        <v>2496</v>
      </c>
      <c r="X566" t="s">
        <v>51</v>
      </c>
    </row>
    <row r="567" spans="1:24">
      <c r="A567" t="s">
        <v>134</v>
      </c>
      <c r="B567" t="s">
        <v>52</v>
      </c>
      <c r="C567" s="36">
        <v>44644</v>
      </c>
      <c r="D567" t="s">
        <v>154</v>
      </c>
      <c r="E567" s="36">
        <v>44926</v>
      </c>
      <c r="F567" t="s">
        <v>64</v>
      </c>
      <c r="G567" s="36">
        <v>44910</v>
      </c>
      <c r="H567">
        <v>6</v>
      </c>
      <c r="I567" t="s">
        <v>2503</v>
      </c>
      <c r="J567">
        <v>5.2</v>
      </c>
      <c r="K567">
        <v>8.4</v>
      </c>
      <c r="L567">
        <v>3</v>
      </c>
      <c r="M567">
        <v>2.2000000000000002</v>
      </c>
      <c r="N567">
        <v>2.2000000000000002</v>
      </c>
      <c r="O567">
        <v>-3.2</v>
      </c>
      <c r="P567">
        <v>3.2</v>
      </c>
      <c r="Q567">
        <v>10.240000000000002</v>
      </c>
      <c r="R567">
        <v>0.90000000000000036</v>
      </c>
      <c r="S567">
        <v>0.90000000000000036</v>
      </c>
      <c r="T567" t="s">
        <v>142</v>
      </c>
      <c r="U567">
        <v>5.6</v>
      </c>
      <c r="V567">
        <v>2.5999999999999996</v>
      </c>
      <c r="W567" t="s">
        <v>2496</v>
      </c>
      <c r="X567" t="s">
        <v>53</v>
      </c>
    </row>
    <row r="568" spans="1:24">
      <c r="A568" t="s">
        <v>134</v>
      </c>
      <c r="B568" t="s">
        <v>54</v>
      </c>
      <c r="C568" s="36">
        <v>44693</v>
      </c>
      <c r="D568" t="s">
        <v>154</v>
      </c>
      <c r="E568" s="36">
        <v>44926</v>
      </c>
      <c r="F568" t="s">
        <v>64</v>
      </c>
      <c r="G568" s="36">
        <v>44910</v>
      </c>
      <c r="H568">
        <v>5</v>
      </c>
      <c r="I568" t="s">
        <v>2500</v>
      </c>
      <c r="J568">
        <v>5.9</v>
      </c>
      <c r="K568">
        <v>8.4</v>
      </c>
      <c r="L568">
        <v>3</v>
      </c>
      <c r="M568">
        <v>2.9000000000000004</v>
      </c>
      <c r="N568">
        <v>2.9000000000000004</v>
      </c>
      <c r="O568">
        <v>-2.5</v>
      </c>
      <c r="P568">
        <v>2.5</v>
      </c>
      <c r="Q568">
        <v>6.25</v>
      </c>
      <c r="R568">
        <v>0.70000000000000018</v>
      </c>
      <c r="S568">
        <v>0.70000000000000018</v>
      </c>
      <c r="T568" t="s">
        <v>145</v>
      </c>
      <c r="U568">
        <v>6.5</v>
      </c>
      <c r="V568">
        <v>3.5</v>
      </c>
      <c r="W568" t="s">
        <v>2496</v>
      </c>
      <c r="X568" t="s">
        <v>55</v>
      </c>
    </row>
    <row r="569" spans="1:24">
      <c r="A569" t="s">
        <v>134</v>
      </c>
      <c r="B569" t="s">
        <v>56</v>
      </c>
      <c r="C569" s="36">
        <v>44735</v>
      </c>
      <c r="D569" t="s">
        <v>154</v>
      </c>
      <c r="E569" s="36">
        <v>44926</v>
      </c>
      <c r="F569" t="s">
        <v>64</v>
      </c>
      <c r="G569" s="36">
        <v>44910</v>
      </c>
      <c r="H569">
        <v>4</v>
      </c>
      <c r="I569" t="s">
        <v>2501</v>
      </c>
      <c r="J569">
        <v>6.8</v>
      </c>
      <c r="K569">
        <v>8.4</v>
      </c>
      <c r="L569">
        <v>3</v>
      </c>
      <c r="M569">
        <v>3.8</v>
      </c>
      <c r="N569">
        <v>3.8</v>
      </c>
      <c r="O569">
        <v>-1.6000000000000005</v>
      </c>
      <c r="P569">
        <v>1.6000000000000005</v>
      </c>
      <c r="Q569">
        <v>2.5600000000000018</v>
      </c>
      <c r="R569">
        <v>0.89999999999999947</v>
      </c>
      <c r="S569">
        <v>0.89999999999999947</v>
      </c>
      <c r="T569" t="s">
        <v>145</v>
      </c>
      <c r="U569">
        <v>6.5</v>
      </c>
      <c r="V569">
        <v>3.5</v>
      </c>
      <c r="W569" t="s">
        <v>2496</v>
      </c>
      <c r="X569" t="s">
        <v>57</v>
      </c>
    </row>
    <row r="570" spans="1:24">
      <c r="A570" t="s">
        <v>134</v>
      </c>
      <c r="B570" t="s">
        <v>58</v>
      </c>
      <c r="C570" s="36">
        <v>44784</v>
      </c>
      <c r="D570" t="s">
        <v>154</v>
      </c>
      <c r="E570" s="36">
        <v>44926</v>
      </c>
      <c r="F570" t="s">
        <v>64</v>
      </c>
      <c r="G570" s="36">
        <v>44910</v>
      </c>
      <c r="H570">
        <v>3</v>
      </c>
      <c r="I570" t="s">
        <v>2498</v>
      </c>
      <c r="J570">
        <v>7.6</v>
      </c>
      <c r="K570">
        <v>8.4</v>
      </c>
      <c r="L570">
        <v>3</v>
      </c>
      <c r="M570">
        <v>4.5999999999999996</v>
      </c>
      <c r="N570">
        <v>4.5999999999999996</v>
      </c>
      <c r="O570">
        <v>-0.80000000000000071</v>
      </c>
      <c r="P570">
        <v>0.80000000000000071</v>
      </c>
      <c r="Q570">
        <v>0.64000000000000112</v>
      </c>
      <c r="R570">
        <v>0.79999999999999982</v>
      </c>
      <c r="S570">
        <v>0.79999999999999982</v>
      </c>
      <c r="T570" t="s">
        <v>148</v>
      </c>
      <c r="U570">
        <v>7.3</v>
      </c>
      <c r="V570">
        <v>4.3</v>
      </c>
      <c r="W570" t="s">
        <v>2496</v>
      </c>
      <c r="X570" t="s">
        <v>59</v>
      </c>
    </row>
    <row r="571" spans="1:24">
      <c r="A571" t="s">
        <v>134</v>
      </c>
      <c r="B571" t="s">
        <v>60</v>
      </c>
      <c r="C571" s="36">
        <v>44833</v>
      </c>
      <c r="D571" t="s">
        <v>154</v>
      </c>
      <c r="E571" s="36">
        <v>44926</v>
      </c>
      <c r="F571" t="s">
        <v>64</v>
      </c>
      <c r="G571" s="36">
        <v>44910</v>
      </c>
      <c r="H571">
        <v>2</v>
      </c>
      <c r="I571" t="s">
        <v>2499</v>
      </c>
      <c r="J571">
        <v>8.1999999999999993</v>
      </c>
      <c r="K571">
        <v>8.4</v>
      </c>
      <c r="L571">
        <v>3</v>
      </c>
      <c r="M571">
        <v>5.1999999999999993</v>
      </c>
      <c r="N571">
        <v>5.1999999999999993</v>
      </c>
      <c r="O571">
        <v>-0.20000000000000107</v>
      </c>
      <c r="P571">
        <v>0.20000000000000107</v>
      </c>
      <c r="Q571">
        <v>4.0000000000000424E-2</v>
      </c>
      <c r="R571">
        <v>0.59999999999999964</v>
      </c>
      <c r="S571">
        <v>0.59999999999999964</v>
      </c>
      <c r="T571" t="s">
        <v>148</v>
      </c>
      <c r="U571">
        <v>7.3</v>
      </c>
      <c r="V571">
        <v>4.3</v>
      </c>
      <c r="W571" t="s">
        <v>2496</v>
      </c>
      <c r="X571" t="s">
        <v>61</v>
      </c>
    </row>
    <row r="572" spans="1:24">
      <c r="A572" t="s">
        <v>134</v>
      </c>
      <c r="B572" t="s">
        <v>62</v>
      </c>
      <c r="C572" s="36">
        <v>44875</v>
      </c>
      <c r="D572" t="s">
        <v>154</v>
      </c>
      <c r="E572" s="36">
        <v>44926</v>
      </c>
      <c r="F572" t="s">
        <v>64</v>
      </c>
      <c r="G572" s="36">
        <v>44910</v>
      </c>
      <c r="H572">
        <v>1</v>
      </c>
      <c r="I572" t="s">
        <v>2495</v>
      </c>
      <c r="J572">
        <v>8.3000000000000007</v>
      </c>
      <c r="K572">
        <v>8.4</v>
      </c>
      <c r="L572">
        <v>3</v>
      </c>
      <c r="M572">
        <v>5.3000000000000007</v>
      </c>
      <c r="N572">
        <v>5.3000000000000007</v>
      </c>
      <c r="O572">
        <v>-9.9999999999999645E-2</v>
      </c>
      <c r="P572">
        <v>9.9999999999999645E-2</v>
      </c>
      <c r="Q572">
        <v>9.9999999999999291E-3</v>
      </c>
      <c r="R572">
        <v>0.10000000000000142</v>
      </c>
      <c r="S572">
        <v>0.10000000000000142</v>
      </c>
      <c r="T572" t="s">
        <v>151</v>
      </c>
      <c r="U572">
        <v>8</v>
      </c>
      <c r="V572">
        <v>5</v>
      </c>
      <c r="W572" t="s">
        <v>2496</v>
      </c>
      <c r="X572" t="s">
        <v>63</v>
      </c>
    </row>
    <row r="573" spans="1:24">
      <c r="A573" t="s">
        <v>134</v>
      </c>
      <c r="B573" t="s">
        <v>64</v>
      </c>
      <c r="C573" s="36">
        <v>44910</v>
      </c>
      <c r="D573" t="s">
        <v>154</v>
      </c>
      <c r="E573" s="36">
        <v>44926</v>
      </c>
      <c r="F573" t="s">
        <v>64</v>
      </c>
      <c r="G573" s="36">
        <v>44910</v>
      </c>
      <c r="H573">
        <v>0</v>
      </c>
      <c r="I573" t="s">
        <v>2497</v>
      </c>
      <c r="J573">
        <v>8.5</v>
      </c>
      <c r="K573">
        <v>8.4</v>
      </c>
      <c r="L573">
        <v>3</v>
      </c>
      <c r="M573">
        <v>5.5</v>
      </c>
      <c r="N573">
        <v>5.5</v>
      </c>
      <c r="O573">
        <v>9.9999999999999645E-2</v>
      </c>
      <c r="P573">
        <v>9.9999999999999645E-2</v>
      </c>
      <c r="Q573">
        <v>9.9999999999999291E-3</v>
      </c>
      <c r="R573">
        <v>0.19999999999999929</v>
      </c>
      <c r="S573">
        <v>0.19999999999999929</v>
      </c>
      <c r="T573" t="s">
        <v>151</v>
      </c>
      <c r="U573">
        <v>8</v>
      </c>
      <c r="V573">
        <v>5</v>
      </c>
      <c r="W573" t="s">
        <v>2496</v>
      </c>
      <c r="X573" t="s">
        <v>65</v>
      </c>
    </row>
    <row r="574" spans="1:24">
      <c r="A574" t="s">
        <v>134</v>
      </c>
      <c r="B574" t="s">
        <v>39</v>
      </c>
      <c r="C574" s="36">
        <v>44420</v>
      </c>
      <c r="D574" t="s">
        <v>157</v>
      </c>
      <c r="E574" s="36">
        <v>45016</v>
      </c>
      <c r="F574" t="s">
        <v>68</v>
      </c>
      <c r="G574" s="36">
        <v>45015</v>
      </c>
      <c r="H574">
        <v>13</v>
      </c>
      <c r="I574" t="s">
        <v>2508</v>
      </c>
      <c r="J574">
        <v>3.1</v>
      </c>
      <c r="K574">
        <v>8.3000000000000007</v>
      </c>
      <c r="L574">
        <v>3</v>
      </c>
      <c r="M574">
        <v>0.10000000000000009</v>
      </c>
      <c r="N574">
        <v>0.10000000000000009</v>
      </c>
      <c r="O574">
        <v>-5.2000000000000011</v>
      </c>
      <c r="P574">
        <v>5.2000000000000011</v>
      </c>
      <c r="Q574">
        <v>27.04000000000001</v>
      </c>
      <c r="T574" t="s">
        <v>136</v>
      </c>
      <c r="U574">
        <v>4.4000000000000004</v>
      </c>
      <c r="V574">
        <v>1.4000000000000004</v>
      </c>
      <c r="W574" t="s">
        <v>2496</v>
      </c>
      <c r="X574" t="s">
        <v>42</v>
      </c>
    </row>
    <row r="575" spans="1:24">
      <c r="A575" t="s">
        <v>134</v>
      </c>
      <c r="B575" t="s">
        <v>43</v>
      </c>
      <c r="C575" s="36">
        <v>44469</v>
      </c>
      <c r="D575" t="s">
        <v>157</v>
      </c>
      <c r="E575" s="36">
        <v>45016</v>
      </c>
      <c r="F575" t="s">
        <v>68</v>
      </c>
      <c r="G575" s="36">
        <v>45015</v>
      </c>
      <c r="H575">
        <v>12</v>
      </c>
      <c r="I575" t="s">
        <v>2509</v>
      </c>
      <c r="J575">
        <v>3.1</v>
      </c>
      <c r="K575">
        <v>8.3000000000000007</v>
      </c>
      <c r="L575">
        <v>3</v>
      </c>
      <c r="M575">
        <v>0.10000000000000009</v>
      </c>
      <c r="N575">
        <v>0.10000000000000009</v>
      </c>
      <c r="O575">
        <v>-5.2000000000000011</v>
      </c>
      <c r="P575">
        <v>5.2000000000000011</v>
      </c>
      <c r="Q575">
        <v>27.04000000000001</v>
      </c>
      <c r="R575">
        <v>0</v>
      </c>
      <c r="S575">
        <v>0</v>
      </c>
      <c r="T575" t="s">
        <v>136</v>
      </c>
      <c r="U575">
        <v>4.4000000000000004</v>
      </c>
      <c r="V575">
        <v>1.4000000000000004</v>
      </c>
      <c r="W575" t="s">
        <v>2496</v>
      </c>
      <c r="X575" t="s">
        <v>44</v>
      </c>
    </row>
    <row r="576" spans="1:24">
      <c r="A576" t="s">
        <v>134</v>
      </c>
      <c r="B576" t="s">
        <v>45</v>
      </c>
      <c r="C576" s="36">
        <v>44511</v>
      </c>
      <c r="D576" t="s">
        <v>157</v>
      </c>
      <c r="E576" s="36">
        <v>45016</v>
      </c>
      <c r="F576" t="s">
        <v>68</v>
      </c>
      <c r="G576" s="36">
        <v>45015</v>
      </c>
      <c r="H576">
        <v>11</v>
      </c>
      <c r="I576" t="s">
        <v>2506</v>
      </c>
      <c r="J576">
        <v>3</v>
      </c>
      <c r="K576">
        <v>8.3000000000000007</v>
      </c>
      <c r="L576">
        <v>3</v>
      </c>
      <c r="M576">
        <v>0</v>
      </c>
      <c r="N576">
        <v>0</v>
      </c>
      <c r="O576">
        <v>-5.3000000000000007</v>
      </c>
      <c r="P576">
        <v>5.3000000000000007</v>
      </c>
      <c r="Q576">
        <v>28.090000000000007</v>
      </c>
      <c r="R576">
        <v>-0.10000000000000009</v>
      </c>
      <c r="S576">
        <v>0.10000000000000009</v>
      </c>
      <c r="T576" t="s">
        <v>139</v>
      </c>
      <c r="U576">
        <v>4.8</v>
      </c>
      <c r="V576">
        <v>1.7999999999999998</v>
      </c>
      <c r="W576" t="s">
        <v>2496</v>
      </c>
      <c r="X576" t="s">
        <v>46</v>
      </c>
    </row>
    <row r="577" spans="1:24">
      <c r="A577" t="s">
        <v>134</v>
      </c>
      <c r="B577" t="s">
        <v>47</v>
      </c>
      <c r="C577" s="36">
        <v>44546</v>
      </c>
      <c r="D577" t="s">
        <v>157</v>
      </c>
      <c r="E577" s="36">
        <v>45016</v>
      </c>
      <c r="F577" t="s">
        <v>68</v>
      </c>
      <c r="G577" s="36">
        <v>45015</v>
      </c>
      <c r="H577">
        <v>10</v>
      </c>
      <c r="I577" t="s">
        <v>2507</v>
      </c>
      <c r="J577">
        <v>3.3</v>
      </c>
      <c r="K577">
        <v>8.3000000000000007</v>
      </c>
      <c r="L577">
        <v>3</v>
      </c>
      <c r="M577">
        <v>0.29999999999999982</v>
      </c>
      <c r="N577">
        <v>0.29999999999999982</v>
      </c>
      <c r="O577">
        <v>-5.0000000000000009</v>
      </c>
      <c r="P577">
        <v>5.0000000000000009</v>
      </c>
      <c r="Q577">
        <v>25.000000000000011</v>
      </c>
      <c r="R577">
        <v>0.29999999999999982</v>
      </c>
      <c r="S577">
        <v>0.29999999999999982</v>
      </c>
      <c r="T577" t="s">
        <v>139</v>
      </c>
      <c r="U577">
        <v>4.8</v>
      </c>
      <c r="V577">
        <v>1.7999999999999998</v>
      </c>
      <c r="W577" t="s">
        <v>2496</v>
      </c>
      <c r="X577" t="s">
        <v>49</v>
      </c>
    </row>
    <row r="578" spans="1:24">
      <c r="A578" t="s">
        <v>134</v>
      </c>
      <c r="B578" t="s">
        <v>50</v>
      </c>
      <c r="C578" s="36">
        <v>44602</v>
      </c>
      <c r="D578" t="s">
        <v>157</v>
      </c>
      <c r="E578" s="36">
        <v>45016</v>
      </c>
      <c r="F578" t="s">
        <v>68</v>
      </c>
      <c r="G578" s="36">
        <v>45015</v>
      </c>
      <c r="H578">
        <v>9</v>
      </c>
      <c r="I578" t="s">
        <v>2504</v>
      </c>
      <c r="J578">
        <v>3.3</v>
      </c>
      <c r="K578">
        <v>8.3000000000000007</v>
      </c>
      <c r="L578">
        <v>3</v>
      </c>
      <c r="M578">
        <v>0.29999999999999982</v>
      </c>
      <c r="N578">
        <v>0.29999999999999982</v>
      </c>
      <c r="O578">
        <v>-5.0000000000000009</v>
      </c>
      <c r="P578">
        <v>5.0000000000000009</v>
      </c>
      <c r="Q578">
        <v>25.000000000000011</v>
      </c>
      <c r="R578">
        <v>0</v>
      </c>
      <c r="S578">
        <v>0</v>
      </c>
      <c r="T578" t="s">
        <v>142</v>
      </c>
      <c r="U578">
        <v>5.6</v>
      </c>
      <c r="V578">
        <v>2.5999999999999996</v>
      </c>
      <c r="W578" t="s">
        <v>2496</v>
      </c>
      <c r="X578" t="s">
        <v>51</v>
      </c>
    </row>
    <row r="579" spans="1:24">
      <c r="A579" t="s">
        <v>134</v>
      </c>
      <c r="B579" t="s">
        <v>52</v>
      </c>
      <c r="C579" s="36">
        <v>44644</v>
      </c>
      <c r="D579" t="s">
        <v>157</v>
      </c>
      <c r="E579" s="36">
        <v>45016</v>
      </c>
      <c r="F579" t="s">
        <v>68</v>
      </c>
      <c r="G579" s="36">
        <v>45015</v>
      </c>
      <c r="H579">
        <v>8</v>
      </c>
      <c r="I579" t="s">
        <v>2505</v>
      </c>
      <c r="J579">
        <v>4.0999999999999996</v>
      </c>
      <c r="K579">
        <v>8.3000000000000007</v>
      </c>
      <c r="L579">
        <v>3</v>
      </c>
      <c r="M579">
        <v>1.0999999999999996</v>
      </c>
      <c r="N579">
        <v>1.0999999999999996</v>
      </c>
      <c r="O579">
        <v>-4.2000000000000011</v>
      </c>
      <c r="P579">
        <v>4.2000000000000011</v>
      </c>
      <c r="Q579">
        <v>17.640000000000008</v>
      </c>
      <c r="R579">
        <v>0.79999999999999982</v>
      </c>
      <c r="S579">
        <v>0.79999999999999982</v>
      </c>
      <c r="T579" t="s">
        <v>142</v>
      </c>
      <c r="U579">
        <v>5.6</v>
      </c>
      <c r="V579">
        <v>2.5999999999999996</v>
      </c>
      <c r="W579" t="s">
        <v>2496</v>
      </c>
      <c r="X579" t="s">
        <v>53</v>
      </c>
    </row>
    <row r="580" spans="1:24">
      <c r="A580" t="s">
        <v>134</v>
      </c>
      <c r="B580" t="s">
        <v>54</v>
      </c>
      <c r="C580" s="36">
        <v>44693</v>
      </c>
      <c r="D580" t="s">
        <v>157</v>
      </c>
      <c r="E580" s="36">
        <v>45016</v>
      </c>
      <c r="F580" t="s">
        <v>68</v>
      </c>
      <c r="G580" s="36">
        <v>45015</v>
      </c>
      <c r="H580">
        <v>7</v>
      </c>
      <c r="I580" t="s">
        <v>2502</v>
      </c>
      <c r="J580">
        <v>4.8</v>
      </c>
      <c r="K580">
        <v>8.3000000000000007</v>
      </c>
      <c r="L580">
        <v>3</v>
      </c>
      <c r="M580">
        <v>1.7999999999999998</v>
      </c>
      <c r="N580">
        <v>1.7999999999999998</v>
      </c>
      <c r="O580">
        <v>-3.5000000000000009</v>
      </c>
      <c r="P580">
        <v>3.5000000000000009</v>
      </c>
      <c r="Q580">
        <v>12.250000000000007</v>
      </c>
      <c r="R580">
        <v>0.70000000000000018</v>
      </c>
      <c r="S580">
        <v>0.70000000000000018</v>
      </c>
      <c r="T580" t="s">
        <v>145</v>
      </c>
      <c r="U580">
        <v>6.5</v>
      </c>
      <c r="V580">
        <v>3.5</v>
      </c>
      <c r="W580" t="s">
        <v>2496</v>
      </c>
      <c r="X580" t="s">
        <v>55</v>
      </c>
    </row>
    <row r="581" spans="1:24">
      <c r="A581" t="s">
        <v>134</v>
      </c>
      <c r="B581" t="s">
        <v>56</v>
      </c>
      <c r="C581" s="36">
        <v>44735</v>
      </c>
      <c r="D581" t="s">
        <v>157</v>
      </c>
      <c r="E581" s="36">
        <v>45016</v>
      </c>
      <c r="F581" t="s">
        <v>68</v>
      </c>
      <c r="G581" s="36">
        <v>45015</v>
      </c>
      <c r="H581">
        <v>6</v>
      </c>
      <c r="I581" t="s">
        <v>2503</v>
      </c>
      <c r="J581">
        <v>5.7</v>
      </c>
      <c r="K581">
        <v>8.3000000000000007</v>
      </c>
      <c r="L581">
        <v>3</v>
      </c>
      <c r="M581">
        <v>2.7</v>
      </c>
      <c r="N581">
        <v>2.7</v>
      </c>
      <c r="O581">
        <v>-2.6000000000000005</v>
      </c>
      <c r="P581">
        <v>2.6000000000000005</v>
      </c>
      <c r="Q581">
        <v>6.7600000000000025</v>
      </c>
      <c r="R581">
        <v>0.90000000000000036</v>
      </c>
      <c r="S581">
        <v>0.90000000000000036</v>
      </c>
      <c r="T581" t="s">
        <v>145</v>
      </c>
      <c r="U581">
        <v>6.5</v>
      </c>
      <c r="V581">
        <v>3.5</v>
      </c>
      <c r="W581" t="s">
        <v>2496</v>
      </c>
      <c r="X581" t="s">
        <v>57</v>
      </c>
    </row>
    <row r="582" spans="1:24">
      <c r="A582" t="s">
        <v>134</v>
      </c>
      <c r="B582" t="s">
        <v>58</v>
      </c>
      <c r="C582" s="36">
        <v>44784</v>
      </c>
      <c r="D582" t="s">
        <v>157</v>
      </c>
      <c r="E582" s="36">
        <v>45016</v>
      </c>
      <c r="F582" t="s">
        <v>68</v>
      </c>
      <c r="G582" s="36">
        <v>45015</v>
      </c>
      <c r="H582">
        <v>5</v>
      </c>
      <c r="I582" t="s">
        <v>2500</v>
      </c>
      <c r="J582">
        <v>6.5</v>
      </c>
      <c r="K582">
        <v>8.3000000000000007</v>
      </c>
      <c r="L582">
        <v>3</v>
      </c>
      <c r="M582">
        <v>3.5</v>
      </c>
      <c r="N582">
        <v>3.5</v>
      </c>
      <c r="O582">
        <v>-1.8000000000000007</v>
      </c>
      <c r="P582">
        <v>1.8000000000000007</v>
      </c>
      <c r="Q582">
        <v>3.2400000000000024</v>
      </c>
      <c r="R582">
        <v>0.79999999999999982</v>
      </c>
      <c r="S582">
        <v>0.79999999999999982</v>
      </c>
      <c r="T582" t="s">
        <v>148</v>
      </c>
      <c r="U582">
        <v>7.3</v>
      </c>
      <c r="V582">
        <v>4.3</v>
      </c>
      <c r="W582" t="s">
        <v>2496</v>
      </c>
      <c r="X582" t="s">
        <v>59</v>
      </c>
    </row>
    <row r="583" spans="1:24">
      <c r="A583" t="s">
        <v>134</v>
      </c>
      <c r="B583" t="s">
        <v>60</v>
      </c>
      <c r="C583" s="36">
        <v>44833</v>
      </c>
      <c r="D583" t="s">
        <v>157</v>
      </c>
      <c r="E583" s="36">
        <v>45016</v>
      </c>
      <c r="F583" t="s">
        <v>68</v>
      </c>
      <c r="G583" s="36">
        <v>45015</v>
      </c>
      <c r="H583">
        <v>4</v>
      </c>
      <c r="I583" t="s">
        <v>2501</v>
      </c>
      <c r="J583">
        <v>7.3</v>
      </c>
      <c r="K583">
        <v>8.3000000000000007</v>
      </c>
      <c r="L583">
        <v>3</v>
      </c>
      <c r="M583">
        <v>4.3</v>
      </c>
      <c r="N583">
        <v>4.3</v>
      </c>
      <c r="O583">
        <v>-1.0000000000000009</v>
      </c>
      <c r="P583">
        <v>1.0000000000000009</v>
      </c>
      <c r="Q583">
        <v>1.0000000000000018</v>
      </c>
      <c r="R583">
        <v>0.79999999999999982</v>
      </c>
      <c r="S583">
        <v>0.79999999999999982</v>
      </c>
      <c r="T583" t="s">
        <v>148</v>
      </c>
      <c r="U583">
        <v>7.3</v>
      </c>
      <c r="V583">
        <v>4.3</v>
      </c>
      <c r="W583" t="s">
        <v>2496</v>
      </c>
      <c r="X583" t="s">
        <v>61</v>
      </c>
    </row>
    <row r="584" spans="1:24">
      <c r="A584" t="s">
        <v>134</v>
      </c>
      <c r="B584" t="s">
        <v>62</v>
      </c>
      <c r="C584" s="36">
        <v>44875</v>
      </c>
      <c r="D584" t="s">
        <v>157</v>
      </c>
      <c r="E584" s="36">
        <v>45016</v>
      </c>
      <c r="F584" t="s">
        <v>68</v>
      </c>
      <c r="G584" s="36">
        <v>45015</v>
      </c>
      <c r="H584">
        <v>3</v>
      </c>
      <c r="I584" t="s">
        <v>2498</v>
      </c>
      <c r="J584">
        <v>7.5</v>
      </c>
      <c r="K584">
        <v>8.3000000000000007</v>
      </c>
      <c r="L584">
        <v>3</v>
      </c>
      <c r="M584">
        <v>4.5</v>
      </c>
      <c r="N584">
        <v>4.5</v>
      </c>
      <c r="O584">
        <v>-0.80000000000000071</v>
      </c>
      <c r="P584">
        <v>0.80000000000000071</v>
      </c>
      <c r="Q584">
        <v>0.64000000000000112</v>
      </c>
      <c r="R584">
        <v>0.20000000000000018</v>
      </c>
      <c r="S584">
        <v>0.20000000000000018</v>
      </c>
      <c r="T584" t="s">
        <v>151</v>
      </c>
      <c r="U584">
        <v>8</v>
      </c>
      <c r="V584">
        <v>5</v>
      </c>
      <c r="W584" t="s">
        <v>2496</v>
      </c>
      <c r="X584" t="s">
        <v>63</v>
      </c>
    </row>
    <row r="585" spans="1:24">
      <c r="A585" t="s">
        <v>134</v>
      </c>
      <c r="B585" t="s">
        <v>64</v>
      </c>
      <c r="C585" s="36">
        <v>44910</v>
      </c>
      <c r="D585" t="s">
        <v>157</v>
      </c>
      <c r="E585" s="36">
        <v>45016</v>
      </c>
      <c r="F585" t="s">
        <v>68</v>
      </c>
      <c r="G585" s="36">
        <v>45015</v>
      </c>
      <c r="H585">
        <v>2</v>
      </c>
      <c r="I585" t="s">
        <v>2499</v>
      </c>
      <c r="J585">
        <v>7.8</v>
      </c>
      <c r="K585">
        <v>8.3000000000000007</v>
      </c>
      <c r="L585">
        <v>3</v>
      </c>
      <c r="M585">
        <v>4.8</v>
      </c>
      <c r="N585">
        <v>4.8</v>
      </c>
      <c r="O585">
        <v>-0.50000000000000089</v>
      </c>
      <c r="P585">
        <v>0.50000000000000089</v>
      </c>
      <c r="Q585">
        <v>0.25000000000000089</v>
      </c>
      <c r="R585">
        <v>0.29999999999999982</v>
      </c>
      <c r="S585">
        <v>0.29999999999999982</v>
      </c>
      <c r="T585" t="s">
        <v>151</v>
      </c>
      <c r="U585">
        <v>8</v>
      </c>
      <c r="V585">
        <v>5</v>
      </c>
      <c r="W585" t="s">
        <v>2496</v>
      </c>
      <c r="X585" t="s">
        <v>65</v>
      </c>
    </row>
    <row r="586" spans="1:24">
      <c r="A586" t="s">
        <v>134</v>
      </c>
      <c r="B586" t="s">
        <v>66</v>
      </c>
      <c r="C586" s="36">
        <v>44966</v>
      </c>
      <c r="D586" t="s">
        <v>157</v>
      </c>
      <c r="E586" s="36">
        <v>45016</v>
      </c>
      <c r="F586" t="s">
        <v>68</v>
      </c>
      <c r="G586" s="36">
        <v>45015</v>
      </c>
      <c r="H586">
        <v>1</v>
      </c>
      <c r="I586" t="s">
        <v>2495</v>
      </c>
      <c r="J586">
        <v>8.1999999999999993</v>
      </c>
      <c r="K586">
        <v>8.3000000000000007</v>
      </c>
      <c r="L586">
        <v>3</v>
      </c>
      <c r="M586">
        <v>5.1999999999999993</v>
      </c>
      <c r="N586">
        <v>5.1999999999999993</v>
      </c>
      <c r="O586">
        <v>-0.10000000000000142</v>
      </c>
      <c r="P586">
        <v>0.10000000000000142</v>
      </c>
      <c r="Q586">
        <v>1.0000000000000285E-2</v>
      </c>
      <c r="R586">
        <v>0.39999999999999947</v>
      </c>
      <c r="S586">
        <v>0.39999999999999947</v>
      </c>
      <c r="T586" t="s">
        <v>154</v>
      </c>
      <c r="U586">
        <v>8.4</v>
      </c>
      <c r="V586">
        <v>5.4</v>
      </c>
      <c r="W586" t="s">
        <v>2496</v>
      </c>
      <c r="X586" t="s">
        <v>67</v>
      </c>
    </row>
    <row r="587" spans="1:24">
      <c r="A587" t="s">
        <v>134</v>
      </c>
      <c r="B587" t="s">
        <v>68</v>
      </c>
      <c r="C587" s="36">
        <v>45015</v>
      </c>
      <c r="D587" t="s">
        <v>157</v>
      </c>
      <c r="E587" s="36">
        <v>45016</v>
      </c>
      <c r="F587" t="s">
        <v>68</v>
      </c>
      <c r="G587" s="36">
        <v>45015</v>
      </c>
      <c r="H587">
        <v>0</v>
      </c>
      <c r="I587" t="s">
        <v>2497</v>
      </c>
      <c r="J587">
        <v>8.3000000000000007</v>
      </c>
      <c r="K587">
        <v>8.3000000000000007</v>
      </c>
      <c r="L587">
        <v>3</v>
      </c>
      <c r="M587">
        <v>5.3000000000000007</v>
      </c>
      <c r="N587">
        <v>5.3000000000000007</v>
      </c>
      <c r="O587">
        <v>0</v>
      </c>
      <c r="P587">
        <v>0</v>
      </c>
      <c r="Q587">
        <v>0</v>
      </c>
      <c r="R587">
        <v>0.10000000000000142</v>
      </c>
      <c r="S587">
        <v>0.10000000000000142</v>
      </c>
      <c r="T587" t="s">
        <v>154</v>
      </c>
      <c r="U587">
        <v>8.4</v>
      </c>
      <c r="V587">
        <v>5.4</v>
      </c>
      <c r="W587" t="s">
        <v>2496</v>
      </c>
      <c r="X587" t="s">
        <v>69</v>
      </c>
    </row>
    <row r="588" spans="1:24">
      <c r="A588" t="s">
        <v>134</v>
      </c>
      <c r="B588" t="s">
        <v>39</v>
      </c>
      <c r="C588" s="36">
        <v>44420</v>
      </c>
      <c r="D588" t="s">
        <v>160</v>
      </c>
      <c r="E588" s="36">
        <v>45107</v>
      </c>
      <c r="F588" t="s">
        <v>72</v>
      </c>
      <c r="G588" s="36">
        <v>45099</v>
      </c>
      <c r="H588">
        <v>15</v>
      </c>
      <c r="I588" t="s">
        <v>2510</v>
      </c>
      <c r="J588">
        <v>3</v>
      </c>
      <c r="K588">
        <v>7.3</v>
      </c>
      <c r="L588">
        <v>3</v>
      </c>
      <c r="M588">
        <v>0</v>
      </c>
      <c r="N588">
        <v>0</v>
      </c>
      <c r="O588">
        <v>-4.3</v>
      </c>
      <c r="P588">
        <v>4.3</v>
      </c>
      <c r="Q588">
        <v>18.489999999999998</v>
      </c>
      <c r="T588" t="s">
        <v>136</v>
      </c>
      <c r="U588">
        <v>4.4000000000000004</v>
      </c>
      <c r="V588">
        <v>1.4000000000000004</v>
      </c>
      <c r="W588" t="s">
        <v>2496</v>
      </c>
      <c r="X588" t="s">
        <v>42</v>
      </c>
    </row>
    <row r="589" spans="1:24">
      <c r="A589" t="s">
        <v>134</v>
      </c>
      <c r="B589" t="s">
        <v>43</v>
      </c>
      <c r="C589" s="36">
        <v>44469</v>
      </c>
      <c r="D589" t="s">
        <v>160</v>
      </c>
      <c r="E589" s="36">
        <v>45107</v>
      </c>
      <c r="F589" t="s">
        <v>72</v>
      </c>
      <c r="G589" s="36">
        <v>45099</v>
      </c>
      <c r="H589">
        <v>14</v>
      </c>
      <c r="I589" t="s">
        <v>2511</v>
      </c>
      <c r="J589">
        <v>2.9</v>
      </c>
      <c r="K589">
        <v>7.3</v>
      </c>
      <c r="L589">
        <v>3</v>
      </c>
      <c r="M589">
        <v>-0.10000000000000009</v>
      </c>
      <c r="N589">
        <v>0.10000000000000009</v>
      </c>
      <c r="O589">
        <v>-4.4000000000000004</v>
      </c>
      <c r="P589">
        <v>4.4000000000000004</v>
      </c>
      <c r="Q589">
        <v>19.360000000000003</v>
      </c>
      <c r="R589">
        <v>-0.10000000000000009</v>
      </c>
      <c r="S589">
        <v>0.10000000000000009</v>
      </c>
      <c r="T589" t="s">
        <v>136</v>
      </c>
      <c r="U589">
        <v>4.4000000000000004</v>
      </c>
      <c r="V589">
        <v>1.4000000000000004</v>
      </c>
      <c r="W589" t="s">
        <v>2496</v>
      </c>
      <c r="X589" t="s">
        <v>44</v>
      </c>
    </row>
    <row r="590" spans="1:24">
      <c r="A590" t="s">
        <v>134</v>
      </c>
      <c r="B590" t="s">
        <v>45</v>
      </c>
      <c r="C590" s="36">
        <v>44511</v>
      </c>
      <c r="D590" t="s">
        <v>160</v>
      </c>
      <c r="E590" s="36">
        <v>45107</v>
      </c>
      <c r="F590" t="s">
        <v>72</v>
      </c>
      <c r="G590" s="36">
        <v>45099</v>
      </c>
      <c r="H590">
        <v>13</v>
      </c>
      <c r="I590" t="s">
        <v>2508</v>
      </c>
      <c r="J590">
        <v>2.7</v>
      </c>
      <c r="K590">
        <v>7.3</v>
      </c>
      <c r="L590">
        <v>3</v>
      </c>
      <c r="M590">
        <v>-0.29999999999999982</v>
      </c>
      <c r="N590">
        <v>0.29999999999999982</v>
      </c>
      <c r="O590">
        <v>-4.5999999999999996</v>
      </c>
      <c r="P590">
        <v>4.5999999999999996</v>
      </c>
      <c r="Q590">
        <v>21.159999999999997</v>
      </c>
      <c r="R590">
        <v>-0.19999999999999973</v>
      </c>
      <c r="S590">
        <v>0.19999999999999973</v>
      </c>
      <c r="T590" t="s">
        <v>139</v>
      </c>
      <c r="U590">
        <v>4.8</v>
      </c>
      <c r="V590">
        <v>1.7999999999999998</v>
      </c>
      <c r="W590" t="s">
        <v>2496</v>
      </c>
      <c r="X590" t="s">
        <v>46</v>
      </c>
    </row>
    <row r="591" spans="1:24">
      <c r="A591" t="s">
        <v>134</v>
      </c>
      <c r="B591" t="s">
        <v>47</v>
      </c>
      <c r="C591" s="36">
        <v>44546</v>
      </c>
      <c r="D591" t="s">
        <v>160</v>
      </c>
      <c r="E591" s="36">
        <v>45107</v>
      </c>
      <c r="F591" t="s">
        <v>72</v>
      </c>
      <c r="G591" s="36">
        <v>45099</v>
      </c>
      <c r="H591">
        <v>12</v>
      </c>
      <c r="I591" t="s">
        <v>2509</v>
      </c>
      <c r="J591">
        <v>2.9</v>
      </c>
      <c r="K591">
        <v>7.3</v>
      </c>
      <c r="L591">
        <v>3</v>
      </c>
      <c r="M591">
        <v>-0.10000000000000009</v>
      </c>
      <c r="N591">
        <v>0.10000000000000009</v>
      </c>
      <c r="O591">
        <v>-4.4000000000000004</v>
      </c>
      <c r="P591">
        <v>4.4000000000000004</v>
      </c>
      <c r="Q591">
        <v>19.360000000000003</v>
      </c>
      <c r="R591">
        <v>0.19999999999999973</v>
      </c>
      <c r="S591">
        <v>0.19999999999999973</v>
      </c>
      <c r="T591" t="s">
        <v>139</v>
      </c>
      <c r="U591">
        <v>4.8</v>
      </c>
      <c r="V591">
        <v>1.7999999999999998</v>
      </c>
      <c r="W591" t="s">
        <v>2496</v>
      </c>
      <c r="X591" t="s">
        <v>49</v>
      </c>
    </row>
    <row r="592" spans="1:24">
      <c r="A592" t="s">
        <v>134</v>
      </c>
      <c r="B592" t="s">
        <v>50</v>
      </c>
      <c r="C592" s="36">
        <v>44602</v>
      </c>
      <c r="D592" t="s">
        <v>160</v>
      </c>
      <c r="E592" s="36">
        <v>45107</v>
      </c>
      <c r="F592" t="s">
        <v>72</v>
      </c>
      <c r="G592" s="36">
        <v>45099</v>
      </c>
      <c r="H592">
        <v>11</v>
      </c>
      <c r="I592" t="s">
        <v>2506</v>
      </c>
      <c r="J592">
        <v>2.9</v>
      </c>
      <c r="K592">
        <v>7.3</v>
      </c>
      <c r="L592">
        <v>3</v>
      </c>
      <c r="M592">
        <v>-0.10000000000000009</v>
      </c>
      <c r="N592">
        <v>0.10000000000000009</v>
      </c>
      <c r="O592">
        <v>-4.4000000000000004</v>
      </c>
      <c r="P592">
        <v>4.4000000000000004</v>
      </c>
      <c r="Q592">
        <v>19.360000000000003</v>
      </c>
      <c r="R592">
        <v>0</v>
      </c>
      <c r="S592">
        <v>0</v>
      </c>
      <c r="T592" t="s">
        <v>142</v>
      </c>
      <c r="U592">
        <v>5.6</v>
      </c>
      <c r="V592">
        <v>2.5999999999999996</v>
      </c>
      <c r="W592" t="s">
        <v>2496</v>
      </c>
      <c r="X592" t="s">
        <v>51</v>
      </c>
    </row>
    <row r="593" spans="1:24">
      <c r="A593" t="s">
        <v>134</v>
      </c>
      <c r="B593" t="s">
        <v>52</v>
      </c>
      <c r="C593" s="36">
        <v>44644</v>
      </c>
      <c r="D593" t="s">
        <v>160</v>
      </c>
      <c r="E593" s="36">
        <v>45107</v>
      </c>
      <c r="F593" t="s">
        <v>72</v>
      </c>
      <c r="G593" s="36">
        <v>45099</v>
      </c>
      <c r="H593">
        <v>10</v>
      </c>
      <c r="I593" t="s">
        <v>2507</v>
      </c>
      <c r="J593">
        <v>3.4</v>
      </c>
      <c r="K593">
        <v>7.3</v>
      </c>
      <c r="L593">
        <v>3</v>
      </c>
      <c r="M593">
        <v>0.39999999999999991</v>
      </c>
      <c r="N593">
        <v>0.39999999999999991</v>
      </c>
      <c r="O593">
        <v>-3.9</v>
      </c>
      <c r="P593">
        <v>3.9</v>
      </c>
      <c r="Q593">
        <v>15.209999999999999</v>
      </c>
      <c r="R593">
        <v>0.5</v>
      </c>
      <c r="S593">
        <v>0.5</v>
      </c>
      <c r="T593" t="s">
        <v>142</v>
      </c>
      <c r="U593">
        <v>5.6</v>
      </c>
      <c r="V593">
        <v>2.5999999999999996</v>
      </c>
      <c r="W593" t="s">
        <v>2496</v>
      </c>
      <c r="X593" t="s">
        <v>53</v>
      </c>
    </row>
    <row r="594" spans="1:24">
      <c r="A594" t="s">
        <v>134</v>
      </c>
      <c r="B594" t="s">
        <v>54</v>
      </c>
      <c r="C594" s="36">
        <v>44693</v>
      </c>
      <c r="D594" t="s">
        <v>160</v>
      </c>
      <c r="E594" s="36">
        <v>45107</v>
      </c>
      <c r="F594" t="s">
        <v>72</v>
      </c>
      <c r="G594" s="36">
        <v>45099</v>
      </c>
      <c r="H594">
        <v>9</v>
      </c>
      <c r="I594" t="s">
        <v>2504</v>
      </c>
      <c r="J594">
        <v>3.6</v>
      </c>
      <c r="K594">
        <v>7.3</v>
      </c>
      <c r="L594">
        <v>3</v>
      </c>
      <c r="M594">
        <v>0.60000000000000009</v>
      </c>
      <c r="N594">
        <v>0.60000000000000009</v>
      </c>
      <c r="O594">
        <v>-3.6999999999999997</v>
      </c>
      <c r="P594">
        <v>3.6999999999999997</v>
      </c>
      <c r="Q594">
        <v>13.689999999999998</v>
      </c>
      <c r="R594">
        <v>0.20000000000000018</v>
      </c>
      <c r="S594">
        <v>0.20000000000000018</v>
      </c>
      <c r="T594" t="s">
        <v>145</v>
      </c>
      <c r="U594">
        <v>6.5</v>
      </c>
      <c r="V594">
        <v>3.5</v>
      </c>
      <c r="W594" t="s">
        <v>2496</v>
      </c>
      <c r="X594" t="s">
        <v>55</v>
      </c>
    </row>
    <row r="595" spans="1:24">
      <c r="A595" t="s">
        <v>134</v>
      </c>
      <c r="B595" t="s">
        <v>56</v>
      </c>
      <c r="C595" s="36">
        <v>44735</v>
      </c>
      <c r="D595" t="s">
        <v>160</v>
      </c>
      <c r="E595" s="36">
        <v>45107</v>
      </c>
      <c r="F595" t="s">
        <v>72</v>
      </c>
      <c r="G595" s="36">
        <v>45099</v>
      </c>
      <c r="H595">
        <v>8</v>
      </c>
      <c r="I595" t="s">
        <v>2505</v>
      </c>
      <c r="J595">
        <v>4.3</v>
      </c>
      <c r="K595">
        <v>7.3</v>
      </c>
      <c r="L595">
        <v>3</v>
      </c>
      <c r="M595">
        <v>1.2999999999999998</v>
      </c>
      <c r="N595">
        <v>1.2999999999999998</v>
      </c>
      <c r="O595">
        <v>-3</v>
      </c>
      <c r="P595">
        <v>3</v>
      </c>
      <c r="Q595">
        <v>9</v>
      </c>
      <c r="R595">
        <v>0.69999999999999973</v>
      </c>
      <c r="S595">
        <v>0.69999999999999973</v>
      </c>
      <c r="T595" t="s">
        <v>145</v>
      </c>
      <c r="U595">
        <v>6.5</v>
      </c>
      <c r="V595">
        <v>3.5</v>
      </c>
      <c r="W595" t="s">
        <v>2496</v>
      </c>
      <c r="X595" t="s">
        <v>57</v>
      </c>
    </row>
    <row r="596" spans="1:24">
      <c r="A596" t="s">
        <v>134</v>
      </c>
      <c r="B596" t="s">
        <v>58</v>
      </c>
      <c r="C596" s="36">
        <v>44784</v>
      </c>
      <c r="D596" t="s">
        <v>160</v>
      </c>
      <c r="E596" s="36">
        <v>45107</v>
      </c>
      <c r="F596" t="s">
        <v>72</v>
      </c>
      <c r="G596" s="36">
        <v>45099</v>
      </c>
      <c r="H596">
        <v>7</v>
      </c>
      <c r="I596" t="s">
        <v>2502</v>
      </c>
      <c r="J596">
        <v>5.0999999999999996</v>
      </c>
      <c r="K596">
        <v>7.3</v>
      </c>
      <c r="L596">
        <v>3</v>
      </c>
      <c r="M596">
        <v>2.0999999999999996</v>
      </c>
      <c r="N596">
        <v>2.0999999999999996</v>
      </c>
      <c r="O596">
        <v>-2.2000000000000002</v>
      </c>
      <c r="P596">
        <v>2.2000000000000002</v>
      </c>
      <c r="Q596">
        <v>4.8400000000000007</v>
      </c>
      <c r="R596">
        <v>0.79999999999999982</v>
      </c>
      <c r="S596">
        <v>0.79999999999999982</v>
      </c>
      <c r="T596" t="s">
        <v>148</v>
      </c>
      <c r="U596">
        <v>7.3</v>
      </c>
      <c r="V596">
        <v>4.3</v>
      </c>
      <c r="W596" t="s">
        <v>2496</v>
      </c>
      <c r="X596" t="s">
        <v>59</v>
      </c>
    </row>
    <row r="597" spans="1:24">
      <c r="A597" t="s">
        <v>134</v>
      </c>
      <c r="B597" t="s">
        <v>60</v>
      </c>
      <c r="C597" s="36">
        <v>44833</v>
      </c>
      <c r="D597" t="s">
        <v>160</v>
      </c>
      <c r="E597" s="36">
        <v>45107</v>
      </c>
      <c r="F597" t="s">
        <v>72</v>
      </c>
      <c r="G597" s="36">
        <v>45099</v>
      </c>
      <c r="H597">
        <v>6</v>
      </c>
      <c r="I597" t="s">
        <v>2503</v>
      </c>
      <c r="J597">
        <v>6.2</v>
      </c>
      <c r="K597">
        <v>7.3</v>
      </c>
      <c r="L597">
        <v>3</v>
      </c>
      <c r="M597">
        <v>3.2</v>
      </c>
      <c r="N597">
        <v>3.2</v>
      </c>
      <c r="O597">
        <v>-1.0999999999999996</v>
      </c>
      <c r="P597">
        <v>1.0999999999999996</v>
      </c>
      <c r="Q597">
        <v>1.2099999999999993</v>
      </c>
      <c r="R597">
        <v>1.1000000000000005</v>
      </c>
      <c r="S597">
        <v>1.1000000000000005</v>
      </c>
      <c r="T597" t="s">
        <v>148</v>
      </c>
      <c r="U597">
        <v>7.3</v>
      </c>
      <c r="V597">
        <v>4.3</v>
      </c>
      <c r="W597" t="s">
        <v>2496</v>
      </c>
      <c r="X597" t="s">
        <v>61</v>
      </c>
    </row>
    <row r="598" spans="1:24">
      <c r="A598" t="s">
        <v>134</v>
      </c>
      <c r="B598" t="s">
        <v>62</v>
      </c>
      <c r="C598" s="36">
        <v>44875</v>
      </c>
      <c r="D598" t="s">
        <v>160</v>
      </c>
      <c r="E598" s="36">
        <v>45107</v>
      </c>
      <c r="F598" t="s">
        <v>72</v>
      </c>
      <c r="G598" s="36">
        <v>45099</v>
      </c>
      <c r="H598">
        <v>5</v>
      </c>
      <c r="I598" t="s">
        <v>2500</v>
      </c>
      <c r="J598">
        <v>6.4</v>
      </c>
      <c r="K598">
        <v>7.3</v>
      </c>
      <c r="L598">
        <v>3</v>
      </c>
      <c r="M598">
        <v>3.4000000000000004</v>
      </c>
      <c r="N598">
        <v>3.4000000000000004</v>
      </c>
      <c r="O598">
        <v>-0.89999999999999947</v>
      </c>
      <c r="P598">
        <v>0.89999999999999947</v>
      </c>
      <c r="Q598">
        <v>0.80999999999999905</v>
      </c>
      <c r="R598">
        <v>0.20000000000000018</v>
      </c>
      <c r="S598">
        <v>0.20000000000000018</v>
      </c>
      <c r="T598" t="s">
        <v>151</v>
      </c>
      <c r="U598">
        <v>8</v>
      </c>
      <c r="V598">
        <v>5</v>
      </c>
      <c r="W598" t="s">
        <v>2496</v>
      </c>
      <c r="X598" t="s">
        <v>63</v>
      </c>
    </row>
    <row r="599" spans="1:24">
      <c r="A599" t="s">
        <v>134</v>
      </c>
      <c r="B599" t="s">
        <v>64</v>
      </c>
      <c r="C599" s="36">
        <v>44910</v>
      </c>
      <c r="D599" t="s">
        <v>160</v>
      </c>
      <c r="E599" s="36">
        <v>45107</v>
      </c>
      <c r="F599" t="s">
        <v>72</v>
      </c>
      <c r="G599" s="36">
        <v>45099</v>
      </c>
      <c r="H599">
        <v>4</v>
      </c>
      <c r="I599" t="s">
        <v>2501</v>
      </c>
      <c r="J599">
        <v>6.7</v>
      </c>
      <c r="K599">
        <v>7.3</v>
      </c>
      <c r="L599">
        <v>3</v>
      </c>
      <c r="M599">
        <v>3.7</v>
      </c>
      <c r="N599">
        <v>3.7</v>
      </c>
      <c r="O599">
        <v>-0.59999999999999964</v>
      </c>
      <c r="P599">
        <v>0.59999999999999964</v>
      </c>
      <c r="Q599">
        <v>0.3599999999999996</v>
      </c>
      <c r="R599">
        <v>0.29999999999999982</v>
      </c>
      <c r="S599">
        <v>0.29999999999999982</v>
      </c>
      <c r="T599" t="s">
        <v>151</v>
      </c>
      <c r="U599">
        <v>8</v>
      </c>
      <c r="V599">
        <v>5</v>
      </c>
      <c r="W599" t="s">
        <v>2496</v>
      </c>
      <c r="X599" t="s">
        <v>65</v>
      </c>
    </row>
    <row r="600" spans="1:24">
      <c r="A600" t="s">
        <v>134</v>
      </c>
      <c r="B600" t="s">
        <v>66</v>
      </c>
      <c r="C600" s="36">
        <v>44966</v>
      </c>
      <c r="D600" t="s">
        <v>160</v>
      </c>
      <c r="E600" s="36">
        <v>45107</v>
      </c>
      <c r="F600" t="s">
        <v>72</v>
      </c>
      <c r="G600" s="36">
        <v>45099</v>
      </c>
      <c r="H600">
        <v>3</v>
      </c>
      <c r="I600" t="s">
        <v>2498</v>
      </c>
      <c r="J600">
        <v>7.3</v>
      </c>
      <c r="K600">
        <v>7.3</v>
      </c>
      <c r="L600">
        <v>3</v>
      </c>
      <c r="M600">
        <v>4.3</v>
      </c>
      <c r="N600">
        <v>4.3</v>
      </c>
      <c r="O600">
        <v>0</v>
      </c>
      <c r="P600">
        <v>0</v>
      </c>
      <c r="Q600">
        <v>0</v>
      </c>
      <c r="R600">
        <v>0.59999999999999964</v>
      </c>
      <c r="S600">
        <v>0.59999999999999964</v>
      </c>
      <c r="T600" t="s">
        <v>154</v>
      </c>
      <c r="U600">
        <v>8.4</v>
      </c>
      <c r="V600">
        <v>5.4</v>
      </c>
      <c r="W600" t="s">
        <v>2496</v>
      </c>
      <c r="X600" t="s">
        <v>67</v>
      </c>
    </row>
    <row r="601" spans="1:24">
      <c r="A601" t="s">
        <v>134</v>
      </c>
      <c r="B601" t="s">
        <v>68</v>
      </c>
      <c r="C601" s="36">
        <v>45015</v>
      </c>
      <c r="D601" t="s">
        <v>160</v>
      </c>
      <c r="E601" s="36">
        <v>45107</v>
      </c>
      <c r="F601" t="s">
        <v>72</v>
      </c>
      <c r="G601" s="36">
        <v>45099</v>
      </c>
      <c r="H601">
        <v>2</v>
      </c>
      <c r="I601" t="s">
        <v>2499</v>
      </c>
      <c r="J601">
        <v>7.5</v>
      </c>
      <c r="K601">
        <v>7.3</v>
      </c>
      <c r="L601">
        <v>3</v>
      </c>
      <c r="M601">
        <v>4.5</v>
      </c>
      <c r="N601">
        <v>4.5</v>
      </c>
      <c r="O601">
        <v>0.20000000000000018</v>
      </c>
      <c r="P601">
        <v>0.20000000000000018</v>
      </c>
      <c r="Q601">
        <v>4.000000000000007E-2</v>
      </c>
      <c r="R601">
        <v>0.20000000000000018</v>
      </c>
      <c r="S601">
        <v>0.20000000000000018</v>
      </c>
      <c r="T601" t="s">
        <v>154</v>
      </c>
      <c r="U601">
        <v>8.4</v>
      </c>
      <c r="V601">
        <v>5.4</v>
      </c>
      <c r="W601" t="s">
        <v>2496</v>
      </c>
      <c r="X601" t="s">
        <v>69</v>
      </c>
    </row>
    <row r="602" spans="1:24">
      <c r="A602" t="s">
        <v>134</v>
      </c>
      <c r="B602" t="s">
        <v>70</v>
      </c>
      <c r="C602" s="36">
        <v>45064</v>
      </c>
      <c r="D602" t="s">
        <v>160</v>
      </c>
      <c r="E602" s="36">
        <v>45107</v>
      </c>
      <c r="F602" t="s">
        <v>72</v>
      </c>
      <c r="G602" s="36">
        <v>45099</v>
      </c>
      <c r="H602">
        <v>1</v>
      </c>
      <c r="I602" t="s">
        <v>2495</v>
      </c>
      <c r="J602">
        <v>7.4</v>
      </c>
      <c r="K602">
        <v>7.3</v>
      </c>
      <c r="L602">
        <v>3</v>
      </c>
      <c r="M602">
        <v>4.4000000000000004</v>
      </c>
      <c r="N602">
        <v>4.4000000000000004</v>
      </c>
      <c r="O602">
        <v>0.10000000000000053</v>
      </c>
      <c r="P602">
        <v>0.10000000000000053</v>
      </c>
      <c r="Q602">
        <v>1.0000000000000106E-2</v>
      </c>
      <c r="R602">
        <v>-9.9999999999999645E-2</v>
      </c>
      <c r="S602">
        <v>9.9999999999999645E-2</v>
      </c>
      <c r="T602" t="s">
        <v>157</v>
      </c>
      <c r="U602">
        <v>8.3000000000000007</v>
      </c>
      <c r="V602">
        <v>5.3000000000000007</v>
      </c>
      <c r="W602" t="s">
        <v>2496</v>
      </c>
      <c r="X602" t="s">
        <v>71</v>
      </c>
    </row>
    <row r="603" spans="1:24">
      <c r="A603" t="s">
        <v>134</v>
      </c>
      <c r="B603" t="s">
        <v>72</v>
      </c>
      <c r="C603" s="36">
        <v>45099</v>
      </c>
      <c r="D603" t="s">
        <v>160</v>
      </c>
      <c r="E603" s="36">
        <v>45107</v>
      </c>
      <c r="F603" t="s">
        <v>72</v>
      </c>
      <c r="G603" s="36">
        <v>45099</v>
      </c>
      <c r="H603">
        <v>0</v>
      </c>
      <c r="I603" t="s">
        <v>2497</v>
      </c>
      <c r="J603">
        <v>7.3</v>
      </c>
      <c r="K603">
        <v>7.3</v>
      </c>
      <c r="L603">
        <v>3</v>
      </c>
      <c r="M603">
        <v>4.3</v>
      </c>
      <c r="N603">
        <v>4.3</v>
      </c>
      <c r="O603">
        <v>0</v>
      </c>
      <c r="P603">
        <v>0</v>
      </c>
      <c r="Q603">
        <v>0</v>
      </c>
      <c r="R603">
        <v>-0.10000000000000053</v>
      </c>
      <c r="S603">
        <v>0.10000000000000053</v>
      </c>
      <c r="T603" t="s">
        <v>157</v>
      </c>
      <c r="U603">
        <v>8.3000000000000007</v>
      </c>
      <c r="V603">
        <v>5.3000000000000007</v>
      </c>
      <c r="W603" t="s">
        <v>2496</v>
      </c>
      <c r="X603" t="s">
        <v>73</v>
      </c>
    </row>
    <row r="604" spans="1:24">
      <c r="A604" t="s">
        <v>134</v>
      </c>
      <c r="B604" t="s">
        <v>43</v>
      </c>
      <c r="C604" s="36">
        <v>44469</v>
      </c>
      <c r="D604" t="s">
        <v>183</v>
      </c>
      <c r="E604" s="36">
        <v>45199</v>
      </c>
      <c r="F604" t="s">
        <v>76</v>
      </c>
      <c r="G604" s="36">
        <v>45197</v>
      </c>
      <c r="H604">
        <v>16</v>
      </c>
      <c r="I604" t="s">
        <v>2512</v>
      </c>
      <c r="J604">
        <v>2.8</v>
      </c>
      <c r="K604">
        <v>6.2</v>
      </c>
      <c r="L604">
        <v>3</v>
      </c>
      <c r="M604">
        <v>-0.20000000000000018</v>
      </c>
      <c r="N604">
        <v>0.20000000000000018</v>
      </c>
      <c r="O604">
        <v>-3.4000000000000004</v>
      </c>
      <c r="P604">
        <v>3.4000000000000004</v>
      </c>
      <c r="Q604">
        <v>11.560000000000002</v>
      </c>
      <c r="T604" t="s">
        <v>136</v>
      </c>
      <c r="U604">
        <v>4.4000000000000004</v>
      </c>
      <c r="V604">
        <v>1.4000000000000004</v>
      </c>
      <c r="W604" t="s">
        <v>2496</v>
      </c>
      <c r="X604" t="s">
        <v>44</v>
      </c>
    </row>
    <row r="605" spans="1:24">
      <c r="A605" t="s">
        <v>134</v>
      </c>
      <c r="B605" t="s">
        <v>45</v>
      </c>
      <c r="C605" s="36">
        <v>44511</v>
      </c>
      <c r="D605" t="s">
        <v>183</v>
      </c>
      <c r="E605" s="36">
        <v>45199</v>
      </c>
      <c r="F605" t="s">
        <v>76</v>
      </c>
      <c r="G605" s="36">
        <v>45197</v>
      </c>
      <c r="H605">
        <v>15</v>
      </c>
      <c r="I605" t="s">
        <v>2510</v>
      </c>
      <c r="J605">
        <v>2.6</v>
      </c>
      <c r="K605">
        <v>6.2</v>
      </c>
      <c r="L605">
        <v>3</v>
      </c>
      <c r="M605">
        <v>-0.39999999999999991</v>
      </c>
      <c r="N605">
        <v>0.39999999999999991</v>
      </c>
      <c r="O605">
        <v>-3.6</v>
      </c>
      <c r="P605">
        <v>3.6</v>
      </c>
      <c r="Q605">
        <v>12.96</v>
      </c>
      <c r="R605">
        <v>-0.19999999999999973</v>
      </c>
      <c r="S605">
        <v>0.19999999999999973</v>
      </c>
      <c r="T605" t="s">
        <v>139</v>
      </c>
      <c r="U605">
        <v>4.8</v>
      </c>
      <c r="V605">
        <v>1.7999999999999998</v>
      </c>
      <c r="W605" t="s">
        <v>2496</v>
      </c>
      <c r="X605" t="s">
        <v>46</v>
      </c>
    </row>
    <row r="606" spans="1:24">
      <c r="A606" t="s">
        <v>134</v>
      </c>
      <c r="B606" t="s">
        <v>47</v>
      </c>
      <c r="C606" s="36">
        <v>44546</v>
      </c>
      <c r="D606" t="s">
        <v>183</v>
      </c>
      <c r="E606" s="36">
        <v>45199</v>
      </c>
      <c r="F606" t="s">
        <v>76</v>
      </c>
      <c r="G606" s="36">
        <v>45197</v>
      </c>
      <c r="H606">
        <v>14</v>
      </c>
      <c r="I606" t="s">
        <v>2511</v>
      </c>
      <c r="J606">
        <v>2.8</v>
      </c>
      <c r="K606">
        <v>6.2</v>
      </c>
      <c r="L606">
        <v>3</v>
      </c>
      <c r="M606">
        <v>-0.20000000000000018</v>
      </c>
      <c r="N606">
        <v>0.20000000000000018</v>
      </c>
      <c r="O606">
        <v>-3.4000000000000004</v>
      </c>
      <c r="P606">
        <v>3.4000000000000004</v>
      </c>
      <c r="Q606">
        <v>11.560000000000002</v>
      </c>
      <c r="R606">
        <v>0.19999999999999973</v>
      </c>
      <c r="S606">
        <v>0.19999999999999973</v>
      </c>
      <c r="T606" t="s">
        <v>139</v>
      </c>
      <c r="U606">
        <v>4.8</v>
      </c>
      <c r="V606">
        <v>1.7999999999999998</v>
      </c>
      <c r="W606" t="s">
        <v>2496</v>
      </c>
      <c r="X606" t="s">
        <v>49</v>
      </c>
    </row>
    <row r="607" spans="1:24">
      <c r="A607" t="s">
        <v>134</v>
      </c>
      <c r="B607" t="s">
        <v>50</v>
      </c>
      <c r="C607" s="36">
        <v>44602</v>
      </c>
      <c r="D607" t="s">
        <v>183</v>
      </c>
      <c r="E607" s="36">
        <v>45199</v>
      </c>
      <c r="F607" t="s">
        <v>76</v>
      </c>
      <c r="G607" s="36">
        <v>45197</v>
      </c>
      <c r="H607">
        <v>13</v>
      </c>
      <c r="I607" t="s">
        <v>2508</v>
      </c>
      <c r="J607">
        <v>2.7</v>
      </c>
      <c r="K607">
        <v>6.2</v>
      </c>
      <c r="L607">
        <v>3</v>
      </c>
      <c r="M607">
        <v>-0.29999999999999982</v>
      </c>
      <c r="N607">
        <v>0.29999999999999982</v>
      </c>
      <c r="O607">
        <v>-3.5</v>
      </c>
      <c r="P607">
        <v>3.5</v>
      </c>
      <c r="Q607">
        <v>12.25</v>
      </c>
      <c r="R607">
        <v>-9.9999999999999645E-2</v>
      </c>
      <c r="S607">
        <v>9.9999999999999645E-2</v>
      </c>
      <c r="T607" t="s">
        <v>142</v>
      </c>
      <c r="U607">
        <v>5.6</v>
      </c>
      <c r="V607">
        <v>2.5999999999999996</v>
      </c>
      <c r="W607" t="s">
        <v>2496</v>
      </c>
      <c r="X607" t="s">
        <v>51</v>
      </c>
    </row>
    <row r="608" spans="1:24">
      <c r="A608" t="s">
        <v>134</v>
      </c>
      <c r="B608" t="s">
        <v>52</v>
      </c>
      <c r="C608" s="36">
        <v>44644</v>
      </c>
      <c r="D608" t="s">
        <v>183</v>
      </c>
      <c r="E608" s="36">
        <v>45199</v>
      </c>
      <c r="F608" t="s">
        <v>76</v>
      </c>
      <c r="G608" s="36">
        <v>45197</v>
      </c>
      <c r="H608">
        <v>12</v>
      </c>
      <c r="I608" t="s">
        <v>2509</v>
      </c>
      <c r="J608">
        <v>3.1</v>
      </c>
      <c r="K608">
        <v>6.2</v>
      </c>
      <c r="L608">
        <v>3</v>
      </c>
      <c r="M608">
        <v>0.10000000000000009</v>
      </c>
      <c r="N608">
        <v>0.10000000000000009</v>
      </c>
      <c r="O608">
        <v>-3.1</v>
      </c>
      <c r="P608">
        <v>3.1</v>
      </c>
      <c r="Q608">
        <v>9.6100000000000012</v>
      </c>
      <c r="R608">
        <v>0.39999999999999991</v>
      </c>
      <c r="S608">
        <v>0.39999999999999991</v>
      </c>
      <c r="T608" t="s">
        <v>142</v>
      </c>
      <c r="U608">
        <v>5.6</v>
      </c>
      <c r="V608">
        <v>2.5999999999999996</v>
      </c>
      <c r="W608" t="s">
        <v>2496</v>
      </c>
      <c r="X608" t="s">
        <v>53</v>
      </c>
    </row>
    <row r="609" spans="1:24">
      <c r="A609" t="s">
        <v>134</v>
      </c>
      <c r="B609" t="s">
        <v>54</v>
      </c>
      <c r="C609" s="36">
        <v>44693</v>
      </c>
      <c r="D609" t="s">
        <v>183</v>
      </c>
      <c r="E609" s="36">
        <v>45199</v>
      </c>
      <c r="F609" t="s">
        <v>76</v>
      </c>
      <c r="G609" s="36">
        <v>45197</v>
      </c>
      <c r="H609">
        <v>11</v>
      </c>
      <c r="I609" t="s">
        <v>2506</v>
      </c>
      <c r="J609">
        <v>3.3</v>
      </c>
      <c r="K609">
        <v>6.2</v>
      </c>
      <c r="L609">
        <v>3</v>
      </c>
      <c r="M609">
        <v>0.29999999999999982</v>
      </c>
      <c r="N609">
        <v>0.29999999999999982</v>
      </c>
      <c r="O609">
        <v>-2.9000000000000004</v>
      </c>
      <c r="P609">
        <v>2.9000000000000004</v>
      </c>
      <c r="Q609">
        <v>8.4100000000000019</v>
      </c>
      <c r="R609">
        <v>0.19999999999999973</v>
      </c>
      <c r="S609">
        <v>0.19999999999999973</v>
      </c>
      <c r="T609" t="s">
        <v>145</v>
      </c>
      <c r="U609">
        <v>6.5</v>
      </c>
      <c r="V609">
        <v>3.5</v>
      </c>
      <c r="W609" t="s">
        <v>2496</v>
      </c>
      <c r="X609" t="s">
        <v>55</v>
      </c>
    </row>
    <row r="610" spans="1:24">
      <c r="A610" t="s">
        <v>134</v>
      </c>
      <c r="B610" t="s">
        <v>56</v>
      </c>
      <c r="C610" s="36">
        <v>44735</v>
      </c>
      <c r="D610" t="s">
        <v>183</v>
      </c>
      <c r="E610" s="36">
        <v>45199</v>
      </c>
      <c r="F610" t="s">
        <v>76</v>
      </c>
      <c r="G610" s="36">
        <v>45197</v>
      </c>
      <c r="H610">
        <v>10</v>
      </c>
      <c r="I610" t="s">
        <v>2507</v>
      </c>
      <c r="J610">
        <v>3.5</v>
      </c>
      <c r="K610">
        <v>6.2</v>
      </c>
      <c r="L610">
        <v>3</v>
      </c>
      <c r="M610">
        <v>0.5</v>
      </c>
      <c r="N610">
        <v>0.5</v>
      </c>
      <c r="O610">
        <v>-2.7</v>
      </c>
      <c r="P610">
        <v>2.7</v>
      </c>
      <c r="Q610">
        <v>7.2900000000000009</v>
      </c>
      <c r="R610">
        <v>0.20000000000000018</v>
      </c>
      <c r="S610">
        <v>0.20000000000000018</v>
      </c>
      <c r="T610" t="s">
        <v>145</v>
      </c>
      <c r="U610">
        <v>6.5</v>
      </c>
      <c r="V610">
        <v>3.5</v>
      </c>
      <c r="W610" t="s">
        <v>2496</v>
      </c>
      <c r="X610" t="s">
        <v>57</v>
      </c>
    </row>
    <row r="611" spans="1:24">
      <c r="A611" t="s">
        <v>134</v>
      </c>
      <c r="B611" t="s">
        <v>58</v>
      </c>
      <c r="C611" s="36">
        <v>44784</v>
      </c>
      <c r="D611" t="s">
        <v>183</v>
      </c>
      <c r="E611" s="36">
        <v>45199</v>
      </c>
      <c r="F611" t="s">
        <v>76</v>
      </c>
      <c r="G611" s="36">
        <v>45197</v>
      </c>
      <c r="H611">
        <v>9</v>
      </c>
      <c r="I611" t="s">
        <v>2504</v>
      </c>
      <c r="J611">
        <v>3.8</v>
      </c>
      <c r="K611">
        <v>6.2</v>
      </c>
      <c r="L611">
        <v>3</v>
      </c>
      <c r="M611">
        <v>0.79999999999999982</v>
      </c>
      <c r="N611">
        <v>0.79999999999999982</v>
      </c>
      <c r="O611">
        <v>-2.4000000000000004</v>
      </c>
      <c r="P611">
        <v>2.4000000000000004</v>
      </c>
      <c r="Q611">
        <v>5.7600000000000016</v>
      </c>
      <c r="R611">
        <v>0.29999999999999982</v>
      </c>
      <c r="S611">
        <v>0.29999999999999982</v>
      </c>
      <c r="T611" t="s">
        <v>148</v>
      </c>
      <c r="U611">
        <v>7.3</v>
      </c>
      <c r="V611">
        <v>4.3</v>
      </c>
      <c r="W611" t="s">
        <v>2496</v>
      </c>
      <c r="X611" t="s">
        <v>59</v>
      </c>
    </row>
    <row r="612" spans="1:24">
      <c r="A612" t="s">
        <v>134</v>
      </c>
      <c r="B612" t="s">
        <v>60</v>
      </c>
      <c r="C612" s="36">
        <v>44833</v>
      </c>
      <c r="D612" t="s">
        <v>183</v>
      </c>
      <c r="E612" s="36">
        <v>45199</v>
      </c>
      <c r="F612" t="s">
        <v>76</v>
      </c>
      <c r="G612" s="36">
        <v>45197</v>
      </c>
      <c r="H612">
        <v>8</v>
      </c>
      <c r="I612" t="s">
        <v>2505</v>
      </c>
      <c r="J612">
        <v>5</v>
      </c>
      <c r="K612">
        <v>6.2</v>
      </c>
      <c r="L612">
        <v>3</v>
      </c>
      <c r="M612">
        <v>2</v>
      </c>
      <c r="N612">
        <v>2</v>
      </c>
      <c r="O612">
        <v>-1.2000000000000002</v>
      </c>
      <c r="P612">
        <v>1.2000000000000002</v>
      </c>
      <c r="Q612">
        <v>1.4400000000000004</v>
      </c>
      <c r="R612">
        <v>1.2000000000000002</v>
      </c>
      <c r="S612">
        <v>1.2000000000000002</v>
      </c>
      <c r="T612" t="s">
        <v>148</v>
      </c>
      <c r="U612">
        <v>7.3</v>
      </c>
      <c r="V612">
        <v>4.3</v>
      </c>
      <c r="W612" t="s">
        <v>2496</v>
      </c>
      <c r="X612" t="s">
        <v>61</v>
      </c>
    </row>
    <row r="613" spans="1:24">
      <c r="A613" t="s">
        <v>134</v>
      </c>
      <c r="B613" t="s">
        <v>62</v>
      </c>
      <c r="C613" s="36">
        <v>44875</v>
      </c>
      <c r="D613" t="s">
        <v>183</v>
      </c>
      <c r="E613" s="36">
        <v>45199</v>
      </c>
      <c r="F613" t="s">
        <v>76</v>
      </c>
      <c r="G613" s="36">
        <v>45197</v>
      </c>
      <c r="H613">
        <v>7</v>
      </c>
      <c r="I613" t="s">
        <v>2502</v>
      </c>
      <c r="J613">
        <v>5.2</v>
      </c>
      <c r="K613">
        <v>6.2</v>
      </c>
      <c r="L613">
        <v>3</v>
      </c>
      <c r="M613">
        <v>2.2000000000000002</v>
      </c>
      <c r="N613">
        <v>2.2000000000000002</v>
      </c>
      <c r="O613">
        <v>-1</v>
      </c>
      <c r="P613">
        <v>1</v>
      </c>
      <c r="Q613">
        <v>1</v>
      </c>
      <c r="R613">
        <v>0.20000000000000018</v>
      </c>
      <c r="S613">
        <v>0.20000000000000018</v>
      </c>
      <c r="T613" t="s">
        <v>151</v>
      </c>
      <c r="U613">
        <v>8</v>
      </c>
      <c r="V613">
        <v>5</v>
      </c>
      <c r="W613" t="s">
        <v>2496</v>
      </c>
      <c r="X613" t="s">
        <v>63</v>
      </c>
    </row>
    <row r="614" spans="1:24">
      <c r="A614" t="s">
        <v>134</v>
      </c>
      <c r="B614" t="s">
        <v>64</v>
      </c>
      <c r="C614" s="36">
        <v>44910</v>
      </c>
      <c r="D614" t="s">
        <v>183</v>
      </c>
      <c r="E614" s="36">
        <v>45199</v>
      </c>
      <c r="F614" t="s">
        <v>76</v>
      </c>
      <c r="G614" s="36">
        <v>45197</v>
      </c>
      <c r="H614">
        <v>6</v>
      </c>
      <c r="I614" t="s">
        <v>2503</v>
      </c>
      <c r="J614">
        <v>5.5</v>
      </c>
      <c r="K614">
        <v>6.2</v>
      </c>
      <c r="L614">
        <v>3</v>
      </c>
      <c r="M614">
        <v>2.5</v>
      </c>
      <c r="N614">
        <v>2.5</v>
      </c>
      <c r="O614">
        <v>-0.70000000000000018</v>
      </c>
      <c r="P614">
        <v>0.70000000000000018</v>
      </c>
      <c r="Q614">
        <v>0.49000000000000027</v>
      </c>
      <c r="R614">
        <v>0.29999999999999982</v>
      </c>
      <c r="S614">
        <v>0.29999999999999982</v>
      </c>
      <c r="T614" t="s">
        <v>151</v>
      </c>
      <c r="U614">
        <v>8</v>
      </c>
      <c r="V614">
        <v>5</v>
      </c>
      <c r="W614" t="s">
        <v>2496</v>
      </c>
      <c r="X614" t="s">
        <v>65</v>
      </c>
    </row>
    <row r="615" spans="1:24">
      <c r="A615" t="s">
        <v>134</v>
      </c>
      <c r="B615" t="s">
        <v>66</v>
      </c>
      <c r="C615" s="36">
        <v>44966</v>
      </c>
      <c r="D615" t="s">
        <v>183</v>
      </c>
      <c r="E615" s="36">
        <v>45199</v>
      </c>
      <c r="F615" t="s">
        <v>76</v>
      </c>
      <c r="G615" s="36">
        <v>45197</v>
      </c>
      <c r="H615">
        <v>5</v>
      </c>
      <c r="I615" t="s">
        <v>2500</v>
      </c>
      <c r="J615">
        <v>6.2</v>
      </c>
      <c r="K615">
        <v>6.2</v>
      </c>
      <c r="L615">
        <v>3</v>
      </c>
      <c r="M615">
        <v>3.2</v>
      </c>
      <c r="N615">
        <v>3.2</v>
      </c>
      <c r="O615">
        <v>0</v>
      </c>
      <c r="P615">
        <v>0</v>
      </c>
      <c r="Q615">
        <v>0</v>
      </c>
      <c r="R615">
        <v>0.70000000000000018</v>
      </c>
      <c r="S615">
        <v>0.70000000000000018</v>
      </c>
      <c r="T615" t="s">
        <v>154</v>
      </c>
      <c r="U615">
        <v>8.4</v>
      </c>
      <c r="V615">
        <v>5.4</v>
      </c>
      <c r="W615" t="s">
        <v>2496</v>
      </c>
      <c r="X615" t="s">
        <v>67</v>
      </c>
    </row>
    <row r="616" spans="1:24">
      <c r="A616" t="s">
        <v>134</v>
      </c>
      <c r="B616" t="s">
        <v>68</v>
      </c>
      <c r="C616" s="36">
        <v>45015</v>
      </c>
      <c r="D616" t="s">
        <v>183</v>
      </c>
      <c r="E616" s="36">
        <v>45199</v>
      </c>
      <c r="F616" t="s">
        <v>76</v>
      </c>
      <c r="G616" s="36">
        <v>45197</v>
      </c>
      <c r="H616">
        <v>4</v>
      </c>
      <c r="I616" t="s">
        <v>2501</v>
      </c>
      <c r="J616">
        <v>6.2</v>
      </c>
      <c r="K616">
        <v>6.2</v>
      </c>
      <c r="L616">
        <v>3</v>
      </c>
      <c r="M616">
        <v>3.2</v>
      </c>
      <c r="N616">
        <v>3.2</v>
      </c>
      <c r="O616">
        <v>0</v>
      </c>
      <c r="P616">
        <v>0</v>
      </c>
      <c r="Q616">
        <v>0</v>
      </c>
      <c r="R616">
        <v>0</v>
      </c>
      <c r="S616">
        <v>0</v>
      </c>
      <c r="T616" t="s">
        <v>154</v>
      </c>
      <c r="U616">
        <v>8.4</v>
      </c>
      <c r="V616">
        <v>5.4</v>
      </c>
      <c r="W616" t="s">
        <v>2496</v>
      </c>
      <c r="X616" t="s">
        <v>69</v>
      </c>
    </row>
    <row r="617" spans="1:24">
      <c r="A617" t="s">
        <v>134</v>
      </c>
      <c r="B617" t="s">
        <v>70</v>
      </c>
      <c r="C617" s="36">
        <v>45064</v>
      </c>
      <c r="D617" t="s">
        <v>183</v>
      </c>
      <c r="E617" s="36">
        <v>45199</v>
      </c>
      <c r="F617" t="s">
        <v>76</v>
      </c>
      <c r="G617" s="36">
        <v>45197</v>
      </c>
      <c r="H617">
        <v>3</v>
      </c>
      <c r="I617" t="s">
        <v>2498</v>
      </c>
      <c r="J617">
        <v>6.2</v>
      </c>
      <c r="K617">
        <v>6.2</v>
      </c>
      <c r="L617">
        <v>3</v>
      </c>
      <c r="M617">
        <v>3.2</v>
      </c>
      <c r="N617">
        <v>3.2</v>
      </c>
      <c r="O617">
        <v>0</v>
      </c>
      <c r="P617">
        <v>0</v>
      </c>
      <c r="Q617">
        <v>0</v>
      </c>
      <c r="R617">
        <v>0</v>
      </c>
      <c r="S617">
        <v>0</v>
      </c>
      <c r="T617" t="s">
        <v>157</v>
      </c>
      <c r="U617">
        <v>8.3000000000000007</v>
      </c>
      <c r="V617">
        <v>5.3000000000000007</v>
      </c>
      <c r="W617" t="s">
        <v>2496</v>
      </c>
      <c r="X617" t="s">
        <v>71</v>
      </c>
    </row>
    <row r="618" spans="1:24">
      <c r="A618" t="s">
        <v>134</v>
      </c>
      <c r="B618" t="s">
        <v>72</v>
      </c>
      <c r="C618" s="36">
        <v>45099</v>
      </c>
      <c r="D618" t="s">
        <v>183</v>
      </c>
      <c r="E618" s="36">
        <v>45199</v>
      </c>
      <c r="F618" t="s">
        <v>76</v>
      </c>
      <c r="G618" s="36">
        <v>45197</v>
      </c>
      <c r="H618">
        <v>2</v>
      </c>
      <c r="I618" t="s">
        <v>2499</v>
      </c>
      <c r="J618">
        <v>6.2</v>
      </c>
      <c r="K618">
        <v>6.2</v>
      </c>
      <c r="L618">
        <v>3</v>
      </c>
      <c r="M618">
        <v>3.2</v>
      </c>
      <c r="N618">
        <v>3.2</v>
      </c>
      <c r="O618">
        <v>0</v>
      </c>
      <c r="P618">
        <v>0</v>
      </c>
      <c r="Q618">
        <v>0</v>
      </c>
      <c r="R618">
        <v>0</v>
      </c>
      <c r="S618">
        <v>0</v>
      </c>
      <c r="T618" t="s">
        <v>157</v>
      </c>
      <c r="U618">
        <v>8.3000000000000007</v>
      </c>
      <c r="V618">
        <v>5.3000000000000007</v>
      </c>
      <c r="W618" t="s">
        <v>2496</v>
      </c>
      <c r="X618" t="s">
        <v>73</v>
      </c>
    </row>
    <row r="619" spans="1:24">
      <c r="A619" t="s">
        <v>134</v>
      </c>
      <c r="B619" t="s">
        <v>74</v>
      </c>
      <c r="C619" s="36">
        <v>45148</v>
      </c>
      <c r="D619" t="s">
        <v>183</v>
      </c>
      <c r="E619" s="36">
        <v>45199</v>
      </c>
      <c r="F619" t="s">
        <v>76</v>
      </c>
      <c r="G619" s="36">
        <v>45197</v>
      </c>
      <c r="H619">
        <v>1</v>
      </c>
      <c r="I619" t="s">
        <v>2495</v>
      </c>
      <c r="J619">
        <v>6.2</v>
      </c>
      <c r="K619">
        <v>6.2</v>
      </c>
      <c r="L619">
        <v>3</v>
      </c>
      <c r="M619">
        <v>3.2</v>
      </c>
      <c r="N619">
        <v>3.2</v>
      </c>
      <c r="O619">
        <v>0</v>
      </c>
      <c r="P619">
        <v>0</v>
      </c>
      <c r="Q619">
        <v>0</v>
      </c>
      <c r="R619">
        <v>0</v>
      </c>
      <c r="S619">
        <v>0</v>
      </c>
      <c r="T619" t="s">
        <v>160</v>
      </c>
      <c r="U619">
        <v>7.3</v>
      </c>
      <c r="V619">
        <v>4.3</v>
      </c>
      <c r="W619" t="s">
        <v>2496</v>
      </c>
      <c r="X619" t="s">
        <v>75</v>
      </c>
    </row>
    <row r="620" spans="1:24">
      <c r="A620" t="s">
        <v>134</v>
      </c>
      <c r="B620" t="s">
        <v>76</v>
      </c>
      <c r="C620" s="36">
        <v>45197</v>
      </c>
      <c r="D620" t="s">
        <v>183</v>
      </c>
      <c r="E620" s="36">
        <v>45199</v>
      </c>
      <c r="F620" t="s">
        <v>76</v>
      </c>
      <c r="G620" s="36">
        <v>45197</v>
      </c>
      <c r="H620">
        <v>0</v>
      </c>
      <c r="I620" t="s">
        <v>2497</v>
      </c>
      <c r="J620">
        <v>6.2</v>
      </c>
      <c r="K620">
        <v>6.2</v>
      </c>
      <c r="L620">
        <v>3</v>
      </c>
      <c r="M620">
        <v>3.2</v>
      </c>
      <c r="N620">
        <v>3.2</v>
      </c>
      <c r="O620">
        <v>0</v>
      </c>
      <c r="P620">
        <v>0</v>
      </c>
      <c r="Q620">
        <v>0</v>
      </c>
      <c r="R620">
        <v>0</v>
      </c>
      <c r="S620">
        <v>0</v>
      </c>
      <c r="T620" t="s">
        <v>160</v>
      </c>
      <c r="U620">
        <v>7.3</v>
      </c>
      <c r="V620">
        <v>4.3</v>
      </c>
      <c r="W620" t="s">
        <v>2496</v>
      </c>
      <c r="X620" t="s">
        <v>77</v>
      </c>
    </row>
    <row r="621" spans="1:24">
      <c r="A621" t="s">
        <v>134</v>
      </c>
      <c r="B621" t="s">
        <v>47</v>
      </c>
      <c r="C621" s="36">
        <v>44546</v>
      </c>
      <c r="D621" t="s">
        <v>254</v>
      </c>
      <c r="E621" s="36">
        <v>45291</v>
      </c>
      <c r="F621" t="s">
        <v>80</v>
      </c>
      <c r="G621" s="36">
        <v>45274</v>
      </c>
      <c r="H621">
        <v>16</v>
      </c>
      <c r="I621" t="s">
        <v>2512</v>
      </c>
      <c r="J621">
        <v>2.7</v>
      </c>
      <c r="K621">
        <v>5.3</v>
      </c>
      <c r="L621">
        <v>3</v>
      </c>
      <c r="M621">
        <v>-0.29999999999999982</v>
      </c>
      <c r="N621">
        <v>0.29999999999999982</v>
      </c>
      <c r="O621">
        <v>-2.5999999999999996</v>
      </c>
      <c r="P621">
        <v>2.5999999999999996</v>
      </c>
      <c r="Q621">
        <v>6.759999999999998</v>
      </c>
      <c r="T621" t="s">
        <v>139</v>
      </c>
      <c r="U621">
        <v>4.8</v>
      </c>
      <c r="V621">
        <v>1.7999999999999998</v>
      </c>
      <c r="W621" t="s">
        <v>2496</v>
      </c>
      <c r="X621" t="s">
        <v>49</v>
      </c>
    </row>
    <row r="622" spans="1:24">
      <c r="A622" t="s">
        <v>134</v>
      </c>
      <c r="B622" t="s">
        <v>50</v>
      </c>
      <c r="C622" s="36">
        <v>44602</v>
      </c>
      <c r="D622" t="s">
        <v>254</v>
      </c>
      <c r="E622" s="36">
        <v>45291</v>
      </c>
      <c r="F622" t="s">
        <v>80</v>
      </c>
      <c r="G622" s="36">
        <v>45274</v>
      </c>
      <c r="H622">
        <v>15</v>
      </c>
      <c r="I622" t="s">
        <v>2510</v>
      </c>
      <c r="J622">
        <v>2.7</v>
      </c>
      <c r="K622">
        <v>5.3</v>
      </c>
      <c r="L622">
        <v>3</v>
      </c>
      <c r="M622">
        <v>-0.29999999999999982</v>
      </c>
      <c r="N622">
        <v>0.29999999999999982</v>
      </c>
      <c r="O622">
        <v>-2.5999999999999996</v>
      </c>
      <c r="P622">
        <v>2.5999999999999996</v>
      </c>
      <c r="Q622">
        <v>6.759999999999998</v>
      </c>
      <c r="R622">
        <v>0</v>
      </c>
      <c r="S622">
        <v>0</v>
      </c>
      <c r="T622" t="s">
        <v>142</v>
      </c>
      <c r="U622">
        <v>5.6</v>
      </c>
      <c r="V622">
        <v>2.5999999999999996</v>
      </c>
      <c r="W622" t="s">
        <v>2496</v>
      </c>
      <c r="X622" t="s">
        <v>51</v>
      </c>
    </row>
    <row r="623" spans="1:24">
      <c r="A623" t="s">
        <v>134</v>
      </c>
      <c r="B623" t="s">
        <v>52</v>
      </c>
      <c r="C623" s="36">
        <v>44644</v>
      </c>
      <c r="D623" t="s">
        <v>254</v>
      </c>
      <c r="E623" s="36">
        <v>45291</v>
      </c>
      <c r="F623" t="s">
        <v>80</v>
      </c>
      <c r="G623" s="36">
        <v>45274</v>
      </c>
      <c r="H623">
        <v>14</v>
      </c>
      <c r="I623" t="s">
        <v>2511</v>
      </c>
      <c r="J623">
        <v>3.1</v>
      </c>
      <c r="K623">
        <v>5.3</v>
      </c>
      <c r="L623">
        <v>3</v>
      </c>
      <c r="M623">
        <v>0.10000000000000009</v>
      </c>
      <c r="N623">
        <v>0.10000000000000009</v>
      </c>
      <c r="O623">
        <v>-2.1999999999999997</v>
      </c>
      <c r="P623">
        <v>2.1999999999999997</v>
      </c>
      <c r="Q623">
        <v>4.839999999999999</v>
      </c>
      <c r="R623">
        <v>0.39999999999999991</v>
      </c>
      <c r="S623">
        <v>0.39999999999999991</v>
      </c>
      <c r="T623" t="s">
        <v>142</v>
      </c>
      <c r="U623">
        <v>5.6</v>
      </c>
      <c r="V623">
        <v>2.5999999999999996</v>
      </c>
      <c r="W623" t="s">
        <v>2496</v>
      </c>
      <c r="X623" t="s">
        <v>53</v>
      </c>
    </row>
    <row r="624" spans="1:24">
      <c r="A624" t="s">
        <v>134</v>
      </c>
      <c r="B624" t="s">
        <v>54</v>
      </c>
      <c r="C624" s="36">
        <v>44693</v>
      </c>
      <c r="D624" t="s">
        <v>254</v>
      </c>
      <c r="E624" s="36">
        <v>45291</v>
      </c>
      <c r="F624" t="s">
        <v>80</v>
      </c>
      <c r="G624" s="36">
        <v>45274</v>
      </c>
      <c r="H624">
        <v>13</v>
      </c>
      <c r="I624" t="s">
        <v>2508</v>
      </c>
      <c r="J624">
        <v>3.1</v>
      </c>
      <c r="K624">
        <v>5.3</v>
      </c>
      <c r="L624">
        <v>3</v>
      </c>
      <c r="M624">
        <v>0.10000000000000009</v>
      </c>
      <c r="N624">
        <v>0.10000000000000009</v>
      </c>
      <c r="O624">
        <v>-2.1999999999999997</v>
      </c>
      <c r="P624">
        <v>2.1999999999999997</v>
      </c>
      <c r="Q624">
        <v>4.839999999999999</v>
      </c>
      <c r="R624">
        <v>0</v>
      </c>
      <c r="S624">
        <v>0</v>
      </c>
      <c r="T624" t="s">
        <v>145</v>
      </c>
      <c r="U624">
        <v>6.5</v>
      </c>
      <c r="V624">
        <v>3.5</v>
      </c>
      <c r="W624" t="s">
        <v>2496</v>
      </c>
      <c r="X624" t="s">
        <v>55</v>
      </c>
    </row>
    <row r="625" spans="1:24">
      <c r="A625" t="s">
        <v>134</v>
      </c>
      <c r="B625" t="s">
        <v>56</v>
      </c>
      <c r="C625" s="36">
        <v>44735</v>
      </c>
      <c r="D625" t="s">
        <v>254</v>
      </c>
      <c r="E625" s="36">
        <v>45291</v>
      </c>
      <c r="F625" t="s">
        <v>80</v>
      </c>
      <c r="G625" s="36">
        <v>45274</v>
      </c>
      <c r="H625">
        <v>12</v>
      </c>
      <c r="I625" t="s">
        <v>2509</v>
      </c>
      <c r="J625">
        <v>3.2</v>
      </c>
      <c r="K625">
        <v>5.3</v>
      </c>
      <c r="L625">
        <v>3</v>
      </c>
      <c r="M625">
        <v>0.20000000000000018</v>
      </c>
      <c r="N625">
        <v>0.20000000000000018</v>
      </c>
      <c r="O625">
        <v>-2.0999999999999996</v>
      </c>
      <c r="P625">
        <v>2.0999999999999996</v>
      </c>
      <c r="Q625">
        <v>4.4099999999999984</v>
      </c>
      <c r="R625">
        <v>0.10000000000000009</v>
      </c>
      <c r="S625">
        <v>0.10000000000000009</v>
      </c>
      <c r="T625" t="s">
        <v>145</v>
      </c>
      <c r="U625">
        <v>6.5</v>
      </c>
      <c r="V625">
        <v>3.5</v>
      </c>
      <c r="W625" t="s">
        <v>2496</v>
      </c>
      <c r="X625" t="s">
        <v>57</v>
      </c>
    </row>
    <row r="626" spans="1:24">
      <c r="A626" t="s">
        <v>134</v>
      </c>
      <c r="B626" t="s">
        <v>58</v>
      </c>
      <c r="C626" s="36">
        <v>44784</v>
      </c>
      <c r="D626" t="s">
        <v>254</v>
      </c>
      <c r="E626" s="36">
        <v>45291</v>
      </c>
      <c r="F626" t="s">
        <v>80</v>
      </c>
      <c r="G626" s="36">
        <v>45274</v>
      </c>
      <c r="H626">
        <v>11</v>
      </c>
      <c r="I626" t="s">
        <v>2506</v>
      </c>
      <c r="J626">
        <v>3.2</v>
      </c>
      <c r="K626">
        <v>5.3</v>
      </c>
      <c r="L626">
        <v>3</v>
      </c>
      <c r="M626">
        <v>0.20000000000000018</v>
      </c>
      <c r="N626">
        <v>0.20000000000000018</v>
      </c>
      <c r="O626">
        <v>-2.0999999999999996</v>
      </c>
      <c r="P626">
        <v>2.0999999999999996</v>
      </c>
      <c r="Q626">
        <v>4.4099999999999984</v>
      </c>
      <c r="R626">
        <v>0</v>
      </c>
      <c r="S626">
        <v>0</v>
      </c>
      <c r="T626" t="s">
        <v>148</v>
      </c>
      <c r="U626">
        <v>7.3</v>
      </c>
      <c r="V626">
        <v>4.3</v>
      </c>
      <c r="W626" t="s">
        <v>2496</v>
      </c>
      <c r="X626" t="s">
        <v>59</v>
      </c>
    </row>
    <row r="627" spans="1:24">
      <c r="A627" t="s">
        <v>134</v>
      </c>
      <c r="B627" t="s">
        <v>60</v>
      </c>
      <c r="C627" s="36">
        <v>44833</v>
      </c>
      <c r="D627" t="s">
        <v>254</v>
      </c>
      <c r="E627" s="36">
        <v>45291</v>
      </c>
      <c r="F627" t="s">
        <v>80</v>
      </c>
      <c r="G627" s="36">
        <v>45274</v>
      </c>
      <c r="H627">
        <v>10</v>
      </c>
      <c r="I627" t="s">
        <v>2507</v>
      </c>
      <c r="J627">
        <v>4.0999999999999996</v>
      </c>
      <c r="K627">
        <v>5.3</v>
      </c>
      <c r="L627">
        <v>3</v>
      </c>
      <c r="M627">
        <v>1.0999999999999996</v>
      </c>
      <c r="N627">
        <v>1.0999999999999996</v>
      </c>
      <c r="O627">
        <v>-1.2000000000000002</v>
      </c>
      <c r="P627">
        <v>1.2000000000000002</v>
      </c>
      <c r="Q627">
        <v>1.4400000000000004</v>
      </c>
      <c r="R627">
        <v>0.89999999999999947</v>
      </c>
      <c r="S627">
        <v>0.89999999999999947</v>
      </c>
      <c r="T627" t="s">
        <v>148</v>
      </c>
      <c r="U627">
        <v>7.3</v>
      </c>
      <c r="V627">
        <v>4.3</v>
      </c>
      <c r="W627" t="s">
        <v>2496</v>
      </c>
      <c r="X627" t="s">
        <v>61</v>
      </c>
    </row>
    <row r="628" spans="1:24">
      <c r="A628" t="s">
        <v>134</v>
      </c>
      <c r="B628" t="s">
        <v>62</v>
      </c>
      <c r="C628" s="36">
        <v>44875</v>
      </c>
      <c r="D628" t="s">
        <v>254</v>
      </c>
      <c r="E628" s="36">
        <v>45291</v>
      </c>
      <c r="F628" t="s">
        <v>80</v>
      </c>
      <c r="G628" s="36">
        <v>45274</v>
      </c>
      <c r="H628">
        <v>9</v>
      </c>
      <c r="I628" t="s">
        <v>2504</v>
      </c>
      <c r="J628">
        <v>4.0999999999999996</v>
      </c>
      <c r="K628">
        <v>5.3</v>
      </c>
      <c r="L628">
        <v>3</v>
      </c>
      <c r="M628">
        <v>1.0999999999999996</v>
      </c>
      <c r="N628">
        <v>1.0999999999999996</v>
      </c>
      <c r="O628">
        <v>-1.2000000000000002</v>
      </c>
      <c r="P628">
        <v>1.2000000000000002</v>
      </c>
      <c r="Q628">
        <v>1.4400000000000004</v>
      </c>
      <c r="R628">
        <v>0</v>
      </c>
      <c r="S628">
        <v>0</v>
      </c>
      <c r="T628" t="s">
        <v>151</v>
      </c>
      <c r="U628">
        <v>8</v>
      </c>
      <c r="V628">
        <v>5</v>
      </c>
      <c r="W628" t="s">
        <v>2496</v>
      </c>
      <c r="X628" t="s">
        <v>63</v>
      </c>
    </row>
    <row r="629" spans="1:24">
      <c r="A629" t="s">
        <v>134</v>
      </c>
      <c r="B629" t="s">
        <v>64</v>
      </c>
      <c r="C629" s="36">
        <v>44910</v>
      </c>
      <c r="D629" t="s">
        <v>254</v>
      </c>
      <c r="E629" s="36">
        <v>45291</v>
      </c>
      <c r="F629" t="s">
        <v>80</v>
      </c>
      <c r="G629" s="36">
        <v>45274</v>
      </c>
      <c r="H629">
        <v>8</v>
      </c>
      <c r="I629" t="s">
        <v>2505</v>
      </c>
      <c r="J629">
        <v>4.3</v>
      </c>
      <c r="K629">
        <v>5.3</v>
      </c>
      <c r="L629">
        <v>3</v>
      </c>
      <c r="M629">
        <v>1.2999999999999998</v>
      </c>
      <c r="N629">
        <v>1.2999999999999998</v>
      </c>
      <c r="O629">
        <v>-1</v>
      </c>
      <c r="P629">
        <v>1</v>
      </c>
      <c r="Q629">
        <v>1</v>
      </c>
      <c r="R629">
        <v>0.20000000000000018</v>
      </c>
      <c r="S629">
        <v>0.20000000000000018</v>
      </c>
      <c r="T629" t="s">
        <v>151</v>
      </c>
      <c r="U629">
        <v>8</v>
      </c>
      <c r="V629">
        <v>5</v>
      </c>
      <c r="W629" t="s">
        <v>2496</v>
      </c>
      <c r="X629" t="s">
        <v>65</v>
      </c>
    </row>
    <row r="630" spans="1:24">
      <c r="A630" t="s">
        <v>134</v>
      </c>
      <c r="B630" t="s">
        <v>66</v>
      </c>
      <c r="C630" s="36">
        <v>44966</v>
      </c>
      <c r="D630" t="s">
        <v>254</v>
      </c>
      <c r="E630" s="36">
        <v>45291</v>
      </c>
      <c r="F630" t="s">
        <v>80</v>
      </c>
      <c r="G630" s="36">
        <v>45274</v>
      </c>
      <c r="H630">
        <v>7</v>
      </c>
      <c r="I630" t="s">
        <v>2502</v>
      </c>
      <c r="J630">
        <v>5</v>
      </c>
      <c r="K630">
        <v>5.3</v>
      </c>
      <c r="L630">
        <v>3</v>
      </c>
      <c r="M630">
        <v>2</v>
      </c>
      <c r="N630">
        <v>2</v>
      </c>
      <c r="O630">
        <v>-0.29999999999999982</v>
      </c>
      <c r="P630">
        <v>0.29999999999999982</v>
      </c>
      <c r="Q630">
        <v>8.99999999999999E-2</v>
      </c>
      <c r="R630">
        <v>0.70000000000000018</v>
      </c>
      <c r="S630">
        <v>0.70000000000000018</v>
      </c>
      <c r="T630" t="s">
        <v>154</v>
      </c>
      <c r="U630">
        <v>8.4</v>
      </c>
      <c r="V630">
        <v>5.4</v>
      </c>
      <c r="W630" t="s">
        <v>2496</v>
      </c>
      <c r="X630" t="s">
        <v>67</v>
      </c>
    </row>
    <row r="631" spans="1:24">
      <c r="A631" t="s">
        <v>134</v>
      </c>
      <c r="B631" t="s">
        <v>68</v>
      </c>
      <c r="C631" s="36">
        <v>45015</v>
      </c>
      <c r="D631" t="s">
        <v>254</v>
      </c>
      <c r="E631" s="36">
        <v>45291</v>
      </c>
      <c r="F631" t="s">
        <v>80</v>
      </c>
      <c r="G631" s="36">
        <v>45274</v>
      </c>
      <c r="H631">
        <v>6</v>
      </c>
      <c r="I631" t="s">
        <v>2503</v>
      </c>
      <c r="J631">
        <v>5</v>
      </c>
      <c r="K631">
        <v>5.3</v>
      </c>
      <c r="L631">
        <v>3</v>
      </c>
      <c r="M631">
        <v>2</v>
      </c>
      <c r="N631">
        <v>2</v>
      </c>
      <c r="O631">
        <v>-0.29999999999999982</v>
      </c>
      <c r="P631">
        <v>0.29999999999999982</v>
      </c>
      <c r="Q631">
        <v>8.99999999999999E-2</v>
      </c>
      <c r="R631">
        <v>0</v>
      </c>
      <c r="S631">
        <v>0</v>
      </c>
      <c r="T631" t="s">
        <v>154</v>
      </c>
      <c r="U631">
        <v>8.4</v>
      </c>
      <c r="V631">
        <v>5.4</v>
      </c>
      <c r="W631" t="s">
        <v>2496</v>
      </c>
      <c r="X631" t="s">
        <v>69</v>
      </c>
    </row>
    <row r="632" spans="1:24">
      <c r="A632" t="s">
        <v>134</v>
      </c>
      <c r="B632" t="s">
        <v>70</v>
      </c>
      <c r="C632" s="36">
        <v>45064</v>
      </c>
      <c r="D632" t="s">
        <v>254</v>
      </c>
      <c r="E632" s="36">
        <v>45291</v>
      </c>
      <c r="F632" t="s">
        <v>80</v>
      </c>
      <c r="G632" s="36">
        <v>45274</v>
      </c>
      <c r="H632">
        <v>5</v>
      </c>
      <c r="I632" t="s">
        <v>2500</v>
      </c>
      <c r="J632">
        <v>5</v>
      </c>
      <c r="K632">
        <v>5.3</v>
      </c>
      <c r="L632">
        <v>3</v>
      </c>
      <c r="M632">
        <v>2</v>
      </c>
      <c r="N632">
        <v>2</v>
      </c>
      <c r="O632">
        <v>-0.29999999999999982</v>
      </c>
      <c r="P632">
        <v>0.29999999999999982</v>
      </c>
      <c r="Q632">
        <v>8.99999999999999E-2</v>
      </c>
      <c r="R632">
        <v>0</v>
      </c>
      <c r="S632">
        <v>0</v>
      </c>
      <c r="T632" t="s">
        <v>157</v>
      </c>
      <c r="U632">
        <v>8.3000000000000007</v>
      </c>
      <c r="V632">
        <v>5.3000000000000007</v>
      </c>
      <c r="W632" t="s">
        <v>2496</v>
      </c>
      <c r="X632" t="s">
        <v>71</v>
      </c>
    </row>
    <row r="633" spans="1:24">
      <c r="A633" t="s">
        <v>134</v>
      </c>
      <c r="B633" t="s">
        <v>72</v>
      </c>
      <c r="C633" s="36">
        <v>45099</v>
      </c>
      <c r="D633" t="s">
        <v>254</v>
      </c>
      <c r="E633" s="36">
        <v>45291</v>
      </c>
      <c r="F633" t="s">
        <v>80</v>
      </c>
      <c r="G633" s="36">
        <v>45274</v>
      </c>
      <c r="H633">
        <v>4</v>
      </c>
      <c r="I633" t="s">
        <v>2501</v>
      </c>
      <c r="J633">
        <v>5</v>
      </c>
      <c r="K633">
        <v>5.3</v>
      </c>
      <c r="L633">
        <v>3</v>
      </c>
      <c r="M633">
        <v>2</v>
      </c>
      <c r="N633">
        <v>2</v>
      </c>
      <c r="O633">
        <v>-0.29999999999999982</v>
      </c>
      <c r="P633">
        <v>0.29999999999999982</v>
      </c>
      <c r="Q633">
        <v>8.99999999999999E-2</v>
      </c>
      <c r="R633">
        <v>0</v>
      </c>
      <c r="S633">
        <v>0</v>
      </c>
      <c r="T633" t="s">
        <v>157</v>
      </c>
      <c r="U633">
        <v>8.3000000000000007</v>
      </c>
      <c r="V633">
        <v>5.3000000000000007</v>
      </c>
      <c r="W633" t="s">
        <v>2496</v>
      </c>
      <c r="X633" t="s">
        <v>73</v>
      </c>
    </row>
    <row r="634" spans="1:24">
      <c r="A634" t="s">
        <v>134</v>
      </c>
      <c r="B634" t="s">
        <v>74</v>
      </c>
      <c r="C634" s="36">
        <v>45148</v>
      </c>
      <c r="D634" t="s">
        <v>254</v>
      </c>
      <c r="E634" s="36">
        <v>45291</v>
      </c>
      <c r="F634" t="s">
        <v>80</v>
      </c>
      <c r="G634" s="36">
        <v>45274</v>
      </c>
      <c r="H634">
        <v>3</v>
      </c>
      <c r="I634" t="s">
        <v>2498</v>
      </c>
      <c r="J634">
        <v>5.0999999999999996</v>
      </c>
      <c r="K634">
        <v>5.3</v>
      </c>
      <c r="L634">
        <v>3</v>
      </c>
      <c r="M634">
        <v>2.0999999999999996</v>
      </c>
      <c r="N634">
        <v>2.0999999999999996</v>
      </c>
      <c r="O634">
        <v>-0.20000000000000018</v>
      </c>
      <c r="P634">
        <v>0.20000000000000018</v>
      </c>
      <c r="Q634">
        <v>4.000000000000007E-2</v>
      </c>
      <c r="R634">
        <v>9.9999999999999645E-2</v>
      </c>
      <c r="S634">
        <v>9.9999999999999645E-2</v>
      </c>
      <c r="T634" t="s">
        <v>160</v>
      </c>
      <c r="U634">
        <v>7.3</v>
      </c>
      <c r="V634">
        <v>4.3</v>
      </c>
      <c r="W634" t="s">
        <v>2496</v>
      </c>
      <c r="X634" t="s">
        <v>75</v>
      </c>
    </row>
    <row r="635" spans="1:24">
      <c r="A635" t="s">
        <v>134</v>
      </c>
      <c r="B635" t="s">
        <v>76</v>
      </c>
      <c r="C635" s="36">
        <v>45197</v>
      </c>
      <c r="D635" t="s">
        <v>254</v>
      </c>
      <c r="E635" s="36">
        <v>45291</v>
      </c>
      <c r="F635" t="s">
        <v>80</v>
      </c>
      <c r="G635" s="36">
        <v>45274</v>
      </c>
      <c r="H635">
        <v>2</v>
      </c>
      <c r="I635" t="s">
        <v>2499</v>
      </c>
      <c r="J635">
        <v>5.3</v>
      </c>
      <c r="K635">
        <v>5.3</v>
      </c>
      <c r="L635">
        <v>3</v>
      </c>
      <c r="M635">
        <v>2.2999999999999998</v>
      </c>
      <c r="N635">
        <v>2.2999999999999998</v>
      </c>
      <c r="O635">
        <v>0</v>
      </c>
      <c r="P635">
        <v>0</v>
      </c>
      <c r="Q635">
        <v>0</v>
      </c>
      <c r="R635">
        <v>0.20000000000000018</v>
      </c>
      <c r="S635">
        <v>0.20000000000000018</v>
      </c>
      <c r="T635" t="s">
        <v>160</v>
      </c>
      <c r="U635">
        <v>7.3</v>
      </c>
      <c r="V635">
        <v>4.3</v>
      </c>
      <c r="W635" t="s">
        <v>2496</v>
      </c>
      <c r="X635" t="s">
        <v>77</v>
      </c>
    </row>
    <row r="636" spans="1:24">
      <c r="A636" t="s">
        <v>134</v>
      </c>
      <c r="B636" t="s">
        <v>78</v>
      </c>
      <c r="C636" s="36">
        <v>45239</v>
      </c>
      <c r="D636" t="s">
        <v>254</v>
      </c>
      <c r="E636" s="36">
        <v>45291</v>
      </c>
      <c r="F636" t="s">
        <v>80</v>
      </c>
      <c r="G636" s="36">
        <v>45274</v>
      </c>
      <c r="H636">
        <v>1</v>
      </c>
      <c r="I636" t="s">
        <v>2495</v>
      </c>
      <c r="J636">
        <v>5.3</v>
      </c>
      <c r="K636">
        <v>5.3</v>
      </c>
      <c r="L636">
        <v>3</v>
      </c>
      <c r="M636">
        <v>2.2999999999999998</v>
      </c>
      <c r="N636">
        <v>2.2999999999999998</v>
      </c>
      <c r="O636">
        <v>0</v>
      </c>
      <c r="P636">
        <v>0</v>
      </c>
      <c r="Q636">
        <v>0</v>
      </c>
      <c r="R636">
        <v>0</v>
      </c>
      <c r="S636">
        <v>0</v>
      </c>
      <c r="T636" t="s">
        <v>183</v>
      </c>
      <c r="U636">
        <v>6.2</v>
      </c>
      <c r="V636">
        <v>3.2</v>
      </c>
      <c r="W636" t="s">
        <v>2496</v>
      </c>
      <c r="X636" t="s">
        <v>79</v>
      </c>
    </row>
    <row r="637" spans="1:24">
      <c r="A637" t="s">
        <v>134</v>
      </c>
      <c r="B637" t="s">
        <v>80</v>
      </c>
      <c r="C637" s="36">
        <v>45274</v>
      </c>
      <c r="D637" t="s">
        <v>254</v>
      </c>
      <c r="E637" s="36">
        <v>45291</v>
      </c>
      <c r="F637" t="s">
        <v>80</v>
      </c>
      <c r="G637" s="36">
        <v>45274</v>
      </c>
      <c r="H637">
        <v>0</v>
      </c>
      <c r="I637" t="s">
        <v>2497</v>
      </c>
      <c r="J637">
        <v>5.4</v>
      </c>
      <c r="K637">
        <v>5.3</v>
      </c>
      <c r="L637">
        <v>3</v>
      </c>
      <c r="M637">
        <v>2.4000000000000004</v>
      </c>
      <c r="N637">
        <v>2.4000000000000004</v>
      </c>
      <c r="O637">
        <v>0.10000000000000053</v>
      </c>
      <c r="P637">
        <v>0.10000000000000053</v>
      </c>
      <c r="Q637">
        <v>1.0000000000000106E-2</v>
      </c>
      <c r="R637">
        <v>0.10000000000000053</v>
      </c>
      <c r="S637">
        <v>0.10000000000000053</v>
      </c>
      <c r="T637" t="s">
        <v>183</v>
      </c>
      <c r="U637">
        <v>6.2</v>
      </c>
      <c r="V637">
        <v>3.2</v>
      </c>
      <c r="W637" t="s">
        <v>2496</v>
      </c>
      <c r="X637" t="s">
        <v>81</v>
      </c>
    </row>
    <row r="638" spans="1:24">
      <c r="A638" t="s">
        <v>134</v>
      </c>
      <c r="B638" t="s">
        <v>52</v>
      </c>
      <c r="C638" s="36">
        <v>44644</v>
      </c>
      <c r="D638" t="s">
        <v>355</v>
      </c>
      <c r="E638" s="36">
        <v>45382</v>
      </c>
      <c r="F638" t="s">
        <v>84</v>
      </c>
      <c r="G638" s="36">
        <v>45372</v>
      </c>
      <c r="H638">
        <v>16</v>
      </c>
      <c r="I638" t="s">
        <v>2512</v>
      </c>
      <c r="J638">
        <v>3</v>
      </c>
      <c r="K638">
        <v>4.7</v>
      </c>
      <c r="L638">
        <v>3</v>
      </c>
      <c r="M638">
        <v>0</v>
      </c>
      <c r="N638">
        <v>0</v>
      </c>
      <c r="O638">
        <v>-1.7000000000000002</v>
      </c>
      <c r="P638">
        <v>1.7000000000000002</v>
      </c>
      <c r="Q638">
        <v>2.8900000000000006</v>
      </c>
      <c r="T638" t="s">
        <v>142</v>
      </c>
      <c r="U638">
        <v>5.6</v>
      </c>
      <c r="V638">
        <v>2.5999999999999996</v>
      </c>
      <c r="W638" t="s">
        <v>2496</v>
      </c>
      <c r="X638" t="s">
        <v>53</v>
      </c>
    </row>
    <row r="639" spans="1:24">
      <c r="A639" t="s">
        <v>134</v>
      </c>
      <c r="B639" t="s">
        <v>54</v>
      </c>
      <c r="C639" s="36">
        <v>44693</v>
      </c>
      <c r="D639" t="s">
        <v>355</v>
      </c>
      <c r="E639" s="36">
        <v>45382</v>
      </c>
      <c r="F639" t="s">
        <v>84</v>
      </c>
      <c r="G639" s="36">
        <v>45372</v>
      </c>
      <c r="H639">
        <v>15</v>
      </c>
      <c r="I639" t="s">
        <v>2510</v>
      </c>
      <c r="J639">
        <v>3</v>
      </c>
      <c r="K639">
        <v>4.7</v>
      </c>
      <c r="L639">
        <v>3</v>
      </c>
      <c r="M639">
        <v>0</v>
      </c>
      <c r="N639">
        <v>0</v>
      </c>
      <c r="O639">
        <v>-1.7000000000000002</v>
      </c>
      <c r="P639">
        <v>1.7000000000000002</v>
      </c>
      <c r="Q639">
        <v>2.8900000000000006</v>
      </c>
      <c r="R639">
        <v>0</v>
      </c>
      <c r="S639">
        <v>0</v>
      </c>
      <c r="T639" t="s">
        <v>145</v>
      </c>
      <c r="U639">
        <v>6.5</v>
      </c>
      <c r="V639">
        <v>3.5</v>
      </c>
      <c r="W639" t="s">
        <v>2496</v>
      </c>
      <c r="X639" t="s">
        <v>55</v>
      </c>
    </row>
    <row r="640" spans="1:24">
      <c r="A640" t="s">
        <v>134</v>
      </c>
      <c r="B640" t="s">
        <v>56</v>
      </c>
      <c r="C640" s="36">
        <v>44735</v>
      </c>
      <c r="D640" t="s">
        <v>355</v>
      </c>
      <c r="E640" s="36">
        <v>45382</v>
      </c>
      <c r="F640" t="s">
        <v>84</v>
      </c>
      <c r="G640" s="36">
        <v>45372</v>
      </c>
      <c r="H640">
        <v>14</v>
      </c>
      <c r="I640" t="s">
        <v>2511</v>
      </c>
      <c r="J640">
        <v>3.1</v>
      </c>
      <c r="K640">
        <v>4.7</v>
      </c>
      <c r="L640">
        <v>3</v>
      </c>
      <c r="M640">
        <v>0.10000000000000009</v>
      </c>
      <c r="N640">
        <v>0.10000000000000009</v>
      </c>
      <c r="O640">
        <v>-1.6</v>
      </c>
      <c r="P640">
        <v>1.6</v>
      </c>
      <c r="Q640">
        <v>2.5600000000000005</v>
      </c>
      <c r="R640">
        <v>0.10000000000000009</v>
      </c>
      <c r="S640">
        <v>0.10000000000000009</v>
      </c>
      <c r="T640" t="s">
        <v>145</v>
      </c>
      <c r="U640">
        <v>6.5</v>
      </c>
      <c r="V640">
        <v>3.5</v>
      </c>
      <c r="W640" t="s">
        <v>2496</v>
      </c>
      <c r="X640" t="s">
        <v>57</v>
      </c>
    </row>
    <row r="641" spans="1:24">
      <c r="A641" t="s">
        <v>134</v>
      </c>
      <c r="B641" t="s">
        <v>58</v>
      </c>
      <c r="C641" s="36">
        <v>44784</v>
      </c>
      <c r="D641" t="s">
        <v>355</v>
      </c>
      <c r="E641" s="36">
        <v>45382</v>
      </c>
      <c r="F641" t="s">
        <v>84</v>
      </c>
      <c r="G641" s="36">
        <v>45372</v>
      </c>
      <c r="H641">
        <v>13</v>
      </c>
      <c r="I641" t="s">
        <v>2508</v>
      </c>
      <c r="J641">
        <v>3.1</v>
      </c>
      <c r="K641">
        <v>4.7</v>
      </c>
      <c r="L641">
        <v>3</v>
      </c>
      <c r="M641">
        <v>0.10000000000000009</v>
      </c>
      <c r="N641">
        <v>0.10000000000000009</v>
      </c>
      <c r="O641">
        <v>-1.6</v>
      </c>
      <c r="P641">
        <v>1.6</v>
      </c>
      <c r="Q641">
        <v>2.5600000000000005</v>
      </c>
      <c r="R641">
        <v>0</v>
      </c>
      <c r="S641">
        <v>0</v>
      </c>
      <c r="T641" t="s">
        <v>148</v>
      </c>
      <c r="U641">
        <v>7.3</v>
      </c>
      <c r="V641">
        <v>4.3</v>
      </c>
      <c r="W641" t="s">
        <v>2496</v>
      </c>
      <c r="X641" t="s">
        <v>59</v>
      </c>
    </row>
    <row r="642" spans="1:24">
      <c r="A642" t="s">
        <v>134</v>
      </c>
      <c r="B642" t="s">
        <v>60</v>
      </c>
      <c r="C642" s="36">
        <v>44833</v>
      </c>
      <c r="D642" t="s">
        <v>355</v>
      </c>
      <c r="E642" s="36">
        <v>45382</v>
      </c>
      <c r="F642" t="s">
        <v>84</v>
      </c>
      <c r="G642" s="36">
        <v>45372</v>
      </c>
      <c r="H642">
        <v>12</v>
      </c>
      <c r="I642" t="s">
        <v>2509</v>
      </c>
      <c r="J642">
        <v>3.6</v>
      </c>
      <c r="K642">
        <v>4.7</v>
      </c>
      <c r="L642">
        <v>3</v>
      </c>
      <c r="M642">
        <v>0.60000000000000009</v>
      </c>
      <c r="N642">
        <v>0.60000000000000009</v>
      </c>
      <c r="O642">
        <v>-1.1000000000000001</v>
      </c>
      <c r="P642">
        <v>1.1000000000000001</v>
      </c>
      <c r="Q642">
        <v>1.2100000000000002</v>
      </c>
      <c r="R642">
        <v>0.5</v>
      </c>
      <c r="S642">
        <v>0.5</v>
      </c>
      <c r="T642" t="s">
        <v>148</v>
      </c>
      <c r="U642">
        <v>7.3</v>
      </c>
      <c r="V642">
        <v>4.3</v>
      </c>
      <c r="W642" t="s">
        <v>2496</v>
      </c>
      <c r="X642" t="s">
        <v>61</v>
      </c>
    </row>
    <row r="643" spans="1:24">
      <c r="A643" t="s">
        <v>134</v>
      </c>
      <c r="B643" t="s">
        <v>62</v>
      </c>
      <c r="C643" s="36">
        <v>44875</v>
      </c>
      <c r="D643" t="s">
        <v>355</v>
      </c>
      <c r="E643" s="36">
        <v>45382</v>
      </c>
      <c r="F643" t="s">
        <v>84</v>
      </c>
      <c r="G643" s="36">
        <v>45372</v>
      </c>
      <c r="H643">
        <v>11</v>
      </c>
      <c r="I643" t="s">
        <v>2506</v>
      </c>
      <c r="J643">
        <v>3.6</v>
      </c>
      <c r="K643">
        <v>4.7</v>
      </c>
      <c r="L643">
        <v>3</v>
      </c>
      <c r="M643">
        <v>0.60000000000000009</v>
      </c>
      <c r="N643">
        <v>0.60000000000000009</v>
      </c>
      <c r="O643">
        <v>-1.1000000000000001</v>
      </c>
      <c r="P643">
        <v>1.1000000000000001</v>
      </c>
      <c r="Q643">
        <v>1.2100000000000002</v>
      </c>
      <c r="R643">
        <v>0</v>
      </c>
      <c r="S643">
        <v>0</v>
      </c>
      <c r="T643" t="s">
        <v>151</v>
      </c>
      <c r="U643">
        <v>8</v>
      </c>
      <c r="V643">
        <v>5</v>
      </c>
      <c r="W643" t="s">
        <v>2496</v>
      </c>
      <c r="X643" t="s">
        <v>63</v>
      </c>
    </row>
    <row r="644" spans="1:24">
      <c r="A644" t="s">
        <v>134</v>
      </c>
      <c r="B644" t="s">
        <v>64</v>
      </c>
      <c r="C644" s="36">
        <v>44910</v>
      </c>
      <c r="D644" t="s">
        <v>355</v>
      </c>
      <c r="E644" s="36">
        <v>45382</v>
      </c>
      <c r="F644" t="s">
        <v>84</v>
      </c>
      <c r="G644" s="36">
        <v>45372</v>
      </c>
      <c r="H644">
        <v>10</v>
      </c>
      <c r="I644" t="s">
        <v>2507</v>
      </c>
      <c r="J644">
        <v>3.7</v>
      </c>
      <c r="K644">
        <v>4.7</v>
      </c>
      <c r="L644">
        <v>3</v>
      </c>
      <c r="M644">
        <v>0.70000000000000018</v>
      </c>
      <c r="N644">
        <v>0.70000000000000018</v>
      </c>
      <c r="O644">
        <v>-1</v>
      </c>
      <c r="P644">
        <v>1</v>
      </c>
      <c r="Q644">
        <v>1</v>
      </c>
      <c r="R644">
        <v>0.10000000000000009</v>
      </c>
      <c r="S644">
        <v>0.10000000000000009</v>
      </c>
      <c r="T644" t="s">
        <v>151</v>
      </c>
      <c r="U644">
        <v>8</v>
      </c>
      <c r="V644">
        <v>5</v>
      </c>
      <c r="W644" t="s">
        <v>2496</v>
      </c>
      <c r="X644" t="s">
        <v>65</v>
      </c>
    </row>
    <row r="645" spans="1:24">
      <c r="A645" t="s">
        <v>134</v>
      </c>
      <c r="B645" t="s">
        <v>66</v>
      </c>
      <c r="C645" s="36">
        <v>44966</v>
      </c>
      <c r="D645" t="s">
        <v>355</v>
      </c>
      <c r="E645" s="36">
        <v>45382</v>
      </c>
      <c r="F645" t="s">
        <v>84</v>
      </c>
      <c r="G645" s="36">
        <v>45372</v>
      </c>
      <c r="H645">
        <v>9</v>
      </c>
      <c r="I645" t="s">
        <v>2504</v>
      </c>
      <c r="J645">
        <v>4.0999999999999996</v>
      </c>
      <c r="K645">
        <v>4.7</v>
      </c>
      <c r="L645">
        <v>3</v>
      </c>
      <c r="M645">
        <v>1.0999999999999996</v>
      </c>
      <c r="N645">
        <v>1.0999999999999996</v>
      </c>
      <c r="O645">
        <v>-0.60000000000000053</v>
      </c>
      <c r="P645">
        <v>0.60000000000000053</v>
      </c>
      <c r="Q645">
        <v>0.36000000000000065</v>
      </c>
      <c r="R645">
        <v>0.39999999999999947</v>
      </c>
      <c r="S645">
        <v>0.39999999999999947</v>
      </c>
      <c r="T645" t="s">
        <v>154</v>
      </c>
      <c r="U645">
        <v>8.4</v>
      </c>
      <c r="V645">
        <v>5.4</v>
      </c>
      <c r="W645" t="s">
        <v>2496</v>
      </c>
      <c r="X645" t="s">
        <v>67</v>
      </c>
    </row>
    <row r="646" spans="1:24">
      <c r="A646" t="s">
        <v>134</v>
      </c>
      <c r="B646" t="s">
        <v>68</v>
      </c>
      <c r="C646" s="36">
        <v>45015</v>
      </c>
      <c r="D646" t="s">
        <v>355</v>
      </c>
      <c r="E646" s="36">
        <v>45382</v>
      </c>
      <c r="F646" t="s">
        <v>84</v>
      </c>
      <c r="G646" s="36">
        <v>45372</v>
      </c>
      <c r="H646">
        <v>8</v>
      </c>
      <c r="I646" t="s">
        <v>2505</v>
      </c>
      <c r="J646">
        <v>4.0999999999999996</v>
      </c>
      <c r="K646">
        <v>4.7</v>
      </c>
      <c r="L646">
        <v>3</v>
      </c>
      <c r="M646">
        <v>1.0999999999999996</v>
      </c>
      <c r="N646">
        <v>1.0999999999999996</v>
      </c>
      <c r="O646">
        <v>-0.60000000000000053</v>
      </c>
      <c r="P646">
        <v>0.60000000000000053</v>
      </c>
      <c r="Q646">
        <v>0.36000000000000065</v>
      </c>
      <c r="R646">
        <v>0</v>
      </c>
      <c r="S646">
        <v>0</v>
      </c>
      <c r="T646" t="s">
        <v>154</v>
      </c>
      <c r="U646">
        <v>8.4</v>
      </c>
      <c r="V646">
        <v>5.4</v>
      </c>
      <c r="W646" t="s">
        <v>2496</v>
      </c>
      <c r="X646" t="s">
        <v>69</v>
      </c>
    </row>
    <row r="647" spans="1:24">
      <c r="A647" t="s">
        <v>134</v>
      </c>
      <c r="B647" t="s">
        <v>70</v>
      </c>
      <c r="C647" s="36">
        <v>45064</v>
      </c>
      <c r="D647" t="s">
        <v>355</v>
      </c>
      <c r="E647" s="36">
        <v>45382</v>
      </c>
      <c r="F647" t="s">
        <v>84</v>
      </c>
      <c r="G647" s="36">
        <v>45372</v>
      </c>
      <c r="H647">
        <v>7</v>
      </c>
      <c r="I647" t="s">
        <v>2502</v>
      </c>
      <c r="J647">
        <v>4.0999999999999996</v>
      </c>
      <c r="K647">
        <v>4.7</v>
      </c>
      <c r="L647">
        <v>3</v>
      </c>
      <c r="M647">
        <v>1.0999999999999996</v>
      </c>
      <c r="N647">
        <v>1.0999999999999996</v>
      </c>
      <c r="O647">
        <v>-0.60000000000000053</v>
      </c>
      <c r="P647">
        <v>0.60000000000000053</v>
      </c>
      <c r="Q647">
        <v>0.36000000000000065</v>
      </c>
      <c r="R647">
        <v>0</v>
      </c>
      <c r="S647">
        <v>0</v>
      </c>
      <c r="T647" t="s">
        <v>157</v>
      </c>
      <c r="U647">
        <v>8.3000000000000007</v>
      </c>
      <c r="V647">
        <v>5.3000000000000007</v>
      </c>
      <c r="W647" t="s">
        <v>2496</v>
      </c>
      <c r="X647" t="s">
        <v>71</v>
      </c>
    </row>
    <row r="648" spans="1:24">
      <c r="A648" t="s">
        <v>134</v>
      </c>
      <c r="B648" t="s">
        <v>72</v>
      </c>
      <c r="C648" s="36">
        <v>45099</v>
      </c>
      <c r="D648" t="s">
        <v>355</v>
      </c>
      <c r="E648" s="36">
        <v>45382</v>
      </c>
      <c r="F648" t="s">
        <v>84</v>
      </c>
      <c r="G648" s="36">
        <v>45372</v>
      </c>
      <c r="H648">
        <v>6</v>
      </c>
      <c r="I648" t="s">
        <v>2503</v>
      </c>
      <c r="J648">
        <v>4.0999999999999996</v>
      </c>
      <c r="K648">
        <v>4.7</v>
      </c>
      <c r="L648">
        <v>3</v>
      </c>
      <c r="M648">
        <v>1.0999999999999996</v>
      </c>
      <c r="N648">
        <v>1.0999999999999996</v>
      </c>
      <c r="O648">
        <v>-0.60000000000000053</v>
      </c>
      <c r="P648">
        <v>0.60000000000000053</v>
      </c>
      <c r="Q648">
        <v>0.36000000000000065</v>
      </c>
      <c r="R648">
        <v>0</v>
      </c>
      <c r="S648">
        <v>0</v>
      </c>
      <c r="T648" t="s">
        <v>157</v>
      </c>
      <c r="U648">
        <v>8.3000000000000007</v>
      </c>
      <c r="V648">
        <v>5.3000000000000007</v>
      </c>
      <c r="W648" t="s">
        <v>2496</v>
      </c>
      <c r="X648" t="s">
        <v>73</v>
      </c>
    </row>
    <row r="649" spans="1:24">
      <c r="A649" t="s">
        <v>134</v>
      </c>
      <c r="B649" t="s">
        <v>74</v>
      </c>
      <c r="C649" s="36">
        <v>45148</v>
      </c>
      <c r="D649" t="s">
        <v>355</v>
      </c>
      <c r="E649" s="36">
        <v>45382</v>
      </c>
      <c r="F649" t="s">
        <v>84</v>
      </c>
      <c r="G649" s="36">
        <v>45372</v>
      </c>
      <c r="H649">
        <v>5</v>
      </c>
      <c r="I649" t="s">
        <v>2500</v>
      </c>
      <c r="J649">
        <v>4.2</v>
      </c>
      <c r="K649">
        <v>4.7</v>
      </c>
      <c r="L649">
        <v>3</v>
      </c>
      <c r="M649">
        <v>1.2000000000000002</v>
      </c>
      <c r="N649">
        <v>1.2000000000000002</v>
      </c>
      <c r="O649">
        <v>-0.5</v>
      </c>
      <c r="P649">
        <v>0.5</v>
      </c>
      <c r="Q649">
        <v>0.25</v>
      </c>
      <c r="R649">
        <v>0.10000000000000053</v>
      </c>
      <c r="S649">
        <v>0.10000000000000053</v>
      </c>
      <c r="T649" t="s">
        <v>160</v>
      </c>
      <c r="U649">
        <v>7.3</v>
      </c>
      <c r="V649">
        <v>4.3</v>
      </c>
      <c r="W649" t="s">
        <v>2496</v>
      </c>
      <c r="X649" t="s">
        <v>75</v>
      </c>
    </row>
    <row r="650" spans="1:24">
      <c r="A650" t="s">
        <v>134</v>
      </c>
      <c r="B650" t="s">
        <v>76</v>
      </c>
      <c r="C650" s="36">
        <v>45197</v>
      </c>
      <c r="D650" t="s">
        <v>355</v>
      </c>
      <c r="E650" s="36">
        <v>45382</v>
      </c>
      <c r="F650" t="s">
        <v>84</v>
      </c>
      <c r="G650" s="36">
        <v>45372</v>
      </c>
      <c r="H650">
        <v>4</v>
      </c>
      <c r="I650" t="s">
        <v>2501</v>
      </c>
      <c r="J650">
        <v>4.5</v>
      </c>
      <c r="K650">
        <v>4.7</v>
      </c>
      <c r="L650">
        <v>3</v>
      </c>
      <c r="M650">
        <v>1.5</v>
      </c>
      <c r="N650">
        <v>1.5</v>
      </c>
      <c r="O650">
        <v>-0.20000000000000018</v>
      </c>
      <c r="P650">
        <v>0.20000000000000018</v>
      </c>
      <c r="Q650">
        <v>4.000000000000007E-2</v>
      </c>
      <c r="R650">
        <v>0.29999999999999982</v>
      </c>
      <c r="S650">
        <v>0.29999999999999982</v>
      </c>
      <c r="T650" t="s">
        <v>160</v>
      </c>
      <c r="U650">
        <v>7.3</v>
      </c>
      <c r="V650">
        <v>4.3</v>
      </c>
      <c r="W650" t="s">
        <v>2496</v>
      </c>
      <c r="X650" t="s">
        <v>77</v>
      </c>
    </row>
    <row r="651" spans="1:24">
      <c r="A651" t="s">
        <v>134</v>
      </c>
      <c r="B651" t="s">
        <v>78</v>
      </c>
      <c r="C651" s="36">
        <v>45239</v>
      </c>
      <c r="D651" t="s">
        <v>355</v>
      </c>
      <c r="E651" s="36">
        <v>45382</v>
      </c>
      <c r="F651" t="s">
        <v>84</v>
      </c>
      <c r="G651" s="36">
        <v>45372</v>
      </c>
      <c r="H651">
        <v>3</v>
      </c>
      <c r="I651" t="s">
        <v>2498</v>
      </c>
      <c r="J651">
        <v>4.5</v>
      </c>
      <c r="K651">
        <v>4.7</v>
      </c>
      <c r="L651">
        <v>3</v>
      </c>
      <c r="M651">
        <v>1.5</v>
      </c>
      <c r="N651">
        <v>1.5</v>
      </c>
      <c r="O651">
        <v>-0.20000000000000018</v>
      </c>
      <c r="P651">
        <v>0.20000000000000018</v>
      </c>
      <c r="Q651">
        <v>4.000000000000007E-2</v>
      </c>
      <c r="R651">
        <v>0</v>
      </c>
      <c r="S651">
        <v>0</v>
      </c>
      <c r="T651" t="s">
        <v>183</v>
      </c>
      <c r="U651">
        <v>6.2</v>
      </c>
      <c r="V651">
        <v>3.2</v>
      </c>
      <c r="W651" t="s">
        <v>2496</v>
      </c>
      <c r="X651" t="s">
        <v>79</v>
      </c>
    </row>
    <row r="652" spans="1:24">
      <c r="A652" t="s">
        <v>134</v>
      </c>
      <c r="B652" t="s">
        <v>80</v>
      </c>
      <c r="C652" s="36">
        <v>45274</v>
      </c>
      <c r="D652" t="s">
        <v>355</v>
      </c>
      <c r="E652" s="36">
        <v>45382</v>
      </c>
      <c r="F652" t="s">
        <v>84</v>
      </c>
      <c r="G652" s="36">
        <v>45372</v>
      </c>
      <c r="H652">
        <v>2</v>
      </c>
      <c r="I652" t="s">
        <v>2499</v>
      </c>
      <c r="J652">
        <v>4.7</v>
      </c>
      <c r="K652">
        <v>4.7</v>
      </c>
      <c r="L652">
        <v>3</v>
      </c>
      <c r="M652">
        <v>1.7000000000000002</v>
      </c>
      <c r="N652">
        <v>1.7000000000000002</v>
      </c>
      <c r="O652">
        <v>0</v>
      </c>
      <c r="P652">
        <v>0</v>
      </c>
      <c r="Q652">
        <v>0</v>
      </c>
      <c r="R652">
        <v>0.20000000000000018</v>
      </c>
      <c r="S652">
        <v>0.20000000000000018</v>
      </c>
      <c r="T652" t="s">
        <v>183</v>
      </c>
      <c r="U652">
        <v>6.2</v>
      </c>
      <c r="V652">
        <v>3.2</v>
      </c>
      <c r="W652" t="s">
        <v>2496</v>
      </c>
      <c r="X652" t="s">
        <v>81</v>
      </c>
    </row>
    <row r="653" spans="1:24">
      <c r="A653" t="s">
        <v>134</v>
      </c>
      <c r="B653" t="s">
        <v>82</v>
      </c>
      <c r="C653" s="36">
        <v>45330</v>
      </c>
      <c r="D653" t="s">
        <v>355</v>
      </c>
      <c r="E653" s="36">
        <v>45382</v>
      </c>
      <c r="F653" t="s">
        <v>84</v>
      </c>
      <c r="G653" s="36">
        <v>45372</v>
      </c>
      <c r="H653">
        <v>1</v>
      </c>
      <c r="I653" t="s">
        <v>2495</v>
      </c>
      <c r="J653">
        <v>4.5999999999999996</v>
      </c>
      <c r="K653">
        <v>4.7</v>
      </c>
      <c r="L653">
        <v>3</v>
      </c>
      <c r="M653">
        <v>1.5999999999999996</v>
      </c>
      <c r="N653">
        <v>1.5999999999999996</v>
      </c>
      <c r="O653">
        <v>-0.10000000000000053</v>
      </c>
      <c r="P653">
        <v>0.10000000000000053</v>
      </c>
      <c r="Q653">
        <v>1.0000000000000106E-2</v>
      </c>
      <c r="R653">
        <v>-0.10000000000000053</v>
      </c>
      <c r="S653">
        <v>0.10000000000000053</v>
      </c>
      <c r="T653" t="s">
        <v>254</v>
      </c>
      <c r="U653">
        <v>5.3</v>
      </c>
      <c r="V653">
        <v>2.2999999999999998</v>
      </c>
      <c r="W653" t="s">
        <v>2496</v>
      </c>
      <c r="X653" t="s">
        <v>83</v>
      </c>
    </row>
    <row r="654" spans="1:24">
      <c r="A654" t="s">
        <v>134</v>
      </c>
      <c r="B654" t="s">
        <v>84</v>
      </c>
      <c r="C654" s="36">
        <v>45372</v>
      </c>
      <c r="D654" t="s">
        <v>355</v>
      </c>
      <c r="E654" s="36">
        <v>45382</v>
      </c>
      <c r="F654" t="s">
        <v>84</v>
      </c>
      <c r="G654" s="36">
        <v>45372</v>
      </c>
      <c r="H654">
        <v>0</v>
      </c>
      <c r="I654" t="s">
        <v>2497</v>
      </c>
      <c r="J654">
        <v>4.7</v>
      </c>
      <c r="K654">
        <v>4.7</v>
      </c>
      <c r="L654">
        <v>3</v>
      </c>
      <c r="M654">
        <v>1.7000000000000002</v>
      </c>
      <c r="N654">
        <v>1.7000000000000002</v>
      </c>
      <c r="O654">
        <v>0</v>
      </c>
      <c r="P654">
        <v>0</v>
      </c>
      <c r="Q654">
        <v>0</v>
      </c>
      <c r="R654">
        <v>0.10000000000000053</v>
      </c>
      <c r="S654">
        <v>0.10000000000000053</v>
      </c>
      <c r="T654" t="s">
        <v>254</v>
      </c>
      <c r="U654">
        <v>5.3</v>
      </c>
      <c r="V654">
        <v>2.2999999999999998</v>
      </c>
      <c r="W654" t="s">
        <v>2496</v>
      </c>
      <c r="X654" t="s">
        <v>85</v>
      </c>
    </row>
    <row r="655" spans="1:24">
      <c r="A655" t="s">
        <v>134</v>
      </c>
      <c r="B655" t="s">
        <v>56</v>
      </c>
      <c r="C655" s="36">
        <v>44735</v>
      </c>
      <c r="D655" t="s">
        <v>460</v>
      </c>
      <c r="E655" s="36">
        <v>45473</v>
      </c>
      <c r="F655" t="s">
        <v>88</v>
      </c>
      <c r="G655" s="36">
        <v>45470</v>
      </c>
      <c r="H655">
        <v>16</v>
      </c>
      <c r="I655" t="s">
        <v>2512</v>
      </c>
      <c r="J655">
        <v>3.1</v>
      </c>
      <c r="K655">
        <v>4.2</v>
      </c>
      <c r="L655">
        <v>3</v>
      </c>
      <c r="M655">
        <v>0.10000000000000009</v>
      </c>
      <c r="N655">
        <v>0.10000000000000009</v>
      </c>
      <c r="O655">
        <v>-1.1000000000000001</v>
      </c>
      <c r="P655">
        <v>1.1000000000000001</v>
      </c>
      <c r="Q655">
        <v>1.2100000000000002</v>
      </c>
      <c r="T655" t="s">
        <v>145</v>
      </c>
      <c r="U655">
        <v>6.5</v>
      </c>
      <c r="V655">
        <v>3.5</v>
      </c>
      <c r="W655" t="s">
        <v>2496</v>
      </c>
      <c r="X655" t="s">
        <v>57</v>
      </c>
    </row>
    <row r="656" spans="1:24">
      <c r="A656" t="s">
        <v>134</v>
      </c>
      <c r="B656" t="s">
        <v>58</v>
      </c>
      <c r="C656" s="36">
        <v>44784</v>
      </c>
      <c r="D656" t="s">
        <v>460</v>
      </c>
      <c r="E656" s="36">
        <v>45473</v>
      </c>
      <c r="F656" t="s">
        <v>88</v>
      </c>
      <c r="G656" s="36">
        <v>45470</v>
      </c>
      <c r="H656">
        <v>15</v>
      </c>
      <c r="I656" t="s">
        <v>2510</v>
      </c>
      <c r="J656">
        <v>3</v>
      </c>
      <c r="K656">
        <v>4.2</v>
      </c>
      <c r="L656">
        <v>3</v>
      </c>
      <c r="M656">
        <v>0</v>
      </c>
      <c r="N656">
        <v>0</v>
      </c>
      <c r="O656">
        <v>-1.2000000000000002</v>
      </c>
      <c r="P656">
        <v>1.2000000000000002</v>
      </c>
      <c r="Q656">
        <v>1.4400000000000004</v>
      </c>
      <c r="R656">
        <v>-0.10000000000000009</v>
      </c>
      <c r="S656">
        <v>0.10000000000000009</v>
      </c>
      <c r="T656" t="s">
        <v>148</v>
      </c>
      <c r="U656">
        <v>7.3</v>
      </c>
      <c r="V656">
        <v>4.3</v>
      </c>
      <c r="W656" t="s">
        <v>2496</v>
      </c>
      <c r="X656" t="s">
        <v>59</v>
      </c>
    </row>
    <row r="657" spans="1:24">
      <c r="A657" t="s">
        <v>134</v>
      </c>
      <c r="B657" t="s">
        <v>60</v>
      </c>
      <c r="C657" s="36">
        <v>44833</v>
      </c>
      <c r="D657" t="s">
        <v>460</v>
      </c>
      <c r="E657" s="36">
        <v>45473</v>
      </c>
      <c r="F657" t="s">
        <v>88</v>
      </c>
      <c r="G657" s="36">
        <v>45470</v>
      </c>
      <c r="H657">
        <v>14</v>
      </c>
      <c r="I657" t="s">
        <v>2511</v>
      </c>
      <c r="J657">
        <v>3.2</v>
      </c>
      <c r="K657">
        <v>4.2</v>
      </c>
      <c r="L657">
        <v>3</v>
      </c>
      <c r="M657">
        <v>0.20000000000000018</v>
      </c>
      <c r="N657">
        <v>0.20000000000000018</v>
      </c>
      <c r="O657">
        <v>-1</v>
      </c>
      <c r="P657">
        <v>1</v>
      </c>
      <c r="Q657">
        <v>1</v>
      </c>
      <c r="R657">
        <v>0.20000000000000018</v>
      </c>
      <c r="S657">
        <v>0.20000000000000018</v>
      </c>
      <c r="T657" t="s">
        <v>148</v>
      </c>
      <c r="U657">
        <v>7.3</v>
      </c>
      <c r="V657">
        <v>4.3</v>
      </c>
      <c r="W657" t="s">
        <v>2496</v>
      </c>
      <c r="X657" t="s">
        <v>61</v>
      </c>
    </row>
    <row r="658" spans="1:24">
      <c r="A658" t="s">
        <v>134</v>
      </c>
      <c r="B658" t="s">
        <v>62</v>
      </c>
      <c r="C658" s="36">
        <v>44875</v>
      </c>
      <c r="D658" t="s">
        <v>460</v>
      </c>
      <c r="E658" s="36">
        <v>45473</v>
      </c>
      <c r="F658" t="s">
        <v>88</v>
      </c>
      <c r="G658" s="36">
        <v>45470</v>
      </c>
      <c r="H658">
        <v>13</v>
      </c>
      <c r="I658" t="s">
        <v>2508</v>
      </c>
      <c r="J658">
        <v>3.2</v>
      </c>
      <c r="K658">
        <v>4.2</v>
      </c>
      <c r="L658">
        <v>3</v>
      </c>
      <c r="M658">
        <v>0.20000000000000018</v>
      </c>
      <c r="N658">
        <v>0.20000000000000018</v>
      </c>
      <c r="O658">
        <v>-1</v>
      </c>
      <c r="P658">
        <v>1</v>
      </c>
      <c r="Q658">
        <v>1</v>
      </c>
      <c r="R658">
        <v>0</v>
      </c>
      <c r="S658">
        <v>0</v>
      </c>
      <c r="T658" t="s">
        <v>151</v>
      </c>
      <c r="U658">
        <v>8</v>
      </c>
      <c r="V658">
        <v>5</v>
      </c>
      <c r="W658" t="s">
        <v>2496</v>
      </c>
      <c r="X658" t="s">
        <v>63</v>
      </c>
    </row>
    <row r="659" spans="1:24">
      <c r="A659" t="s">
        <v>134</v>
      </c>
      <c r="B659" t="s">
        <v>64</v>
      </c>
      <c r="C659" s="36">
        <v>44910</v>
      </c>
      <c r="D659" t="s">
        <v>460</v>
      </c>
      <c r="E659" s="36">
        <v>45473</v>
      </c>
      <c r="F659" t="s">
        <v>88</v>
      </c>
      <c r="G659" s="36">
        <v>45470</v>
      </c>
      <c r="H659">
        <v>12</v>
      </c>
      <c r="I659" t="s">
        <v>2509</v>
      </c>
      <c r="J659">
        <v>3.2</v>
      </c>
      <c r="K659">
        <v>4.2</v>
      </c>
      <c r="L659">
        <v>3</v>
      </c>
      <c r="M659">
        <v>0.20000000000000018</v>
      </c>
      <c r="N659">
        <v>0.20000000000000018</v>
      </c>
      <c r="O659">
        <v>-1</v>
      </c>
      <c r="P659">
        <v>1</v>
      </c>
      <c r="Q659">
        <v>1</v>
      </c>
      <c r="R659">
        <v>0</v>
      </c>
      <c r="S659">
        <v>0</v>
      </c>
      <c r="T659" t="s">
        <v>151</v>
      </c>
      <c r="U659">
        <v>8</v>
      </c>
      <c r="V659">
        <v>5</v>
      </c>
      <c r="W659" t="s">
        <v>2496</v>
      </c>
      <c r="X659" t="s">
        <v>65</v>
      </c>
    </row>
    <row r="660" spans="1:24">
      <c r="A660" t="s">
        <v>134</v>
      </c>
      <c r="B660" t="s">
        <v>66</v>
      </c>
      <c r="C660" s="36">
        <v>44966</v>
      </c>
      <c r="D660" t="s">
        <v>460</v>
      </c>
      <c r="E660" s="36">
        <v>45473</v>
      </c>
      <c r="F660" t="s">
        <v>88</v>
      </c>
      <c r="G660" s="36">
        <v>45470</v>
      </c>
      <c r="H660">
        <v>11</v>
      </c>
      <c r="I660" t="s">
        <v>2506</v>
      </c>
      <c r="J660">
        <v>3.5</v>
      </c>
      <c r="K660">
        <v>4.2</v>
      </c>
      <c r="L660">
        <v>3</v>
      </c>
      <c r="M660">
        <v>0.5</v>
      </c>
      <c r="N660">
        <v>0.5</v>
      </c>
      <c r="O660">
        <v>-0.70000000000000018</v>
      </c>
      <c r="P660">
        <v>0.70000000000000018</v>
      </c>
      <c r="Q660">
        <v>0.49000000000000027</v>
      </c>
      <c r="R660">
        <v>0.29999999999999982</v>
      </c>
      <c r="S660">
        <v>0.29999999999999982</v>
      </c>
      <c r="T660" t="s">
        <v>154</v>
      </c>
      <c r="U660">
        <v>8.4</v>
      </c>
      <c r="V660">
        <v>5.4</v>
      </c>
      <c r="W660" t="s">
        <v>2496</v>
      </c>
      <c r="X660" t="s">
        <v>67</v>
      </c>
    </row>
    <row r="661" spans="1:24">
      <c r="A661" t="s">
        <v>134</v>
      </c>
      <c r="B661" t="s">
        <v>68</v>
      </c>
      <c r="C661" s="36">
        <v>45015</v>
      </c>
      <c r="D661" t="s">
        <v>460</v>
      </c>
      <c r="E661" s="36">
        <v>45473</v>
      </c>
      <c r="F661" t="s">
        <v>88</v>
      </c>
      <c r="G661" s="36">
        <v>45470</v>
      </c>
      <c r="H661">
        <v>10</v>
      </c>
      <c r="I661" t="s">
        <v>2507</v>
      </c>
      <c r="J661">
        <v>3.5</v>
      </c>
      <c r="K661">
        <v>4.2</v>
      </c>
      <c r="L661">
        <v>3</v>
      </c>
      <c r="M661">
        <v>0.5</v>
      </c>
      <c r="N661">
        <v>0.5</v>
      </c>
      <c r="O661">
        <v>-0.70000000000000018</v>
      </c>
      <c r="P661">
        <v>0.70000000000000018</v>
      </c>
      <c r="Q661">
        <v>0.49000000000000027</v>
      </c>
      <c r="R661">
        <v>0</v>
      </c>
      <c r="S661">
        <v>0</v>
      </c>
      <c r="T661" t="s">
        <v>154</v>
      </c>
      <c r="U661">
        <v>8.4</v>
      </c>
      <c r="V661">
        <v>5.4</v>
      </c>
      <c r="W661" t="s">
        <v>2496</v>
      </c>
      <c r="X661" t="s">
        <v>69</v>
      </c>
    </row>
    <row r="662" spans="1:24">
      <c r="A662" t="s">
        <v>134</v>
      </c>
      <c r="B662" t="s">
        <v>70</v>
      </c>
      <c r="C662" s="36">
        <v>45064</v>
      </c>
      <c r="D662" t="s">
        <v>460</v>
      </c>
      <c r="E662" s="36">
        <v>45473</v>
      </c>
      <c r="F662" t="s">
        <v>88</v>
      </c>
      <c r="G662" s="36">
        <v>45470</v>
      </c>
      <c r="H662">
        <v>9</v>
      </c>
      <c r="I662" t="s">
        <v>2504</v>
      </c>
      <c r="J662">
        <v>3.5</v>
      </c>
      <c r="K662">
        <v>4.2</v>
      </c>
      <c r="L662">
        <v>3</v>
      </c>
      <c r="M662">
        <v>0.5</v>
      </c>
      <c r="N662">
        <v>0.5</v>
      </c>
      <c r="O662">
        <v>-0.70000000000000018</v>
      </c>
      <c r="P662">
        <v>0.70000000000000018</v>
      </c>
      <c r="Q662">
        <v>0.49000000000000027</v>
      </c>
      <c r="R662">
        <v>0</v>
      </c>
      <c r="S662">
        <v>0</v>
      </c>
      <c r="T662" t="s">
        <v>157</v>
      </c>
      <c r="U662">
        <v>8.3000000000000007</v>
      </c>
      <c r="V662">
        <v>5.3000000000000007</v>
      </c>
      <c r="W662" t="s">
        <v>2496</v>
      </c>
      <c r="X662" t="s">
        <v>71</v>
      </c>
    </row>
    <row r="663" spans="1:24">
      <c r="A663" t="s">
        <v>134</v>
      </c>
      <c r="B663" t="s">
        <v>72</v>
      </c>
      <c r="C663" s="36">
        <v>45099</v>
      </c>
      <c r="D663" t="s">
        <v>460</v>
      </c>
      <c r="E663" s="36">
        <v>45473</v>
      </c>
      <c r="F663" t="s">
        <v>88</v>
      </c>
      <c r="G663" s="36">
        <v>45470</v>
      </c>
      <c r="H663">
        <v>8</v>
      </c>
      <c r="I663" t="s">
        <v>2505</v>
      </c>
      <c r="J663">
        <v>3.5</v>
      </c>
      <c r="K663">
        <v>4.2</v>
      </c>
      <c r="L663">
        <v>3</v>
      </c>
      <c r="M663">
        <v>0.5</v>
      </c>
      <c r="N663">
        <v>0.5</v>
      </c>
      <c r="O663">
        <v>-0.70000000000000018</v>
      </c>
      <c r="P663">
        <v>0.70000000000000018</v>
      </c>
      <c r="Q663">
        <v>0.49000000000000027</v>
      </c>
      <c r="R663">
        <v>0</v>
      </c>
      <c r="S663">
        <v>0</v>
      </c>
      <c r="T663" t="s">
        <v>157</v>
      </c>
      <c r="U663">
        <v>8.3000000000000007</v>
      </c>
      <c r="V663">
        <v>5.3000000000000007</v>
      </c>
      <c r="W663" t="s">
        <v>2496</v>
      </c>
      <c r="X663" t="s">
        <v>73</v>
      </c>
    </row>
    <row r="664" spans="1:24">
      <c r="A664" t="s">
        <v>134</v>
      </c>
      <c r="B664" t="s">
        <v>74</v>
      </c>
      <c r="C664" s="36">
        <v>45148</v>
      </c>
      <c r="D664" t="s">
        <v>460</v>
      </c>
      <c r="E664" s="36">
        <v>45473</v>
      </c>
      <c r="F664" t="s">
        <v>88</v>
      </c>
      <c r="G664" s="36">
        <v>45470</v>
      </c>
      <c r="H664">
        <v>7</v>
      </c>
      <c r="I664" t="s">
        <v>2502</v>
      </c>
      <c r="J664">
        <v>3.6</v>
      </c>
      <c r="K664">
        <v>4.2</v>
      </c>
      <c r="L664">
        <v>3</v>
      </c>
      <c r="M664">
        <v>0.60000000000000009</v>
      </c>
      <c r="N664">
        <v>0.60000000000000009</v>
      </c>
      <c r="O664">
        <v>-0.60000000000000009</v>
      </c>
      <c r="P664">
        <v>0.60000000000000009</v>
      </c>
      <c r="Q664">
        <v>0.3600000000000001</v>
      </c>
      <c r="R664">
        <v>0.10000000000000009</v>
      </c>
      <c r="S664">
        <v>0.10000000000000009</v>
      </c>
      <c r="T664" t="s">
        <v>160</v>
      </c>
      <c r="U664">
        <v>7.3</v>
      </c>
      <c r="V664">
        <v>4.3</v>
      </c>
      <c r="W664" t="s">
        <v>2496</v>
      </c>
      <c r="X664" t="s">
        <v>75</v>
      </c>
    </row>
    <row r="665" spans="1:24">
      <c r="A665" t="s">
        <v>134</v>
      </c>
      <c r="B665" t="s">
        <v>76</v>
      </c>
      <c r="C665" s="36">
        <v>45197</v>
      </c>
      <c r="D665" t="s">
        <v>460</v>
      </c>
      <c r="E665" s="36">
        <v>45473</v>
      </c>
      <c r="F665" t="s">
        <v>88</v>
      </c>
      <c r="G665" s="36">
        <v>45470</v>
      </c>
      <c r="H665">
        <v>6</v>
      </c>
      <c r="I665" t="s">
        <v>2503</v>
      </c>
      <c r="J665">
        <v>3.9</v>
      </c>
      <c r="K665">
        <v>4.2</v>
      </c>
      <c r="L665">
        <v>3</v>
      </c>
      <c r="M665">
        <v>0.89999999999999991</v>
      </c>
      <c r="N665">
        <v>0.89999999999999991</v>
      </c>
      <c r="O665">
        <v>-0.30000000000000027</v>
      </c>
      <c r="P665">
        <v>0.30000000000000027</v>
      </c>
      <c r="Q665">
        <v>9.0000000000000163E-2</v>
      </c>
      <c r="R665">
        <v>0.29999999999999982</v>
      </c>
      <c r="S665">
        <v>0.29999999999999982</v>
      </c>
      <c r="T665" t="s">
        <v>160</v>
      </c>
      <c r="U665">
        <v>7.3</v>
      </c>
      <c r="V665">
        <v>4.3</v>
      </c>
      <c r="W665" t="s">
        <v>2496</v>
      </c>
      <c r="X665" t="s">
        <v>77</v>
      </c>
    </row>
    <row r="666" spans="1:24">
      <c r="A666" t="s">
        <v>134</v>
      </c>
      <c r="B666" t="s">
        <v>78</v>
      </c>
      <c r="C666" s="36">
        <v>45239</v>
      </c>
      <c r="D666" t="s">
        <v>460</v>
      </c>
      <c r="E666" s="36">
        <v>45473</v>
      </c>
      <c r="F666" t="s">
        <v>88</v>
      </c>
      <c r="G666" s="36">
        <v>45470</v>
      </c>
      <c r="H666">
        <v>5</v>
      </c>
      <c r="I666" t="s">
        <v>2500</v>
      </c>
      <c r="J666">
        <v>3.9</v>
      </c>
      <c r="K666">
        <v>4.2</v>
      </c>
      <c r="L666">
        <v>3</v>
      </c>
      <c r="M666">
        <v>0.89999999999999991</v>
      </c>
      <c r="N666">
        <v>0.89999999999999991</v>
      </c>
      <c r="O666">
        <v>-0.30000000000000027</v>
      </c>
      <c r="P666">
        <v>0.30000000000000027</v>
      </c>
      <c r="Q666">
        <v>9.0000000000000163E-2</v>
      </c>
      <c r="R666">
        <v>0</v>
      </c>
      <c r="S666">
        <v>0</v>
      </c>
      <c r="T666" t="s">
        <v>183</v>
      </c>
      <c r="U666">
        <v>6.2</v>
      </c>
      <c r="V666">
        <v>3.2</v>
      </c>
      <c r="W666" t="s">
        <v>2496</v>
      </c>
      <c r="X666" t="s">
        <v>79</v>
      </c>
    </row>
    <row r="667" spans="1:24">
      <c r="A667" t="s">
        <v>134</v>
      </c>
      <c r="B667" t="s">
        <v>80</v>
      </c>
      <c r="C667" s="36">
        <v>45274</v>
      </c>
      <c r="D667" t="s">
        <v>460</v>
      </c>
      <c r="E667" s="36">
        <v>45473</v>
      </c>
      <c r="F667" t="s">
        <v>88</v>
      </c>
      <c r="G667" s="36">
        <v>45470</v>
      </c>
      <c r="H667">
        <v>4</v>
      </c>
      <c r="I667" t="s">
        <v>2501</v>
      </c>
      <c r="J667">
        <v>4.0999999999999996</v>
      </c>
      <c r="K667">
        <v>4.2</v>
      </c>
      <c r="L667">
        <v>3</v>
      </c>
      <c r="M667">
        <v>1.0999999999999996</v>
      </c>
      <c r="N667">
        <v>1.0999999999999996</v>
      </c>
      <c r="O667">
        <v>-0.10000000000000053</v>
      </c>
      <c r="P667">
        <v>0.10000000000000053</v>
      </c>
      <c r="Q667">
        <v>1.0000000000000106E-2</v>
      </c>
      <c r="R667">
        <v>0.19999999999999973</v>
      </c>
      <c r="S667">
        <v>0.19999999999999973</v>
      </c>
      <c r="T667" t="s">
        <v>183</v>
      </c>
      <c r="U667">
        <v>6.2</v>
      </c>
      <c r="V667">
        <v>3.2</v>
      </c>
      <c r="W667" t="s">
        <v>2496</v>
      </c>
      <c r="X667" t="s">
        <v>81</v>
      </c>
    </row>
    <row r="668" spans="1:24">
      <c r="A668" t="s">
        <v>134</v>
      </c>
      <c r="B668" t="s">
        <v>82</v>
      </c>
      <c r="C668" s="36">
        <v>45330</v>
      </c>
      <c r="D668" t="s">
        <v>460</v>
      </c>
      <c r="E668" s="36">
        <v>45473</v>
      </c>
      <c r="F668" t="s">
        <v>88</v>
      </c>
      <c r="G668" s="36">
        <v>45470</v>
      </c>
      <c r="H668">
        <v>3</v>
      </c>
      <c r="I668" t="s">
        <v>2498</v>
      </c>
      <c r="J668">
        <v>4.0999999999999996</v>
      </c>
      <c r="K668">
        <v>4.2</v>
      </c>
      <c r="L668">
        <v>3</v>
      </c>
      <c r="M668">
        <v>1.0999999999999996</v>
      </c>
      <c r="N668">
        <v>1.0999999999999996</v>
      </c>
      <c r="O668">
        <v>-0.10000000000000053</v>
      </c>
      <c r="P668">
        <v>0.10000000000000053</v>
      </c>
      <c r="Q668">
        <v>1.0000000000000106E-2</v>
      </c>
      <c r="R668">
        <v>0</v>
      </c>
      <c r="S668">
        <v>0</v>
      </c>
      <c r="T668" t="s">
        <v>254</v>
      </c>
      <c r="U668">
        <v>5.3</v>
      </c>
      <c r="V668">
        <v>2.2999999999999998</v>
      </c>
      <c r="W668" t="s">
        <v>2496</v>
      </c>
      <c r="X668" t="s">
        <v>83</v>
      </c>
    </row>
    <row r="669" spans="1:24">
      <c r="A669" t="s">
        <v>134</v>
      </c>
      <c r="B669" t="s">
        <v>84</v>
      </c>
      <c r="C669" s="36">
        <v>45372</v>
      </c>
      <c r="D669" t="s">
        <v>460</v>
      </c>
      <c r="E669" s="36">
        <v>45473</v>
      </c>
      <c r="F669" t="s">
        <v>88</v>
      </c>
      <c r="G669" s="36">
        <v>45470</v>
      </c>
      <c r="H669">
        <v>2</v>
      </c>
      <c r="I669" t="s">
        <v>2499</v>
      </c>
      <c r="J669">
        <v>4.2</v>
      </c>
      <c r="K669">
        <v>4.2</v>
      </c>
      <c r="L669">
        <v>3</v>
      </c>
      <c r="M669">
        <v>1.2000000000000002</v>
      </c>
      <c r="N669">
        <v>1.2000000000000002</v>
      </c>
      <c r="O669">
        <v>0</v>
      </c>
      <c r="P669">
        <v>0</v>
      </c>
      <c r="Q669">
        <v>0</v>
      </c>
      <c r="R669">
        <v>0.10000000000000053</v>
      </c>
      <c r="S669">
        <v>0.10000000000000053</v>
      </c>
      <c r="T669" t="s">
        <v>254</v>
      </c>
      <c r="U669">
        <v>5.3</v>
      </c>
      <c r="V669">
        <v>2.2999999999999998</v>
      </c>
      <c r="W669" t="s">
        <v>2496</v>
      </c>
      <c r="X669" t="s">
        <v>85</v>
      </c>
    </row>
    <row r="670" spans="1:24">
      <c r="A670" t="s">
        <v>134</v>
      </c>
      <c r="B670" t="s">
        <v>86</v>
      </c>
      <c r="C670" s="36">
        <v>45421</v>
      </c>
      <c r="D670" t="s">
        <v>460</v>
      </c>
      <c r="E670" s="36">
        <v>45473</v>
      </c>
      <c r="F670" t="s">
        <v>88</v>
      </c>
      <c r="G670" s="36">
        <v>45470</v>
      </c>
      <c r="H670">
        <v>1</v>
      </c>
      <c r="I670" t="s">
        <v>2495</v>
      </c>
      <c r="J670">
        <v>4.3</v>
      </c>
      <c r="K670">
        <v>4.2</v>
      </c>
      <c r="L670">
        <v>3</v>
      </c>
      <c r="M670">
        <v>1.2999999999999998</v>
      </c>
      <c r="N670">
        <v>1.2999999999999998</v>
      </c>
      <c r="O670">
        <v>9.9999999999999645E-2</v>
      </c>
      <c r="P670">
        <v>9.9999999999999645E-2</v>
      </c>
      <c r="Q670">
        <v>9.9999999999999291E-3</v>
      </c>
      <c r="R670">
        <v>9.9999999999999645E-2</v>
      </c>
      <c r="S670">
        <v>9.9999999999999645E-2</v>
      </c>
      <c r="T670" t="s">
        <v>355</v>
      </c>
      <c r="U670">
        <v>4.7</v>
      </c>
      <c r="V670">
        <v>1.7000000000000002</v>
      </c>
      <c r="W670" t="s">
        <v>2496</v>
      </c>
      <c r="X670" t="s">
        <v>87</v>
      </c>
    </row>
    <row r="671" spans="1:24">
      <c r="A671" t="s">
        <v>134</v>
      </c>
      <c r="B671" t="s">
        <v>88</v>
      </c>
      <c r="C671" s="36">
        <v>45470</v>
      </c>
      <c r="D671" t="s">
        <v>460</v>
      </c>
      <c r="E671" s="36">
        <v>45473</v>
      </c>
      <c r="F671" t="s">
        <v>88</v>
      </c>
      <c r="G671" s="36">
        <v>45470</v>
      </c>
      <c r="H671">
        <v>0</v>
      </c>
      <c r="I671" t="s">
        <v>2497</v>
      </c>
      <c r="J671">
        <v>4.2</v>
      </c>
      <c r="K671">
        <v>4.2</v>
      </c>
      <c r="L671">
        <v>3</v>
      </c>
      <c r="M671">
        <v>1.2000000000000002</v>
      </c>
      <c r="N671">
        <v>1.2000000000000002</v>
      </c>
      <c r="O671">
        <v>0</v>
      </c>
      <c r="P671">
        <v>0</v>
      </c>
      <c r="Q671">
        <v>0</v>
      </c>
      <c r="R671">
        <v>-9.9999999999999645E-2</v>
      </c>
      <c r="S671">
        <v>9.9999999999999645E-2</v>
      </c>
      <c r="T671" t="s">
        <v>355</v>
      </c>
      <c r="U671">
        <v>4.7</v>
      </c>
      <c r="V671">
        <v>1.7000000000000002</v>
      </c>
      <c r="W671" t="s">
        <v>2496</v>
      </c>
      <c r="X671" t="s">
        <v>89</v>
      </c>
    </row>
    <row r="672" spans="1:24">
      <c r="A672" t="s">
        <v>134</v>
      </c>
      <c r="B672" t="s">
        <v>60</v>
      </c>
      <c r="C672" s="36">
        <v>44833</v>
      </c>
      <c r="D672" t="s">
        <v>565</v>
      </c>
      <c r="E672" s="36">
        <v>45565</v>
      </c>
      <c r="F672" t="s">
        <v>92</v>
      </c>
      <c r="G672" s="36">
        <v>45561</v>
      </c>
      <c r="H672">
        <v>16</v>
      </c>
      <c r="I672" t="s">
        <v>2512</v>
      </c>
      <c r="J672">
        <v>3</v>
      </c>
      <c r="K672">
        <v>4</v>
      </c>
      <c r="L672">
        <v>3</v>
      </c>
      <c r="M672">
        <v>0</v>
      </c>
      <c r="N672">
        <v>0</v>
      </c>
      <c r="O672">
        <v>-1</v>
      </c>
      <c r="P672">
        <v>1</v>
      </c>
      <c r="Q672">
        <v>1</v>
      </c>
      <c r="T672" t="s">
        <v>148</v>
      </c>
      <c r="U672">
        <v>7.3</v>
      </c>
      <c r="V672">
        <v>4.3</v>
      </c>
      <c r="W672" t="s">
        <v>2513</v>
      </c>
      <c r="X672" t="s">
        <v>61</v>
      </c>
    </row>
    <row r="673" spans="1:24">
      <c r="A673" t="s">
        <v>134</v>
      </c>
      <c r="B673" t="s">
        <v>62</v>
      </c>
      <c r="C673" s="36">
        <v>44875</v>
      </c>
      <c r="D673" t="s">
        <v>565</v>
      </c>
      <c r="E673" s="36">
        <v>45565</v>
      </c>
      <c r="F673" t="s">
        <v>92</v>
      </c>
      <c r="G673" s="36">
        <v>45561</v>
      </c>
      <c r="H673">
        <v>15</v>
      </c>
      <c r="I673" t="s">
        <v>2510</v>
      </c>
      <c r="J673">
        <v>3</v>
      </c>
      <c r="K673">
        <v>4</v>
      </c>
      <c r="L673">
        <v>3</v>
      </c>
      <c r="M673">
        <v>0</v>
      </c>
      <c r="N673">
        <v>0</v>
      </c>
      <c r="O673">
        <v>-1</v>
      </c>
      <c r="P673">
        <v>1</v>
      </c>
      <c r="Q673">
        <v>1</v>
      </c>
      <c r="R673">
        <v>0</v>
      </c>
      <c r="S673">
        <v>0</v>
      </c>
      <c r="T673" t="s">
        <v>151</v>
      </c>
      <c r="U673">
        <v>8</v>
      </c>
      <c r="V673">
        <v>5</v>
      </c>
      <c r="W673" t="s">
        <v>2513</v>
      </c>
      <c r="X673" t="s">
        <v>63</v>
      </c>
    </row>
    <row r="674" spans="1:24">
      <c r="A674" t="s">
        <v>134</v>
      </c>
      <c r="B674" t="s">
        <v>64</v>
      </c>
      <c r="C674" s="36">
        <v>44910</v>
      </c>
      <c r="D674" t="s">
        <v>565</v>
      </c>
      <c r="E674" s="36">
        <v>45565</v>
      </c>
      <c r="F674" t="s">
        <v>92</v>
      </c>
      <c r="G674" s="36">
        <v>45561</v>
      </c>
      <c r="H674">
        <v>14</v>
      </c>
      <c r="I674" t="s">
        <v>2511</v>
      </c>
      <c r="J674">
        <v>3</v>
      </c>
      <c r="K674">
        <v>4</v>
      </c>
      <c r="L674">
        <v>3</v>
      </c>
      <c r="M674">
        <v>0</v>
      </c>
      <c r="N674">
        <v>0</v>
      </c>
      <c r="O674">
        <v>-1</v>
      </c>
      <c r="P674">
        <v>1</v>
      </c>
      <c r="Q674">
        <v>1</v>
      </c>
      <c r="R674">
        <v>0</v>
      </c>
      <c r="S674">
        <v>0</v>
      </c>
      <c r="T674" t="s">
        <v>151</v>
      </c>
      <c r="U674">
        <v>8</v>
      </c>
      <c r="V674">
        <v>5</v>
      </c>
      <c r="W674" t="s">
        <v>2513</v>
      </c>
      <c r="X674" t="s">
        <v>65</v>
      </c>
    </row>
    <row r="675" spans="1:24">
      <c r="A675" t="s">
        <v>134</v>
      </c>
      <c r="B675" t="s">
        <v>66</v>
      </c>
      <c r="C675" s="36">
        <v>44966</v>
      </c>
      <c r="D675" t="s">
        <v>565</v>
      </c>
      <c r="E675" s="36">
        <v>45565</v>
      </c>
      <c r="F675" t="s">
        <v>92</v>
      </c>
      <c r="G675" s="36">
        <v>45561</v>
      </c>
      <c r="H675">
        <v>13</v>
      </c>
      <c r="I675" t="s">
        <v>2508</v>
      </c>
      <c r="J675">
        <v>3.2</v>
      </c>
      <c r="K675">
        <v>4</v>
      </c>
      <c r="L675">
        <v>3</v>
      </c>
      <c r="M675">
        <v>0.20000000000000018</v>
      </c>
      <c r="N675">
        <v>0.20000000000000018</v>
      </c>
      <c r="O675">
        <v>-0.79999999999999982</v>
      </c>
      <c r="P675">
        <v>0.79999999999999982</v>
      </c>
      <c r="Q675">
        <v>0.63999999999999968</v>
      </c>
      <c r="R675">
        <v>0.20000000000000018</v>
      </c>
      <c r="S675">
        <v>0.20000000000000018</v>
      </c>
      <c r="T675" t="s">
        <v>154</v>
      </c>
      <c r="U675">
        <v>8.4</v>
      </c>
      <c r="V675">
        <v>5.4</v>
      </c>
      <c r="W675" t="s">
        <v>2513</v>
      </c>
      <c r="X675" t="s">
        <v>67</v>
      </c>
    </row>
    <row r="676" spans="1:24">
      <c r="A676" t="s">
        <v>134</v>
      </c>
      <c r="B676" t="s">
        <v>68</v>
      </c>
      <c r="C676" s="36">
        <v>45015</v>
      </c>
      <c r="D676" t="s">
        <v>565</v>
      </c>
      <c r="E676" s="36">
        <v>45565</v>
      </c>
      <c r="F676" t="s">
        <v>92</v>
      </c>
      <c r="G676" s="36">
        <v>45561</v>
      </c>
      <c r="H676">
        <v>12</v>
      </c>
      <c r="I676" t="s">
        <v>2509</v>
      </c>
      <c r="J676">
        <v>3.2</v>
      </c>
      <c r="K676">
        <v>4</v>
      </c>
      <c r="L676">
        <v>3</v>
      </c>
      <c r="M676">
        <v>0.20000000000000018</v>
      </c>
      <c r="N676">
        <v>0.20000000000000018</v>
      </c>
      <c r="O676">
        <v>-0.79999999999999982</v>
      </c>
      <c r="P676">
        <v>0.79999999999999982</v>
      </c>
      <c r="Q676">
        <v>0.63999999999999968</v>
      </c>
      <c r="R676">
        <v>0</v>
      </c>
      <c r="S676">
        <v>0</v>
      </c>
      <c r="T676" t="s">
        <v>154</v>
      </c>
      <c r="U676">
        <v>8.4</v>
      </c>
      <c r="V676">
        <v>5.4</v>
      </c>
      <c r="W676" t="s">
        <v>2513</v>
      </c>
      <c r="X676" t="s">
        <v>69</v>
      </c>
    </row>
    <row r="677" spans="1:24">
      <c r="A677" t="s">
        <v>134</v>
      </c>
      <c r="B677" t="s">
        <v>70</v>
      </c>
      <c r="C677" s="36">
        <v>45064</v>
      </c>
      <c r="D677" t="s">
        <v>565</v>
      </c>
      <c r="E677" s="36">
        <v>45565</v>
      </c>
      <c r="F677" t="s">
        <v>92</v>
      </c>
      <c r="G677" s="36">
        <v>45561</v>
      </c>
      <c r="H677">
        <v>11</v>
      </c>
      <c r="I677" t="s">
        <v>2506</v>
      </c>
      <c r="J677">
        <v>3.2</v>
      </c>
      <c r="K677">
        <v>4</v>
      </c>
      <c r="L677">
        <v>3</v>
      </c>
      <c r="M677">
        <v>0.20000000000000018</v>
      </c>
      <c r="N677">
        <v>0.20000000000000018</v>
      </c>
      <c r="O677">
        <v>-0.79999999999999982</v>
      </c>
      <c r="P677">
        <v>0.79999999999999982</v>
      </c>
      <c r="Q677">
        <v>0.63999999999999968</v>
      </c>
      <c r="R677">
        <v>0</v>
      </c>
      <c r="S677">
        <v>0</v>
      </c>
      <c r="T677" t="s">
        <v>157</v>
      </c>
      <c r="U677">
        <v>8.3000000000000007</v>
      </c>
      <c r="V677">
        <v>5.3000000000000007</v>
      </c>
      <c r="W677" t="s">
        <v>2513</v>
      </c>
      <c r="X677" t="s">
        <v>71</v>
      </c>
    </row>
    <row r="678" spans="1:24">
      <c r="A678" t="s">
        <v>134</v>
      </c>
      <c r="B678" t="s">
        <v>72</v>
      </c>
      <c r="C678" s="36">
        <v>45099</v>
      </c>
      <c r="D678" t="s">
        <v>565</v>
      </c>
      <c r="E678" s="36">
        <v>45565</v>
      </c>
      <c r="F678" t="s">
        <v>92</v>
      </c>
      <c r="G678" s="36">
        <v>45561</v>
      </c>
      <c r="H678">
        <v>10</v>
      </c>
      <c r="I678" t="s">
        <v>2507</v>
      </c>
      <c r="J678">
        <v>3.2</v>
      </c>
      <c r="K678">
        <v>4</v>
      </c>
      <c r="L678">
        <v>3</v>
      </c>
      <c r="M678">
        <v>0.20000000000000018</v>
      </c>
      <c r="N678">
        <v>0.20000000000000018</v>
      </c>
      <c r="O678">
        <v>-0.79999999999999982</v>
      </c>
      <c r="P678">
        <v>0.79999999999999982</v>
      </c>
      <c r="Q678">
        <v>0.63999999999999968</v>
      </c>
      <c r="R678">
        <v>0</v>
      </c>
      <c r="S678">
        <v>0</v>
      </c>
      <c r="T678" t="s">
        <v>157</v>
      </c>
      <c r="U678">
        <v>8.3000000000000007</v>
      </c>
      <c r="V678">
        <v>5.3000000000000007</v>
      </c>
      <c r="W678" t="s">
        <v>2513</v>
      </c>
      <c r="X678" t="s">
        <v>73</v>
      </c>
    </row>
    <row r="679" spans="1:24">
      <c r="A679" t="s">
        <v>134</v>
      </c>
      <c r="B679" t="s">
        <v>74</v>
      </c>
      <c r="C679" s="36">
        <v>45148</v>
      </c>
      <c r="D679" t="s">
        <v>565</v>
      </c>
      <c r="E679" s="36">
        <v>45565</v>
      </c>
      <c r="F679" t="s">
        <v>92</v>
      </c>
      <c r="G679" s="36">
        <v>45561</v>
      </c>
      <c r="H679">
        <v>9</v>
      </c>
      <c r="I679" t="s">
        <v>2504</v>
      </c>
      <c r="J679">
        <v>3.2</v>
      </c>
      <c r="K679">
        <v>4</v>
      </c>
      <c r="L679">
        <v>3</v>
      </c>
      <c r="M679">
        <v>0.20000000000000018</v>
      </c>
      <c r="N679">
        <v>0.20000000000000018</v>
      </c>
      <c r="O679">
        <v>-0.79999999999999982</v>
      </c>
      <c r="P679">
        <v>0.79999999999999982</v>
      </c>
      <c r="Q679">
        <v>0.63999999999999968</v>
      </c>
      <c r="R679">
        <v>0</v>
      </c>
      <c r="S679">
        <v>0</v>
      </c>
      <c r="T679" t="s">
        <v>160</v>
      </c>
      <c r="U679">
        <v>7.3</v>
      </c>
      <c r="V679">
        <v>4.3</v>
      </c>
      <c r="W679" t="s">
        <v>2513</v>
      </c>
      <c r="X679" t="s">
        <v>75</v>
      </c>
    </row>
    <row r="680" spans="1:24">
      <c r="A680" t="s">
        <v>134</v>
      </c>
      <c r="B680" t="s">
        <v>76</v>
      </c>
      <c r="C680" s="36">
        <v>45197</v>
      </c>
      <c r="D680" t="s">
        <v>565</v>
      </c>
      <c r="E680" s="36">
        <v>45565</v>
      </c>
      <c r="F680" t="s">
        <v>92</v>
      </c>
      <c r="G680" s="36">
        <v>45561</v>
      </c>
      <c r="H680">
        <v>8</v>
      </c>
      <c r="I680" t="s">
        <v>2505</v>
      </c>
      <c r="J680">
        <v>3.5</v>
      </c>
      <c r="K680">
        <v>4</v>
      </c>
      <c r="L680">
        <v>3</v>
      </c>
      <c r="M680">
        <v>0.5</v>
      </c>
      <c r="N680">
        <v>0.5</v>
      </c>
      <c r="O680">
        <v>-0.5</v>
      </c>
      <c r="P680">
        <v>0.5</v>
      </c>
      <c r="Q680">
        <v>0.25</v>
      </c>
      <c r="R680">
        <v>0.29999999999999982</v>
      </c>
      <c r="S680">
        <v>0.29999999999999982</v>
      </c>
      <c r="T680" t="s">
        <v>160</v>
      </c>
      <c r="U680">
        <v>7.3</v>
      </c>
      <c r="V680">
        <v>4.3</v>
      </c>
      <c r="W680" t="s">
        <v>2513</v>
      </c>
      <c r="X680" t="s">
        <v>77</v>
      </c>
    </row>
    <row r="681" spans="1:24">
      <c r="A681" t="s">
        <v>134</v>
      </c>
      <c r="B681" t="s">
        <v>78</v>
      </c>
      <c r="C681" s="36">
        <v>45239</v>
      </c>
      <c r="D681" t="s">
        <v>565</v>
      </c>
      <c r="E681" s="36">
        <v>45565</v>
      </c>
      <c r="F681" t="s">
        <v>92</v>
      </c>
      <c r="G681" s="36">
        <v>45561</v>
      </c>
      <c r="H681">
        <v>7</v>
      </c>
      <c r="I681" t="s">
        <v>2502</v>
      </c>
      <c r="J681">
        <v>3.5</v>
      </c>
      <c r="K681">
        <v>4</v>
      </c>
      <c r="L681">
        <v>3</v>
      </c>
      <c r="M681">
        <v>0.5</v>
      </c>
      <c r="N681">
        <v>0.5</v>
      </c>
      <c r="O681">
        <v>-0.5</v>
      </c>
      <c r="P681">
        <v>0.5</v>
      </c>
      <c r="Q681">
        <v>0.25</v>
      </c>
      <c r="R681">
        <v>0</v>
      </c>
      <c r="S681">
        <v>0</v>
      </c>
      <c r="T681" t="s">
        <v>183</v>
      </c>
      <c r="U681">
        <v>6.2</v>
      </c>
      <c r="V681">
        <v>3.2</v>
      </c>
      <c r="W681" t="s">
        <v>2513</v>
      </c>
      <c r="X681" t="s">
        <v>79</v>
      </c>
    </row>
    <row r="682" spans="1:24">
      <c r="A682" t="s">
        <v>134</v>
      </c>
      <c r="B682" t="s">
        <v>80</v>
      </c>
      <c r="C682" s="36">
        <v>45274</v>
      </c>
      <c r="D682" t="s">
        <v>565</v>
      </c>
      <c r="E682" s="36">
        <v>45565</v>
      </c>
      <c r="F682" t="s">
        <v>92</v>
      </c>
      <c r="G682" s="36">
        <v>45561</v>
      </c>
      <c r="H682">
        <v>6</v>
      </c>
      <c r="I682" t="s">
        <v>2503</v>
      </c>
      <c r="J682">
        <v>3.7</v>
      </c>
      <c r="K682">
        <v>4</v>
      </c>
      <c r="L682">
        <v>3</v>
      </c>
      <c r="M682">
        <v>0.70000000000000018</v>
      </c>
      <c r="N682">
        <v>0.70000000000000018</v>
      </c>
      <c r="O682">
        <v>-0.29999999999999982</v>
      </c>
      <c r="P682">
        <v>0.29999999999999982</v>
      </c>
      <c r="Q682">
        <v>8.99999999999999E-2</v>
      </c>
      <c r="R682">
        <v>0.20000000000000018</v>
      </c>
      <c r="S682">
        <v>0.20000000000000018</v>
      </c>
      <c r="T682" t="s">
        <v>183</v>
      </c>
      <c r="U682">
        <v>6.2</v>
      </c>
      <c r="V682">
        <v>3.2</v>
      </c>
      <c r="W682" t="s">
        <v>2513</v>
      </c>
      <c r="X682" t="s">
        <v>81</v>
      </c>
    </row>
    <row r="683" spans="1:24">
      <c r="A683" t="s">
        <v>134</v>
      </c>
      <c r="B683" t="s">
        <v>82</v>
      </c>
      <c r="C683" s="36">
        <v>45330</v>
      </c>
      <c r="D683" t="s">
        <v>565</v>
      </c>
      <c r="E683" s="36">
        <v>45565</v>
      </c>
      <c r="F683" t="s">
        <v>92</v>
      </c>
      <c r="G683" s="36">
        <v>45561</v>
      </c>
      <c r="H683">
        <v>5</v>
      </c>
      <c r="I683" t="s">
        <v>2500</v>
      </c>
      <c r="J683">
        <v>3.7</v>
      </c>
      <c r="K683">
        <v>4</v>
      </c>
      <c r="L683">
        <v>3</v>
      </c>
      <c r="M683">
        <v>0.70000000000000018</v>
      </c>
      <c r="N683">
        <v>0.70000000000000018</v>
      </c>
      <c r="O683">
        <v>-0.29999999999999982</v>
      </c>
      <c r="P683">
        <v>0.29999999999999982</v>
      </c>
      <c r="Q683">
        <v>8.99999999999999E-2</v>
      </c>
      <c r="R683">
        <v>0</v>
      </c>
      <c r="S683">
        <v>0</v>
      </c>
      <c r="T683" t="s">
        <v>254</v>
      </c>
      <c r="U683">
        <v>5.3</v>
      </c>
      <c r="V683">
        <v>2.2999999999999998</v>
      </c>
      <c r="W683" t="s">
        <v>2513</v>
      </c>
      <c r="X683" t="s">
        <v>83</v>
      </c>
    </row>
    <row r="684" spans="1:24">
      <c r="A684" t="s">
        <v>134</v>
      </c>
      <c r="B684" t="s">
        <v>84</v>
      </c>
      <c r="C684" s="36">
        <v>45372</v>
      </c>
      <c r="D684" t="s">
        <v>565</v>
      </c>
      <c r="E684" s="36">
        <v>45565</v>
      </c>
      <c r="F684" t="s">
        <v>92</v>
      </c>
      <c r="G684" s="36">
        <v>45561</v>
      </c>
      <c r="H684">
        <v>4</v>
      </c>
      <c r="I684" t="s">
        <v>2501</v>
      </c>
      <c r="J684">
        <v>3.8</v>
      </c>
      <c r="K684">
        <v>4</v>
      </c>
      <c r="L684">
        <v>3</v>
      </c>
      <c r="M684">
        <v>0.79999999999999982</v>
      </c>
      <c r="N684">
        <v>0.79999999999999982</v>
      </c>
      <c r="O684">
        <v>-0.20000000000000018</v>
      </c>
      <c r="P684">
        <v>0.20000000000000018</v>
      </c>
      <c r="Q684">
        <v>4.000000000000007E-2</v>
      </c>
      <c r="R684">
        <v>9.9999999999999645E-2</v>
      </c>
      <c r="S684">
        <v>9.9999999999999645E-2</v>
      </c>
      <c r="T684" t="s">
        <v>254</v>
      </c>
      <c r="U684">
        <v>5.3</v>
      </c>
      <c r="V684">
        <v>2.2999999999999998</v>
      </c>
      <c r="W684" t="s">
        <v>2513</v>
      </c>
      <c r="X684" t="s">
        <v>85</v>
      </c>
    </row>
    <row r="685" spans="1:24">
      <c r="A685" t="s">
        <v>134</v>
      </c>
      <c r="B685" t="s">
        <v>86</v>
      </c>
      <c r="C685" s="36">
        <v>45421</v>
      </c>
      <c r="D685" t="s">
        <v>565</v>
      </c>
      <c r="E685" s="36">
        <v>45565</v>
      </c>
      <c r="F685" t="s">
        <v>92</v>
      </c>
      <c r="G685" s="36">
        <v>45561</v>
      </c>
      <c r="H685">
        <v>3</v>
      </c>
      <c r="I685" t="s">
        <v>2498</v>
      </c>
      <c r="J685">
        <v>4</v>
      </c>
      <c r="K685">
        <v>4</v>
      </c>
      <c r="L685">
        <v>3</v>
      </c>
      <c r="M685">
        <v>1</v>
      </c>
      <c r="N685">
        <v>1</v>
      </c>
      <c r="O685">
        <v>0</v>
      </c>
      <c r="P685">
        <v>0</v>
      </c>
      <c r="Q685">
        <v>0</v>
      </c>
      <c r="R685">
        <v>0.20000000000000018</v>
      </c>
      <c r="S685">
        <v>0.20000000000000018</v>
      </c>
      <c r="T685" t="s">
        <v>355</v>
      </c>
      <c r="U685">
        <v>4.7</v>
      </c>
      <c r="V685">
        <v>1.7000000000000002</v>
      </c>
      <c r="W685" t="s">
        <v>2513</v>
      </c>
      <c r="X685" t="s">
        <v>87</v>
      </c>
    </row>
    <row r="686" spans="1:24">
      <c r="A686" t="s">
        <v>134</v>
      </c>
      <c r="B686" t="s">
        <v>88</v>
      </c>
      <c r="C686" s="36">
        <v>45470</v>
      </c>
      <c r="D686" t="s">
        <v>565</v>
      </c>
      <c r="E686" s="36">
        <v>45565</v>
      </c>
      <c r="F686" t="s">
        <v>92</v>
      </c>
      <c r="G686" s="36">
        <v>45561</v>
      </c>
      <c r="H686">
        <v>2</v>
      </c>
      <c r="I686" t="s">
        <v>2499</v>
      </c>
      <c r="J686">
        <v>4.0999999999999996</v>
      </c>
      <c r="K686">
        <v>4</v>
      </c>
      <c r="L686">
        <v>3</v>
      </c>
      <c r="M686">
        <v>1.0999999999999996</v>
      </c>
      <c r="N686">
        <v>1.0999999999999996</v>
      </c>
      <c r="O686">
        <v>9.9999999999999645E-2</v>
      </c>
      <c r="P686">
        <v>9.9999999999999645E-2</v>
      </c>
      <c r="Q686">
        <v>9.9999999999999291E-3</v>
      </c>
      <c r="R686">
        <v>9.9999999999999645E-2</v>
      </c>
      <c r="S686">
        <v>9.9999999999999645E-2</v>
      </c>
      <c r="T686" t="s">
        <v>355</v>
      </c>
      <c r="U686">
        <v>4.7</v>
      </c>
      <c r="V686">
        <v>1.7000000000000002</v>
      </c>
      <c r="W686" t="s">
        <v>2513</v>
      </c>
      <c r="X686" t="s">
        <v>89</v>
      </c>
    </row>
    <row r="687" spans="1:24">
      <c r="A687" t="s">
        <v>134</v>
      </c>
      <c r="B687" t="s">
        <v>90</v>
      </c>
      <c r="C687" s="36">
        <v>45512</v>
      </c>
      <c r="D687" t="s">
        <v>565</v>
      </c>
      <c r="E687" s="36">
        <v>45565</v>
      </c>
      <c r="F687" t="s">
        <v>92</v>
      </c>
      <c r="G687" s="36">
        <v>45561</v>
      </c>
      <c r="H687">
        <v>1</v>
      </c>
      <c r="I687" t="s">
        <v>2495</v>
      </c>
      <c r="J687">
        <v>4</v>
      </c>
      <c r="K687">
        <v>4</v>
      </c>
      <c r="L687">
        <v>3</v>
      </c>
      <c r="M687">
        <v>1</v>
      </c>
      <c r="N687">
        <v>1</v>
      </c>
      <c r="O687">
        <v>0</v>
      </c>
      <c r="P687">
        <v>0</v>
      </c>
      <c r="Q687">
        <v>0</v>
      </c>
      <c r="R687">
        <v>-9.9999999999999645E-2</v>
      </c>
      <c r="S687">
        <v>9.9999999999999645E-2</v>
      </c>
      <c r="T687" t="s">
        <v>460</v>
      </c>
      <c r="U687">
        <v>4.2</v>
      </c>
      <c r="V687">
        <v>1.2000000000000002</v>
      </c>
      <c r="W687" t="s">
        <v>2513</v>
      </c>
      <c r="X687" t="s">
        <v>91</v>
      </c>
    </row>
    <row r="688" spans="1:24">
      <c r="A688" t="s">
        <v>134</v>
      </c>
      <c r="B688" t="s">
        <v>92</v>
      </c>
      <c r="C688" s="36">
        <v>45561</v>
      </c>
      <c r="D688" t="s">
        <v>565</v>
      </c>
      <c r="E688" s="36">
        <v>45565</v>
      </c>
      <c r="F688" t="s">
        <v>92</v>
      </c>
      <c r="G688" s="36">
        <v>45561</v>
      </c>
      <c r="H688">
        <v>0</v>
      </c>
      <c r="I688" t="s">
        <v>2497</v>
      </c>
      <c r="J688">
        <v>4</v>
      </c>
      <c r="K688">
        <v>4</v>
      </c>
      <c r="L688">
        <v>3</v>
      </c>
      <c r="M688">
        <v>1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0</v>
      </c>
      <c r="T688" t="s">
        <v>460</v>
      </c>
      <c r="U688">
        <v>4.2</v>
      </c>
      <c r="V688">
        <v>1.2000000000000002</v>
      </c>
      <c r="W688" t="s">
        <v>2513</v>
      </c>
      <c r="X688" t="s">
        <v>93</v>
      </c>
    </row>
    <row r="689" spans="1:24">
      <c r="A689" t="s">
        <v>134</v>
      </c>
      <c r="B689" t="s">
        <v>64</v>
      </c>
      <c r="C689" s="36">
        <v>44910</v>
      </c>
      <c r="D689" t="s">
        <v>670</v>
      </c>
      <c r="E689" s="36">
        <v>45657</v>
      </c>
      <c r="F689" t="s">
        <v>96</v>
      </c>
      <c r="G689" s="36">
        <v>45645</v>
      </c>
      <c r="H689">
        <v>16</v>
      </c>
      <c r="I689" t="s">
        <v>2512</v>
      </c>
      <c r="J689">
        <v>3</v>
      </c>
      <c r="K689">
        <v>3.7</v>
      </c>
      <c r="L689">
        <v>3</v>
      </c>
      <c r="M689">
        <v>0</v>
      </c>
      <c r="N689">
        <v>0</v>
      </c>
      <c r="O689">
        <v>-0.70000000000000018</v>
      </c>
      <c r="P689">
        <v>0.70000000000000018</v>
      </c>
      <c r="Q689">
        <v>0.49000000000000027</v>
      </c>
      <c r="T689" t="s">
        <v>151</v>
      </c>
      <c r="U689">
        <v>8</v>
      </c>
      <c r="V689">
        <v>5</v>
      </c>
      <c r="W689" t="s">
        <v>2513</v>
      </c>
      <c r="X689" t="s">
        <v>65</v>
      </c>
    </row>
    <row r="690" spans="1:24">
      <c r="A690" t="s">
        <v>134</v>
      </c>
      <c r="B690" t="s">
        <v>66</v>
      </c>
      <c r="C690" s="36">
        <v>44966</v>
      </c>
      <c r="D690" t="s">
        <v>670</v>
      </c>
      <c r="E690" s="36">
        <v>45657</v>
      </c>
      <c r="F690" t="s">
        <v>96</v>
      </c>
      <c r="G690" s="36">
        <v>45645</v>
      </c>
      <c r="H690">
        <v>15</v>
      </c>
      <c r="I690" t="s">
        <v>2510</v>
      </c>
      <c r="J690">
        <v>3.1</v>
      </c>
      <c r="K690">
        <v>3.7</v>
      </c>
      <c r="L690">
        <v>3</v>
      </c>
      <c r="M690">
        <v>0.10000000000000009</v>
      </c>
      <c r="N690">
        <v>0.10000000000000009</v>
      </c>
      <c r="O690">
        <v>-0.60000000000000009</v>
      </c>
      <c r="P690">
        <v>0.60000000000000009</v>
      </c>
      <c r="Q690">
        <v>0.3600000000000001</v>
      </c>
      <c r="R690">
        <v>0.10000000000000009</v>
      </c>
      <c r="S690">
        <v>0.10000000000000009</v>
      </c>
      <c r="T690" t="s">
        <v>154</v>
      </c>
      <c r="U690">
        <v>8.4</v>
      </c>
      <c r="V690">
        <v>5.4</v>
      </c>
      <c r="W690" t="s">
        <v>2513</v>
      </c>
      <c r="X690" t="s">
        <v>67</v>
      </c>
    </row>
    <row r="691" spans="1:24">
      <c r="A691" t="s">
        <v>134</v>
      </c>
      <c r="B691" t="s">
        <v>68</v>
      </c>
      <c r="C691" s="36">
        <v>45015</v>
      </c>
      <c r="D691" t="s">
        <v>670</v>
      </c>
      <c r="E691" s="36">
        <v>45657</v>
      </c>
      <c r="F691" t="s">
        <v>96</v>
      </c>
      <c r="G691" s="36">
        <v>45645</v>
      </c>
      <c r="H691">
        <v>14</v>
      </c>
      <c r="I691" t="s">
        <v>2511</v>
      </c>
      <c r="J691">
        <v>3.1</v>
      </c>
      <c r="K691">
        <v>3.7</v>
      </c>
      <c r="L691">
        <v>3</v>
      </c>
      <c r="M691">
        <v>0.10000000000000009</v>
      </c>
      <c r="N691">
        <v>0.10000000000000009</v>
      </c>
      <c r="O691">
        <v>-0.60000000000000009</v>
      </c>
      <c r="P691">
        <v>0.60000000000000009</v>
      </c>
      <c r="Q691">
        <v>0.3600000000000001</v>
      </c>
      <c r="R691">
        <v>0</v>
      </c>
      <c r="S691">
        <v>0</v>
      </c>
      <c r="T691" t="s">
        <v>154</v>
      </c>
      <c r="U691">
        <v>8.4</v>
      </c>
      <c r="V691">
        <v>5.4</v>
      </c>
      <c r="W691" t="s">
        <v>2513</v>
      </c>
      <c r="X691" t="s">
        <v>69</v>
      </c>
    </row>
    <row r="692" spans="1:24">
      <c r="A692" t="s">
        <v>134</v>
      </c>
      <c r="B692" t="s">
        <v>70</v>
      </c>
      <c r="C692" s="36">
        <v>45064</v>
      </c>
      <c r="D692" t="s">
        <v>670</v>
      </c>
      <c r="E692" s="36">
        <v>45657</v>
      </c>
      <c r="F692" t="s">
        <v>96</v>
      </c>
      <c r="G692" s="36">
        <v>45645</v>
      </c>
      <c r="H692">
        <v>13</v>
      </c>
      <c r="I692" t="s">
        <v>2508</v>
      </c>
      <c r="J692">
        <v>3.1</v>
      </c>
      <c r="K692">
        <v>3.7</v>
      </c>
      <c r="L692">
        <v>3</v>
      </c>
      <c r="M692">
        <v>0.10000000000000009</v>
      </c>
      <c r="N692">
        <v>0.10000000000000009</v>
      </c>
      <c r="O692">
        <v>-0.60000000000000009</v>
      </c>
      <c r="P692">
        <v>0.60000000000000009</v>
      </c>
      <c r="Q692">
        <v>0.3600000000000001</v>
      </c>
      <c r="R692">
        <v>0</v>
      </c>
      <c r="S692">
        <v>0</v>
      </c>
      <c r="T692" t="s">
        <v>157</v>
      </c>
      <c r="U692">
        <v>8.3000000000000007</v>
      </c>
      <c r="V692">
        <v>5.3000000000000007</v>
      </c>
      <c r="W692" t="s">
        <v>2513</v>
      </c>
      <c r="X692" t="s">
        <v>71</v>
      </c>
    </row>
    <row r="693" spans="1:24">
      <c r="A693" t="s">
        <v>134</v>
      </c>
      <c r="B693" t="s">
        <v>72</v>
      </c>
      <c r="C693" s="36">
        <v>45099</v>
      </c>
      <c r="D693" t="s">
        <v>670</v>
      </c>
      <c r="E693" s="36">
        <v>45657</v>
      </c>
      <c r="F693" t="s">
        <v>96</v>
      </c>
      <c r="G693" s="36">
        <v>45645</v>
      </c>
      <c r="H693">
        <v>12</v>
      </c>
      <c r="I693" t="s">
        <v>2509</v>
      </c>
      <c r="J693">
        <v>3.1</v>
      </c>
      <c r="K693">
        <v>3.7</v>
      </c>
      <c r="L693">
        <v>3</v>
      </c>
      <c r="M693">
        <v>0.10000000000000009</v>
      </c>
      <c r="N693">
        <v>0.10000000000000009</v>
      </c>
      <c r="O693">
        <v>-0.60000000000000009</v>
      </c>
      <c r="P693">
        <v>0.60000000000000009</v>
      </c>
      <c r="Q693">
        <v>0.3600000000000001</v>
      </c>
      <c r="R693">
        <v>0</v>
      </c>
      <c r="S693">
        <v>0</v>
      </c>
      <c r="T693" t="s">
        <v>157</v>
      </c>
      <c r="U693">
        <v>8.3000000000000007</v>
      </c>
      <c r="V693">
        <v>5.3000000000000007</v>
      </c>
      <c r="W693" t="s">
        <v>2513</v>
      </c>
      <c r="X693" t="s">
        <v>73</v>
      </c>
    </row>
    <row r="694" spans="1:24">
      <c r="A694" t="s">
        <v>134</v>
      </c>
      <c r="B694" t="s">
        <v>74</v>
      </c>
      <c r="C694" s="36">
        <v>45148</v>
      </c>
      <c r="D694" t="s">
        <v>670</v>
      </c>
      <c r="E694" s="36">
        <v>45657</v>
      </c>
      <c r="F694" t="s">
        <v>96</v>
      </c>
      <c r="G694" s="36">
        <v>45645</v>
      </c>
      <c r="H694">
        <v>11</v>
      </c>
      <c r="I694" t="s">
        <v>2506</v>
      </c>
      <c r="J694">
        <v>3.1</v>
      </c>
      <c r="K694">
        <v>3.7</v>
      </c>
      <c r="L694">
        <v>3</v>
      </c>
      <c r="M694">
        <v>0.10000000000000009</v>
      </c>
      <c r="N694">
        <v>0.10000000000000009</v>
      </c>
      <c r="O694">
        <v>-0.60000000000000009</v>
      </c>
      <c r="P694">
        <v>0.60000000000000009</v>
      </c>
      <c r="Q694">
        <v>0.3600000000000001</v>
      </c>
      <c r="R694">
        <v>0</v>
      </c>
      <c r="S694">
        <v>0</v>
      </c>
      <c r="T694" t="s">
        <v>160</v>
      </c>
      <c r="U694">
        <v>7.3</v>
      </c>
      <c r="V694">
        <v>4.3</v>
      </c>
      <c r="W694" t="s">
        <v>2513</v>
      </c>
      <c r="X694" t="s">
        <v>75</v>
      </c>
    </row>
    <row r="695" spans="1:24">
      <c r="A695" t="s">
        <v>134</v>
      </c>
      <c r="B695" t="s">
        <v>76</v>
      </c>
      <c r="C695" s="36">
        <v>45197</v>
      </c>
      <c r="D695" t="s">
        <v>670</v>
      </c>
      <c r="E695" s="36">
        <v>45657</v>
      </c>
      <c r="F695" t="s">
        <v>96</v>
      </c>
      <c r="G695" s="36">
        <v>45645</v>
      </c>
      <c r="H695">
        <v>10</v>
      </c>
      <c r="I695" t="s">
        <v>2507</v>
      </c>
      <c r="J695">
        <v>3.3</v>
      </c>
      <c r="K695">
        <v>3.7</v>
      </c>
      <c r="L695">
        <v>3</v>
      </c>
      <c r="M695">
        <v>0.29999999999999982</v>
      </c>
      <c r="N695">
        <v>0.29999999999999982</v>
      </c>
      <c r="O695">
        <v>-0.40000000000000036</v>
      </c>
      <c r="P695">
        <v>0.40000000000000036</v>
      </c>
      <c r="Q695">
        <v>0.16000000000000028</v>
      </c>
      <c r="R695">
        <v>0.19999999999999973</v>
      </c>
      <c r="S695">
        <v>0.19999999999999973</v>
      </c>
      <c r="T695" t="s">
        <v>160</v>
      </c>
      <c r="U695">
        <v>7.3</v>
      </c>
      <c r="V695">
        <v>4.3</v>
      </c>
      <c r="W695" t="s">
        <v>2513</v>
      </c>
      <c r="X695" t="s">
        <v>77</v>
      </c>
    </row>
    <row r="696" spans="1:24">
      <c r="A696" t="s">
        <v>134</v>
      </c>
      <c r="B696" t="s">
        <v>78</v>
      </c>
      <c r="C696" s="36">
        <v>45239</v>
      </c>
      <c r="D696" t="s">
        <v>670</v>
      </c>
      <c r="E696" s="36">
        <v>45657</v>
      </c>
      <c r="F696" t="s">
        <v>96</v>
      </c>
      <c r="G696" s="36">
        <v>45645</v>
      </c>
      <c r="H696">
        <v>9</v>
      </c>
      <c r="I696" t="s">
        <v>2504</v>
      </c>
      <c r="J696">
        <v>3.3</v>
      </c>
      <c r="K696">
        <v>3.7</v>
      </c>
      <c r="L696">
        <v>3</v>
      </c>
      <c r="M696">
        <v>0.29999999999999982</v>
      </c>
      <c r="N696">
        <v>0.29999999999999982</v>
      </c>
      <c r="O696">
        <v>-0.40000000000000036</v>
      </c>
      <c r="P696">
        <v>0.40000000000000036</v>
      </c>
      <c r="Q696">
        <v>0.16000000000000028</v>
      </c>
      <c r="R696">
        <v>0</v>
      </c>
      <c r="S696">
        <v>0</v>
      </c>
      <c r="T696" t="s">
        <v>183</v>
      </c>
      <c r="U696">
        <v>6.2</v>
      </c>
      <c r="V696">
        <v>3.2</v>
      </c>
      <c r="W696" t="s">
        <v>2513</v>
      </c>
      <c r="X696" t="s">
        <v>79</v>
      </c>
    </row>
    <row r="697" spans="1:24">
      <c r="A697" t="s">
        <v>134</v>
      </c>
      <c r="B697" t="s">
        <v>80</v>
      </c>
      <c r="C697" s="36">
        <v>45274</v>
      </c>
      <c r="D697" t="s">
        <v>670</v>
      </c>
      <c r="E697" s="36">
        <v>45657</v>
      </c>
      <c r="F697" t="s">
        <v>96</v>
      </c>
      <c r="G697" s="36">
        <v>45645</v>
      </c>
      <c r="H697">
        <v>8</v>
      </c>
      <c r="I697" t="s">
        <v>2505</v>
      </c>
      <c r="J697">
        <v>3.5</v>
      </c>
      <c r="K697">
        <v>3.7</v>
      </c>
      <c r="L697">
        <v>3</v>
      </c>
      <c r="M697">
        <v>0.5</v>
      </c>
      <c r="N697">
        <v>0.5</v>
      </c>
      <c r="O697">
        <v>-0.20000000000000018</v>
      </c>
      <c r="P697">
        <v>0.20000000000000018</v>
      </c>
      <c r="Q697">
        <v>4.000000000000007E-2</v>
      </c>
      <c r="R697">
        <v>0.20000000000000018</v>
      </c>
      <c r="S697">
        <v>0.20000000000000018</v>
      </c>
      <c r="T697" t="s">
        <v>183</v>
      </c>
      <c r="U697">
        <v>6.2</v>
      </c>
      <c r="V697">
        <v>3.2</v>
      </c>
      <c r="W697" t="s">
        <v>2513</v>
      </c>
      <c r="X697" t="s">
        <v>81</v>
      </c>
    </row>
    <row r="698" spans="1:24">
      <c r="A698" t="s">
        <v>134</v>
      </c>
      <c r="B698" t="s">
        <v>82</v>
      </c>
      <c r="C698" s="36">
        <v>45330</v>
      </c>
      <c r="D698" t="s">
        <v>670</v>
      </c>
      <c r="E698" s="36">
        <v>45657</v>
      </c>
      <c r="F698" t="s">
        <v>96</v>
      </c>
      <c r="G698" s="36">
        <v>45645</v>
      </c>
      <c r="H698">
        <v>7</v>
      </c>
      <c r="I698" t="s">
        <v>2502</v>
      </c>
      <c r="J698">
        <v>3.5</v>
      </c>
      <c r="K698">
        <v>3.7</v>
      </c>
      <c r="L698">
        <v>3</v>
      </c>
      <c r="M698">
        <v>0.5</v>
      </c>
      <c r="N698">
        <v>0.5</v>
      </c>
      <c r="O698">
        <v>-0.20000000000000018</v>
      </c>
      <c r="P698">
        <v>0.20000000000000018</v>
      </c>
      <c r="Q698">
        <v>4.000000000000007E-2</v>
      </c>
      <c r="R698">
        <v>0</v>
      </c>
      <c r="S698">
        <v>0</v>
      </c>
      <c r="T698" t="s">
        <v>254</v>
      </c>
      <c r="U698">
        <v>5.3</v>
      </c>
      <c r="V698">
        <v>2.2999999999999998</v>
      </c>
      <c r="W698" t="s">
        <v>2513</v>
      </c>
      <c r="X698" t="s">
        <v>83</v>
      </c>
    </row>
    <row r="699" spans="1:24">
      <c r="A699" t="s">
        <v>134</v>
      </c>
      <c r="B699" t="s">
        <v>84</v>
      </c>
      <c r="C699" s="36">
        <v>45372</v>
      </c>
      <c r="D699" t="s">
        <v>670</v>
      </c>
      <c r="E699" s="36">
        <v>45657</v>
      </c>
      <c r="F699" t="s">
        <v>96</v>
      </c>
      <c r="G699" s="36">
        <v>45645</v>
      </c>
      <c r="H699">
        <v>6</v>
      </c>
      <c r="I699" t="s">
        <v>2503</v>
      </c>
      <c r="J699">
        <v>3.5</v>
      </c>
      <c r="K699">
        <v>3.7</v>
      </c>
      <c r="L699">
        <v>3</v>
      </c>
      <c r="M699">
        <v>0.5</v>
      </c>
      <c r="N699">
        <v>0.5</v>
      </c>
      <c r="O699">
        <v>-0.20000000000000018</v>
      </c>
      <c r="P699">
        <v>0.20000000000000018</v>
      </c>
      <c r="Q699">
        <v>4.000000000000007E-2</v>
      </c>
      <c r="R699">
        <v>0</v>
      </c>
      <c r="S699">
        <v>0</v>
      </c>
      <c r="T699" t="s">
        <v>254</v>
      </c>
      <c r="U699">
        <v>5.3</v>
      </c>
      <c r="V699">
        <v>2.2999999999999998</v>
      </c>
      <c r="W699" t="s">
        <v>2513</v>
      </c>
      <c r="X699" t="s">
        <v>85</v>
      </c>
    </row>
    <row r="700" spans="1:24">
      <c r="A700" t="s">
        <v>134</v>
      </c>
      <c r="B700" t="s">
        <v>86</v>
      </c>
      <c r="C700" s="36">
        <v>45421</v>
      </c>
      <c r="D700" t="s">
        <v>670</v>
      </c>
      <c r="E700" s="36">
        <v>45657</v>
      </c>
      <c r="F700" t="s">
        <v>96</v>
      </c>
      <c r="G700" s="36">
        <v>45645</v>
      </c>
      <c r="H700">
        <v>5</v>
      </c>
      <c r="I700" t="s">
        <v>2500</v>
      </c>
      <c r="J700">
        <v>3.8</v>
      </c>
      <c r="K700">
        <v>3.7</v>
      </c>
      <c r="L700">
        <v>3</v>
      </c>
      <c r="M700">
        <v>0.79999999999999982</v>
      </c>
      <c r="N700">
        <v>0.79999999999999982</v>
      </c>
      <c r="O700">
        <v>9.9999999999999645E-2</v>
      </c>
      <c r="P700">
        <v>9.9999999999999645E-2</v>
      </c>
      <c r="Q700">
        <v>9.9999999999999291E-3</v>
      </c>
      <c r="R700">
        <v>0.29999999999999982</v>
      </c>
      <c r="S700">
        <v>0.29999999999999982</v>
      </c>
      <c r="T700" t="s">
        <v>355</v>
      </c>
      <c r="U700">
        <v>4.7</v>
      </c>
      <c r="V700">
        <v>1.7000000000000002</v>
      </c>
      <c r="W700" t="s">
        <v>2513</v>
      </c>
      <c r="X700" t="s">
        <v>87</v>
      </c>
    </row>
    <row r="701" spans="1:24">
      <c r="A701" t="s">
        <v>134</v>
      </c>
      <c r="B701" t="s">
        <v>88</v>
      </c>
      <c r="C701" s="36">
        <v>45470</v>
      </c>
      <c r="D701" t="s">
        <v>670</v>
      </c>
      <c r="E701" s="36">
        <v>45657</v>
      </c>
      <c r="F701" t="s">
        <v>96</v>
      </c>
      <c r="G701" s="36">
        <v>45645</v>
      </c>
      <c r="H701">
        <v>4</v>
      </c>
      <c r="I701" t="s">
        <v>2501</v>
      </c>
      <c r="J701">
        <v>3.9</v>
      </c>
      <c r="K701">
        <v>3.7</v>
      </c>
      <c r="L701">
        <v>3</v>
      </c>
      <c r="M701">
        <v>0.89999999999999991</v>
      </c>
      <c r="N701">
        <v>0.89999999999999991</v>
      </c>
      <c r="O701">
        <v>0.19999999999999973</v>
      </c>
      <c r="P701">
        <v>0.19999999999999973</v>
      </c>
      <c r="Q701">
        <v>3.9999999999999897E-2</v>
      </c>
      <c r="R701">
        <v>0.10000000000000009</v>
      </c>
      <c r="S701">
        <v>0.10000000000000009</v>
      </c>
      <c r="T701" t="s">
        <v>355</v>
      </c>
      <c r="U701">
        <v>4.7</v>
      </c>
      <c r="V701">
        <v>1.7000000000000002</v>
      </c>
      <c r="W701" t="s">
        <v>2513</v>
      </c>
      <c r="X701" t="s">
        <v>89</v>
      </c>
    </row>
    <row r="702" spans="1:24">
      <c r="A702" t="s">
        <v>134</v>
      </c>
      <c r="B702" t="s">
        <v>90</v>
      </c>
      <c r="C702" s="36">
        <v>45512</v>
      </c>
      <c r="D702" t="s">
        <v>670</v>
      </c>
      <c r="E702" s="36">
        <v>45657</v>
      </c>
      <c r="F702" t="s">
        <v>96</v>
      </c>
      <c r="G702" s="36">
        <v>45645</v>
      </c>
      <c r="H702">
        <v>3</v>
      </c>
      <c r="I702" t="s">
        <v>2498</v>
      </c>
      <c r="J702">
        <v>3.9</v>
      </c>
      <c r="K702">
        <v>3.7</v>
      </c>
      <c r="L702">
        <v>3</v>
      </c>
      <c r="M702">
        <v>0.89999999999999991</v>
      </c>
      <c r="N702">
        <v>0.89999999999999991</v>
      </c>
      <c r="O702">
        <v>0.19999999999999973</v>
      </c>
      <c r="P702">
        <v>0.19999999999999973</v>
      </c>
      <c r="Q702">
        <v>3.9999999999999897E-2</v>
      </c>
      <c r="R702">
        <v>0</v>
      </c>
      <c r="S702">
        <v>0</v>
      </c>
      <c r="T702" t="s">
        <v>460</v>
      </c>
      <c r="U702">
        <v>4.2</v>
      </c>
      <c r="V702">
        <v>1.2000000000000002</v>
      </c>
      <c r="W702" t="s">
        <v>2513</v>
      </c>
      <c r="X702" t="s">
        <v>91</v>
      </c>
    </row>
    <row r="703" spans="1:24">
      <c r="A703" t="s">
        <v>134</v>
      </c>
      <c r="B703" t="s">
        <v>92</v>
      </c>
      <c r="C703" s="36">
        <v>45561</v>
      </c>
      <c r="D703" t="s">
        <v>670</v>
      </c>
      <c r="E703" s="36">
        <v>45657</v>
      </c>
      <c r="F703" t="s">
        <v>96</v>
      </c>
      <c r="G703" s="36">
        <v>45645</v>
      </c>
      <c r="H703">
        <v>2</v>
      </c>
      <c r="I703" t="s">
        <v>2499</v>
      </c>
      <c r="J703">
        <v>3.8</v>
      </c>
      <c r="K703">
        <v>3.7</v>
      </c>
      <c r="L703">
        <v>3</v>
      </c>
      <c r="M703">
        <v>0.79999999999999982</v>
      </c>
      <c r="N703">
        <v>0.79999999999999982</v>
      </c>
      <c r="O703">
        <v>9.9999999999999645E-2</v>
      </c>
      <c r="P703">
        <v>9.9999999999999645E-2</v>
      </c>
      <c r="Q703">
        <v>9.9999999999999291E-3</v>
      </c>
      <c r="R703">
        <v>-0.10000000000000009</v>
      </c>
      <c r="S703">
        <v>0.10000000000000009</v>
      </c>
      <c r="T703" t="s">
        <v>460</v>
      </c>
      <c r="U703">
        <v>4.2</v>
      </c>
      <c r="V703">
        <v>1.2000000000000002</v>
      </c>
      <c r="W703" t="s">
        <v>2513</v>
      </c>
      <c r="X703" t="s">
        <v>93</v>
      </c>
    </row>
    <row r="704" spans="1:24">
      <c r="A704" t="s">
        <v>134</v>
      </c>
      <c r="B704" t="s">
        <v>94</v>
      </c>
      <c r="C704" s="36">
        <v>45610</v>
      </c>
      <c r="D704" t="s">
        <v>670</v>
      </c>
      <c r="E704" s="36">
        <v>45657</v>
      </c>
      <c r="F704" t="s">
        <v>96</v>
      </c>
      <c r="G704" s="36">
        <v>45645</v>
      </c>
      <c r="H704">
        <v>1</v>
      </c>
      <c r="I704" t="s">
        <v>2495</v>
      </c>
      <c r="J704">
        <v>3.7</v>
      </c>
      <c r="K704">
        <v>3.7</v>
      </c>
      <c r="L704">
        <v>3</v>
      </c>
      <c r="M704">
        <v>0.70000000000000018</v>
      </c>
      <c r="N704">
        <v>0.70000000000000018</v>
      </c>
      <c r="O704">
        <v>0</v>
      </c>
      <c r="P704">
        <v>0</v>
      </c>
      <c r="Q704">
        <v>0</v>
      </c>
      <c r="R704">
        <v>-9.9999999999999645E-2</v>
      </c>
      <c r="S704">
        <v>9.9999999999999645E-2</v>
      </c>
      <c r="T704" t="s">
        <v>565</v>
      </c>
      <c r="U704">
        <v>4</v>
      </c>
      <c r="V704">
        <v>1</v>
      </c>
      <c r="W704" t="s">
        <v>2513</v>
      </c>
      <c r="X704" t="s">
        <v>95</v>
      </c>
    </row>
    <row r="705" spans="1:24">
      <c r="A705" t="s">
        <v>134</v>
      </c>
      <c r="B705" t="s">
        <v>96</v>
      </c>
      <c r="C705" s="36">
        <v>45645</v>
      </c>
      <c r="D705" t="s">
        <v>670</v>
      </c>
      <c r="E705" s="36">
        <v>45657</v>
      </c>
      <c r="F705" t="s">
        <v>96</v>
      </c>
      <c r="G705" s="36">
        <v>45645</v>
      </c>
      <c r="H705">
        <v>0</v>
      </c>
      <c r="I705" t="s">
        <v>2497</v>
      </c>
      <c r="J705">
        <v>3.6</v>
      </c>
      <c r="K705">
        <v>3.7</v>
      </c>
      <c r="L705">
        <v>3</v>
      </c>
      <c r="M705">
        <v>0.60000000000000009</v>
      </c>
      <c r="N705">
        <v>0.60000000000000009</v>
      </c>
      <c r="O705">
        <v>-0.10000000000000009</v>
      </c>
      <c r="P705">
        <v>0.10000000000000009</v>
      </c>
      <c r="Q705">
        <v>1.0000000000000018E-2</v>
      </c>
      <c r="R705">
        <v>-0.10000000000000009</v>
      </c>
      <c r="S705">
        <v>0.10000000000000009</v>
      </c>
      <c r="T705" t="s">
        <v>565</v>
      </c>
      <c r="U705">
        <v>4</v>
      </c>
      <c r="V705">
        <v>1</v>
      </c>
      <c r="W705" t="s">
        <v>2513</v>
      </c>
      <c r="X705" t="s">
        <v>97</v>
      </c>
    </row>
    <row r="706" spans="1:24">
      <c r="A706" t="s">
        <v>134</v>
      </c>
      <c r="B706" t="s">
        <v>68</v>
      </c>
      <c r="C706" s="36">
        <v>45015</v>
      </c>
      <c r="D706" t="s">
        <v>771</v>
      </c>
      <c r="E706" s="36">
        <v>45747</v>
      </c>
      <c r="F706" t="s">
        <v>100</v>
      </c>
      <c r="G706" s="36">
        <v>45743</v>
      </c>
      <c r="H706">
        <v>16</v>
      </c>
      <c r="I706" t="s">
        <v>2512</v>
      </c>
      <c r="J706">
        <v>3.1</v>
      </c>
      <c r="K706">
        <v>3.6</v>
      </c>
      <c r="L706">
        <v>3</v>
      </c>
      <c r="M706">
        <v>0.10000000000000009</v>
      </c>
      <c r="N706">
        <v>0.10000000000000009</v>
      </c>
      <c r="O706">
        <v>-0.5</v>
      </c>
      <c r="P706">
        <v>0.5</v>
      </c>
      <c r="Q706">
        <v>0.25</v>
      </c>
      <c r="T706" t="s">
        <v>154</v>
      </c>
      <c r="U706">
        <v>8.4</v>
      </c>
      <c r="V706">
        <v>5.4</v>
      </c>
      <c r="W706" t="s">
        <v>2513</v>
      </c>
      <c r="X706" t="s">
        <v>69</v>
      </c>
    </row>
    <row r="707" spans="1:24">
      <c r="A707" t="s">
        <v>134</v>
      </c>
      <c r="B707" t="s">
        <v>70</v>
      </c>
      <c r="C707" s="36">
        <v>45064</v>
      </c>
      <c r="D707" t="s">
        <v>771</v>
      </c>
      <c r="E707" s="36">
        <v>45747</v>
      </c>
      <c r="F707" t="s">
        <v>100</v>
      </c>
      <c r="G707" s="36">
        <v>45743</v>
      </c>
      <c r="H707">
        <v>15</v>
      </c>
      <c r="I707" t="s">
        <v>2510</v>
      </c>
      <c r="J707">
        <v>3.1</v>
      </c>
      <c r="K707">
        <v>3.6</v>
      </c>
      <c r="L707">
        <v>3</v>
      </c>
      <c r="M707">
        <v>0.10000000000000009</v>
      </c>
      <c r="N707">
        <v>0.10000000000000009</v>
      </c>
      <c r="O707">
        <v>-0.5</v>
      </c>
      <c r="P707">
        <v>0.5</v>
      </c>
      <c r="Q707">
        <v>0.25</v>
      </c>
      <c r="R707">
        <v>0</v>
      </c>
      <c r="S707">
        <v>0</v>
      </c>
      <c r="T707" t="s">
        <v>157</v>
      </c>
      <c r="U707">
        <v>8.3000000000000007</v>
      </c>
      <c r="V707">
        <v>5.3000000000000007</v>
      </c>
      <c r="W707" t="s">
        <v>2513</v>
      </c>
      <c r="X707" t="s">
        <v>71</v>
      </c>
    </row>
    <row r="708" spans="1:24">
      <c r="A708" t="s">
        <v>134</v>
      </c>
      <c r="B708" t="s">
        <v>72</v>
      </c>
      <c r="C708" s="36">
        <v>45099</v>
      </c>
      <c r="D708" t="s">
        <v>771</v>
      </c>
      <c r="E708" s="36">
        <v>45747</v>
      </c>
      <c r="F708" t="s">
        <v>100</v>
      </c>
      <c r="G708" s="36">
        <v>45743</v>
      </c>
      <c r="H708">
        <v>14</v>
      </c>
      <c r="I708" t="s">
        <v>2511</v>
      </c>
      <c r="J708">
        <v>3.1</v>
      </c>
      <c r="K708">
        <v>3.6</v>
      </c>
      <c r="L708">
        <v>3</v>
      </c>
      <c r="M708">
        <v>0.10000000000000009</v>
      </c>
      <c r="N708">
        <v>0.10000000000000009</v>
      </c>
      <c r="O708">
        <v>-0.5</v>
      </c>
      <c r="P708">
        <v>0.5</v>
      </c>
      <c r="Q708">
        <v>0.25</v>
      </c>
      <c r="R708">
        <v>0</v>
      </c>
      <c r="S708">
        <v>0</v>
      </c>
      <c r="T708" t="s">
        <v>157</v>
      </c>
      <c r="U708">
        <v>8.3000000000000007</v>
      </c>
      <c r="V708">
        <v>5.3000000000000007</v>
      </c>
      <c r="W708" t="s">
        <v>2513</v>
      </c>
      <c r="X708" t="s">
        <v>73</v>
      </c>
    </row>
    <row r="709" spans="1:24">
      <c r="A709" t="s">
        <v>134</v>
      </c>
      <c r="B709" t="s">
        <v>74</v>
      </c>
      <c r="C709" s="36">
        <v>45148</v>
      </c>
      <c r="D709" t="s">
        <v>771</v>
      </c>
      <c r="E709" s="36">
        <v>45747</v>
      </c>
      <c r="F709" t="s">
        <v>100</v>
      </c>
      <c r="G709" s="36">
        <v>45743</v>
      </c>
      <c r="H709">
        <v>13</v>
      </c>
      <c r="I709" t="s">
        <v>2508</v>
      </c>
      <c r="J709">
        <v>3.1</v>
      </c>
      <c r="K709">
        <v>3.6</v>
      </c>
      <c r="L709">
        <v>3</v>
      </c>
      <c r="M709">
        <v>0.10000000000000009</v>
      </c>
      <c r="N709">
        <v>0.10000000000000009</v>
      </c>
      <c r="O709">
        <v>-0.5</v>
      </c>
      <c r="P709">
        <v>0.5</v>
      </c>
      <c r="Q709">
        <v>0.25</v>
      </c>
      <c r="R709">
        <v>0</v>
      </c>
      <c r="S709">
        <v>0</v>
      </c>
      <c r="T709" t="s">
        <v>160</v>
      </c>
      <c r="U709">
        <v>7.3</v>
      </c>
      <c r="V709">
        <v>4.3</v>
      </c>
      <c r="W709" t="s">
        <v>2513</v>
      </c>
      <c r="X709" t="s">
        <v>75</v>
      </c>
    </row>
    <row r="710" spans="1:24">
      <c r="A710" t="s">
        <v>134</v>
      </c>
      <c r="B710" t="s">
        <v>76</v>
      </c>
      <c r="C710" s="36">
        <v>45197</v>
      </c>
      <c r="D710" t="s">
        <v>771</v>
      </c>
      <c r="E710" s="36">
        <v>45747</v>
      </c>
      <c r="F710" t="s">
        <v>100</v>
      </c>
      <c r="G710" s="36">
        <v>45743</v>
      </c>
      <c r="H710">
        <v>12</v>
      </c>
      <c r="I710" t="s">
        <v>2509</v>
      </c>
      <c r="J710">
        <v>3.2</v>
      </c>
      <c r="K710">
        <v>3.6</v>
      </c>
      <c r="L710">
        <v>3</v>
      </c>
      <c r="M710">
        <v>0.20000000000000018</v>
      </c>
      <c r="N710">
        <v>0.20000000000000018</v>
      </c>
      <c r="O710">
        <v>-0.39999999999999991</v>
      </c>
      <c r="P710">
        <v>0.39999999999999991</v>
      </c>
      <c r="Q710">
        <v>0.15999999999999992</v>
      </c>
      <c r="R710">
        <v>0.10000000000000009</v>
      </c>
      <c r="S710">
        <v>0.10000000000000009</v>
      </c>
      <c r="T710" t="s">
        <v>160</v>
      </c>
      <c r="U710">
        <v>7.3</v>
      </c>
      <c r="V710">
        <v>4.3</v>
      </c>
      <c r="W710" t="s">
        <v>2513</v>
      </c>
      <c r="X710" t="s">
        <v>77</v>
      </c>
    </row>
    <row r="711" spans="1:24">
      <c r="A711" t="s">
        <v>134</v>
      </c>
      <c r="B711" t="s">
        <v>78</v>
      </c>
      <c r="C711" s="36">
        <v>45239</v>
      </c>
      <c r="D711" t="s">
        <v>771</v>
      </c>
      <c r="E711" s="36">
        <v>45747</v>
      </c>
      <c r="F711" t="s">
        <v>100</v>
      </c>
      <c r="G711" s="36">
        <v>45743</v>
      </c>
      <c r="H711">
        <v>11</v>
      </c>
      <c r="I711" t="s">
        <v>2506</v>
      </c>
      <c r="J711">
        <v>3.2</v>
      </c>
      <c r="K711">
        <v>3.6</v>
      </c>
      <c r="L711">
        <v>3</v>
      </c>
      <c r="M711">
        <v>0.20000000000000018</v>
      </c>
      <c r="N711">
        <v>0.20000000000000018</v>
      </c>
      <c r="O711">
        <v>-0.39999999999999991</v>
      </c>
      <c r="P711">
        <v>0.39999999999999991</v>
      </c>
      <c r="Q711">
        <v>0.15999999999999992</v>
      </c>
      <c r="R711">
        <v>0</v>
      </c>
      <c r="S711">
        <v>0</v>
      </c>
      <c r="T711" t="s">
        <v>183</v>
      </c>
      <c r="U711">
        <v>6.2</v>
      </c>
      <c r="V711">
        <v>3.2</v>
      </c>
      <c r="W711" t="s">
        <v>2513</v>
      </c>
      <c r="X711" t="s">
        <v>79</v>
      </c>
    </row>
    <row r="712" spans="1:24">
      <c r="A712" t="s">
        <v>134</v>
      </c>
      <c r="B712" t="s">
        <v>80</v>
      </c>
      <c r="C712" s="36">
        <v>45274</v>
      </c>
      <c r="D712" t="s">
        <v>771</v>
      </c>
      <c r="E712" s="36">
        <v>45747</v>
      </c>
      <c r="F712" t="s">
        <v>100</v>
      </c>
      <c r="G712" s="36">
        <v>45743</v>
      </c>
      <c r="H712">
        <v>10</v>
      </c>
      <c r="I712" t="s">
        <v>2507</v>
      </c>
      <c r="J712">
        <v>3.2</v>
      </c>
      <c r="K712">
        <v>3.6</v>
      </c>
      <c r="L712">
        <v>3</v>
      </c>
      <c r="M712">
        <v>0.20000000000000018</v>
      </c>
      <c r="N712">
        <v>0.20000000000000018</v>
      </c>
      <c r="O712">
        <v>-0.39999999999999991</v>
      </c>
      <c r="P712">
        <v>0.39999999999999991</v>
      </c>
      <c r="Q712">
        <v>0.15999999999999992</v>
      </c>
      <c r="R712">
        <v>0</v>
      </c>
      <c r="S712">
        <v>0</v>
      </c>
      <c r="T712" t="s">
        <v>183</v>
      </c>
      <c r="U712">
        <v>6.2</v>
      </c>
      <c r="V712">
        <v>3.2</v>
      </c>
      <c r="W712" t="s">
        <v>2513</v>
      </c>
      <c r="X712" t="s">
        <v>81</v>
      </c>
    </row>
    <row r="713" spans="1:24">
      <c r="A713" t="s">
        <v>134</v>
      </c>
      <c r="B713" t="s">
        <v>82</v>
      </c>
      <c r="C713" s="36">
        <v>45330</v>
      </c>
      <c r="D713" t="s">
        <v>771</v>
      </c>
      <c r="E713" s="36">
        <v>45747</v>
      </c>
      <c r="F713" t="s">
        <v>100</v>
      </c>
      <c r="G713" s="36">
        <v>45743</v>
      </c>
      <c r="H713">
        <v>9</v>
      </c>
      <c r="I713" t="s">
        <v>2504</v>
      </c>
      <c r="J713">
        <v>3.2</v>
      </c>
      <c r="K713">
        <v>3.6</v>
      </c>
      <c r="L713">
        <v>3</v>
      </c>
      <c r="M713">
        <v>0.20000000000000018</v>
      </c>
      <c r="N713">
        <v>0.20000000000000018</v>
      </c>
      <c r="O713">
        <v>-0.39999999999999991</v>
      </c>
      <c r="P713">
        <v>0.39999999999999991</v>
      </c>
      <c r="Q713">
        <v>0.15999999999999992</v>
      </c>
      <c r="R713">
        <v>0</v>
      </c>
      <c r="S713">
        <v>0</v>
      </c>
      <c r="T713" t="s">
        <v>254</v>
      </c>
      <c r="U713">
        <v>5.3</v>
      </c>
      <c r="V713">
        <v>2.2999999999999998</v>
      </c>
      <c r="W713" t="s">
        <v>2513</v>
      </c>
      <c r="X713" t="s">
        <v>83</v>
      </c>
    </row>
    <row r="714" spans="1:24">
      <c r="A714" t="s">
        <v>134</v>
      </c>
      <c r="B714" t="s">
        <v>84</v>
      </c>
      <c r="C714" s="36">
        <v>45372</v>
      </c>
      <c r="D714" t="s">
        <v>771</v>
      </c>
      <c r="E714" s="36">
        <v>45747</v>
      </c>
      <c r="F714" t="s">
        <v>100</v>
      </c>
      <c r="G714" s="36">
        <v>45743</v>
      </c>
      <c r="H714">
        <v>8</v>
      </c>
      <c r="I714" t="s">
        <v>2505</v>
      </c>
      <c r="J714">
        <v>3.2</v>
      </c>
      <c r="K714">
        <v>3.6</v>
      </c>
      <c r="L714">
        <v>3</v>
      </c>
      <c r="M714">
        <v>0.20000000000000018</v>
      </c>
      <c r="N714">
        <v>0.20000000000000018</v>
      </c>
      <c r="O714">
        <v>-0.39999999999999991</v>
      </c>
      <c r="P714">
        <v>0.39999999999999991</v>
      </c>
      <c r="Q714">
        <v>0.15999999999999992</v>
      </c>
      <c r="R714">
        <v>0</v>
      </c>
      <c r="S714">
        <v>0</v>
      </c>
      <c r="T714" t="s">
        <v>254</v>
      </c>
      <c r="U714">
        <v>5.3</v>
      </c>
      <c r="V714">
        <v>2.2999999999999998</v>
      </c>
      <c r="W714" t="s">
        <v>2513</v>
      </c>
      <c r="X714" t="s">
        <v>85</v>
      </c>
    </row>
    <row r="715" spans="1:24">
      <c r="A715" t="s">
        <v>134</v>
      </c>
      <c r="B715" t="s">
        <v>86</v>
      </c>
      <c r="C715" s="36">
        <v>45421</v>
      </c>
      <c r="D715" t="s">
        <v>771</v>
      </c>
      <c r="E715" s="36">
        <v>45747</v>
      </c>
      <c r="F715" t="s">
        <v>100</v>
      </c>
      <c r="G715" s="36">
        <v>45743</v>
      </c>
      <c r="H715">
        <v>7</v>
      </c>
      <c r="I715" t="s">
        <v>2502</v>
      </c>
      <c r="J715">
        <v>3.5</v>
      </c>
      <c r="K715">
        <v>3.6</v>
      </c>
      <c r="L715">
        <v>3</v>
      </c>
      <c r="M715">
        <v>0.5</v>
      </c>
      <c r="N715">
        <v>0.5</v>
      </c>
      <c r="O715">
        <v>-0.10000000000000009</v>
      </c>
      <c r="P715">
        <v>0.10000000000000009</v>
      </c>
      <c r="Q715">
        <v>1.0000000000000018E-2</v>
      </c>
      <c r="R715">
        <v>0.29999999999999982</v>
      </c>
      <c r="S715">
        <v>0.29999999999999982</v>
      </c>
      <c r="T715" t="s">
        <v>355</v>
      </c>
      <c r="U715">
        <v>4.7</v>
      </c>
      <c r="V715">
        <v>1.7000000000000002</v>
      </c>
      <c r="W715" t="s">
        <v>2513</v>
      </c>
      <c r="X715" t="s">
        <v>87</v>
      </c>
    </row>
    <row r="716" spans="1:24">
      <c r="A716" t="s">
        <v>134</v>
      </c>
      <c r="B716" t="s">
        <v>88</v>
      </c>
      <c r="C716" s="36">
        <v>45470</v>
      </c>
      <c r="D716" t="s">
        <v>771</v>
      </c>
      <c r="E716" s="36">
        <v>45747</v>
      </c>
      <c r="F716" t="s">
        <v>100</v>
      </c>
      <c r="G716" s="36">
        <v>45743</v>
      </c>
      <c r="H716">
        <v>6</v>
      </c>
      <c r="I716" t="s">
        <v>2503</v>
      </c>
      <c r="J716">
        <v>3.6</v>
      </c>
      <c r="K716">
        <v>3.6</v>
      </c>
      <c r="L716">
        <v>3</v>
      </c>
      <c r="M716">
        <v>0.60000000000000009</v>
      </c>
      <c r="N716">
        <v>0.60000000000000009</v>
      </c>
      <c r="O716">
        <v>0</v>
      </c>
      <c r="P716">
        <v>0</v>
      </c>
      <c r="Q716">
        <v>0</v>
      </c>
      <c r="R716">
        <v>0.10000000000000009</v>
      </c>
      <c r="S716">
        <v>0.10000000000000009</v>
      </c>
      <c r="T716" t="s">
        <v>355</v>
      </c>
      <c r="U716">
        <v>4.7</v>
      </c>
      <c r="V716">
        <v>1.7000000000000002</v>
      </c>
      <c r="W716" t="s">
        <v>2513</v>
      </c>
      <c r="X716" t="s">
        <v>89</v>
      </c>
    </row>
    <row r="717" spans="1:24">
      <c r="A717" t="s">
        <v>134</v>
      </c>
      <c r="B717" t="s">
        <v>90</v>
      </c>
      <c r="C717" s="36">
        <v>45512</v>
      </c>
      <c r="D717" t="s">
        <v>771</v>
      </c>
      <c r="E717" s="36">
        <v>45747</v>
      </c>
      <c r="F717" t="s">
        <v>100</v>
      </c>
      <c r="G717" s="36">
        <v>45743</v>
      </c>
      <c r="H717">
        <v>5</v>
      </c>
      <c r="I717" t="s">
        <v>2500</v>
      </c>
      <c r="J717">
        <v>3.6</v>
      </c>
      <c r="K717">
        <v>3.6</v>
      </c>
      <c r="L717">
        <v>3</v>
      </c>
      <c r="M717">
        <v>0.60000000000000009</v>
      </c>
      <c r="N717">
        <v>0.60000000000000009</v>
      </c>
      <c r="O717">
        <v>0</v>
      </c>
      <c r="P717">
        <v>0</v>
      </c>
      <c r="Q717">
        <v>0</v>
      </c>
      <c r="R717">
        <v>0</v>
      </c>
      <c r="S717">
        <v>0</v>
      </c>
      <c r="T717" t="s">
        <v>460</v>
      </c>
      <c r="U717">
        <v>4.2</v>
      </c>
      <c r="V717">
        <v>1.2000000000000002</v>
      </c>
      <c r="W717" t="s">
        <v>2513</v>
      </c>
      <c r="X717" t="s">
        <v>91</v>
      </c>
    </row>
    <row r="718" spans="1:24">
      <c r="A718" t="s">
        <v>134</v>
      </c>
      <c r="B718" t="s">
        <v>92</v>
      </c>
      <c r="C718" s="36">
        <v>45561</v>
      </c>
      <c r="D718" t="s">
        <v>771</v>
      </c>
      <c r="E718" s="36">
        <v>45747</v>
      </c>
      <c r="F718" t="s">
        <v>100</v>
      </c>
      <c r="G718" s="36">
        <v>45743</v>
      </c>
      <c r="H718">
        <v>4</v>
      </c>
      <c r="I718" t="s">
        <v>2501</v>
      </c>
      <c r="J718">
        <v>3.5</v>
      </c>
      <c r="K718">
        <v>3.6</v>
      </c>
      <c r="L718">
        <v>3</v>
      </c>
      <c r="M718">
        <v>0.5</v>
      </c>
      <c r="N718">
        <v>0.5</v>
      </c>
      <c r="O718">
        <v>-0.10000000000000009</v>
      </c>
      <c r="P718">
        <v>0.10000000000000009</v>
      </c>
      <c r="Q718">
        <v>1.0000000000000018E-2</v>
      </c>
      <c r="R718">
        <v>-0.10000000000000009</v>
      </c>
      <c r="S718">
        <v>0.10000000000000009</v>
      </c>
      <c r="T718" t="s">
        <v>460</v>
      </c>
      <c r="U718">
        <v>4.2</v>
      </c>
      <c r="V718">
        <v>1.2000000000000002</v>
      </c>
      <c r="W718" t="s">
        <v>2513</v>
      </c>
      <c r="X718" t="s">
        <v>93</v>
      </c>
    </row>
    <row r="719" spans="1:24">
      <c r="A719" t="s">
        <v>134</v>
      </c>
      <c r="B719" t="s">
        <v>94</v>
      </c>
      <c r="C719" s="36">
        <v>45610</v>
      </c>
      <c r="D719" t="s">
        <v>771</v>
      </c>
      <c r="E719" s="36">
        <v>45747</v>
      </c>
      <c r="F719" t="s">
        <v>100</v>
      </c>
      <c r="G719" s="36">
        <v>45743</v>
      </c>
      <c r="H719">
        <v>3</v>
      </c>
      <c r="I719" t="s">
        <v>2498</v>
      </c>
      <c r="J719">
        <v>3.5</v>
      </c>
      <c r="K719">
        <v>3.6</v>
      </c>
      <c r="L719">
        <v>3</v>
      </c>
      <c r="M719">
        <v>0.5</v>
      </c>
      <c r="N719">
        <v>0.5</v>
      </c>
      <c r="O719">
        <v>-0.10000000000000009</v>
      </c>
      <c r="P719">
        <v>0.10000000000000009</v>
      </c>
      <c r="Q719">
        <v>1.0000000000000018E-2</v>
      </c>
      <c r="R719">
        <v>0</v>
      </c>
      <c r="S719">
        <v>0</v>
      </c>
      <c r="T719" t="s">
        <v>565</v>
      </c>
      <c r="U719">
        <v>4</v>
      </c>
      <c r="V719">
        <v>1</v>
      </c>
      <c r="W719" t="s">
        <v>2513</v>
      </c>
      <c r="X719" t="s">
        <v>95</v>
      </c>
    </row>
    <row r="720" spans="1:24">
      <c r="A720" t="s">
        <v>134</v>
      </c>
      <c r="B720" t="s">
        <v>96</v>
      </c>
      <c r="C720" s="36">
        <v>45645</v>
      </c>
      <c r="D720" t="s">
        <v>771</v>
      </c>
      <c r="E720" s="36">
        <v>45747</v>
      </c>
      <c r="F720" t="s">
        <v>100</v>
      </c>
      <c r="G720" s="36">
        <v>45743</v>
      </c>
      <c r="H720">
        <v>2</v>
      </c>
      <c r="I720" t="s">
        <v>2499</v>
      </c>
      <c r="J720">
        <v>3.5</v>
      </c>
      <c r="K720">
        <v>3.6</v>
      </c>
      <c r="L720">
        <v>3</v>
      </c>
      <c r="M720">
        <v>0.5</v>
      </c>
      <c r="N720">
        <v>0.5</v>
      </c>
      <c r="O720">
        <v>-0.10000000000000009</v>
      </c>
      <c r="P720">
        <v>0.10000000000000009</v>
      </c>
      <c r="Q720">
        <v>1.0000000000000018E-2</v>
      </c>
      <c r="R720">
        <v>0</v>
      </c>
      <c r="S720">
        <v>0</v>
      </c>
      <c r="T720" t="s">
        <v>565</v>
      </c>
      <c r="U720">
        <v>4</v>
      </c>
      <c r="V720">
        <v>1</v>
      </c>
      <c r="W720" t="s">
        <v>2513</v>
      </c>
      <c r="X720" t="s">
        <v>97</v>
      </c>
    </row>
    <row r="721" spans="1:24">
      <c r="A721" t="s">
        <v>134</v>
      </c>
      <c r="B721" t="s">
        <v>98</v>
      </c>
      <c r="C721" s="36">
        <v>45694</v>
      </c>
      <c r="D721" t="s">
        <v>771</v>
      </c>
      <c r="E721" s="36">
        <v>45747</v>
      </c>
      <c r="F721" t="s">
        <v>100</v>
      </c>
      <c r="G721" s="36">
        <v>45743</v>
      </c>
      <c r="H721">
        <v>1</v>
      </c>
      <c r="I721" t="s">
        <v>2495</v>
      </c>
      <c r="J721">
        <v>3.6</v>
      </c>
      <c r="K721">
        <v>3.6</v>
      </c>
      <c r="L721">
        <v>3</v>
      </c>
      <c r="M721">
        <v>0.60000000000000009</v>
      </c>
      <c r="N721">
        <v>0.60000000000000009</v>
      </c>
      <c r="O721">
        <v>0</v>
      </c>
      <c r="P721">
        <v>0</v>
      </c>
      <c r="Q721">
        <v>0</v>
      </c>
      <c r="R721">
        <v>0.10000000000000009</v>
      </c>
      <c r="S721">
        <v>0.10000000000000009</v>
      </c>
      <c r="T721" t="s">
        <v>670</v>
      </c>
      <c r="U721">
        <v>3.7</v>
      </c>
      <c r="V721">
        <v>0.70000000000000018</v>
      </c>
      <c r="W721" t="s">
        <v>2513</v>
      </c>
      <c r="X721" t="s">
        <v>99</v>
      </c>
    </row>
    <row r="722" spans="1:24">
      <c r="A722" t="s">
        <v>134</v>
      </c>
      <c r="B722" t="s">
        <v>100</v>
      </c>
      <c r="C722" s="36">
        <v>45743</v>
      </c>
      <c r="D722" t="s">
        <v>771</v>
      </c>
      <c r="E722" s="36">
        <v>45747</v>
      </c>
      <c r="F722" t="s">
        <v>100</v>
      </c>
      <c r="G722" s="36">
        <v>45743</v>
      </c>
      <c r="H722">
        <v>0</v>
      </c>
      <c r="I722" t="s">
        <v>2497</v>
      </c>
      <c r="J722">
        <v>3.6</v>
      </c>
      <c r="K722">
        <v>3.6</v>
      </c>
      <c r="L722">
        <v>3</v>
      </c>
      <c r="M722">
        <v>0.60000000000000009</v>
      </c>
      <c r="N722">
        <v>0.60000000000000009</v>
      </c>
      <c r="O722">
        <v>0</v>
      </c>
      <c r="P722">
        <v>0</v>
      </c>
      <c r="Q722">
        <v>0</v>
      </c>
      <c r="R722">
        <v>0</v>
      </c>
      <c r="S722">
        <v>0</v>
      </c>
      <c r="T722" t="s">
        <v>670</v>
      </c>
      <c r="U722">
        <v>3.7</v>
      </c>
      <c r="V722">
        <v>0.70000000000000018</v>
      </c>
      <c r="W722" t="s">
        <v>2513</v>
      </c>
      <c r="X722" t="s">
        <v>101</v>
      </c>
    </row>
    <row r="723" spans="1:24">
      <c r="A723" t="s">
        <v>134</v>
      </c>
      <c r="B723" t="s">
        <v>72</v>
      </c>
      <c r="C723" s="36">
        <v>45099</v>
      </c>
      <c r="D723" t="s">
        <v>876</v>
      </c>
      <c r="E723" s="36">
        <v>45838</v>
      </c>
      <c r="F723" t="s">
        <v>104</v>
      </c>
      <c r="G723" s="36">
        <v>45834</v>
      </c>
      <c r="H723">
        <v>16</v>
      </c>
      <c r="I723" t="s">
        <v>2512</v>
      </c>
      <c r="J723">
        <v>3.1</v>
      </c>
      <c r="K723">
        <v>4.0999999999999996</v>
      </c>
      <c r="L723">
        <v>3</v>
      </c>
      <c r="M723">
        <v>0.10000000000000009</v>
      </c>
      <c r="N723">
        <v>0.10000000000000009</v>
      </c>
      <c r="O723">
        <v>-0.99999999999999956</v>
      </c>
      <c r="P723">
        <v>0.99999999999999956</v>
      </c>
      <c r="Q723">
        <v>0.99999999999999911</v>
      </c>
      <c r="T723" t="s">
        <v>157</v>
      </c>
      <c r="U723">
        <v>8.3000000000000007</v>
      </c>
      <c r="V723">
        <v>5.3000000000000007</v>
      </c>
      <c r="W723" t="s">
        <v>2496</v>
      </c>
      <c r="X723" t="s">
        <v>73</v>
      </c>
    </row>
    <row r="724" spans="1:24">
      <c r="A724" t="s">
        <v>134</v>
      </c>
      <c r="B724" t="s">
        <v>74</v>
      </c>
      <c r="C724" s="36">
        <v>45148</v>
      </c>
      <c r="D724" t="s">
        <v>876</v>
      </c>
      <c r="E724" s="36">
        <v>45838</v>
      </c>
      <c r="F724" t="s">
        <v>104</v>
      </c>
      <c r="G724" s="36">
        <v>45834</v>
      </c>
      <c r="H724">
        <v>15</v>
      </c>
      <c r="I724" t="s">
        <v>2510</v>
      </c>
      <c r="J724">
        <v>3.1</v>
      </c>
      <c r="K724">
        <v>4.0999999999999996</v>
      </c>
      <c r="L724">
        <v>3</v>
      </c>
      <c r="M724">
        <v>0.10000000000000009</v>
      </c>
      <c r="N724">
        <v>0.10000000000000009</v>
      </c>
      <c r="O724">
        <v>-0.99999999999999956</v>
      </c>
      <c r="P724">
        <v>0.99999999999999956</v>
      </c>
      <c r="Q724">
        <v>0.99999999999999911</v>
      </c>
      <c r="R724">
        <v>0</v>
      </c>
      <c r="S724">
        <v>0</v>
      </c>
      <c r="T724" t="s">
        <v>160</v>
      </c>
      <c r="U724">
        <v>7.3</v>
      </c>
      <c r="V724">
        <v>4.3</v>
      </c>
      <c r="W724" t="s">
        <v>2496</v>
      </c>
      <c r="X724" t="s">
        <v>75</v>
      </c>
    </row>
    <row r="725" spans="1:24">
      <c r="A725" t="s">
        <v>134</v>
      </c>
      <c r="B725" t="s">
        <v>76</v>
      </c>
      <c r="C725" s="36">
        <v>45197</v>
      </c>
      <c r="D725" t="s">
        <v>876</v>
      </c>
      <c r="E725" s="36">
        <v>45838</v>
      </c>
      <c r="F725" t="s">
        <v>104</v>
      </c>
      <c r="G725" s="36">
        <v>45834</v>
      </c>
      <c r="H725">
        <v>14</v>
      </c>
      <c r="I725" t="s">
        <v>2511</v>
      </c>
      <c r="J725">
        <v>3.1</v>
      </c>
      <c r="K725">
        <v>4.0999999999999996</v>
      </c>
      <c r="L725">
        <v>3</v>
      </c>
      <c r="M725">
        <v>0.10000000000000009</v>
      </c>
      <c r="N725">
        <v>0.10000000000000009</v>
      </c>
      <c r="O725">
        <v>-0.99999999999999956</v>
      </c>
      <c r="P725">
        <v>0.99999999999999956</v>
      </c>
      <c r="Q725">
        <v>0.99999999999999911</v>
      </c>
      <c r="R725">
        <v>0</v>
      </c>
      <c r="S725">
        <v>0</v>
      </c>
      <c r="T725" t="s">
        <v>160</v>
      </c>
      <c r="U725">
        <v>7.3</v>
      </c>
      <c r="V725">
        <v>4.3</v>
      </c>
      <c r="W725" t="s">
        <v>2496</v>
      </c>
      <c r="X725" t="s">
        <v>77</v>
      </c>
    </row>
    <row r="726" spans="1:24">
      <c r="A726" t="s">
        <v>134</v>
      </c>
      <c r="B726" t="s">
        <v>78</v>
      </c>
      <c r="C726" s="36">
        <v>45239</v>
      </c>
      <c r="D726" t="s">
        <v>876</v>
      </c>
      <c r="E726" s="36">
        <v>45838</v>
      </c>
      <c r="F726" t="s">
        <v>104</v>
      </c>
      <c r="G726" s="36">
        <v>45834</v>
      </c>
      <c r="H726">
        <v>13</v>
      </c>
      <c r="I726" t="s">
        <v>2508</v>
      </c>
      <c r="J726">
        <v>3.1</v>
      </c>
      <c r="K726">
        <v>4.0999999999999996</v>
      </c>
      <c r="L726">
        <v>3</v>
      </c>
      <c r="M726">
        <v>0.10000000000000009</v>
      </c>
      <c r="N726">
        <v>0.10000000000000009</v>
      </c>
      <c r="O726">
        <v>-0.99999999999999956</v>
      </c>
      <c r="P726">
        <v>0.99999999999999956</v>
      </c>
      <c r="Q726">
        <v>0.99999999999999911</v>
      </c>
      <c r="R726">
        <v>0</v>
      </c>
      <c r="S726">
        <v>0</v>
      </c>
      <c r="T726" t="s">
        <v>183</v>
      </c>
      <c r="U726">
        <v>6.2</v>
      </c>
      <c r="V726">
        <v>3.2</v>
      </c>
      <c r="W726" t="s">
        <v>2496</v>
      </c>
      <c r="X726" t="s">
        <v>79</v>
      </c>
    </row>
    <row r="727" spans="1:24">
      <c r="A727" t="s">
        <v>134</v>
      </c>
      <c r="B727" t="s">
        <v>80</v>
      </c>
      <c r="C727" s="36">
        <v>45274</v>
      </c>
      <c r="D727" t="s">
        <v>876</v>
      </c>
      <c r="E727" s="36">
        <v>45838</v>
      </c>
      <c r="F727" t="s">
        <v>104</v>
      </c>
      <c r="G727" s="36">
        <v>45834</v>
      </c>
      <c r="H727">
        <v>12</v>
      </c>
      <c r="I727" t="s">
        <v>2509</v>
      </c>
      <c r="J727">
        <v>3.1</v>
      </c>
      <c r="K727">
        <v>4.0999999999999996</v>
      </c>
      <c r="L727">
        <v>3</v>
      </c>
      <c r="M727">
        <v>0.10000000000000009</v>
      </c>
      <c r="N727">
        <v>0.10000000000000009</v>
      </c>
      <c r="O727">
        <v>-0.99999999999999956</v>
      </c>
      <c r="P727">
        <v>0.99999999999999956</v>
      </c>
      <c r="Q727">
        <v>0.99999999999999911</v>
      </c>
      <c r="R727">
        <v>0</v>
      </c>
      <c r="S727">
        <v>0</v>
      </c>
      <c r="T727" t="s">
        <v>183</v>
      </c>
      <c r="U727">
        <v>6.2</v>
      </c>
      <c r="V727">
        <v>3.2</v>
      </c>
      <c r="W727" t="s">
        <v>2496</v>
      </c>
      <c r="X727" t="s">
        <v>81</v>
      </c>
    </row>
    <row r="728" spans="1:24">
      <c r="A728" t="s">
        <v>134</v>
      </c>
      <c r="B728" t="s">
        <v>82</v>
      </c>
      <c r="C728" s="36">
        <v>45330</v>
      </c>
      <c r="D728" t="s">
        <v>876</v>
      </c>
      <c r="E728" s="36">
        <v>45838</v>
      </c>
      <c r="F728" t="s">
        <v>104</v>
      </c>
      <c r="G728" s="36">
        <v>45834</v>
      </c>
      <c r="H728">
        <v>11</v>
      </c>
      <c r="I728" t="s">
        <v>2506</v>
      </c>
      <c r="J728">
        <v>3.1</v>
      </c>
      <c r="K728">
        <v>4.0999999999999996</v>
      </c>
      <c r="L728">
        <v>3</v>
      </c>
      <c r="M728">
        <v>0.10000000000000009</v>
      </c>
      <c r="N728">
        <v>0.10000000000000009</v>
      </c>
      <c r="O728">
        <v>-0.99999999999999956</v>
      </c>
      <c r="P728">
        <v>0.99999999999999956</v>
      </c>
      <c r="Q728">
        <v>0.99999999999999911</v>
      </c>
      <c r="R728">
        <v>0</v>
      </c>
      <c r="S728">
        <v>0</v>
      </c>
      <c r="T728" t="s">
        <v>254</v>
      </c>
      <c r="U728">
        <v>5.3</v>
      </c>
      <c r="V728">
        <v>2.2999999999999998</v>
      </c>
      <c r="W728" t="s">
        <v>2496</v>
      </c>
      <c r="X728" t="s">
        <v>83</v>
      </c>
    </row>
    <row r="729" spans="1:24">
      <c r="A729" t="s">
        <v>134</v>
      </c>
      <c r="B729" t="s">
        <v>84</v>
      </c>
      <c r="C729" s="36">
        <v>45372</v>
      </c>
      <c r="D729" t="s">
        <v>876</v>
      </c>
      <c r="E729" s="36">
        <v>45838</v>
      </c>
      <c r="F729" t="s">
        <v>104</v>
      </c>
      <c r="G729" s="36">
        <v>45834</v>
      </c>
      <c r="H729">
        <v>10</v>
      </c>
      <c r="I729" t="s">
        <v>2507</v>
      </c>
      <c r="J729">
        <v>3.1</v>
      </c>
      <c r="K729">
        <v>4.0999999999999996</v>
      </c>
      <c r="L729">
        <v>3</v>
      </c>
      <c r="M729">
        <v>0.10000000000000009</v>
      </c>
      <c r="N729">
        <v>0.10000000000000009</v>
      </c>
      <c r="O729">
        <v>-0.99999999999999956</v>
      </c>
      <c r="P729">
        <v>0.99999999999999956</v>
      </c>
      <c r="Q729">
        <v>0.99999999999999911</v>
      </c>
      <c r="R729">
        <v>0</v>
      </c>
      <c r="S729">
        <v>0</v>
      </c>
      <c r="T729" t="s">
        <v>254</v>
      </c>
      <c r="U729">
        <v>5.3</v>
      </c>
      <c r="V729">
        <v>2.2999999999999998</v>
      </c>
      <c r="W729" t="s">
        <v>2496</v>
      </c>
      <c r="X729" t="s">
        <v>85</v>
      </c>
    </row>
    <row r="730" spans="1:24">
      <c r="A730" t="s">
        <v>134</v>
      </c>
      <c r="B730" t="s">
        <v>86</v>
      </c>
      <c r="C730" s="36">
        <v>45421</v>
      </c>
      <c r="D730" t="s">
        <v>876</v>
      </c>
      <c r="E730" s="36">
        <v>45838</v>
      </c>
      <c r="F730" t="s">
        <v>104</v>
      </c>
      <c r="G730" s="36">
        <v>45834</v>
      </c>
      <c r="H730">
        <v>9</v>
      </c>
      <c r="I730" t="s">
        <v>2504</v>
      </c>
      <c r="J730">
        <v>3.3</v>
      </c>
      <c r="K730">
        <v>4.0999999999999996</v>
      </c>
      <c r="L730">
        <v>3</v>
      </c>
      <c r="M730">
        <v>0.29999999999999982</v>
      </c>
      <c r="N730">
        <v>0.29999999999999982</v>
      </c>
      <c r="O730">
        <v>-0.79999999999999982</v>
      </c>
      <c r="P730">
        <v>0.79999999999999982</v>
      </c>
      <c r="Q730">
        <v>0.63999999999999968</v>
      </c>
      <c r="R730">
        <v>0.19999999999999973</v>
      </c>
      <c r="S730">
        <v>0.19999999999999973</v>
      </c>
      <c r="T730" t="s">
        <v>355</v>
      </c>
      <c r="U730">
        <v>4.7</v>
      </c>
      <c r="V730">
        <v>1.7000000000000002</v>
      </c>
      <c r="W730" t="s">
        <v>2496</v>
      </c>
      <c r="X730" t="s">
        <v>87</v>
      </c>
    </row>
    <row r="731" spans="1:24">
      <c r="A731" t="s">
        <v>134</v>
      </c>
      <c r="B731" t="s">
        <v>88</v>
      </c>
      <c r="C731" s="36">
        <v>45470</v>
      </c>
      <c r="D731" t="s">
        <v>876</v>
      </c>
      <c r="E731" s="36">
        <v>45838</v>
      </c>
      <c r="F731" t="s">
        <v>104</v>
      </c>
      <c r="G731" s="36">
        <v>45834</v>
      </c>
      <c r="H731">
        <v>8</v>
      </c>
      <c r="I731" t="s">
        <v>2505</v>
      </c>
      <c r="J731">
        <v>3.3</v>
      </c>
      <c r="K731">
        <v>4.0999999999999996</v>
      </c>
      <c r="L731">
        <v>3</v>
      </c>
      <c r="M731">
        <v>0.29999999999999982</v>
      </c>
      <c r="N731">
        <v>0.29999999999999982</v>
      </c>
      <c r="O731">
        <v>-0.79999999999999982</v>
      </c>
      <c r="P731">
        <v>0.79999999999999982</v>
      </c>
      <c r="Q731">
        <v>0.63999999999999968</v>
      </c>
      <c r="R731">
        <v>0</v>
      </c>
      <c r="S731">
        <v>0</v>
      </c>
      <c r="T731" t="s">
        <v>355</v>
      </c>
      <c r="U731">
        <v>4.7</v>
      </c>
      <c r="V731">
        <v>1.7000000000000002</v>
      </c>
      <c r="W731" t="s">
        <v>2496</v>
      </c>
      <c r="X731" t="s">
        <v>89</v>
      </c>
    </row>
    <row r="732" spans="1:24">
      <c r="A732" t="s">
        <v>134</v>
      </c>
      <c r="B732" t="s">
        <v>90</v>
      </c>
      <c r="C732" s="36">
        <v>45512</v>
      </c>
      <c r="D732" t="s">
        <v>876</v>
      </c>
      <c r="E732" s="36">
        <v>45838</v>
      </c>
      <c r="F732" t="s">
        <v>104</v>
      </c>
      <c r="G732" s="36">
        <v>45834</v>
      </c>
      <c r="H732">
        <v>7</v>
      </c>
      <c r="I732" t="s">
        <v>2502</v>
      </c>
      <c r="J732">
        <v>3.3</v>
      </c>
      <c r="K732">
        <v>4.0999999999999996</v>
      </c>
      <c r="L732">
        <v>3</v>
      </c>
      <c r="M732">
        <v>0.29999999999999982</v>
      </c>
      <c r="N732">
        <v>0.29999999999999982</v>
      </c>
      <c r="O732">
        <v>-0.79999999999999982</v>
      </c>
      <c r="P732">
        <v>0.79999999999999982</v>
      </c>
      <c r="Q732">
        <v>0.63999999999999968</v>
      </c>
      <c r="R732">
        <v>0</v>
      </c>
      <c r="S732">
        <v>0</v>
      </c>
      <c r="T732" t="s">
        <v>460</v>
      </c>
      <c r="U732">
        <v>4.2</v>
      </c>
      <c r="V732">
        <v>1.2000000000000002</v>
      </c>
      <c r="W732" t="s">
        <v>2496</v>
      </c>
      <c r="X732" t="s">
        <v>91</v>
      </c>
    </row>
    <row r="733" spans="1:24">
      <c r="A733" t="s">
        <v>134</v>
      </c>
      <c r="B733" t="s">
        <v>92</v>
      </c>
      <c r="C733" s="36">
        <v>45561</v>
      </c>
      <c r="D733" t="s">
        <v>876</v>
      </c>
      <c r="E733" s="36">
        <v>45838</v>
      </c>
      <c r="F733" t="s">
        <v>104</v>
      </c>
      <c r="G733" s="36">
        <v>45834</v>
      </c>
      <c r="H733">
        <v>6</v>
      </c>
      <c r="I733" t="s">
        <v>2503</v>
      </c>
      <c r="J733">
        <v>3.3</v>
      </c>
      <c r="K733">
        <v>4.0999999999999996</v>
      </c>
      <c r="L733">
        <v>3</v>
      </c>
      <c r="M733">
        <v>0.29999999999999982</v>
      </c>
      <c r="N733">
        <v>0.29999999999999982</v>
      </c>
      <c r="O733">
        <v>-0.79999999999999982</v>
      </c>
      <c r="P733">
        <v>0.79999999999999982</v>
      </c>
      <c r="Q733">
        <v>0.63999999999999968</v>
      </c>
      <c r="R733">
        <v>0</v>
      </c>
      <c r="S733">
        <v>0</v>
      </c>
      <c r="T733" t="s">
        <v>460</v>
      </c>
      <c r="U733">
        <v>4.2</v>
      </c>
      <c r="V733">
        <v>1.2000000000000002</v>
      </c>
      <c r="W733" t="s">
        <v>2496</v>
      </c>
      <c r="X733" t="s">
        <v>93</v>
      </c>
    </row>
    <row r="734" spans="1:24">
      <c r="A734" t="s">
        <v>134</v>
      </c>
      <c r="B734" t="s">
        <v>94</v>
      </c>
      <c r="C734" s="36">
        <v>45610</v>
      </c>
      <c r="D734" t="s">
        <v>876</v>
      </c>
      <c r="E734" s="36">
        <v>45838</v>
      </c>
      <c r="F734" t="s">
        <v>104</v>
      </c>
      <c r="G734" s="36">
        <v>45834</v>
      </c>
      <c r="H734">
        <v>5</v>
      </c>
      <c r="I734" t="s">
        <v>2500</v>
      </c>
      <c r="J734">
        <v>3.3</v>
      </c>
      <c r="K734">
        <v>4.0999999999999996</v>
      </c>
      <c r="L734">
        <v>3</v>
      </c>
      <c r="M734">
        <v>0.29999999999999982</v>
      </c>
      <c r="N734">
        <v>0.29999999999999982</v>
      </c>
      <c r="O734">
        <v>-0.79999999999999982</v>
      </c>
      <c r="P734">
        <v>0.79999999999999982</v>
      </c>
      <c r="Q734">
        <v>0.63999999999999968</v>
      </c>
      <c r="R734">
        <v>0</v>
      </c>
      <c r="S734">
        <v>0</v>
      </c>
      <c r="T734" t="s">
        <v>565</v>
      </c>
      <c r="U734">
        <v>4</v>
      </c>
      <c r="V734">
        <v>1</v>
      </c>
      <c r="W734" t="s">
        <v>2496</v>
      </c>
      <c r="X734" t="s">
        <v>95</v>
      </c>
    </row>
    <row r="735" spans="1:24">
      <c r="A735" t="s">
        <v>134</v>
      </c>
      <c r="B735" t="s">
        <v>96</v>
      </c>
      <c r="C735" s="36">
        <v>45645</v>
      </c>
      <c r="D735" t="s">
        <v>876</v>
      </c>
      <c r="E735" s="36">
        <v>45838</v>
      </c>
      <c r="F735" t="s">
        <v>104</v>
      </c>
      <c r="G735" s="36">
        <v>45834</v>
      </c>
      <c r="H735">
        <v>4</v>
      </c>
      <c r="I735" t="s">
        <v>2501</v>
      </c>
      <c r="J735">
        <v>3.5</v>
      </c>
      <c r="K735">
        <v>4.0999999999999996</v>
      </c>
      <c r="L735">
        <v>3</v>
      </c>
      <c r="M735">
        <v>0.5</v>
      </c>
      <c r="N735">
        <v>0.5</v>
      </c>
      <c r="O735">
        <v>-0.59999999999999964</v>
      </c>
      <c r="P735">
        <v>0.59999999999999964</v>
      </c>
      <c r="Q735">
        <v>0.3599999999999996</v>
      </c>
      <c r="R735">
        <v>0.20000000000000018</v>
      </c>
      <c r="S735">
        <v>0.20000000000000018</v>
      </c>
      <c r="T735" t="s">
        <v>565</v>
      </c>
      <c r="U735">
        <v>4</v>
      </c>
      <c r="V735">
        <v>1</v>
      </c>
      <c r="W735" t="s">
        <v>2496</v>
      </c>
      <c r="X735" t="s">
        <v>97</v>
      </c>
    </row>
    <row r="736" spans="1:24">
      <c r="A736" t="s">
        <v>134</v>
      </c>
      <c r="B736" t="s">
        <v>98</v>
      </c>
      <c r="C736" s="36">
        <v>45694</v>
      </c>
      <c r="D736" t="s">
        <v>876</v>
      </c>
      <c r="E736" s="36">
        <v>45838</v>
      </c>
      <c r="F736" t="s">
        <v>104</v>
      </c>
      <c r="G736" s="36">
        <v>45834</v>
      </c>
      <c r="H736">
        <v>3</v>
      </c>
      <c r="I736" t="s">
        <v>2498</v>
      </c>
      <c r="J736">
        <v>3.5</v>
      </c>
      <c r="K736">
        <v>4.0999999999999996</v>
      </c>
      <c r="L736">
        <v>3</v>
      </c>
      <c r="M736">
        <v>0.5</v>
      </c>
      <c r="N736">
        <v>0.5</v>
      </c>
      <c r="O736">
        <v>-0.59999999999999964</v>
      </c>
      <c r="P736">
        <v>0.59999999999999964</v>
      </c>
      <c r="Q736">
        <v>0.3599999999999996</v>
      </c>
      <c r="R736">
        <v>0</v>
      </c>
      <c r="S736">
        <v>0</v>
      </c>
      <c r="T736" t="s">
        <v>670</v>
      </c>
      <c r="U736">
        <v>3.7</v>
      </c>
      <c r="V736">
        <v>0.70000000000000018</v>
      </c>
      <c r="W736" t="s">
        <v>2496</v>
      </c>
      <c r="X736" t="s">
        <v>99</v>
      </c>
    </row>
    <row r="737" spans="1:24">
      <c r="A737" t="s">
        <v>134</v>
      </c>
      <c r="B737" t="s">
        <v>100</v>
      </c>
      <c r="C737" s="36">
        <v>45743</v>
      </c>
      <c r="D737" t="s">
        <v>876</v>
      </c>
      <c r="E737" s="36">
        <v>45838</v>
      </c>
      <c r="F737" t="s">
        <v>104</v>
      </c>
      <c r="G737" s="36">
        <v>45834</v>
      </c>
      <c r="H737">
        <v>2</v>
      </c>
      <c r="I737" t="s">
        <v>2499</v>
      </c>
      <c r="J737">
        <v>3.5</v>
      </c>
      <c r="K737">
        <v>4.0999999999999996</v>
      </c>
      <c r="L737">
        <v>3</v>
      </c>
      <c r="M737">
        <v>0.5</v>
      </c>
      <c r="N737">
        <v>0.5</v>
      </c>
      <c r="O737">
        <v>-0.59999999999999964</v>
      </c>
      <c r="P737">
        <v>0.59999999999999964</v>
      </c>
      <c r="Q737">
        <v>0.3599999999999996</v>
      </c>
      <c r="R737">
        <v>0</v>
      </c>
      <c r="S737">
        <v>0</v>
      </c>
      <c r="T737" t="s">
        <v>670</v>
      </c>
      <c r="U737">
        <v>3.7</v>
      </c>
      <c r="V737">
        <v>0.70000000000000018</v>
      </c>
      <c r="W737" t="s">
        <v>2496</v>
      </c>
      <c r="X737" t="s">
        <v>101</v>
      </c>
    </row>
    <row r="738" spans="1:24">
      <c r="A738" t="s">
        <v>134</v>
      </c>
      <c r="B738" t="s">
        <v>102</v>
      </c>
      <c r="C738" s="36">
        <v>45792</v>
      </c>
      <c r="D738" t="s">
        <v>876</v>
      </c>
      <c r="E738" s="36">
        <v>45838</v>
      </c>
      <c r="F738" t="s">
        <v>104</v>
      </c>
      <c r="G738" s="36">
        <v>45834</v>
      </c>
      <c r="H738">
        <v>1</v>
      </c>
      <c r="I738" t="s">
        <v>2495</v>
      </c>
      <c r="J738">
        <v>3.9</v>
      </c>
      <c r="K738">
        <v>4.0999999999999996</v>
      </c>
      <c r="L738">
        <v>3</v>
      </c>
      <c r="M738">
        <v>0.89999999999999991</v>
      </c>
      <c r="N738">
        <v>0.89999999999999991</v>
      </c>
      <c r="O738">
        <v>-0.19999999999999973</v>
      </c>
      <c r="P738">
        <v>0.19999999999999973</v>
      </c>
      <c r="Q738">
        <v>3.9999999999999897E-2</v>
      </c>
      <c r="R738">
        <v>0.39999999999999991</v>
      </c>
      <c r="S738">
        <v>0.39999999999999991</v>
      </c>
      <c r="T738" t="s">
        <v>771</v>
      </c>
      <c r="U738">
        <v>3.6</v>
      </c>
      <c r="V738">
        <v>0.60000000000000009</v>
      </c>
      <c r="W738" t="s">
        <v>2496</v>
      </c>
      <c r="X738" t="s">
        <v>103</v>
      </c>
    </row>
    <row r="739" spans="1:24">
      <c r="A739" t="s">
        <v>134</v>
      </c>
      <c r="B739" t="s">
        <v>104</v>
      </c>
      <c r="C739" s="36">
        <v>45834</v>
      </c>
      <c r="D739" t="s">
        <v>876</v>
      </c>
      <c r="E739" s="36">
        <v>45838</v>
      </c>
      <c r="F739" t="s">
        <v>104</v>
      </c>
      <c r="G739" s="36">
        <v>45834</v>
      </c>
      <c r="H739">
        <v>0</v>
      </c>
      <c r="I739" t="s">
        <v>2497</v>
      </c>
      <c r="J739">
        <v>4.0999999999999996</v>
      </c>
      <c r="K739">
        <v>4.0999999999999996</v>
      </c>
      <c r="L739">
        <v>3</v>
      </c>
      <c r="M739">
        <v>1.0999999999999996</v>
      </c>
      <c r="N739">
        <v>1.0999999999999996</v>
      </c>
      <c r="O739">
        <v>0</v>
      </c>
      <c r="P739">
        <v>0</v>
      </c>
      <c r="Q739">
        <v>0</v>
      </c>
      <c r="R739">
        <v>0.19999999999999973</v>
      </c>
      <c r="S739">
        <v>0.19999999999999973</v>
      </c>
      <c r="T739" t="s">
        <v>771</v>
      </c>
      <c r="U739">
        <v>3.6</v>
      </c>
      <c r="V739">
        <v>0.60000000000000009</v>
      </c>
      <c r="W739" t="s">
        <v>2496</v>
      </c>
      <c r="X739" t="s">
        <v>105</v>
      </c>
    </row>
    <row r="740" spans="1:24">
      <c r="A740" t="s">
        <v>134</v>
      </c>
      <c r="B740" t="s">
        <v>76</v>
      </c>
      <c r="C740" s="36">
        <v>45197</v>
      </c>
      <c r="D740" t="s">
        <v>981</v>
      </c>
      <c r="E740" s="36">
        <v>45930</v>
      </c>
      <c r="F740" t="s">
        <v>108</v>
      </c>
      <c r="G740" s="36">
        <v>45925</v>
      </c>
      <c r="H740">
        <v>16</v>
      </c>
      <c r="I740" t="s">
        <v>2512</v>
      </c>
      <c r="J740">
        <v>3.1</v>
      </c>
      <c r="K740">
        <v>4.2</v>
      </c>
      <c r="L740">
        <v>3</v>
      </c>
      <c r="M740">
        <v>0.10000000000000009</v>
      </c>
      <c r="N740">
        <v>0.10000000000000009</v>
      </c>
      <c r="O740">
        <v>-1.1000000000000001</v>
      </c>
      <c r="P740">
        <v>1.1000000000000001</v>
      </c>
      <c r="Q740">
        <v>1.2100000000000002</v>
      </c>
      <c r="T740" t="s">
        <v>160</v>
      </c>
      <c r="U740">
        <v>7.3</v>
      </c>
      <c r="V740">
        <v>4.3</v>
      </c>
      <c r="W740" t="s">
        <v>2496</v>
      </c>
      <c r="X740" t="s">
        <v>77</v>
      </c>
    </row>
    <row r="741" spans="1:24">
      <c r="A741" t="s">
        <v>134</v>
      </c>
      <c r="B741" t="s">
        <v>78</v>
      </c>
      <c r="C741" s="36">
        <v>45239</v>
      </c>
      <c r="D741" t="s">
        <v>981</v>
      </c>
      <c r="E741" s="36">
        <v>45930</v>
      </c>
      <c r="F741" t="s">
        <v>108</v>
      </c>
      <c r="G741" s="36">
        <v>45925</v>
      </c>
      <c r="H741">
        <v>15</v>
      </c>
      <c r="I741" t="s">
        <v>2510</v>
      </c>
      <c r="J741">
        <v>3.1</v>
      </c>
      <c r="K741">
        <v>4.2</v>
      </c>
      <c r="L741">
        <v>3</v>
      </c>
      <c r="M741">
        <v>0.10000000000000009</v>
      </c>
      <c r="N741">
        <v>0.10000000000000009</v>
      </c>
      <c r="O741">
        <v>-1.1000000000000001</v>
      </c>
      <c r="P741">
        <v>1.1000000000000001</v>
      </c>
      <c r="Q741">
        <v>1.2100000000000002</v>
      </c>
      <c r="R741">
        <v>0</v>
      </c>
      <c r="S741">
        <v>0</v>
      </c>
      <c r="T741" t="s">
        <v>183</v>
      </c>
      <c r="U741">
        <v>6.2</v>
      </c>
      <c r="V741">
        <v>3.2</v>
      </c>
      <c r="W741" t="s">
        <v>2496</v>
      </c>
      <c r="X741" t="s">
        <v>79</v>
      </c>
    </row>
    <row r="742" spans="1:24">
      <c r="A742" t="s">
        <v>134</v>
      </c>
      <c r="B742" t="s">
        <v>80</v>
      </c>
      <c r="C742" s="36">
        <v>45274</v>
      </c>
      <c r="D742" t="s">
        <v>981</v>
      </c>
      <c r="E742" s="36">
        <v>45930</v>
      </c>
      <c r="F742" t="s">
        <v>108</v>
      </c>
      <c r="G742" s="36">
        <v>45925</v>
      </c>
      <c r="H742">
        <v>14</v>
      </c>
      <c r="I742" t="s">
        <v>2511</v>
      </c>
      <c r="J742">
        <v>3.1</v>
      </c>
      <c r="K742">
        <v>4.2</v>
      </c>
      <c r="L742">
        <v>3</v>
      </c>
      <c r="M742">
        <v>0.10000000000000009</v>
      </c>
      <c r="N742">
        <v>0.10000000000000009</v>
      </c>
      <c r="O742">
        <v>-1.1000000000000001</v>
      </c>
      <c r="P742">
        <v>1.1000000000000001</v>
      </c>
      <c r="Q742">
        <v>1.2100000000000002</v>
      </c>
      <c r="R742">
        <v>0</v>
      </c>
      <c r="S742">
        <v>0</v>
      </c>
      <c r="T742" t="s">
        <v>183</v>
      </c>
      <c r="U742">
        <v>6.2</v>
      </c>
      <c r="V742">
        <v>3.2</v>
      </c>
      <c r="W742" t="s">
        <v>2496</v>
      </c>
      <c r="X742" t="s">
        <v>81</v>
      </c>
    </row>
    <row r="743" spans="1:24">
      <c r="A743" t="s">
        <v>134</v>
      </c>
      <c r="B743" t="s">
        <v>82</v>
      </c>
      <c r="C743" s="36">
        <v>45330</v>
      </c>
      <c r="D743" t="s">
        <v>981</v>
      </c>
      <c r="E743" s="36">
        <v>45930</v>
      </c>
      <c r="F743" t="s">
        <v>108</v>
      </c>
      <c r="G743" s="36">
        <v>45925</v>
      </c>
      <c r="H743">
        <v>13</v>
      </c>
      <c r="I743" t="s">
        <v>2508</v>
      </c>
      <c r="J743">
        <v>3.1</v>
      </c>
      <c r="K743">
        <v>4.2</v>
      </c>
      <c r="L743">
        <v>3</v>
      </c>
      <c r="M743">
        <v>0.10000000000000009</v>
      </c>
      <c r="N743">
        <v>0.10000000000000009</v>
      </c>
      <c r="O743">
        <v>-1.1000000000000001</v>
      </c>
      <c r="P743">
        <v>1.1000000000000001</v>
      </c>
      <c r="Q743">
        <v>1.2100000000000002</v>
      </c>
      <c r="R743">
        <v>0</v>
      </c>
      <c r="S743">
        <v>0</v>
      </c>
      <c r="T743" t="s">
        <v>254</v>
      </c>
      <c r="U743">
        <v>5.3</v>
      </c>
      <c r="V743">
        <v>2.2999999999999998</v>
      </c>
      <c r="W743" t="s">
        <v>2496</v>
      </c>
      <c r="X743" t="s">
        <v>83</v>
      </c>
    </row>
    <row r="744" spans="1:24">
      <c r="A744" t="s">
        <v>134</v>
      </c>
      <c r="B744" t="s">
        <v>84</v>
      </c>
      <c r="C744" s="36">
        <v>45372</v>
      </c>
      <c r="D744" t="s">
        <v>981</v>
      </c>
      <c r="E744" s="36">
        <v>45930</v>
      </c>
      <c r="F744" t="s">
        <v>108</v>
      </c>
      <c r="G744" s="36">
        <v>45925</v>
      </c>
      <c r="H744">
        <v>12</v>
      </c>
      <c r="I744" t="s">
        <v>2509</v>
      </c>
      <c r="J744">
        <v>3.1</v>
      </c>
      <c r="K744">
        <v>4.2</v>
      </c>
      <c r="L744">
        <v>3</v>
      </c>
      <c r="M744">
        <v>0.10000000000000009</v>
      </c>
      <c r="N744">
        <v>0.10000000000000009</v>
      </c>
      <c r="O744">
        <v>-1.1000000000000001</v>
      </c>
      <c r="P744">
        <v>1.1000000000000001</v>
      </c>
      <c r="Q744">
        <v>1.2100000000000002</v>
      </c>
      <c r="R744">
        <v>0</v>
      </c>
      <c r="S744">
        <v>0</v>
      </c>
      <c r="T744" t="s">
        <v>254</v>
      </c>
      <c r="U744">
        <v>5.3</v>
      </c>
      <c r="V744">
        <v>2.2999999999999998</v>
      </c>
      <c r="W744" t="s">
        <v>2496</v>
      </c>
      <c r="X744" t="s">
        <v>85</v>
      </c>
    </row>
    <row r="745" spans="1:24">
      <c r="A745" t="s">
        <v>134</v>
      </c>
      <c r="B745" t="s">
        <v>86</v>
      </c>
      <c r="C745" s="36">
        <v>45421</v>
      </c>
      <c r="D745" t="s">
        <v>981</v>
      </c>
      <c r="E745" s="36">
        <v>45930</v>
      </c>
      <c r="F745" t="s">
        <v>108</v>
      </c>
      <c r="G745" s="36">
        <v>45925</v>
      </c>
      <c r="H745">
        <v>11</v>
      </c>
      <c r="I745" t="s">
        <v>2506</v>
      </c>
      <c r="J745">
        <v>3.2</v>
      </c>
      <c r="K745">
        <v>4.2</v>
      </c>
      <c r="L745">
        <v>3</v>
      </c>
      <c r="M745">
        <v>0.20000000000000018</v>
      </c>
      <c r="N745">
        <v>0.20000000000000018</v>
      </c>
      <c r="O745">
        <v>-1</v>
      </c>
      <c r="P745">
        <v>1</v>
      </c>
      <c r="Q745">
        <v>1</v>
      </c>
      <c r="R745">
        <v>0.10000000000000009</v>
      </c>
      <c r="S745">
        <v>0.10000000000000009</v>
      </c>
      <c r="T745" t="s">
        <v>355</v>
      </c>
      <c r="U745">
        <v>4.7</v>
      </c>
      <c r="V745">
        <v>1.7000000000000002</v>
      </c>
      <c r="W745" t="s">
        <v>2496</v>
      </c>
      <c r="X745" t="s">
        <v>87</v>
      </c>
    </row>
    <row r="746" spans="1:24">
      <c r="A746" t="s">
        <v>134</v>
      </c>
      <c r="B746" t="s">
        <v>88</v>
      </c>
      <c r="C746" s="36">
        <v>45470</v>
      </c>
      <c r="D746" t="s">
        <v>981</v>
      </c>
      <c r="E746" s="36">
        <v>45930</v>
      </c>
      <c r="F746" t="s">
        <v>108</v>
      </c>
      <c r="G746" s="36">
        <v>45925</v>
      </c>
      <c r="H746">
        <v>10</v>
      </c>
      <c r="I746" t="s">
        <v>2507</v>
      </c>
      <c r="J746">
        <v>3.1</v>
      </c>
      <c r="K746">
        <v>4.2</v>
      </c>
      <c r="L746">
        <v>3</v>
      </c>
      <c r="M746">
        <v>0.10000000000000009</v>
      </c>
      <c r="N746">
        <v>0.10000000000000009</v>
      </c>
      <c r="O746">
        <v>-1.1000000000000001</v>
      </c>
      <c r="P746">
        <v>1.1000000000000001</v>
      </c>
      <c r="Q746">
        <v>1.2100000000000002</v>
      </c>
      <c r="R746">
        <v>-0.10000000000000009</v>
      </c>
      <c r="S746">
        <v>0.10000000000000009</v>
      </c>
      <c r="T746" t="s">
        <v>355</v>
      </c>
      <c r="U746">
        <v>4.7</v>
      </c>
      <c r="V746">
        <v>1.7000000000000002</v>
      </c>
      <c r="W746" t="s">
        <v>2496</v>
      </c>
      <c r="X746" t="s">
        <v>89</v>
      </c>
    </row>
    <row r="747" spans="1:24">
      <c r="A747" t="s">
        <v>134</v>
      </c>
      <c r="B747" t="s">
        <v>90</v>
      </c>
      <c r="C747" s="36">
        <v>45512</v>
      </c>
      <c r="D747" t="s">
        <v>981</v>
      </c>
      <c r="E747" s="36">
        <v>45930</v>
      </c>
      <c r="F747" t="s">
        <v>108</v>
      </c>
      <c r="G747" s="36">
        <v>45925</v>
      </c>
      <c r="H747">
        <v>9</v>
      </c>
      <c r="I747" t="s">
        <v>2504</v>
      </c>
      <c r="J747">
        <v>3.1</v>
      </c>
      <c r="K747">
        <v>4.2</v>
      </c>
      <c r="L747">
        <v>3</v>
      </c>
      <c r="M747">
        <v>0.10000000000000009</v>
      </c>
      <c r="N747">
        <v>0.10000000000000009</v>
      </c>
      <c r="O747">
        <v>-1.1000000000000001</v>
      </c>
      <c r="P747">
        <v>1.1000000000000001</v>
      </c>
      <c r="Q747">
        <v>1.2100000000000002</v>
      </c>
      <c r="R747">
        <v>0</v>
      </c>
      <c r="S747">
        <v>0</v>
      </c>
      <c r="T747" t="s">
        <v>460</v>
      </c>
      <c r="U747">
        <v>4.2</v>
      </c>
      <c r="V747">
        <v>1.2000000000000002</v>
      </c>
      <c r="W747" t="s">
        <v>2496</v>
      </c>
      <c r="X747" t="s">
        <v>91</v>
      </c>
    </row>
    <row r="748" spans="1:24">
      <c r="A748" t="s">
        <v>134</v>
      </c>
      <c r="B748" t="s">
        <v>92</v>
      </c>
      <c r="C748" s="36">
        <v>45561</v>
      </c>
      <c r="D748" t="s">
        <v>981</v>
      </c>
      <c r="E748" s="36">
        <v>45930</v>
      </c>
      <c r="F748" t="s">
        <v>108</v>
      </c>
      <c r="G748" s="36">
        <v>45925</v>
      </c>
      <c r="H748">
        <v>8</v>
      </c>
      <c r="I748" t="s">
        <v>2505</v>
      </c>
      <c r="J748">
        <v>3.1</v>
      </c>
      <c r="K748">
        <v>4.2</v>
      </c>
      <c r="L748">
        <v>3</v>
      </c>
      <c r="M748">
        <v>0.10000000000000009</v>
      </c>
      <c r="N748">
        <v>0.10000000000000009</v>
      </c>
      <c r="O748">
        <v>-1.1000000000000001</v>
      </c>
      <c r="P748">
        <v>1.1000000000000001</v>
      </c>
      <c r="Q748">
        <v>1.2100000000000002</v>
      </c>
      <c r="R748">
        <v>0</v>
      </c>
      <c r="S748">
        <v>0</v>
      </c>
      <c r="T748" t="s">
        <v>460</v>
      </c>
      <c r="U748">
        <v>4.2</v>
      </c>
      <c r="V748">
        <v>1.2000000000000002</v>
      </c>
      <c r="W748" t="s">
        <v>2496</v>
      </c>
      <c r="X748" t="s">
        <v>93</v>
      </c>
    </row>
    <row r="749" spans="1:24">
      <c r="A749" t="s">
        <v>134</v>
      </c>
      <c r="B749" t="s">
        <v>94</v>
      </c>
      <c r="C749" s="36">
        <v>45610</v>
      </c>
      <c r="D749" t="s">
        <v>981</v>
      </c>
      <c r="E749" s="36">
        <v>45930</v>
      </c>
      <c r="F749" t="s">
        <v>108</v>
      </c>
      <c r="G749" s="36">
        <v>45925</v>
      </c>
      <c r="H749">
        <v>7</v>
      </c>
      <c r="I749" t="s">
        <v>2502</v>
      </c>
      <c r="J749">
        <v>3.1</v>
      </c>
      <c r="K749">
        <v>4.2</v>
      </c>
      <c r="L749">
        <v>3</v>
      </c>
      <c r="M749">
        <v>0.10000000000000009</v>
      </c>
      <c r="N749">
        <v>0.10000000000000009</v>
      </c>
      <c r="O749">
        <v>-1.1000000000000001</v>
      </c>
      <c r="P749">
        <v>1.1000000000000001</v>
      </c>
      <c r="Q749">
        <v>1.2100000000000002</v>
      </c>
      <c r="R749">
        <v>0</v>
      </c>
      <c r="S749">
        <v>0</v>
      </c>
      <c r="T749" t="s">
        <v>565</v>
      </c>
      <c r="U749">
        <v>4</v>
      </c>
      <c r="V749">
        <v>1</v>
      </c>
      <c r="W749" t="s">
        <v>2496</v>
      </c>
      <c r="X749" t="s">
        <v>95</v>
      </c>
    </row>
    <row r="750" spans="1:24">
      <c r="A750" t="s">
        <v>134</v>
      </c>
      <c r="B750" t="s">
        <v>96</v>
      </c>
      <c r="C750" s="36">
        <v>45645</v>
      </c>
      <c r="D750" t="s">
        <v>981</v>
      </c>
      <c r="E750" s="36">
        <v>45930</v>
      </c>
      <c r="F750" t="s">
        <v>108</v>
      </c>
      <c r="G750" s="36">
        <v>45925</v>
      </c>
      <c r="H750">
        <v>6</v>
      </c>
      <c r="I750" t="s">
        <v>2503</v>
      </c>
      <c r="J750">
        <v>3.4</v>
      </c>
      <c r="K750">
        <v>4.2</v>
      </c>
      <c r="L750">
        <v>3</v>
      </c>
      <c r="M750">
        <v>0.39999999999999991</v>
      </c>
      <c r="N750">
        <v>0.39999999999999991</v>
      </c>
      <c r="O750">
        <v>-0.80000000000000027</v>
      </c>
      <c r="P750">
        <v>0.80000000000000027</v>
      </c>
      <c r="Q750">
        <v>0.64000000000000046</v>
      </c>
      <c r="R750">
        <v>0.29999999999999982</v>
      </c>
      <c r="S750">
        <v>0.29999999999999982</v>
      </c>
      <c r="T750" t="s">
        <v>565</v>
      </c>
      <c r="U750">
        <v>4</v>
      </c>
      <c r="V750">
        <v>1</v>
      </c>
      <c r="W750" t="s">
        <v>2496</v>
      </c>
      <c r="X750" t="s">
        <v>97</v>
      </c>
    </row>
    <row r="751" spans="1:24">
      <c r="A751" t="s">
        <v>134</v>
      </c>
      <c r="B751" t="s">
        <v>98</v>
      </c>
      <c r="C751" s="36">
        <v>45694</v>
      </c>
      <c r="D751" t="s">
        <v>981</v>
      </c>
      <c r="E751" s="36">
        <v>45930</v>
      </c>
      <c r="F751" t="s">
        <v>108</v>
      </c>
      <c r="G751" s="36">
        <v>45925</v>
      </c>
      <c r="H751">
        <v>5</v>
      </c>
      <c r="I751" t="s">
        <v>2500</v>
      </c>
      <c r="J751">
        <v>3.4</v>
      </c>
      <c r="K751">
        <v>4.2</v>
      </c>
      <c r="L751">
        <v>3</v>
      </c>
      <c r="M751">
        <v>0.39999999999999991</v>
      </c>
      <c r="N751">
        <v>0.39999999999999991</v>
      </c>
      <c r="O751">
        <v>-0.80000000000000027</v>
      </c>
      <c r="P751">
        <v>0.80000000000000027</v>
      </c>
      <c r="Q751">
        <v>0.64000000000000046</v>
      </c>
      <c r="R751">
        <v>0</v>
      </c>
      <c r="S751">
        <v>0</v>
      </c>
      <c r="T751" t="s">
        <v>670</v>
      </c>
      <c r="U751">
        <v>3.7</v>
      </c>
      <c r="V751">
        <v>0.70000000000000018</v>
      </c>
      <c r="W751" t="s">
        <v>2496</v>
      </c>
      <c r="X751" t="s">
        <v>99</v>
      </c>
    </row>
    <row r="752" spans="1:24">
      <c r="A752" t="s">
        <v>134</v>
      </c>
      <c r="B752" t="s">
        <v>100</v>
      </c>
      <c r="C752" s="36">
        <v>45743</v>
      </c>
      <c r="D752" t="s">
        <v>981</v>
      </c>
      <c r="E752" s="36">
        <v>45930</v>
      </c>
      <c r="F752" t="s">
        <v>108</v>
      </c>
      <c r="G752" s="36">
        <v>45925</v>
      </c>
      <c r="H752">
        <v>4</v>
      </c>
      <c r="I752" t="s">
        <v>2501</v>
      </c>
      <c r="J752">
        <v>3.4</v>
      </c>
      <c r="K752">
        <v>4.2</v>
      </c>
      <c r="L752">
        <v>3</v>
      </c>
      <c r="M752">
        <v>0.39999999999999991</v>
      </c>
      <c r="N752">
        <v>0.39999999999999991</v>
      </c>
      <c r="O752">
        <v>-0.80000000000000027</v>
      </c>
      <c r="P752">
        <v>0.80000000000000027</v>
      </c>
      <c r="Q752">
        <v>0.64000000000000046</v>
      </c>
      <c r="R752">
        <v>0</v>
      </c>
      <c r="S752">
        <v>0</v>
      </c>
      <c r="T752" t="s">
        <v>670</v>
      </c>
      <c r="U752">
        <v>3.7</v>
      </c>
      <c r="V752">
        <v>0.70000000000000018</v>
      </c>
      <c r="W752" t="s">
        <v>2496</v>
      </c>
      <c r="X752" t="s">
        <v>101</v>
      </c>
    </row>
    <row r="753" spans="1:24">
      <c r="A753" t="s">
        <v>134</v>
      </c>
      <c r="B753" t="s">
        <v>102</v>
      </c>
      <c r="C753" s="36">
        <v>45792</v>
      </c>
      <c r="D753" t="s">
        <v>981</v>
      </c>
      <c r="E753" s="36">
        <v>45930</v>
      </c>
      <c r="F753" t="s">
        <v>108</v>
      </c>
      <c r="G753" s="36">
        <v>45925</v>
      </c>
      <c r="H753">
        <v>3</v>
      </c>
      <c r="I753" t="s">
        <v>2498</v>
      </c>
      <c r="J753">
        <v>3.6</v>
      </c>
      <c r="K753">
        <v>4.2</v>
      </c>
      <c r="L753">
        <v>3</v>
      </c>
      <c r="M753">
        <v>0.60000000000000009</v>
      </c>
      <c r="N753">
        <v>0.60000000000000009</v>
      </c>
      <c r="O753">
        <v>-0.60000000000000009</v>
      </c>
      <c r="P753">
        <v>0.60000000000000009</v>
      </c>
      <c r="Q753">
        <v>0.3600000000000001</v>
      </c>
      <c r="R753">
        <v>0.20000000000000018</v>
      </c>
      <c r="S753">
        <v>0.20000000000000018</v>
      </c>
      <c r="T753" t="s">
        <v>771</v>
      </c>
      <c r="U753">
        <v>3.6</v>
      </c>
      <c r="V753">
        <v>0.60000000000000009</v>
      </c>
      <c r="W753" t="s">
        <v>2496</v>
      </c>
      <c r="X753" t="s">
        <v>103</v>
      </c>
    </row>
    <row r="754" spans="1:24">
      <c r="A754" t="s">
        <v>134</v>
      </c>
      <c r="B754" t="s">
        <v>104</v>
      </c>
      <c r="C754" s="36">
        <v>45834</v>
      </c>
      <c r="D754" t="s">
        <v>981</v>
      </c>
      <c r="E754" s="36">
        <v>45930</v>
      </c>
      <c r="F754" t="s">
        <v>108</v>
      </c>
      <c r="G754" s="36">
        <v>45925</v>
      </c>
      <c r="H754">
        <v>2</v>
      </c>
      <c r="I754" t="s">
        <v>2499</v>
      </c>
      <c r="J754">
        <v>3.8</v>
      </c>
      <c r="K754">
        <v>4.2</v>
      </c>
      <c r="L754">
        <v>3</v>
      </c>
      <c r="M754">
        <v>0.79999999999999982</v>
      </c>
      <c r="N754">
        <v>0.79999999999999982</v>
      </c>
      <c r="O754">
        <v>-0.40000000000000036</v>
      </c>
      <c r="P754">
        <v>0.40000000000000036</v>
      </c>
      <c r="Q754">
        <v>0.16000000000000028</v>
      </c>
      <c r="R754">
        <v>0.19999999999999973</v>
      </c>
      <c r="S754">
        <v>0.19999999999999973</v>
      </c>
      <c r="T754" t="s">
        <v>771</v>
      </c>
      <c r="U754">
        <v>3.6</v>
      </c>
      <c r="V754">
        <v>0.60000000000000009</v>
      </c>
      <c r="W754" t="s">
        <v>2496</v>
      </c>
      <c r="X754" t="s">
        <v>105</v>
      </c>
    </row>
    <row r="755" spans="1:24">
      <c r="A755" t="s">
        <v>134</v>
      </c>
      <c r="B755" t="s">
        <v>106</v>
      </c>
      <c r="C755" s="36">
        <v>45876</v>
      </c>
      <c r="D755" t="s">
        <v>981</v>
      </c>
      <c r="E755" s="36">
        <v>45930</v>
      </c>
      <c r="F755" t="s">
        <v>108</v>
      </c>
      <c r="G755" s="36">
        <v>45925</v>
      </c>
      <c r="H755">
        <v>1</v>
      </c>
      <c r="I755" t="s">
        <v>2495</v>
      </c>
      <c r="J755">
        <v>4.0999999999999996</v>
      </c>
      <c r="K755">
        <v>4.2</v>
      </c>
      <c r="L755">
        <v>3</v>
      </c>
      <c r="M755">
        <v>1.0999999999999996</v>
      </c>
      <c r="N755">
        <v>1.0999999999999996</v>
      </c>
      <c r="O755">
        <v>-0.10000000000000053</v>
      </c>
      <c r="P755">
        <v>0.10000000000000053</v>
      </c>
      <c r="Q755">
        <v>1.0000000000000106E-2</v>
      </c>
      <c r="R755">
        <v>0.29999999999999982</v>
      </c>
      <c r="S755">
        <v>0.29999999999999982</v>
      </c>
      <c r="T755" t="s">
        <v>876</v>
      </c>
      <c r="U755">
        <v>4.0999999999999996</v>
      </c>
      <c r="V755">
        <v>1.0999999999999996</v>
      </c>
      <c r="W755" t="s">
        <v>2496</v>
      </c>
      <c r="X755" t="s">
        <v>107</v>
      </c>
    </row>
    <row r="756" spans="1:24">
      <c r="A756" t="s">
        <v>134</v>
      </c>
      <c r="B756" t="s">
        <v>108</v>
      </c>
      <c r="C756" s="36">
        <v>45925</v>
      </c>
      <c r="D756" t="s">
        <v>981</v>
      </c>
      <c r="E756" s="36">
        <v>45930</v>
      </c>
      <c r="F756" t="s">
        <v>108</v>
      </c>
      <c r="G756" s="36">
        <v>45925</v>
      </c>
      <c r="H756">
        <v>0</v>
      </c>
      <c r="I756" t="s">
        <v>2497</v>
      </c>
      <c r="J756">
        <v>4.2</v>
      </c>
      <c r="K756">
        <v>4.2</v>
      </c>
      <c r="L756">
        <v>3</v>
      </c>
      <c r="M756">
        <v>1.2000000000000002</v>
      </c>
      <c r="N756">
        <v>1.2000000000000002</v>
      </c>
      <c r="O756">
        <v>0</v>
      </c>
      <c r="P756">
        <v>0</v>
      </c>
      <c r="Q756">
        <v>0</v>
      </c>
      <c r="R756">
        <v>0.10000000000000053</v>
      </c>
      <c r="S756">
        <v>0.10000000000000053</v>
      </c>
      <c r="T756" t="s">
        <v>876</v>
      </c>
      <c r="U756">
        <v>4.0999999999999996</v>
      </c>
      <c r="V756">
        <v>1.0999999999999996</v>
      </c>
      <c r="W756" t="s">
        <v>2496</v>
      </c>
      <c r="X756" t="s">
        <v>109</v>
      </c>
    </row>
    <row r="757" spans="1:24">
      <c r="A757" t="s">
        <v>134</v>
      </c>
      <c r="B757" t="s">
        <v>80</v>
      </c>
      <c r="C757" s="36">
        <v>45274</v>
      </c>
      <c r="D757" t="s">
        <v>1086</v>
      </c>
      <c r="E757" s="36">
        <v>46022</v>
      </c>
      <c r="F757" t="s">
        <v>112</v>
      </c>
      <c r="G757" s="36">
        <v>46009</v>
      </c>
      <c r="H757">
        <v>16</v>
      </c>
      <c r="I757" t="s">
        <v>2512</v>
      </c>
      <c r="J757">
        <v>3.1</v>
      </c>
      <c r="K757">
        <v>4.3</v>
      </c>
      <c r="L757">
        <v>3</v>
      </c>
      <c r="M757">
        <v>0.10000000000000009</v>
      </c>
      <c r="N757">
        <v>0.10000000000000009</v>
      </c>
      <c r="O757">
        <v>-1.1999999999999997</v>
      </c>
      <c r="P757">
        <v>1.1999999999999997</v>
      </c>
      <c r="Q757">
        <v>1.4399999999999993</v>
      </c>
      <c r="T757" t="s">
        <v>183</v>
      </c>
      <c r="U757">
        <v>6.2</v>
      </c>
      <c r="V757">
        <v>3.2</v>
      </c>
      <c r="W757" t="s">
        <v>2496</v>
      </c>
      <c r="X757" t="s">
        <v>81</v>
      </c>
    </row>
    <row r="758" spans="1:24">
      <c r="A758" t="s">
        <v>134</v>
      </c>
      <c r="B758" t="s">
        <v>82</v>
      </c>
      <c r="C758" s="36">
        <v>45330</v>
      </c>
      <c r="D758" t="s">
        <v>1086</v>
      </c>
      <c r="E758" s="36">
        <v>46022</v>
      </c>
      <c r="F758" t="s">
        <v>112</v>
      </c>
      <c r="G758" s="36">
        <v>46009</v>
      </c>
      <c r="H758">
        <v>15</v>
      </c>
      <c r="I758" t="s">
        <v>2510</v>
      </c>
      <c r="J758">
        <v>3.1</v>
      </c>
      <c r="K758">
        <v>4.3</v>
      </c>
      <c r="L758">
        <v>3</v>
      </c>
      <c r="M758">
        <v>0.10000000000000009</v>
      </c>
      <c r="N758">
        <v>0.10000000000000009</v>
      </c>
      <c r="O758">
        <v>-1.1999999999999997</v>
      </c>
      <c r="P758">
        <v>1.1999999999999997</v>
      </c>
      <c r="Q758">
        <v>1.4399999999999993</v>
      </c>
      <c r="R758">
        <v>0</v>
      </c>
      <c r="S758">
        <v>0</v>
      </c>
      <c r="T758" t="s">
        <v>254</v>
      </c>
      <c r="U758">
        <v>5.3</v>
      </c>
      <c r="V758">
        <v>2.2999999999999998</v>
      </c>
      <c r="W758" t="s">
        <v>2496</v>
      </c>
      <c r="X758" t="s">
        <v>83</v>
      </c>
    </row>
    <row r="759" spans="1:24">
      <c r="A759" t="s">
        <v>134</v>
      </c>
      <c r="B759" t="s">
        <v>84</v>
      </c>
      <c r="C759" s="36">
        <v>45372</v>
      </c>
      <c r="D759" t="s">
        <v>1086</v>
      </c>
      <c r="E759" s="36">
        <v>46022</v>
      </c>
      <c r="F759" t="s">
        <v>112</v>
      </c>
      <c r="G759" s="36">
        <v>46009</v>
      </c>
      <c r="H759">
        <v>14</v>
      </c>
      <c r="I759" t="s">
        <v>2511</v>
      </c>
      <c r="J759">
        <v>3.1</v>
      </c>
      <c r="K759">
        <v>4.3</v>
      </c>
      <c r="L759">
        <v>3</v>
      </c>
      <c r="M759">
        <v>0.10000000000000009</v>
      </c>
      <c r="N759">
        <v>0.10000000000000009</v>
      </c>
      <c r="O759">
        <v>-1.1999999999999997</v>
      </c>
      <c r="P759">
        <v>1.1999999999999997</v>
      </c>
      <c r="Q759">
        <v>1.4399999999999993</v>
      </c>
      <c r="R759">
        <v>0</v>
      </c>
      <c r="S759">
        <v>0</v>
      </c>
      <c r="T759" t="s">
        <v>254</v>
      </c>
      <c r="U759">
        <v>5.3</v>
      </c>
      <c r="V759">
        <v>2.2999999999999998</v>
      </c>
      <c r="W759" t="s">
        <v>2496</v>
      </c>
      <c r="X759" t="s">
        <v>85</v>
      </c>
    </row>
    <row r="760" spans="1:24">
      <c r="A760" t="s">
        <v>134</v>
      </c>
      <c r="B760" t="s">
        <v>86</v>
      </c>
      <c r="C760" s="36">
        <v>45421</v>
      </c>
      <c r="D760" t="s">
        <v>1086</v>
      </c>
      <c r="E760" s="36">
        <v>46022</v>
      </c>
      <c r="F760" t="s">
        <v>112</v>
      </c>
      <c r="G760" s="36">
        <v>46009</v>
      </c>
      <c r="H760">
        <v>13</v>
      </c>
      <c r="I760" t="s">
        <v>2508</v>
      </c>
      <c r="J760">
        <v>3</v>
      </c>
      <c r="K760">
        <v>4.3</v>
      </c>
      <c r="L760">
        <v>3</v>
      </c>
      <c r="M760">
        <v>0</v>
      </c>
      <c r="N760">
        <v>0</v>
      </c>
      <c r="O760">
        <v>-1.2999999999999998</v>
      </c>
      <c r="P760">
        <v>1.2999999999999998</v>
      </c>
      <c r="Q760">
        <v>1.6899999999999995</v>
      </c>
      <c r="R760">
        <v>-0.10000000000000009</v>
      </c>
      <c r="S760">
        <v>0.10000000000000009</v>
      </c>
      <c r="T760" t="s">
        <v>355</v>
      </c>
      <c r="U760">
        <v>4.7</v>
      </c>
      <c r="V760">
        <v>1.7000000000000002</v>
      </c>
      <c r="W760" t="s">
        <v>2496</v>
      </c>
      <c r="X760" t="s">
        <v>87</v>
      </c>
    </row>
    <row r="761" spans="1:24">
      <c r="A761" t="s">
        <v>134</v>
      </c>
      <c r="B761" t="s">
        <v>88</v>
      </c>
      <c r="C761" s="36">
        <v>45470</v>
      </c>
      <c r="D761" t="s">
        <v>1086</v>
      </c>
      <c r="E761" s="36">
        <v>46022</v>
      </c>
      <c r="F761" t="s">
        <v>112</v>
      </c>
      <c r="G761" s="36">
        <v>46009</v>
      </c>
      <c r="H761">
        <v>12</v>
      </c>
      <c r="I761" t="s">
        <v>2509</v>
      </c>
      <c r="J761">
        <v>3</v>
      </c>
      <c r="K761">
        <v>4.3</v>
      </c>
      <c r="L761">
        <v>3</v>
      </c>
      <c r="M761">
        <v>0</v>
      </c>
      <c r="N761">
        <v>0</v>
      </c>
      <c r="O761">
        <v>-1.2999999999999998</v>
      </c>
      <c r="P761">
        <v>1.2999999999999998</v>
      </c>
      <c r="Q761">
        <v>1.6899999999999995</v>
      </c>
      <c r="R761">
        <v>0</v>
      </c>
      <c r="S761">
        <v>0</v>
      </c>
      <c r="T761" t="s">
        <v>355</v>
      </c>
      <c r="U761">
        <v>4.7</v>
      </c>
      <c r="V761">
        <v>1.7000000000000002</v>
      </c>
      <c r="W761" t="s">
        <v>2496</v>
      </c>
      <c r="X761" t="s">
        <v>89</v>
      </c>
    </row>
    <row r="762" spans="1:24">
      <c r="A762" t="s">
        <v>134</v>
      </c>
      <c r="B762" t="s">
        <v>90</v>
      </c>
      <c r="C762" s="36">
        <v>45512</v>
      </c>
      <c r="D762" t="s">
        <v>1086</v>
      </c>
      <c r="E762" s="36">
        <v>46022</v>
      </c>
      <c r="F762" t="s">
        <v>112</v>
      </c>
      <c r="G762" s="36">
        <v>46009</v>
      </c>
      <c r="H762">
        <v>11</v>
      </c>
      <c r="I762" t="s">
        <v>2506</v>
      </c>
      <c r="J762">
        <v>3</v>
      </c>
      <c r="K762">
        <v>4.3</v>
      </c>
      <c r="L762">
        <v>3</v>
      </c>
      <c r="M762">
        <v>0</v>
      </c>
      <c r="N762">
        <v>0</v>
      </c>
      <c r="O762">
        <v>-1.2999999999999998</v>
      </c>
      <c r="P762">
        <v>1.2999999999999998</v>
      </c>
      <c r="Q762">
        <v>1.6899999999999995</v>
      </c>
      <c r="R762">
        <v>0</v>
      </c>
      <c r="S762">
        <v>0</v>
      </c>
      <c r="T762" t="s">
        <v>460</v>
      </c>
      <c r="U762">
        <v>4.2</v>
      </c>
      <c r="V762">
        <v>1.2000000000000002</v>
      </c>
      <c r="W762" t="s">
        <v>2496</v>
      </c>
      <c r="X762" t="s">
        <v>91</v>
      </c>
    </row>
    <row r="763" spans="1:24">
      <c r="A763" t="s">
        <v>134</v>
      </c>
      <c r="B763" t="s">
        <v>92</v>
      </c>
      <c r="C763" s="36">
        <v>45561</v>
      </c>
      <c r="D763" t="s">
        <v>1086</v>
      </c>
      <c r="E763" s="36">
        <v>46022</v>
      </c>
      <c r="F763" t="s">
        <v>112</v>
      </c>
      <c r="G763" s="36">
        <v>46009</v>
      </c>
      <c r="H763">
        <v>10</v>
      </c>
      <c r="I763" t="s">
        <v>2507</v>
      </c>
      <c r="J763">
        <v>3</v>
      </c>
      <c r="K763">
        <v>4.3</v>
      </c>
      <c r="L763">
        <v>3</v>
      </c>
      <c r="M763">
        <v>0</v>
      </c>
      <c r="N763">
        <v>0</v>
      </c>
      <c r="O763">
        <v>-1.2999999999999998</v>
      </c>
      <c r="P763">
        <v>1.2999999999999998</v>
      </c>
      <c r="Q763">
        <v>1.6899999999999995</v>
      </c>
      <c r="R763">
        <v>0</v>
      </c>
      <c r="S763">
        <v>0</v>
      </c>
      <c r="T763" t="s">
        <v>460</v>
      </c>
      <c r="U763">
        <v>4.2</v>
      </c>
      <c r="V763">
        <v>1.2000000000000002</v>
      </c>
      <c r="W763" t="s">
        <v>2496</v>
      </c>
      <c r="X763" t="s">
        <v>93</v>
      </c>
    </row>
    <row r="764" spans="1:24">
      <c r="A764" t="s">
        <v>134</v>
      </c>
      <c r="B764" t="s">
        <v>94</v>
      </c>
      <c r="C764" s="36">
        <v>45610</v>
      </c>
      <c r="D764" t="s">
        <v>1086</v>
      </c>
      <c r="E764" s="36">
        <v>46022</v>
      </c>
      <c r="F764" t="s">
        <v>112</v>
      </c>
      <c r="G764" s="36">
        <v>46009</v>
      </c>
      <c r="H764">
        <v>9</v>
      </c>
      <c r="I764" t="s">
        <v>2504</v>
      </c>
      <c r="J764">
        <v>3</v>
      </c>
      <c r="K764">
        <v>4.3</v>
      </c>
      <c r="L764">
        <v>3</v>
      </c>
      <c r="M764">
        <v>0</v>
      </c>
      <c r="N764">
        <v>0</v>
      </c>
      <c r="O764">
        <v>-1.2999999999999998</v>
      </c>
      <c r="P764">
        <v>1.2999999999999998</v>
      </c>
      <c r="Q764">
        <v>1.6899999999999995</v>
      </c>
      <c r="R764">
        <v>0</v>
      </c>
      <c r="S764">
        <v>0</v>
      </c>
      <c r="T764" t="s">
        <v>565</v>
      </c>
      <c r="U764">
        <v>4</v>
      </c>
      <c r="V764">
        <v>1</v>
      </c>
      <c r="W764" t="s">
        <v>2496</v>
      </c>
      <c r="X764" t="s">
        <v>95</v>
      </c>
    </row>
    <row r="765" spans="1:24">
      <c r="A765" t="s">
        <v>134</v>
      </c>
      <c r="B765" t="s">
        <v>96</v>
      </c>
      <c r="C765" s="36">
        <v>45645</v>
      </c>
      <c r="D765" t="s">
        <v>1086</v>
      </c>
      <c r="E765" s="36">
        <v>46022</v>
      </c>
      <c r="F765" t="s">
        <v>112</v>
      </c>
      <c r="G765" s="36">
        <v>46009</v>
      </c>
      <c r="H765">
        <v>8</v>
      </c>
      <c r="I765" t="s">
        <v>2505</v>
      </c>
      <c r="J765">
        <v>3.3</v>
      </c>
      <c r="K765">
        <v>4.3</v>
      </c>
      <c r="L765">
        <v>3</v>
      </c>
      <c r="M765">
        <v>0.29999999999999982</v>
      </c>
      <c r="N765">
        <v>0.29999999999999982</v>
      </c>
      <c r="O765">
        <v>-1</v>
      </c>
      <c r="P765">
        <v>1</v>
      </c>
      <c r="Q765">
        <v>1</v>
      </c>
      <c r="R765">
        <v>0.29999999999999982</v>
      </c>
      <c r="S765">
        <v>0.29999999999999982</v>
      </c>
      <c r="T765" t="s">
        <v>565</v>
      </c>
      <c r="U765">
        <v>4</v>
      </c>
      <c r="V765">
        <v>1</v>
      </c>
      <c r="W765" t="s">
        <v>2496</v>
      </c>
      <c r="X765" t="s">
        <v>97</v>
      </c>
    </row>
    <row r="766" spans="1:24">
      <c r="A766" t="s">
        <v>134</v>
      </c>
      <c r="B766" t="s">
        <v>98</v>
      </c>
      <c r="C766" s="36">
        <v>45694</v>
      </c>
      <c r="D766" t="s">
        <v>1086</v>
      </c>
      <c r="E766" s="36">
        <v>46022</v>
      </c>
      <c r="F766" t="s">
        <v>112</v>
      </c>
      <c r="G766" s="36">
        <v>46009</v>
      </c>
      <c r="H766">
        <v>7</v>
      </c>
      <c r="I766" t="s">
        <v>2502</v>
      </c>
      <c r="J766">
        <v>3.3</v>
      </c>
      <c r="K766">
        <v>4.3</v>
      </c>
      <c r="L766">
        <v>3</v>
      </c>
      <c r="M766">
        <v>0.29999999999999982</v>
      </c>
      <c r="N766">
        <v>0.29999999999999982</v>
      </c>
      <c r="O766">
        <v>-1</v>
      </c>
      <c r="P766">
        <v>1</v>
      </c>
      <c r="Q766">
        <v>1</v>
      </c>
      <c r="R766">
        <v>0</v>
      </c>
      <c r="S766">
        <v>0</v>
      </c>
      <c r="T766" t="s">
        <v>670</v>
      </c>
      <c r="U766">
        <v>3.7</v>
      </c>
      <c r="V766">
        <v>0.70000000000000018</v>
      </c>
      <c r="W766" t="s">
        <v>2496</v>
      </c>
      <c r="X766" t="s">
        <v>99</v>
      </c>
    </row>
    <row r="767" spans="1:24">
      <c r="A767" t="s">
        <v>134</v>
      </c>
      <c r="B767" t="s">
        <v>100</v>
      </c>
      <c r="C767" s="36">
        <v>45743</v>
      </c>
      <c r="D767" t="s">
        <v>1086</v>
      </c>
      <c r="E767" s="36">
        <v>46022</v>
      </c>
      <c r="F767" t="s">
        <v>112</v>
      </c>
      <c r="G767" s="36">
        <v>46009</v>
      </c>
      <c r="H767">
        <v>6</v>
      </c>
      <c r="I767" t="s">
        <v>2503</v>
      </c>
      <c r="J767">
        <v>3.3</v>
      </c>
      <c r="K767">
        <v>4.3</v>
      </c>
      <c r="L767">
        <v>3</v>
      </c>
      <c r="M767">
        <v>0.29999999999999982</v>
      </c>
      <c r="N767">
        <v>0.29999999999999982</v>
      </c>
      <c r="O767">
        <v>-1</v>
      </c>
      <c r="P767">
        <v>1</v>
      </c>
      <c r="Q767">
        <v>1</v>
      </c>
      <c r="R767">
        <v>0</v>
      </c>
      <c r="S767">
        <v>0</v>
      </c>
      <c r="T767" t="s">
        <v>670</v>
      </c>
      <c r="U767">
        <v>3.7</v>
      </c>
      <c r="V767">
        <v>0.70000000000000018</v>
      </c>
      <c r="W767" t="s">
        <v>2496</v>
      </c>
      <c r="X767" t="s">
        <v>101</v>
      </c>
    </row>
    <row r="768" spans="1:24">
      <c r="A768" t="s">
        <v>134</v>
      </c>
      <c r="B768" t="s">
        <v>102</v>
      </c>
      <c r="C768" s="36">
        <v>45792</v>
      </c>
      <c r="D768" t="s">
        <v>1086</v>
      </c>
      <c r="E768" s="36">
        <v>46022</v>
      </c>
      <c r="F768" t="s">
        <v>112</v>
      </c>
      <c r="G768" s="36">
        <v>46009</v>
      </c>
      <c r="H768">
        <v>5</v>
      </c>
      <c r="I768" t="s">
        <v>2500</v>
      </c>
      <c r="J768">
        <v>3.4</v>
      </c>
      <c r="K768">
        <v>4.3</v>
      </c>
      <c r="L768">
        <v>3</v>
      </c>
      <c r="M768">
        <v>0.39999999999999991</v>
      </c>
      <c r="N768">
        <v>0.39999999999999991</v>
      </c>
      <c r="O768">
        <v>-0.89999999999999991</v>
      </c>
      <c r="P768">
        <v>0.89999999999999991</v>
      </c>
      <c r="Q768">
        <v>0.80999999999999983</v>
      </c>
      <c r="R768">
        <v>0.10000000000000009</v>
      </c>
      <c r="S768">
        <v>0.10000000000000009</v>
      </c>
      <c r="T768" t="s">
        <v>771</v>
      </c>
      <c r="U768">
        <v>3.6</v>
      </c>
      <c r="V768">
        <v>0.60000000000000009</v>
      </c>
      <c r="W768" t="s">
        <v>2496</v>
      </c>
      <c r="X768" t="s">
        <v>103</v>
      </c>
    </row>
    <row r="769" spans="1:24">
      <c r="A769" t="s">
        <v>134</v>
      </c>
      <c r="B769" t="s">
        <v>104</v>
      </c>
      <c r="C769" s="36">
        <v>45834</v>
      </c>
      <c r="D769" t="s">
        <v>1086</v>
      </c>
      <c r="E769" s="36">
        <v>46022</v>
      </c>
      <c r="F769" t="s">
        <v>112</v>
      </c>
      <c r="G769" s="36">
        <v>46009</v>
      </c>
      <c r="H769">
        <v>4</v>
      </c>
      <c r="I769" t="s">
        <v>2501</v>
      </c>
      <c r="J769">
        <v>3.6</v>
      </c>
      <c r="K769">
        <v>4.3</v>
      </c>
      <c r="L769">
        <v>3</v>
      </c>
      <c r="M769">
        <v>0.60000000000000009</v>
      </c>
      <c r="N769">
        <v>0.60000000000000009</v>
      </c>
      <c r="O769">
        <v>-0.69999999999999973</v>
      </c>
      <c r="P769">
        <v>0.69999999999999973</v>
      </c>
      <c r="Q769">
        <v>0.4899999999999996</v>
      </c>
      <c r="R769">
        <v>0.20000000000000018</v>
      </c>
      <c r="S769">
        <v>0.20000000000000018</v>
      </c>
      <c r="T769" t="s">
        <v>771</v>
      </c>
      <c r="U769">
        <v>3.6</v>
      </c>
      <c r="V769">
        <v>0.60000000000000009</v>
      </c>
      <c r="W769" t="s">
        <v>2496</v>
      </c>
      <c r="X769" t="s">
        <v>105</v>
      </c>
    </row>
    <row r="770" spans="1:24">
      <c r="A770" t="s">
        <v>134</v>
      </c>
      <c r="B770" t="s">
        <v>106</v>
      </c>
      <c r="C770" s="36">
        <v>45876</v>
      </c>
      <c r="D770" t="s">
        <v>1086</v>
      </c>
      <c r="E770" s="36">
        <v>46022</v>
      </c>
      <c r="F770" t="s">
        <v>112</v>
      </c>
      <c r="G770" s="36">
        <v>46009</v>
      </c>
      <c r="H770">
        <v>3</v>
      </c>
      <c r="I770" t="s">
        <v>2498</v>
      </c>
      <c r="J770">
        <v>3.7</v>
      </c>
      <c r="K770">
        <v>4.3</v>
      </c>
      <c r="L770">
        <v>3</v>
      </c>
      <c r="M770">
        <v>0.70000000000000018</v>
      </c>
      <c r="N770">
        <v>0.70000000000000018</v>
      </c>
      <c r="O770">
        <v>-0.59999999999999964</v>
      </c>
      <c r="P770">
        <v>0.59999999999999964</v>
      </c>
      <c r="Q770">
        <v>0.3599999999999996</v>
      </c>
      <c r="R770">
        <v>0.10000000000000009</v>
      </c>
      <c r="S770">
        <v>0.10000000000000009</v>
      </c>
      <c r="T770" t="s">
        <v>876</v>
      </c>
      <c r="U770">
        <v>4.0999999999999996</v>
      </c>
      <c r="V770">
        <v>1.0999999999999996</v>
      </c>
      <c r="W770" t="s">
        <v>2496</v>
      </c>
      <c r="X770" t="s">
        <v>107</v>
      </c>
    </row>
    <row r="771" spans="1:24">
      <c r="A771" t="s">
        <v>134</v>
      </c>
      <c r="B771" t="s">
        <v>108</v>
      </c>
      <c r="C771" s="36">
        <v>45925</v>
      </c>
      <c r="D771" t="s">
        <v>1086</v>
      </c>
      <c r="E771" s="36">
        <v>46022</v>
      </c>
      <c r="F771" t="s">
        <v>112</v>
      </c>
      <c r="G771" s="36">
        <v>46009</v>
      </c>
      <c r="H771">
        <v>2</v>
      </c>
      <c r="I771" t="s">
        <v>2499</v>
      </c>
      <c r="J771">
        <v>4</v>
      </c>
      <c r="K771">
        <v>4.3</v>
      </c>
      <c r="L771">
        <v>3</v>
      </c>
      <c r="M771">
        <v>1</v>
      </c>
      <c r="N771">
        <v>1</v>
      </c>
      <c r="O771">
        <v>-0.29999999999999982</v>
      </c>
      <c r="P771">
        <v>0.29999999999999982</v>
      </c>
      <c r="Q771">
        <v>8.99999999999999E-2</v>
      </c>
      <c r="R771">
        <v>0.29999999999999982</v>
      </c>
      <c r="S771">
        <v>0.29999999999999982</v>
      </c>
      <c r="T771" t="s">
        <v>876</v>
      </c>
      <c r="U771">
        <v>4.0999999999999996</v>
      </c>
      <c r="V771">
        <v>1.0999999999999996</v>
      </c>
      <c r="W771" t="s">
        <v>2496</v>
      </c>
      <c r="X771" t="s">
        <v>109</v>
      </c>
    </row>
    <row r="772" spans="1:24">
      <c r="A772" t="s">
        <v>134</v>
      </c>
      <c r="B772" t="s">
        <v>110</v>
      </c>
      <c r="C772" s="36">
        <v>45967</v>
      </c>
      <c r="D772" t="s">
        <v>1086</v>
      </c>
      <c r="E772" s="36">
        <v>46022</v>
      </c>
      <c r="F772" t="s">
        <v>112</v>
      </c>
      <c r="G772" s="36">
        <v>46009</v>
      </c>
      <c r="H772">
        <v>1</v>
      </c>
      <c r="I772" t="s">
        <v>2495</v>
      </c>
      <c r="J772">
        <v>4.0999999999999996</v>
      </c>
      <c r="K772">
        <v>4.3</v>
      </c>
      <c r="L772">
        <v>3</v>
      </c>
      <c r="M772">
        <v>1.0999999999999996</v>
      </c>
      <c r="N772">
        <v>1.0999999999999996</v>
      </c>
      <c r="O772">
        <v>-0.20000000000000018</v>
      </c>
      <c r="P772">
        <v>0.20000000000000018</v>
      </c>
      <c r="Q772">
        <v>4.000000000000007E-2</v>
      </c>
      <c r="R772">
        <v>9.9999999999999645E-2</v>
      </c>
      <c r="S772">
        <v>9.9999999999999645E-2</v>
      </c>
      <c r="T772" t="s">
        <v>981</v>
      </c>
      <c r="U772">
        <v>4.2</v>
      </c>
      <c r="V772">
        <v>1.2000000000000002</v>
      </c>
      <c r="W772" t="s">
        <v>2496</v>
      </c>
      <c r="X772" t="s">
        <v>111</v>
      </c>
    </row>
    <row r="773" spans="1:24">
      <c r="A773" t="s">
        <v>134</v>
      </c>
      <c r="B773" t="s">
        <v>112</v>
      </c>
      <c r="C773" s="36">
        <v>46009</v>
      </c>
      <c r="D773" t="s">
        <v>1086</v>
      </c>
      <c r="E773" s="36">
        <v>46022</v>
      </c>
      <c r="F773" t="s">
        <v>112</v>
      </c>
      <c r="G773" s="36">
        <v>46009</v>
      </c>
      <c r="H773">
        <v>0</v>
      </c>
      <c r="I773" t="s">
        <v>2497</v>
      </c>
      <c r="J773">
        <v>4.3</v>
      </c>
      <c r="K773">
        <v>4.3</v>
      </c>
      <c r="L773">
        <v>3</v>
      </c>
      <c r="M773">
        <v>1.2999999999999998</v>
      </c>
      <c r="N773">
        <v>1.2999999999999998</v>
      </c>
      <c r="O773">
        <v>0</v>
      </c>
      <c r="P773">
        <v>0</v>
      </c>
      <c r="Q773">
        <v>0</v>
      </c>
      <c r="R773">
        <v>0.20000000000000018</v>
      </c>
      <c r="S773">
        <v>0.20000000000000018</v>
      </c>
      <c r="T773" t="s">
        <v>981</v>
      </c>
      <c r="U773">
        <v>4.2</v>
      </c>
      <c r="V773">
        <v>1.2000000000000002</v>
      </c>
      <c r="W773" t="s">
        <v>2496</v>
      </c>
      <c r="X773" t="s">
        <v>113</v>
      </c>
    </row>
    <row r="774" spans="1:24">
      <c r="A774" t="s">
        <v>134</v>
      </c>
      <c r="B774" t="s">
        <v>84</v>
      </c>
      <c r="C774" s="36">
        <v>45372</v>
      </c>
      <c r="D774" t="s">
        <v>1183</v>
      </c>
      <c r="E774" s="36">
        <v>46112</v>
      </c>
      <c r="F774" t="s">
        <v>116</v>
      </c>
      <c r="G774" s="36">
        <v>46107</v>
      </c>
      <c r="H774">
        <v>16</v>
      </c>
      <c r="I774" t="s">
        <v>2512</v>
      </c>
      <c r="J774">
        <v>3.1</v>
      </c>
      <c r="K774">
        <v>4.5</v>
      </c>
      <c r="L774">
        <v>3</v>
      </c>
      <c r="M774">
        <v>0.10000000000000009</v>
      </c>
      <c r="N774">
        <v>0.10000000000000009</v>
      </c>
      <c r="O774">
        <v>-1.4</v>
      </c>
      <c r="P774">
        <v>1.4</v>
      </c>
      <c r="Q774">
        <v>1.9599999999999997</v>
      </c>
      <c r="T774" t="s">
        <v>254</v>
      </c>
      <c r="U774">
        <v>5.3</v>
      </c>
      <c r="V774">
        <v>2.2999999999999998</v>
      </c>
      <c r="W774" t="s">
        <v>2496</v>
      </c>
      <c r="X774" t="s">
        <v>85</v>
      </c>
    </row>
    <row r="775" spans="1:24">
      <c r="A775" t="s">
        <v>134</v>
      </c>
      <c r="B775" t="s">
        <v>86</v>
      </c>
      <c r="C775" s="36">
        <v>45421</v>
      </c>
      <c r="D775" t="s">
        <v>1183</v>
      </c>
      <c r="E775" s="36">
        <v>46112</v>
      </c>
      <c r="F775" t="s">
        <v>116</v>
      </c>
      <c r="G775" s="36">
        <v>46107</v>
      </c>
      <c r="H775">
        <v>15</v>
      </c>
      <c r="I775" t="s">
        <v>2510</v>
      </c>
      <c r="J775">
        <v>3</v>
      </c>
      <c r="K775">
        <v>4.5</v>
      </c>
      <c r="L775">
        <v>3</v>
      </c>
      <c r="M775">
        <v>0</v>
      </c>
      <c r="N775">
        <v>0</v>
      </c>
      <c r="O775">
        <v>-1.5</v>
      </c>
      <c r="P775">
        <v>1.5</v>
      </c>
      <c r="Q775">
        <v>2.25</v>
      </c>
      <c r="R775">
        <v>-0.10000000000000009</v>
      </c>
      <c r="S775">
        <v>0.10000000000000009</v>
      </c>
      <c r="T775" t="s">
        <v>355</v>
      </c>
      <c r="U775">
        <v>4.7</v>
      </c>
      <c r="V775">
        <v>1.7000000000000002</v>
      </c>
      <c r="W775" t="s">
        <v>2496</v>
      </c>
      <c r="X775" t="s">
        <v>87</v>
      </c>
    </row>
    <row r="776" spans="1:24">
      <c r="A776" t="s">
        <v>134</v>
      </c>
      <c r="B776" t="s">
        <v>88</v>
      </c>
      <c r="C776" s="36">
        <v>45470</v>
      </c>
      <c r="D776" t="s">
        <v>1183</v>
      </c>
      <c r="E776" s="36">
        <v>46112</v>
      </c>
      <c r="F776" t="s">
        <v>116</v>
      </c>
      <c r="G776" s="36">
        <v>46107</v>
      </c>
      <c r="H776">
        <v>14</v>
      </c>
      <c r="I776" t="s">
        <v>2511</v>
      </c>
      <c r="J776">
        <v>3</v>
      </c>
      <c r="K776">
        <v>4.5</v>
      </c>
      <c r="L776">
        <v>3</v>
      </c>
      <c r="M776">
        <v>0</v>
      </c>
      <c r="N776">
        <v>0</v>
      </c>
      <c r="O776">
        <v>-1.5</v>
      </c>
      <c r="P776">
        <v>1.5</v>
      </c>
      <c r="Q776">
        <v>2.25</v>
      </c>
      <c r="R776">
        <v>0</v>
      </c>
      <c r="S776">
        <v>0</v>
      </c>
      <c r="T776" t="s">
        <v>355</v>
      </c>
      <c r="U776">
        <v>4.7</v>
      </c>
      <c r="V776">
        <v>1.7000000000000002</v>
      </c>
      <c r="W776" t="s">
        <v>2496</v>
      </c>
      <c r="X776" t="s">
        <v>89</v>
      </c>
    </row>
    <row r="777" spans="1:24">
      <c r="A777" t="s">
        <v>134</v>
      </c>
      <c r="B777" t="s">
        <v>90</v>
      </c>
      <c r="C777" s="36">
        <v>45512</v>
      </c>
      <c r="D777" t="s">
        <v>1183</v>
      </c>
      <c r="E777" s="36">
        <v>46112</v>
      </c>
      <c r="F777" t="s">
        <v>116</v>
      </c>
      <c r="G777" s="36">
        <v>46107</v>
      </c>
      <c r="H777">
        <v>13</v>
      </c>
      <c r="I777" t="s">
        <v>2508</v>
      </c>
      <c r="J777">
        <v>3</v>
      </c>
      <c r="K777">
        <v>4.5</v>
      </c>
      <c r="L777">
        <v>3</v>
      </c>
      <c r="M777">
        <v>0</v>
      </c>
      <c r="N777">
        <v>0</v>
      </c>
      <c r="O777">
        <v>-1.5</v>
      </c>
      <c r="P777">
        <v>1.5</v>
      </c>
      <c r="Q777">
        <v>2.25</v>
      </c>
      <c r="R777">
        <v>0</v>
      </c>
      <c r="S777">
        <v>0</v>
      </c>
      <c r="T777" t="s">
        <v>460</v>
      </c>
      <c r="U777">
        <v>4.2</v>
      </c>
      <c r="V777">
        <v>1.2000000000000002</v>
      </c>
      <c r="W777" t="s">
        <v>2496</v>
      </c>
      <c r="X777" t="s">
        <v>91</v>
      </c>
    </row>
    <row r="778" spans="1:24">
      <c r="A778" t="s">
        <v>134</v>
      </c>
      <c r="B778" t="s">
        <v>92</v>
      </c>
      <c r="C778" s="36">
        <v>45561</v>
      </c>
      <c r="D778" t="s">
        <v>1183</v>
      </c>
      <c r="E778" s="36">
        <v>46112</v>
      </c>
      <c r="F778" t="s">
        <v>116</v>
      </c>
      <c r="G778" s="36">
        <v>46107</v>
      </c>
      <c r="H778">
        <v>12</v>
      </c>
      <c r="I778" t="s">
        <v>2509</v>
      </c>
      <c r="J778">
        <v>3</v>
      </c>
      <c r="K778">
        <v>4.5</v>
      </c>
      <c r="L778">
        <v>3</v>
      </c>
      <c r="M778">
        <v>0</v>
      </c>
      <c r="N778">
        <v>0</v>
      </c>
      <c r="O778">
        <v>-1.5</v>
      </c>
      <c r="P778">
        <v>1.5</v>
      </c>
      <c r="Q778">
        <v>2.25</v>
      </c>
      <c r="R778">
        <v>0</v>
      </c>
      <c r="S778">
        <v>0</v>
      </c>
      <c r="T778" t="s">
        <v>460</v>
      </c>
      <c r="U778">
        <v>4.2</v>
      </c>
      <c r="V778">
        <v>1.2000000000000002</v>
      </c>
      <c r="W778" t="s">
        <v>2496</v>
      </c>
      <c r="X778" t="s">
        <v>93</v>
      </c>
    </row>
    <row r="779" spans="1:24">
      <c r="A779" t="s">
        <v>134</v>
      </c>
      <c r="B779" t="s">
        <v>94</v>
      </c>
      <c r="C779" s="36">
        <v>45610</v>
      </c>
      <c r="D779" t="s">
        <v>1183</v>
      </c>
      <c r="E779" s="36">
        <v>46112</v>
      </c>
      <c r="F779" t="s">
        <v>116</v>
      </c>
      <c r="G779" s="36">
        <v>46107</v>
      </c>
      <c r="H779">
        <v>11</v>
      </c>
      <c r="I779" t="s">
        <v>2506</v>
      </c>
      <c r="J779">
        <v>3</v>
      </c>
      <c r="K779">
        <v>4.5</v>
      </c>
      <c r="L779">
        <v>3</v>
      </c>
      <c r="M779">
        <v>0</v>
      </c>
      <c r="N779">
        <v>0</v>
      </c>
      <c r="O779">
        <v>-1.5</v>
      </c>
      <c r="P779">
        <v>1.5</v>
      </c>
      <c r="Q779">
        <v>2.25</v>
      </c>
      <c r="R779">
        <v>0</v>
      </c>
      <c r="S779">
        <v>0</v>
      </c>
      <c r="T779" t="s">
        <v>565</v>
      </c>
      <c r="U779">
        <v>4</v>
      </c>
      <c r="V779">
        <v>1</v>
      </c>
      <c r="W779" t="s">
        <v>2496</v>
      </c>
      <c r="X779" t="s">
        <v>95</v>
      </c>
    </row>
    <row r="780" spans="1:24">
      <c r="A780" t="s">
        <v>134</v>
      </c>
      <c r="B780" t="s">
        <v>96</v>
      </c>
      <c r="C780" s="36">
        <v>45645</v>
      </c>
      <c r="D780" t="s">
        <v>1183</v>
      </c>
      <c r="E780" s="36">
        <v>46112</v>
      </c>
      <c r="F780" t="s">
        <v>116</v>
      </c>
      <c r="G780" s="36">
        <v>46107</v>
      </c>
      <c r="H780">
        <v>10</v>
      </c>
      <c r="I780" t="s">
        <v>2507</v>
      </c>
      <c r="J780">
        <v>3.2</v>
      </c>
      <c r="K780">
        <v>4.5</v>
      </c>
      <c r="L780">
        <v>3</v>
      </c>
      <c r="M780">
        <v>0.20000000000000018</v>
      </c>
      <c r="N780">
        <v>0.20000000000000018</v>
      </c>
      <c r="O780">
        <v>-1.2999999999999998</v>
      </c>
      <c r="P780">
        <v>1.2999999999999998</v>
      </c>
      <c r="Q780">
        <v>1.6899999999999995</v>
      </c>
      <c r="R780">
        <v>0.20000000000000018</v>
      </c>
      <c r="S780">
        <v>0.20000000000000018</v>
      </c>
      <c r="T780" t="s">
        <v>565</v>
      </c>
      <c r="U780">
        <v>4</v>
      </c>
      <c r="V780">
        <v>1</v>
      </c>
      <c r="W780" t="s">
        <v>2496</v>
      </c>
      <c r="X780" t="s">
        <v>97</v>
      </c>
    </row>
    <row r="781" spans="1:24">
      <c r="A781" t="s">
        <v>134</v>
      </c>
      <c r="B781" t="s">
        <v>98</v>
      </c>
      <c r="C781" s="36">
        <v>45694</v>
      </c>
      <c r="D781" t="s">
        <v>1183</v>
      </c>
      <c r="E781" s="36">
        <v>46112</v>
      </c>
      <c r="F781" t="s">
        <v>116</v>
      </c>
      <c r="G781" s="36">
        <v>46107</v>
      </c>
      <c r="H781">
        <v>9</v>
      </c>
      <c r="I781" t="s">
        <v>2504</v>
      </c>
      <c r="J781">
        <v>3.2</v>
      </c>
      <c r="K781">
        <v>4.5</v>
      </c>
      <c r="L781">
        <v>3</v>
      </c>
      <c r="M781">
        <v>0.20000000000000018</v>
      </c>
      <c r="N781">
        <v>0.20000000000000018</v>
      </c>
      <c r="O781">
        <v>-1.2999999999999998</v>
      </c>
      <c r="P781">
        <v>1.2999999999999998</v>
      </c>
      <c r="Q781">
        <v>1.6899999999999995</v>
      </c>
      <c r="R781">
        <v>0</v>
      </c>
      <c r="S781">
        <v>0</v>
      </c>
      <c r="T781" t="s">
        <v>670</v>
      </c>
      <c r="U781">
        <v>3.7</v>
      </c>
      <c r="V781">
        <v>0.70000000000000018</v>
      </c>
      <c r="W781" t="s">
        <v>2496</v>
      </c>
      <c r="X781" t="s">
        <v>99</v>
      </c>
    </row>
    <row r="782" spans="1:24">
      <c r="A782" t="s">
        <v>134</v>
      </c>
      <c r="B782" t="s">
        <v>100</v>
      </c>
      <c r="C782" s="36">
        <v>45743</v>
      </c>
      <c r="D782" t="s">
        <v>1183</v>
      </c>
      <c r="E782" s="36">
        <v>46112</v>
      </c>
      <c r="F782" t="s">
        <v>116</v>
      </c>
      <c r="G782" s="36">
        <v>46107</v>
      </c>
      <c r="H782">
        <v>8</v>
      </c>
      <c r="I782" t="s">
        <v>2505</v>
      </c>
      <c r="J782">
        <v>3.2</v>
      </c>
      <c r="K782">
        <v>4.5</v>
      </c>
      <c r="L782">
        <v>3</v>
      </c>
      <c r="M782">
        <v>0.20000000000000018</v>
      </c>
      <c r="N782">
        <v>0.20000000000000018</v>
      </c>
      <c r="O782">
        <v>-1.2999999999999998</v>
      </c>
      <c r="P782">
        <v>1.2999999999999998</v>
      </c>
      <c r="Q782">
        <v>1.6899999999999995</v>
      </c>
      <c r="R782">
        <v>0</v>
      </c>
      <c r="S782">
        <v>0</v>
      </c>
      <c r="T782" t="s">
        <v>670</v>
      </c>
      <c r="U782">
        <v>3.7</v>
      </c>
      <c r="V782">
        <v>0.70000000000000018</v>
      </c>
      <c r="W782" t="s">
        <v>2496</v>
      </c>
      <c r="X782" t="s">
        <v>101</v>
      </c>
    </row>
    <row r="783" spans="1:24">
      <c r="A783" t="s">
        <v>134</v>
      </c>
      <c r="B783" t="s">
        <v>102</v>
      </c>
      <c r="C783" s="36">
        <v>45792</v>
      </c>
      <c r="D783" t="s">
        <v>1183</v>
      </c>
      <c r="E783" s="36">
        <v>46112</v>
      </c>
      <c r="F783" t="s">
        <v>116</v>
      </c>
      <c r="G783" s="36">
        <v>46107</v>
      </c>
      <c r="H783">
        <v>7</v>
      </c>
      <c r="I783" t="s">
        <v>2502</v>
      </c>
      <c r="J783">
        <v>3.3</v>
      </c>
      <c r="K783">
        <v>4.5</v>
      </c>
      <c r="L783">
        <v>3</v>
      </c>
      <c r="M783">
        <v>0.29999999999999982</v>
      </c>
      <c r="N783">
        <v>0.29999999999999982</v>
      </c>
      <c r="O783">
        <v>-1.2000000000000002</v>
      </c>
      <c r="P783">
        <v>1.2000000000000002</v>
      </c>
      <c r="Q783">
        <v>1.4400000000000004</v>
      </c>
      <c r="R783">
        <v>9.9999999999999645E-2</v>
      </c>
      <c r="S783">
        <v>9.9999999999999645E-2</v>
      </c>
      <c r="T783" t="s">
        <v>771</v>
      </c>
      <c r="U783">
        <v>3.6</v>
      </c>
      <c r="V783">
        <v>0.60000000000000009</v>
      </c>
      <c r="W783" t="s">
        <v>2496</v>
      </c>
      <c r="X783" t="s">
        <v>103</v>
      </c>
    </row>
    <row r="784" spans="1:24">
      <c r="A784" t="s">
        <v>134</v>
      </c>
      <c r="B784" t="s">
        <v>104</v>
      </c>
      <c r="C784" s="36">
        <v>45834</v>
      </c>
      <c r="D784" t="s">
        <v>1183</v>
      </c>
      <c r="E784" s="36">
        <v>46112</v>
      </c>
      <c r="F784" t="s">
        <v>116</v>
      </c>
      <c r="G784" s="36">
        <v>46107</v>
      </c>
      <c r="H784">
        <v>6</v>
      </c>
      <c r="I784" t="s">
        <v>2503</v>
      </c>
      <c r="J784">
        <v>3.4</v>
      </c>
      <c r="K784">
        <v>4.5</v>
      </c>
      <c r="L784">
        <v>3</v>
      </c>
      <c r="M784">
        <v>0.39999999999999991</v>
      </c>
      <c r="N784">
        <v>0.39999999999999991</v>
      </c>
      <c r="O784">
        <v>-1.1000000000000001</v>
      </c>
      <c r="P784">
        <v>1.1000000000000001</v>
      </c>
      <c r="Q784">
        <v>1.2100000000000002</v>
      </c>
      <c r="R784">
        <v>0.10000000000000009</v>
      </c>
      <c r="S784">
        <v>0.10000000000000009</v>
      </c>
      <c r="T784" t="s">
        <v>771</v>
      </c>
      <c r="U784">
        <v>3.6</v>
      </c>
      <c r="V784">
        <v>0.60000000000000009</v>
      </c>
      <c r="W784" t="s">
        <v>2496</v>
      </c>
      <c r="X784" t="s">
        <v>105</v>
      </c>
    </row>
    <row r="785" spans="1:24">
      <c r="A785" t="s">
        <v>134</v>
      </c>
      <c r="B785" t="s">
        <v>106</v>
      </c>
      <c r="C785" s="36">
        <v>45876</v>
      </c>
      <c r="D785" t="s">
        <v>1183</v>
      </c>
      <c r="E785" s="36">
        <v>46112</v>
      </c>
      <c r="F785" t="s">
        <v>116</v>
      </c>
      <c r="G785" s="36">
        <v>46107</v>
      </c>
      <c r="H785">
        <v>5</v>
      </c>
      <c r="I785" t="s">
        <v>2500</v>
      </c>
      <c r="J785">
        <v>3.5</v>
      </c>
      <c r="K785">
        <v>4.5</v>
      </c>
      <c r="L785">
        <v>3</v>
      </c>
      <c r="M785">
        <v>0.5</v>
      </c>
      <c r="N785">
        <v>0.5</v>
      </c>
      <c r="O785">
        <v>-1</v>
      </c>
      <c r="P785">
        <v>1</v>
      </c>
      <c r="Q785">
        <v>1</v>
      </c>
      <c r="R785">
        <v>0.10000000000000009</v>
      </c>
      <c r="S785">
        <v>0.10000000000000009</v>
      </c>
      <c r="T785" t="s">
        <v>876</v>
      </c>
      <c r="U785">
        <v>4.0999999999999996</v>
      </c>
      <c r="V785">
        <v>1.0999999999999996</v>
      </c>
      <c r="W785" t="s">
        <v>2496</v>
      </c>
      <c r="X785" t="s">
        <v>107</v>
      </c>
    </row>
    <row r="786" spans="1:24">
      <c r="A786" t="s">
        <v>134</v>
      </c>
      <c r="B786" t="s">
        <v>108</v>
      </c>
      <c r="C786" s="36">
        <v>45925</v>
      </c>
      <c r="D786" t="s">
        <v>1183</v>
      </c>
      <c r="E786" s="36">
        <v>46112</v>
      </c>
      <c r="F786" t="s">
        <v>116</v>
      </c>
      <c r="G786" s="36">
        <v>46107</v>
      </c>
      <c r="H786">
        <v>4</v>
      </c>
      <c r="I786" t="s">
        <v>2501</v>
      </c>
      <c r="J786">
        <v>3.6</v>
      </c>
      <c r="K786">
        <v>4.5</v>
      </c>
      <c r="L786">
        <v>3</v>
      </c>
      <c r="M786">
        <v>0.60000000000000009</v>
      </c>
      <c r="N786">
        <v>0.60000000000000009</v>
      </c>
      <c r="O786">
        <v>-0.89999999999999991</v>
      </c>
      <c r="P786">
        <v>0.89999999999999991</v>
      </c>
      <c r="Q786">
        <v>0.80999999999999983</v>
      </c>
      <c r="R786">
        <v>0.10000000000000009</v>
      </c>
      <c r="S786">
        <v>0.10000000000000009</v>
      </c>
      <c r="T786" t="s">
        <v>876</v>
      </c>
      <c r="U786">
        <v>4.0999999999999996</v>
      </c>
      <c r="V786">
        <v>1.0999999999999996</v>
      </c>
      <c r="W786" t="s">
        <v>2496</v>
      </c>
      <c r="X786" t="s">
        <v>109</v>
      </c>
    </row>
    <row r="787" spans="1:24">
      <c r="A787" t="s">
        <v>134</v>
      </c>
      <c r="B787" t="s">
        <v>110</v>
      </c>
      <c r="C787" s="36">
        <v>45967</v>
      </c>
      <c r="D787" t="s">
        <v>1183</v>
      </c>
      <c r="E787" s="36">
        <v>46112</v>
      </c>
      <c r="F787" t="s">
        <v>116</v>
      </c>
      <c r="G787" s="36">
        <v>46107</v>
      </c>
      <c r="H787">
        <v>3</v>
      </c>
      <c r="I787" t="s">
        <v>2498</v>
      </c>
      <c r="J787">
        <v>3.8</v>
      </c>
      <c r="K787">
        <v>4.5</v>
      </c>
      <c r="L787">
        <v>3</v>
      </c>
      <c r="M787">
        <v>0.79999999999999982</v>
      </c>
      <c r="N787">
        <v>0.79999999999999982</v>
      </c>
      <c r="O787">
        <v>-0.70000000000000018</v>
      </c>
      <c r="P787">
        <v>0.70000000000000018</v>
      </c>
      <c r="Q787">
        <v>0.49000000000000027</v>
      </c>
      <c r="R787">
        <v>0.19999999999999973</v>
      </c>
      <c r="S787">
        <v>0.19999999999999973</v>
      </c>
      <c r="T787" t="s">
        <v>981</v>
      </c>
      <c r="U787">
        <v>4.2</v>
      </c>
      <c r="V787">
        <v>1.2000000000000002</v>
      </c>
      <c r="W787" t="s">
        <v>2496</v>
      </c>
      <c r="X787" t="s">
        <v>111</v>
      </c>
    </row>
    <row r="788" spans="1:24">
      <c r="A788" t="s">
        <v>134</v>
      </c>
      <c r="B788" t="s">
        <v>112</v>
      </c>
      <c r="C788" s="36">
        <v>46009</v>
      </c>
      <c r="D788" t="s">
        <v>1183</v>
      </c>
      <c r="E788" s="36">
        <v>46112</v>
      </c>
      <c r="F788" t="s">
        <v>116</v>
      </c>
      <c r="G788" s="36">
        <v>46107</v>
      </c>
      <c r="H788">
        <v>2</v>
      </c>
      <c r="I788" t="s">
        <v>2499</v>
      </c>
      <c r="J788">
        <v>4</v>
      </c>
      <c r="K788">
        <v>4.5</v>
      </c>
      <c r="L788">
        <v>3</v>
      </c>
      <c r="M788">
        <v>1</v>
      </c>
      <c r="N788">
        <v>1</v>
      </c>
      <c r="O788">
        <v>-0.5</v>
      </c>
      <c r="P788">
        <v>0.5</v>
      </c>
      <c r="Q788">
        <v>0.25</v>
      </c>
      <c r="R788">
        <v>0.20000000000000018</v>
      </c>
      <c r="S788">
        <v>0.20000000000000018</v>
      </c>
      <c r="T788" t="s">
        <v>981</v>
      </c>
      <c r="U788">
        <v>4.2</v>
      </c>
      <c r="V788">
        <v>1.2000000000000002</v>
      </c>
      <c r="W788" t="s">
        <v>2496</v>
      </c>
      <c r="X788" t="s">
        <v>113</v>
      </c>
    </row>
    <row r="789" spans="1:24">
      <c r="A789" t="s">
        <v>134</v>
      </c>
      <c r="B789" t="s">
        <v>114</v>
      </c>
      <c r="C789" s="36">
        <v>46058</v>
      </c>
      <c r="D789" t="s">
        <v>1183</v>
      </c>
      <c r="E789" s="36">
        <v>46112</v>
      </c>
      <c r="F789" t="s">
        <v>116</v>
      </c>
      <c r="G789" s="36">
        <v>46107</v>
      </c>
      <c r="H789">
        <v>1</v>
      </c>
      <c r="I789" t="s">
        <v>2495</v>
      </c>
      <c r="J789">
        <v>4.4000000000000004</v>
      </c>
      <c r="K789">
        <v>4.5</v>
      </c>
      <c r="L789">
        <v>3</v>
      </c>
      <c r="M789">
        <v>1.4000000000000004</v>
      </c>
      <c r="N789">
        <v>1.4000000000000004</v>
      </c>
      <c r="O789">
        <v>-9.9999999999999645E-2</v>
      </c>
      <c r="P789">
        <v>9.9999999999999645E-2</v>
      </c>
      <c r="Q789">
        <v>9.9999999999999291E-3</v>
      </c>
      <c r="R789">
        <v>0.40000000000000036</v>
      </c>
      <c r="S789">
        <v>0.40000000000000036</v>
      </c>
      <c r="T789" t="s">
        <v>1086</v>
      </c>
      <c r="U789">
        <v>4.3</v>
      </c>
      <c r="V789">
        <v>1.2999999999999998</v>
      </c>
      <c r="W789" t="s">
        <v>2496</v>
      </c>
      <c r="X789" t="s">
        <v>115</v>
      </c>
    </row>
    <row r="790" spans="1:24">
      <c r="A790" t="s">
        <v>134</v>
      </c>
      <c r="B790" t="s">
        <v>116</v>
      </c>
      <c r="C790" s="36">
        <v>46107</v>
      </c>
      <c r="D790" t="s">
        <v>1183</v>
      </c>
      <c r="E790" s="36">
        <v>46112</v>
      </c>
      <c r="F790" t="s">
        <v>116</v>
      </c>
      <c r="G790" s="36">
        <v>46107</v>
      </c>
      <c r="H790">
        <v>0</v>
      </c>
      <c r="I790" t="s">
        <v>2497</v>
      </c>
      <c r="J790">
        <v>4.5</v>
      </c>
      <c r="K790">
        <v>4.5</v>
      </c>
      <c r="L790">
        <v>3</v>
      </c>
      <c r="M790">
        <v>1.5</v>
      </c>
      <c r="N790">
        <v>1.5</v>
      </c>
      <c r="O790">
        <v>0</v>
      </c>
      <c r="P790">
        <v>0</v>
      </c>
      <c r="Q790">
        <v>0</v>
      </c>
      <c r="R790">
        <v>9.9999999999999645E-2</v>
      </c>
      <c r="S790">
        <v>9.9999999999999645E-2</v>
      </c>
      <c r="T790" t="s">
        <v>1086</v>
      </c>
      <c r="U790">
        <v>4.3</v>
      </c>
      <c r="V790">
        <v>1.2999999999999998</v>
      </c>
      <c r="W790" t="s">
        <v>2496</v>
      </c>
      <c r="X790" t="s">
        <v>117</v>
      </c>
    </row>
    <row r="791" spans="1:24">
      <c r="A791" t="s">
        <v>134</v>
      </c>
      <c r="B791" t="s">
        <v>88</v>
      </c>
      <c r="C791" s="36">
        <v>45470</v>
      </c>
      <c r="D791" t="s">
        <v>1276</v>
      </c>
      <c r="E791" s="36">
        <v>46203</v>
      </c>
      <c r="F791" t="s">
        <v>120</v>
      </c>
      <c r="G791" s="36">
        <v>46198</v>
      </c>
      <c r="H791">
        <v>16</v>
      </c>
      <c r="I791" t="s">
        <v>2512</v>
      </c>
      <c r="J791">
        <v>3</v>
      </c>
      <c r="K791">
        <v>4.2</v>
      </c>
      <c r="L791">
        <v>3</v>
      </c>
      <c r="M791">
        <v>0</v>
      </c>
      <c r="N791">
        <v>0</v>
      </c>
      <c r="O791">
        <v>-1.2000000000000002</v>
      </c>
      <c r="P791">
        <v>1.2000000000000002</v>
      </c>
      <c r="Q791">
        <v>1.4400000000000004</v>
      </c>
      <c r="T791" t="s">
        <v>355</v>
      </c>
      <c r="U791">
        <v>4.7</v>
      </c>
      <c r="V791">
        <v>1.7000000000000002</v>
      </c>
      <c r="W791" t="s">
        <v>2496</v>
      </c>
      <c r="X791" t="s">
        <v>89</v>
      </c>
    </row>
    <row r="792" spans="1:24">
      <c r="A792" t="s">
        <v>134</v>
      </c>
      <c r="B792" t="s">
        <v>90</v>
      </c>
      <c r="C792" s="36">
        <v>45512</v>
      </c>
      <c r="D792" t="s">
        <v>1276</v>
      </c>
      <c r="E792" s="36">
        <v>46203</v>
      </c>
      <c r="F792" t="s">
        <v>120</v>
      </c>
      <c r="G792" s="36">
        <v>46198</v>
      </c>
      <c r="H792">
        <v>15</v>
      </c>
      <c r="I792" t="s">
        <v>2510</v>
      </c>
      <c r="J792">
        <v>3</v>
      </c>
      <c r="K792">
        <v>4.2</v>
      </c>
      <c r="L792">
        <v>3</v>
      </c>
      <c r="M792">
        <v>0</v>
      </c>
      <c r="N792">
        <v>0</v>
      </c>
      <c r="O792">
        <v>-1.2000000000000002</v>
      </c>
      <c r="P792">
        <v>1.2000000000000002</v>
      </c>
      <c r="Q792">
        <v>1.4400000000000004</v>
      </c>
      <c r="R792">
        <v>0</v>
      </c>
      <c r="S792">
        <v>0</v>
      </c>
      <c r="T792" t="s">
        <v>460</v>
      </c>
      <c r="U792">
        <v>4.2</v>
      </c>
      <c r="V792">
        <v>1.2000000000000002</v>
      </c>
      <c r="W792" t="s">
        <v>2496</v>
      </c>
      <c r="X792" t="s">
        <v>91</v>
      </c>
    </row>
    <row r="793" spans="1:24">
      <c r="A793" t="s">
        <v>134</v>
      </c>
      <c r="B793" t="s">
        <v>92</v>
      </c>
      <c r="C793" s="36">
        <v>45561</v>
      </c>
      <c r="D793" t="s">
        <v>1276</v>
      </c>
      <c r="E793" s="36">
        <v>46203</v>
      </c>
      <c r="F793" t="s">
        <v>120</v>
      </c>
      <c r="G793" s="36">
        <v>46198</v>
      </c>
      <c r="H793">
        <v>14</v>
      </c>
      <c r="I793" t="s">
        <v>2511</v>
      </c>
      <c r="J793">
        <v>3</v>
      </c>
      <c r="K793">
        <v>4.2</v>
      </c>
      <c r="L793">
        <v>3</v>
      </c>
      <c r="M793">
        <v>0</v>
      </c>
      <c r="N793">
        <v>0</v>
      </c>
      <c r="O793">
        <v>-1.2000000000000002</v>
      </c>
      <c r="P793">
        <v>1.2000000000000002</v>
      </c>
      <c r="Q793">
        <v>1.4400000000000004</v>
      </c>
      <c r="R793">
        <v>0</v>
      </c>
      <c r="S793">
        <v>0</v>
      </c>
      <c r="T793" t="s">
        <v>460</v>
      </c>
      <c r="U793">
        <v>4.2</v>
      </c>
      <c r="V793">
        <v>1.2000000000000002</v>
      </c>
      <c r="W793" t="s">
        <v>2496</v>
      </c>
      <c r="X793" t="s">
        <v>93</v>
      </c>
    </row>
    <row r="794" spans="1:24">
      <c r="A794" t="s">
        <v>134</v>
      </c>
      <c r="B794" t="s">
        <v>94</v>
      </c>
      <c r="C794" s="36">
        <v>45610</v>
      </c>
      <c r="D794" t="s">
        <v>1276</v>
      </c>
      <c r="E794" s="36">
        <v>46203</v>
      </c>
      <c r="F794" t="s">
        <v>120</v>
      </c>
      <c r="G794" s="36">
        <v>46198</v>
      </c>
      <c r="H794">
        <v>13</v>
      </c>
      <c r="I794" t="s">
        <v>2508</v>
      </c>
      <c r="J794">
        <v>3</v>
      </c>
      <c r="K794">
        <v>4.2</v>
      </c>
      <c r="L794">
        <v>3</v>
      </c>
      <c r="M794">
        <v>0</v>
      </c>
      <c r="N794">
        <v>0</v>
      </c>
      <c r="O794">
        <v>-1.2000000000000002</v>
      </c>
      <c r="P794">
        <v>1.2000000000000002</v>
      </c>
      <c r="Q794">
        <v>1.4400000000000004</v>
      </c>
      <c r="R794">
        <v>0</v>
      </c>
      <c r="S794">
        <v>0</v>
      </c>
      <c r="T794" t="s">
        <v>565</v>
      </c>
      <c r="U794">
        <v>4</v>
      </c>
      <c r="V794">
        <v>1</v>
      </c>
      <c r="W794" t="s">
        <v>2496</v>
      </c>
      <c r="X794" t="s">
        <v>95</v>
      </c>
    </row>
    <row r="795" spans="1:24">
      <c r="A795" t="s">
        <v>134</v>
      </c>
      <c r="B795" t="s">
        <v>96</v>
      </c>
      <c r="C795" s="36">
        <v>45645</v>
      </c>
      <c r="D795" t="s">
        <v>1276</v>
      </c>
      <c r="E795" s="36">
        <v>46203</v>
      </c>
      <c r="F795" t="s">
        <v>120</v>
      </c>
      <c r="G795" s="36">
        <v>46198</v>
      </c>
      <c r="H795">
        <v>12</v>
      </c>
      <c r="I795" t="s">
        <v>2509</v>
      </c>
      <c r="J795">
        <v>3</v>
      </c>
      <c r="K795">
        <v>4.2</v>
      </c>
      <c r="L795">
        <v>3</v>
      </c>
      <c r="M795">
        <v>0</v>
      </c>
      <c r="N795">
        <v>0</v>
      </c>
      <c r="O795">
        <v>-1.2000000000000002</v>
      </c>
      <c r="P795">
        <v>1.2000000000000002</v>
      </c>
      <c r="Q795">
        <v>1.4400000000000004</v>
      </c>
      <c r="R795">
        <v>0</v>
      </c>
      <c r="S795">
        <v>0</v>
      </c>
      <c r="T795" t="s">
        <v>565</v>
      </c>
      <c r="U795">
        <v>4</v>
      </c>
      <c r="V795">
        <v>1</v>
      </c>
      <c r="W795" t="s">
        <v>2496</v>
      </c>
      <c r="X795" t="s">
        <v>97</v>
      </c>
    </row>
    <row r="796" spans="1:24">
      <c r="A796" t="s">
        <v>134</v>
      </c>
      <c r="B796" t="s">
        <v>98</v>
      </c>
      <c r="C796" s="36">
        <v>45694</v>
      </c>
      <c r="D796" t="s">
        <v>1276</v>
      </c>
      <c r="E796" s="36">
        <v>46203</v>
      </c>
      <c r="F796" t="s">
        <v>120</v>
      </c>
      <c r="G796" s="36">
        <v>46198</v>
      </c>
      <c r="H796">
        <v>11</v>
      </c>
      <c r="I796" t="s">
        <v>2506</v>
      </c>
      <c r="J796">
        <v>3</v>
      </c>
      <c r="K796">
        <v>4.2</v>
      </c>
      <c r="L796">
        <v>3</v>
      </c>
      <c r="M796">
        <v>0</v>
      </c>
      <c r="N796">
        <v>0</v>
      </c>
      <c r="O796">
        <v>-1.2000000000000002</v>
      </c>
      <c r="P796">
        <v>1.2000000000000002</v>
      </c>
      <c r="Q796">
        <v>1.4400000000000004</v>
      </c>
      <c r="R796">
        <v>0</v>
      </c>
      <c r="S796">
        <v>0</v>
      </c>
      <c r="T796" t="s">
        <v>670</v>
      </c>
      <c r="U796">
        <v>3.7</v>
      </c>
      <c r="V796">
        <v>0.70000000000000018</v>
      </c>
      <c r="W796" t="s">
        <v>2496</v>
      </c>
      <c r="X796" t="s">
        <v>99</v>
      </c>
    </row>
    <row r="797" spans="1:24">
      <c r="A797" t="s">
        <v>134</v>
      </c>
      <c r="B797" t="s">
        <v>100</v>
      </c>
      <c r="C797" s="36">
        <v>45743</v>
      </c>
      <c r="D797" t="s">
        <v>1276</v>
      </c>
      <c r="E797" s="36">
        <v>46203</v>
      </c>
      <c r="F797" t="s">
        <v>120</v>
      </c>
      <c r="G797" s="36">
        <v>46198</v>
      </c>
      <c r="H797">
        <v>10</v>
      </c>
      <c r="I797" t="s">
        <v>2507</v>
      </c>
      <c r="J797">
        <v>3</v>
      </c>
      <c r="K797">
        <v>4.2</v>
      </c>
      <c r="L797">
        <v>3</v>
      </c>
      <c r="M797">
        <v>0</v>
      </c>
      <c r="N797">
        <v>0</v>
      </c>
      <c r="O797">
        <v>-1.2000000000000002</v>
      </c>
      <c r="P797">
        <v>1.2000000000000002</v>
      </c>
      <c r="Q797">
        <v>1.4400000000000004</v>
      </c>
      <c r="R797">
        <v>0</v>
      </c>
      <c r="S797">
        <v>0</v>
      </c>
      <c r="T797" t="s">
        <v>670</v>
      </c>
      <c r="U797">
        <v>3.7</v>
      </c>
      <c r="V797">
        <v>0.70000000000000018</v>
      </c>
      <c r="W797" t="s">
        <v>2496</v>
      </c>
      <c r="X797" t="s">
        <v>101</v>
      </c>
    </row>
    <row r="798" spans="1:24">
      <c r="A798" t="s">
        <v>134</v>
      </c>
      <c r="B798" t="s">
        <v>102</v>
      </c>
      <c r="C798" s="36">
        <v>45792</v>
      </c>
      <c r="D798" t="s">
        <v>1276</v>
      </c>
      <c r="E798" s="36">
        <v>46203</v>
      </c>
      <c r="F798" t="s">
        <v>120</v>
      </c>
      <c r="G798" s="36">
        <v>46198</v>
      </c>
      <c r="H798">
        <v>9</v>
      </c>
      <c r="I798" t="s">
        <v>2504</v>
      </c>
      <c r="J798">
        <v>3</v>
      </c>
      <c r="K798">
        <v>4.2</v>
      </c>
      <c r="L798">
        <v>3</v>
      </c>
      <c r="M798">
        <v>0</v>
      </c>
      <c r="N798">
        <v>0</v>
      </c>
      <c r="O798">
        <v>-1.2000000000000002</v>
      </c>
      <c r="P798">
        <v>1.2000000000000002</v>
      </c>
      <c r="Q798">
        <v>1.4400000000000004</v>
      </c>
      <c r="R798">
        <v>0</v>
      </c>
      <c r="S798">
        <v>0</v>
      </c>
      <c r="T798" t="s">
        <v>771</v>
      </c>
      <c r="U798">
        <v>3.6</v>
      </c>
      <c r="V798">
        <v>0.60000000000000009</v>
      </c>
      <c r="W798" t="s">
        <v>2496</v>
      </c>
      <c r="X798" t="s">
        <v>103</v>
      </c>
    </row>
    <row r="799" spans="1:24">
      <c r="A799" t="s">
        <v>134</v>
      </c>
      <c r="B799" t="s">
        <v>104</v>
      </c>
      <c r="C799" s="36">
        <v>45834</v>
      </c>
      <c r="D799" t="s">
        <v>1276</v>
      </c>
      <c r="E799" s="36">
        <v>46203</v>
      </c>
      <c r="F799" t="s">
        <v>120</v>
      </c>
      <c r="G799" s="36">
        <v>46198</v>
      </c>
      <c r="H799">
        <v>8</v>
      </c>
      <c r="I799" t="s">
        <v>2505</v>
      </c>
      <c r="J799">
        <v>3.1</v>
      </c>
      <c r="K799">
        <v>4.2</v>
      </c>
      <c r="L799">
        <v>3</v>
      </c>
      <c r="M799">
        <v>0.10000000000000009</v>
      </c>
      <c r="N799">
        <v>0.10000000000000009</v>
      </c>
      <c r="O799">
        <v>-1.1000000000000001</v>
      </c>
      <c r="P799">
        <v>1.1000000000000001</v>
      </c>
      <c r="Q799">
        <v>1.2100000000000002</v>
      </c>
      <c r="R799">
        <v>0.10000000000000009</v>
      </c>
      <c r="S799">
        <v>0.10000000000000009</v>
      </c>
      <c r="T799" t="s">
        <v>771</v>
      </c>
      <c r="U799">
        <v>3.6</v>
      </c>
      <c r="V799">
        <v>0.60000000000000009</v>
      </c>
      <c r="W799" t="s">
        <v>2496</v>
      </c>
      <c r="X799" t="s">
        <v>105</v>
      </c>
    </row>
    <row r="800" spans="1:24">
      <c r="A800" t="s">
        <v>134</v>
      </c>
      <c r="B800" t="s">
        <v>106</v>
      </c>
      <c r="C800" s="36">
        <v>45876</v>
      </c>
      <c r="D800" t="s">
        <v>1276</v>
      </c>
      <c r="E800" s="36">
        <v>46203</v>
      </c>
      <c r="F800" t="s">
        <v>120</v>
      </c>
      <c r="G800" s="36">
        <v>46198</v>
      </c>
      <c r="H800">
        <v>7</v>
      </c>
      <c r="I800" t="s">
        <v>2502</v>
      </c>
      <c r="J800">
        <v>3.1</v>
      </c>
      <c r="K800">
        <v>4.2</v>
      </c>
      <c r="L800">
        <v>3</v>
      </c>
      <c r="M800">
        <v>0.10000000000000009</v>
      </c>
      <c r="N800">
        <v>0.10000000000000009</v>
      </c>
      <c r="O800">
        <v>-1.1000000000000001</v>
      </c>
      <c r="P800">
        <v>1.1000000000000001</v>
      </c>
      <c r="Q800">
        <v>1.2100000000000002</v>
      </c>
      <c r="R800">
        <v>0</v>
      </c>
      <c r="S800">
        <v>0</v>
      </c>
      <c r="T800" t="s">
        <v>876</v>
      </c>
      <c r="U800">
        <v>4.0999999999999996</v>
      </c>
      <c r="V800">
        <v>1.0999999999999996</v>
      </c>
      <c r="W800" t="s">
        <v>2496</v>
      </c>
      <c r="X800" t="s">
        <v>107</v>
      </c>
    </row>
    <row r="801" spans="1:24">
      <c r="A801" t="s">
        <v>134</v>
      </c>
      <c r="B801" t="s">
        <v>108</v>
      </c>
      <c r="C801" s="36">
        <v>45925</v>
      </c>
      <c r="D801" t="s">
        <v>1276</v>
      </c>
      <c r="E801" s="36">
        <v>46203</v>
      </c>
      <c r="F801" t="s">
        <v>120</v>
      </c>
      <c r="G801" s="36">
        <v>46198</v>
      </c>
      <c r="H801">
        <v>6</v>
      </c>
      <c r="I801" t="s">
        <v>2503</v>
      </c>
      <c r="J801">
        <v>3.2</v>
      </c>
      <c r="K801">
        <v>4.2</v>
      </c>
      <c r="L801">
        <v>3</v>
      </c>
      <c r="M801">
        <v>0.20000000000000018</v>
      </c>
      <c r="N801">
        <v>0.20000000000000018</v>
      </c>
      <c r="O801">
        <v>-1</v>
      </c>
      <c r="P801">
        <v>1</v>
      </c>
      <c r="Q801">
        <v>1</v>
      </c>
      <c r="R801">
        <v>0.10000000000000009</v>
      </c>
      <c r="S801">
        <v>0.10000000000000009</v>
      </c>
      <c r="T801" t="s">
        <v>876</v>
      </c>
      <c r="U801">
        <v>4.0999999999999996</v>
      </c>
      <c r="V801">
        <v>1.0999999999999996</v>
      </c>
      <c r="W801" t="s">
        <v>2496</v>
      </c>
      <c r="X801" t="s">
        <v>109</v>
      </c>
    </row>
    <row r="802" spans="1:24">
      <c r="A802" t="s">
        <v>134</v>
      </c>
      <c r="B802" t="s">
        <v>110</v>
      </c>
      <c r="C802" s="36">
        <v>45967</v>
      </c>
      <c r="D802" t="s">
        <v>1276</v>
      </c>
      <c r="E802" s="36">
        <v>46203</v>
      </c>
      <c r="F802" t="s">
        <v>120</v>
      </c>
      <c r="G802" s="36">
        <v>46198</v>
      </c>
      <c r="H802">
        <v>5</v>
      </c>
      <c r="I802" t="s">
        <v>2500</v>
      </c>
      <c r="J802">
        <v>3.3</v>
      </c>
      <c r="K802">
        <v>4.2</v>
      </c>
      <c r="L802">
        <v>3</v>
      </c>
      <c r="M802">
        <v>0.29999999999999982</v>
      </c>
      <c r="N802">
        <v>0.29999999999999982</v>
      </c>
      <c r="O802">
        <v>-0.90000000000000036</v>
      </c>
      <c r="P802">
        <v>0.90000000000000036</v>
      </c>
      <c r="Q802">
        <v>0.81000000000000061</v>
      </c>
      <c r="R802">
        <v>9.9999999999999645E-2</v>
      </c>
      <c r="S802">
        <v>9.9999999999999645E-2</v>
      </c>
      <c r="T802" t="s">
        <v>981</v>
      </c>
      <c r="U802">
        <v>4.2</v>
      </c>
      <c r="V802">
        <v>1.2000000000000002</v>
      </c>
      <c r="W802" t="s">
        <v>2496</v>
      </c>
      <c r="X802" t="s">
        <v>111</v>
      </c>
    </row>
    <row r="803" spans="1:24">
      <c r="A803" t="s">
        <v>134</v>
      </c>
      <c r="B803" t="s">
        <v>112</v>
      </c>
      <c r="C803" s="36">
        <v>46009</v>
      </c>
      <c r="D803" t="s">
        <v>1276</v>
      </c>
      <c r="E803" s="36">
        <v>46203</v>
      </c>
      <c r="F803" t="s">
        <v>120</v>
      </c>
      <c r="G803" s="36">
        <v>46198</v>
      </c>
      <c r="H803">
        <v>4</v>
      </c>
      <c r="I803" t="s">
        <v>2501</v>
      </c>
      <c r="J803">
        <v>3.4</v>
      </c>
      <c r="K803">
        <v>4.2</v>
      </c>
      <c r="L803">
        <v>3</v>
      </c>
      <c r="M803">
        <v>0.39999999999999991</v>
      </c>
      <c r="N803">
        <v>0.39999999999999991</v>
      </c>
      <c r="O803">
        <v>-0.80000000000000027</v>
      </c>
      <c r="P803">
        <v>0.80000000000000027</v>
      </c>
      <c r="Q803">
        <v>0.64000000000000046</v>
      </c>
      <c r="R803">
        <v>0.10000000000000009</v>
      </c>
      <c r="S803">
        <v>0.10000000000000009</v>
      </c>
      <c r="T803" t="s">
        <v>981</v>
      </c>
      <c r="U803">
        <v>4.2</v>
      </c>
      <c r="V803">
        <v>1.2000000000000002</v>
      </c>
      <c r="W803" t="s">
        <v>2496</v>
      </c>
      <c r="X803" t="s">
        <v>113</v>
      </c>
    </row>
    <row r="804" spans="1:24">
      <c r="A804" t="s">
        <v>134</v>
      </c>
      <c r="B804" t="s">
        <v>114</v>
      </c>
      <c r="C804" s="36">
        <v>46058</v>
      </c>
      <c r="D804" t="s">
        <v>1276</v>
      </c>
      <c r="E804" s="36">
        <v>46203</v>
      </c>
      <c r="F804" t="s">
        <v>120</v>
      </c>
      <c r="G804" s="36">
        <v>46198</v>
      </c>
      <c r="H804">
        <v>3</v>
      </c>
      <c r="I804" t="s">
        <v>2498</v>
      </c>
      <c r="J804">
        <v>4</v>
      </c>
      <c r="K804">
        <v>4.2</v>
      </c>
      <c r="L804">
        <v>3</v>
      </c>
      <c r="M804">
        <v>1</v>
      </c>
      <c r="N804">
        <v>1</v>
      </c>
      <c r="O804">
        <v>-0.20000000000000018</v>
      </c>
      <c r="P804">
        <v>0.20000000000000018</v>
      </c>
      <c r="Q804">
        <v>4.000000000000007E-2</v>
      </c>
      <c r="R804">
        <v>0.60000000000000009</v>
      </c>
      <c r="S804">
        <v>0.60000000000000009</v>
      </c>
      <c r="T804" t="s">
        <v>1086</v>
      </c>
      <c r="U804">
        <v>4.3</v>
      </c>
      <c r="V804">
        <v>1.2999999999999998</v>
      </c>
      <c r="W804" t="s">
        <v>2496</v>
      </c>
      <c r="X804" t="s">
        <v>115</v>
      </c>
    </row>
    <row r="805" spans="1:24">
      <c r="A805" t="s">
        <v>134</v>
      </c>
      <c r="B805" t="s">
        <v>116</v>
      </c>
      <c r="C805" s="36">
        <v>46107</v>
      </c>
      <c r="D805" t="s">
        <v>1276</v>
      </c>
      <c r="E805" s="36">
        <v>46203</v>
      </c>
      <c r="F805" t="s">
        <v>120</v>
      </c>
      <c r="G805" s="36">
        <v>46198</v>
      </c>
      <c r="H805">
        <v>2</v>
      </c>
      <c r="I805" t="s">
        <v>2499</v>
      </c>
      <c r="J805">
        <v>4.0999999999999996</v>
      </c>
      <c r="K805">
        <v>4.2</v>
      </c>
      <c r="L805">
        <v>3</v>
      </c>
      <c r="M805">
        <v>1.0999999999999996</v>
      </c>
      <c r="N805">
        <v>1.0999999999999996</v>
      </c>
      <c r="O805">
        <v>-0.10000000000000053</v>
      </c>
      <c r="P805">
        <v>0.10000000000000053</v>
      </c>
      <c r="Q805">
        <v>1.0000000000000106E-2</v>
      </c>
      <c r="R805">
        <v>9.9999999999999645E-2</v>
      </c>
      <c r="S805">
        <v>9.9999999999999645E-2</v>
      </c>
      <c r="T805" t="s">
        <v>1086</v>
      </c>
      <c r="U805">
        <v>4.3</v>
      </c>
      <c r="V805">
        <v>1.2999999999999998</v>
      </c>
      <c r="W805" t="s">
        <v>2496</v>
      </c>
      <c r="X805" t="s">
        <v>117</v>
      </c>
    </row>
    <row r="806" spans="1:24">
      <c r="A806" t="s">
        <v>134</v>
      </c>
      <c r="B806" t="s">
        <v>118</v>
      </c>
      <c r="C806" s="36">
        <v>46149</v>
      </c>
      <c r="D806" t="s">
        <v>1276</v>
      </c>
      <c r="E806" s="36">
        <v>46203</v>
      </c>
      <c r="F806" t="s">
        <v>120</v>
      </c>
      <c r="G806" s="36">
        <v>46198</v>
      </c>
      <c r="H806">
        <v>1</v>
      </c>
      <c r="I806" t="s">
        <v>2495</v>
      </c>
      <c r="J806">
        <v>4.0999999999999996</v>
      </c>
      <c r="K806">
        <v>4.2</v>
      </c>
      <c r="L806">
        <v>3</v>
      </c>
      <c r="M806">
        <v>1.0999999999999996</v>
      </c>
      <c r="N806">
        <v>1.0999999999999996</v>
      </c>
      <c r="O806">
        <v>-0.10000000000000053</v>
      </c>
      <c r="P806">
        <v>0.10000000000000053</v>
      </c>
      <c r="Q806">
        <v>1.0000000000000106E-2</v>
      </c>
      <c r="R806">
        <v>0</v>
      </c>
      <c r="S806">
        <v>0</v>
      </c>
      <c r="T806" t="s">
        <v>1183</v>
      </c>
      <c r="U806">
        <v>4.5</v>
      </c>
      <c r="V806">
        <v>1.5</v>
      </c>
      <c r="W806" t="s">
        <v>2496</v>
      </c>
      <c r="X806" t="s">
        <v>119</v>
      </c>
    </row>
    <row r="807" spans="1:24">
      <c r="A807" t="s">
        <v>134</v>
      </c>
      <c r="B807" t="s">
        <v>120</v>
      </c>
      <c r="C807" s="36">
        <v>46198</v>
      </c>
      <c r="D807" t="s">
        <v>1276</v>
      </c>
      <c r="E807" s="36">
        <v>46203</v>
      </c>
      <c r="F807" t="s">
        <v>120</v>
      </c>
      <c r="G807" s="36">
        <v>46198</v>
      </c>
      <c r="H807">
        <v>0</v>
      </c>
      <c r="I807" t="s">
        <v>2497</v>
      </c>
      <c r="J807">
        <v>4.2</v>
      </c>
      <c r="K807">
        <v>4.2</v>
      </c>
      <c r="L807">
        <v>3</v>
      </c>
      <c r="M807">
        <v>1.2000000000000002</v>
      </c>
      <c r="N807">
        <v>1.2000000000000002</v>
      </c>
      <c r="O807">
        <v>0</v>
      </c>
      <c r="P807">
        <v>0</v>
      </c>
      <c r="Q807">
        <v>0</v>
      </c>
      <c r="R807">
        <v>0.10000000000000053</v>
      </c>
      <c r="S807">
        <v>0.10000000000000053</v>
      </c>
      <c r="T807" t="s">
        <v>1183</v>
      </c>
      <c r="U807">
        <v>4.5</v>
      </c>
      <c r="V807">
        <v>1.5</v>
      </c>
      <c r="W807" t="s">
        <v>2496</v>
      </c>
      <c r="X807" t="s">
        <v>121</v>
      </c>
    </row>
    <row r="808" spans="1:24">
      <c r="A808" t="s">
        <v>212</v>
      </c>
      <c r="B808" t="s">
        <v>47</v>
      </c>
      <c r="C808" s="36">
        <v>44546</v>
      </c>
      <c r="D808" t="s">
        <v>142</v>
      </c>
      <c r="E808" s="36">
        <v>44561</v>
      </c>
      <c r="F808" t="s">
        <v>47</v>
      </c>
      <c r="G808" s="36">
        <v>44546</v>
      </c>
      <c r="H808">
        <v>0</v>
      </c>
      <c r="I808" t="s">
        <v>2497</v>
      </c>
      <c r="J808">
        <v>6.3</v>
      </c>
      <c r="K808">
        <v>6.5</v>
      </c>
      <c r="L808">
        <v>3</v>
      </c>
      <c r="M808">
        <v>3.3</v>
      </c>
      <c r="N808">
        <v>3.3</v>
      </c>
      <c r="O808">
        <v>-0.20000000000000018</v>
      </c>
      <c r="P808">
        <v>0.20000000000000018</v>
      </c>
      <c r="Q808">
        <v>4.000000000000007E-2</v>
      </c>
      <c r="T808" t="s">
        <v>139</v>
      </c>
      <c r="U808">
        <v>6.6</v>
      </c>
      <c r="V808">
        <v>3.5999999999999996</v>
      </c>
      <c r="W808" t="s">
        <v>2496</v>
      </c>
      <c r="X808" t="s">
        <v>49</v>
      </c>
    </row>
    <row r="809" spans="1:24">
      <c r="A809" t="s">
        <v>212</v>
      </c>
      <c r="B809" t="s">
        <v>47</v>
      </c>
      <c r="C809" s="36">
        <v>44546</v>
      </c>
      <c r="D809" t="s">
        <v>145</v>
      </c>
      <c r="E809" s="36">
        <v>44651</v>
      </c>
      <c r="F809" t="s">
        <v>52</v>
      </c>
      <c r="G809" s="36">
        <v>44644</v>
      </c>
      <c r="H809">
        <v>2</v>
      </c>
      <c r="I809" t="s">
        <v>2499</v>
      </c>
      <c r="J809">
        <v>6.2</v>
      </c>
      <c r="K809">
        <v>7.7</v>
      </c>
      <c r="L809">
        <v>3</v>
      </c>
      <c r="M809">
        <v>3.2</v>
      </c>
      <c r="N809">
        <v>3.2</v>
      </c>
      <c r="O809">
        <v>-1.5</v>
      </c>
      <c r="P809">
        <v>1.5</v>
      </c>
      <c r="Q809">
        <v>2.25</v>
      </c>
      <c r="T809" t="s">
        <v>139</v>
      </c>
      <c r="U809">
        <v>6.6</v>
      </c>
      <c r="V809">
        <v>3.5999999999999996</v>
      </c>
      <c r="W809" t="s">
        <v>2496</v>
      </c>
      <c r="X809" t="s">
        <v>49</v>
      </c>
    </row>
    <row r="810" spans="1:24">
      <c r="A810" t="s">
        <v>212</v>
      </c>
      <c r="B810" t="s">
        <v>50</v>
      </c>
      <c r="C810" s="36">
        <v>44602</v>
      </c>
      <c r="D810" t="s">
        <v>145</v>
      </c>
      <c r="E810" s="36">
        <v>44651</v>
      </c>
      <c r="F810" t="s">
        <v>52</v>
      </c>
      <c r="G810" s="36">
        <v>44644</v>
      </c>
      <c r="H810">
        <v>1</v>
      </c>
      <c r="I810" t="s">
        <v>2495</v>
      </c>
      <c r="J810">
        <v>6.8</v>
      </c>
      <c r="K810">
        <v>7.7</v>
      </c>
      <c r="L810">
        <v>3</v>
      </c>
      <c r="M810">
        <v>3.8</v>
      </c>
      <c r="N810">
        <v>3.8</v>
      </c>
      <c r="O810">
        <v>-0.90000000000000036</v>
      </c>
      <c r="P810">
        <v>0.90000000000000036</v>
      </c>
      <c r="Q810">
        <v>0.81000000000000061</v>
      </c>
      <c r="R810">
        <v>0.59999999999999964</v>
      </c>
      <c r="S810">
        <v>0.59999999999999964</v>
      </c>
      <c r="T810" t="s">
        <v>142</v>
      </c>
      <c r="U810">
        <v>6.5</v>
      </c>
      <c r="V810">
        <v>3.5</v>
      </c>
      <c r="W810" t="s">
        <v>2496</v>
      </c>
      <c r="X810" t="s">
        <v>51</v>
      </c>
    </row>
    <row r="811" spans="1:24">
      <c r="A811" t="s">
        <v>212</v>
      </c>
      <c r="B811" t="s">
        <v>52</v>
      </c>
      <c r="C811" s="36">
        <v>44644</v>
      </c>
      <c r="D811" t="s">
        <v>145</v>
      </c>
      <c r="E811" s="36">
        <v>44651</v>
      </c>
      <c r="F811" t="s">
        <v>52</v>
      </c>
      <c r="G811" s="36">
        <v>44644</v>
      </c>
      <c r="H811">
        <v>0</v>
      </c>
      <c r="I811" t="s">
        <v>2497</v>
      </c>
      <c r="J811">
        <v>7.5</v>
      </c>
      <c r="K811">
        <v>7.7</v>
      </c>
      <c r="L811">
        <v>3</v>
      </c>
      <c r="M811">
        <v>4.5</v>
      </c>
      <c r="N811">
        <v>4.5</v>
      </c>
      <c r="O811">
        <v>-0.20000000000000018</v>
      </c>
      <c r="P811">
        <v>0.20000000000000018</v>
      </c>
      <c r="Q811">
        <v>4.000000000000007E-2</v>
      </c>
      <c r="R811">
        <v>0.70000000000000018</v>
      </c>
      <c r="S811">
        <v>0.70000000000000018</v>
      </c>
      <c r="T811" t="s">
        <v>142</v>
      </c>
      <c r="U811">
        <v>6.6</v>
      </c>
      <c r="V811">
        <v>3.5999999999999996</v>
      </c>
      <c r="W811" t="s">
        <v>2496</v>
      </c>
      <c r="X811" t="s">
        <v>53</v>
      </c>
    </row>
    <row r="812" spans="1:24">
      <c r="A812" t="s">
        <v>212</v>
      </c>
      <c r="B812" t="s">
        <v>47</v>
      </c>
      <c r="C812" s="36">
        <v>44546</v>
      </c>
      <c r="D812" t="s">
        <v>148</v>
      </c>
      <c r="E812" s="36">
        <v>44742</v>
      </c>
      <c r="F812" t="s">
        <v>56</v>
      </c>
      <c r="G812" s="36">
        <v>44735</v>
      </c>
      <c r="H812">
        <v>4</v>
      </c>
      <c r="I812" t="s">
        <v>2501</v>
      </c>
      <c r="J812">
        <v>4.0999999999999996</v>
      </c>
      <c r="K812">
        <v>8.8000000000000007</v>
      </c>
      <c r="L812">
        <v>3</v>
      </c>
      <c r="M812">
        <v>1.0999999999999996</v>
      </c>
      <c r="N812">
        <v>1.0999999999999996</v>
      </c>
      <c r="O812">
        <v>-4.7000000000000011</v>
      </c>
      <c r="P812">
        <v>4.7000000000000011</v>
      </c>
      <c r="Q812">
        <v>22.090000000000011</v>
      </c>
      <c r="T812" t="s">
        <v>139</v>
      </c>
      <c r="U812">
        <v>6.6</v>
      </c>
      <c r="V812">
        <v>3.5999999999999996</v>
      </c>
      <c r="W812" t="s">
        <v>2496</v>
      </c>
      <c r="X812" t="s">
        <v>49</v>
      </c>
    </row>
    <row r="813" spans="1:24">
      <c r="A813" t="s">
        <v>212</v>
      </c>
      <c r="B813" t="s">
        <v>50</v>
      </c>
      <c r="C813" s="36">
        <v>44602</v>
      </c>
      <c r="D813" t="s">
        <v>148</v>
      </c>
      <c r="E813" s="36">
        <v>44742</v>
      </c>
      <c r="F813" t="s">
        <v>56</v>
      </c>
      <c r="G813" s="36">
        <v>44735</v>
      </c>
      <c r="H813">
        <v>3</v>
      </c>
      <c r="I813" t="s">
        <v>2498</v>
      </c>
      <c r="J813">
        <v>4.2</v>
      </c>
      <c r="K813">
        <v>8.8000000000000007</v>
      </c>
      <c r="L813">
        <v>3</v>
      </c>
      <c r="M813">
        <v>1.2000000000000002</v>
      </c>
      <c r="N813">
        <v>1.2000000000000002</v>
      </c>
      <c r="O813">
        <v>-4.6000000000000005</v>
      </c>
      <c r="P813">
        <v>4.6000000000000005</v>
      </c>
      <c r="Q813">
        <v>21.160000000000004</v>
      </c>
      <c r="R813">
        <v>0.10000000000000053</v>
      </c>
      <c r="S813">
        <v>0.10000000000000053</v>
      </c>
      <c r="T813" t="s">
        <v>142</v>
      </c>
      <c r="U813">
        <v>6.5</v>
      </c>
      <c r="V813">
        <v>3.5</v>
      </c>
      <c r="W813" t="s">
        <v>2496</v>
      </c>
      <c r="X813" t="s">
        <v>51</v>
      </c>
    </row>
    <row r="814" spans="1:24">
      <c r="A814" t="s">
        <v>212</v>
      </c>
      <c r="B814" t="s">
        <v>52</v>
      </c>
      <c r="C814" s="36">
        <v>44644</v>
      </c>
      <c r="D814" t="s">
        <v>148</v>
      </c>
      <c r="E814" s="36">
        <v>44742</v>
      </c>
      <c r="F814" t="s">
        <v>56</v>
      </c>
      <c r="G814" s="36">
        <v>44735</v>
      </c>
      <c r="H814">
        <v>2</v>
      </c>
      <c r="I814" t="s">
        <v>2499</v>
      </c>
      <c r="J814">
        <v>5.8</v>
      </c>
      <c r="K814">
        <v>8.8000000000000007</v>
      </c>
      <c r="L814">
        <v>3</v>
      </c>
      <c r="M814">
        <v>2.8</v>
      </c>
      <c r="N814">
        <v>2.8</v>
      </c>
      <c r="O814">
        <v>-3.0000000000000009</v>
      </c>
      <c r="P814">
        <v>3.0000000000000009</v>
      </c>
      <c r="Q814">
        <v>9.0000000000000053</v>
      </c>
      <c r="R814">
        <v>1.5999999999999996</v>
      </c>
      <c r="S814">
        <v>1.5999999999999996</v>
      </c>
      <c r="T814" t="s">
        <v>142</v>
      </c>
      <c r="U814">
        <v>6.6</v>
      </c>
      <c r="V814">
        <v>3.5999999999999996</v>
      </c>
      <c r="W814" t="s">
        <v>2496</v>
      </c>
      <c r="X814" t="s">
        <v>53</v>
      </c>
    </row>
    <row r="815" spans="1:24">
      <c r="A815" t="s">
        <v>212</v>
      </c>
      <c r="B815" t="s">
        <v>54</v>
      </c>
      <c r="C815" s="36">
        <v>44693</v>
      </c>
      <c r="D815" t="s">
        <v>148</v>
      </c>
      <c r="E815" s="36">
        <v>44742</v>
      </c>
      <c r="F815" t="s">
        <v>56</v>
      </c>
      <c r="G815" s="36">
        <v>44735</v>
      </c>
      <c r="H815">
        <v>1</v>
      </c>
      <c r="I815" t="s">
        <v>2495</v>
      </c>
      <c r="J815">
        <v>7.6</v>
      </c>
      <c r="K815">
        <v>8.8000000000000007</v>
      </c>
      <c r="L815">
        <v>3</v>
      </c>
      <c r="M815">
        <v>4.5999999999999996</v>
      </c>
      <c r="N815">
        <v>4.5999999999999996</v>
      </c>
      <c r="O815">
        <v>-1.2000000000000011</v>
      </c>
      <c r="P815">
        <v>1.2000000000000011</v>
      </c>
      <c r="Q815">
        <v>1.4400000000000026</v>
      </c>
      <c r="R815">
        <v>1.7999999999999998</v>
      </c>
      <c r="S815">
        <v>1.7999999999999998</v>
      </c>
      <c r="T815" t="s">
        <v>145</v>
      </c>
      <c r="U815">
        <v>7.8</v>
      </c>
      <c r="V815">
        <v>4.8</v>
      </c>
      <c r="W815" t="s">
        <v>2496</v>
      </c>
      <c r="X815" t="s">
        <v>55</v>
      </c>
    </row>
    <row r="816" spans="1:24">
      <c r="A816" t="s">
        <v>212</v>
      </c>
      <c r="B816" t="s">
        <v>56</v>
      </c>
      <c r="C816" s="36">
        <v>44735</v>
      </c>
      <c r="D816" t="s">
        <v>148</v>
      </c>
      <c r="E816" s="36">
        <v>44742</v>
      </c>
      <c r="F816" t="s">
        <v>56</v>
      </c>
      <c r="G816" s="36">
        <v>44735</v>
      </c>
      <c r="H816">
        <v>0</v>
      </c>
      <c r="I816" t="s">
        <v>2497</v>
      </c>
      <c r="J816">
        <v>8.4</v>
      </c>
      <c r="K816">
        <v>8.8000000000000007</v>
      </c>
      <c r="L816">
        <v>3</v>
      </c>
      <c r="M816">
        <v>5.4</v>
      </c>
      <c r="N816">
        <v>5.4</v>
      </c>
      <c r="O816">
        <v>-0.40000000000000036</v>
      </c>
      <c r="P816">
        <v>0.40000000000000036</v>
      </c>
      <c r="Q816">
        <v>0.16000000000000028</v>
      </c>
      <c r="R816">
        <v>0.80000000000000071</v>
      </c>
      <c r="S816">
        <v>0.80000000000000071</v>
      </c>
      <c r="T816" t="s">
        <v>145</v>
      </c>
      <c r="U816">
        <v>8</v>
      </c>
      <c r="V816">
        <v>5</v>
      </c>
      <c r="W816" t="s">
        <v>2496</v>
      </c>
      <c r="X816" t="s">
        <v>57</v>
      </c>
    </row>
    <row r="817" spans="1:24">
      <c r="A817" t="s">
        <v>212</v>
      </c>
      <c r="B817" t="s">
        <v>47</v>
      </c>
      <c r="C817" s="36">
        <v>44546</v>
      </c>
      <c r="D817" t="s">
        <v>151</v>
      </c>
      <c r="E817" s="36">
        <v>44834</v>
      </c>
      <c r="F817" t="s">
        <v>60</v>
      </c>
      <c r="G817" s="36">
        <v>44833</v>
      </c>
      <c r="H817">
        <v>6</v>
      </c>
      <c r="I817" t="s">
        <v>2503</v>
      </c>
      <c r="J817">
        <v>3.1</v>
      </c>
      <c r="K817">
        <v>8.9</v>
      </c>
      <c r="L817">
        <v>3</v>
      </c>
      <c r="M817">
        <v>0.10000000000000009</v>
      </c>
      <c r="N817">
        <v>0.10000000000000009</v>
      </c>
      <c r="O817">
        <v>-5.8000000000000007</v>
      </c>
      <c r="P817">
        <v>5.8000000000000007</v>
      </c>
      <c r="Q817">
        <v>33.640000000000008</v>
      </c>
      <c r="T817" t="s">
        <v>139</v>
      </c>
      <c r="U817">
        <v>6.6</v>
      </c>
      <c r="V817">
        <v>3.5999999999999996</v>
      </c>
      <c r="W817" t="s">
        <v>2496</v>
      </c>
      <c r="X817" t="s">
        <v>49</v>
      </c>
    </row>
    <row r="818" spans="1:24">
      <c r="A818" t="s">
        <v>212</v>
      </c>
      <c r="B818" t="s">
        <v>50</v>
      </c>
      <c r="C818" s="36">
        <v>44602</v>
      </c>
      <c r="D818" t="s">
        <v>151</v>
      </c>
      <c r="E818" s="36">
        <v>44834</v>
      </c>
      <c r="F818" t="s">
        <v>60</v>
      </c>
      <c r="G818" s="36">
        <v>44833</v>
      </c>
      <c r="H818">
        <v>5</v>
      </c>
      <c r="I818" t="s">
        <v>2500</v>
      </c>
      <c r="J818">
        <v>3.1</v>
      </c>
      <c r="K818">
        <v>8.9</v>
      </c>
      <c r="L818">
        <v>3</v>
      </c>
      <c r="M818">
        <v>0.10000000000000009</v>
      </c>
      <c r="N818">
        <v>0.10000000000000009</v>
      </c>
      <c r="O818">
        <v>-5.8000000000000007</v>
      </c>
      <c r="P818">
        <v>5.8000000000000007</v>
      </c>
      <c r="Q818">
        <v>33.640000000000008</v>
      </c>
      <c r="R818">
        <v>0</v>
      </c>
      <c r="S818">
        <v>0</v>
      </c>
      <c r="T818" t="s">
        <v>142</v>
      </c>
      <c r="U818">
        <v>6.5</v>
      </c>
      <c r="V818">
        <v>3.5</v>
      </c>
      <c r="W818" t="s">
        <v>2496</v>
      </c>
      <c r="X818" t="s">
        <v>51</v>
      </c>
    </row>
    <row r="819" spans="1:24">
      <c r="A819" t="s">
        <v>212</v>
      </c>
      <c r="B819" t="s">
        <v>52</v>
      </c>
      <c r="C819" s="36">
        <v>44644</v>
      </c>
      <c r="D819" t="s">
        <v>151</v>
      </c>
      <c r="E819" s="36">
        <v>44834</v>
      </c>
      <c r="F819" t="s">
        <v>60</v>
      </c>
      <c r="G819" s="36">
        <v>44833</v>
      </c>
      <c r="H819">
        <v>4</v>
      </c>
      <c r="I819" t="s">
        <v>2501</v>
      </c>
      <c r="J819">
        <v>3.7</v>
      </c>
      <c r="K819">
        <v>8.9</v>
      </c>
      <c r="L819">
        <v>3</v>
      </c>
      <c r="M819">
        <v>0.70000000000000018</v>
      </c>
      <c r="N819">
        <v>0.70000000000000018</v>
      </c>
      <c r="O819">
        <v>-5.2</v>
      </c>
      <c r="P819">
        <v>5.2</v>
      </c>
      <c r="Q819">
        <v>27.040000000000003</v>
      </c>
      <c r="R819">
        <v>0.60000000000000009</v>
      </c>
      <c r="S819">
        <v>0.60000000000000009</v>
      </c>
      <c r="T819" t="s">
        <v>142</v>
      </c>
      <c r="U819">
        <v>6.6</v>
      </c>
      <c r="V819">
        <v>3.5999999999999996</v>
      </c>
      <c r="W819" t="s">
        <v>2496</v>
      </c>
      <c r="X819" t="s">
        <v>53</v>
      </c>
    </row>
    <row r="820" spans="1:24">
      <c r="A820" t="s">
        <v>212</v>
      </c>
      <c r="B820" t="s">
        <v>54</v>
      </c>
      <c r="C820" s="36">
        <v>44693</v>
      </c>
      <c r="D820" t="s">
        <v>151</v>
      </c>
      <c r="E820" s="36">
        <v>44834</v>
      </c>
      <c r="F820" t="s">
        <v>60</v>
      </c>
      <c r="G820" s="36">
        <v>44833</v>
      </c>
      <c r="H820">
        <v>3</v>
      </c>
      <c r="I820" t="s">
        <v>2498</v>
      </c>
      <c r="J820">
        <v>4.2</v>
      </c>
      <c r="K820">
        <v>8.9</v>
      </c>
      <c r="L820">
        <v>3</v>
      </c>
      <c r="M820">
        <v>1.2000000000000002</v>
      </c>
      <c r="N820">
        <v>1.2000000000000002</v>
      </c>
      <c r="O820">
        <v>-4.7</v>
      </c>
      <c r="P820">
        <v>4.7</v>
      </c>
      <c r="Q820">
        <v>22.090000000000003</v>
      </c>
      <c r="R820">
        <v>0.5</v>
      </c>
      <c r="S820">
        <v>0.5</v>
      </c>
      <c r="T820" t="s">
        <v>145</v>
      </c>
      <c r="U820">
        <v>7.8</v>
      </c>
      <c r="V820">
        <v>4.8</v>
      </c>
      <c r="W820" t="s">
        <v>2496</v>
      </c>
      <c r="X820" t="s">
        <v>55</v>
      </c>
    </row>
    <row r="821" spans="1:24">
      <c r="A821" t="s">
        <v>212</v>
      </c>
      <c r="B821" t="s">
        <v>56</v>
      </c>
      <c r="C821" s="36">
        <v>44735</v>
      </c>
      <c r="D821" t="s">
        <v>151</v>
      </c>
      <c r="E821" s="36">
        <v>44834</v>
      </c>
      <c r="F821" t="s">
        <v>60</v>
      </c>
      <c r="G821" s="36">
        <v>44833</v>
      </c>
      <c r="H821">
        <v>2</v>
      </c>
      <c r="I821" t="s">
        <v>2499</v>
      </c>
      <c r="J821">
        <v>6.4</v>
      </c>
      <c r="K821">
        <v>8.9</v>
      </c>
      <c r="L821">
        <v>3</v>
      </c>
      <c r="M821">
        <v>3.4000000000000004</v>
      </c>
      <c r="N821">
        <v>3.4000000000000004</v>
      </c>
      <c r="O821">
        <v>-2.5</v>
      </c>
      <c r="P821">
        <v>2.5</v>
      </c>
      <c r="Q821">
        <v>6.25</v>
      </c>
      <c r="R821">
        <v>2.2000000000000002</v>
      </c>
      <c r="S821">
        <v>2.2000000000000002</v>
      </c>
      <c r="T821" t="s">
        <v>145</v>
      </c>
      <c r="U821">
        <v>8</v>
      </c>
      <c r="V821">
        <v>5</v>
      </c>
      <c r="W821" t="s">
        <v>2496</v>
      </c>
      <c r="X821" t="s">
        <v>57</v>
      </c>
    </row>
    <row r="822" spans="1:24">
      <c r="A822" t="s">
        <v>212</v>
      </c>
      <c r="B822" t="s">
        <v>58</v>
      </c>
      <c r="C822" s="36">
        <v>44784</v>
      </c>
      <c r="D822" t="s">
        <v>151</v>
      </c>
      <c r="E822" s="36">
        <v>44834</v>
      </c>
      <c r="F822" t="s">
        <v>60</v>
      </c>
      <c r="G822" s="36">
        <v>44833</v>
      </c>
      <c r="H822">
        <v>1</v>
      </c>
      <c r="I822" t="s">
        <v>2495</v>
      </c>
      <c r="J822">
        <v>8.1999999999999993</v>
      </c>
      <c r="K822">
        <v>8.9</v>
      </c>
      <c r="L822">
        <v>3</v>
      </c>
      <c r="M822">
        <v>5.1999999999999993</v>
      </c>
      <c r="N822">
        <v>5.1999999999999993</v>
      </c>
      <c r="O822">
        <v>-0.70000000000000107</v>
      </c>
      <c r="P822">
        <v>0.70000000000000107</v>
      </c>
      <c r="Q822">
        <v>0.49000000000000149</v>
      </c>
      <c r="R822">
        <v>1.7999999999999989</v>
      </c>
      <c r="S822">
        <v>1.7999999999999989</v>
      </c>
      <c r="T822" t="s">
        <v>148</v>
      </c>
      <c r="U822">
        <v>8.5</v>
      </c>
      <c r="V822">
        <v>5.5</v>
      </c>
      <c r="W822" t="s">
        <v>2496</v>
      </c>
      <c r="X822" t="s">
        <v>59</v>
      </c>
    </row>
    <row r="823" spans="1:24">
      <c r="A823" t="s">
        <v>212</v>
      </c>
      <c r="B823" t="s">
        <v>60</v>
      </c>
      <c r="C823" s="36">
        <v>44833</v>
      </c>
      <c r="D823" t="s">
        <v>151</v>
      </c>
      <c r="E823" s="36">
        <v>44834</v>
      </c>
      <c r="F823" t="s">
        <v>60</v>
      </c>
      <c r="G823" s="36">
        <v>44833</v>
      </c>
      <c r="H823">
        <v>0</v>
      </c>
      <c r="I823" t="s">
        <v>2497</v>
      </c>
      <c r="J823">
        <v>8.5</v>
      </c>
      <c r="K823">
        <v>8.9</v>
      </c>
      <c r="L823">
        <v>3</v>
      </c>
      <c r="M823">
        <v>5.5</v>
      </c>
      <c r="N823">
        <v>5.5</v>
      </c>
      <c r="O823">
        <v>-0.40000000000000036</v>
      </c>
      <c r="P823">
        <v>0.40000000000000036</v>
      </c>
      <c r="Q823">
        <v>0.16000000000000028</v>
      </c>
      <c r="R823">
        <v>0.30000000000000071</v>
      </c>
      <c r="S823">
        <v>0.30000000000000071</v>
      </c>
      <c r="T823" t="s">
        <v>148</v>
      </c>
      <c r="U823">
        <v>8.6999999999999993</v>
      </c>
      <c r="V823">
        <v>5.6999999999999993</v>
      </c>
      <c r="W823" t="s">
        <v>2496</v>
      </c>
      <c r="X823" t="s">
        <v>61</v>
      </c>
    </row>
    <row r="824" spans="1:24">
      <c r="A824" t="s">
        <v>212</v>
      </c>
      <c r="B824" t="s">
        <v>47</v>
      </c>
      <c r="C824" s="36">
        <v>44546</v>
      </c>
      <c r="D824" t="s">
        <v>154</v>
      </c>
      <c r="E824" s="36">
        <v>44926</v>
      </c>
      <c r="F824" t="s">
        <v>64</v>
      </c>
      <c r="G824" s="36">
        <v>44910</v>
      </c>
      <c r="H824">
        <v>8</v>
      </c>
      <c r="I824" t="s">
        <v>2505</v>
      </c>
      <c r="J824">
        <v>3.2</v>
      </c>
      <c r="K824">
        <v>8.3000000000000007</v>
      </c>
      <c r="L824">
        <v>3</v>
      </c>
      <c r="M824">
        <v>0.20000000000000018</v>
      </c>
      <c r="N824">
        <v>0.20000000000000018</v>
      </c>
      <c r="O824">
        <v>-5.1000000000000005</v>
      </c>
      <c r="P824">
        <v>5.1000000000000005</v>
      </c>
      <c r="Q824">
        <v>26.010000000000005</v>
      </c>
      <c r="T824" t="s">
        <v>139</v>
      </c>
      <c r="U824">
        <v>6.6</v>
      </c>
      <c r="V824">
        <v>3.5999999999999996</v>
      </c>
      <c r="W824" t="s">
        <v>2496</v>
      </c>
      <c r="X824" t="s">
        <v>49</v>
      </c>
    </row>
    <row r="825" spans="1:24">
      <c r="A825" t="s">
        <v>212</v>
      </c>
      <c r="B825" t="s">
        <v>50</v>
      </c>
      <c r="C825" s="36">
        <v>44602</v>
      </c>
      <c r="D825" t="s">
        <v>154</v>
      </c>
      <c r="E825" s="36">
        <v>44926</v>
      </c>
      <c r="F825" t="s">
        <v>64</v>
      </c>
      <c r="G825" s="36">
        <v>44910</v>
      </c>
      <c r="H825">
        <v>7</v>
      </c>
      <c r="I825" t="s">
        <v>2502</v>
      </c>
      <c r="J825">
        <v>3.2</v>
      </c>
      <c r="K825">
        <v>8.3000000000000007</v>
      </c>
      <c r="L825">
        <v>3</v>
      </c>
      <c r="M825">
        <v>0.20000000000000018</v>
      </c>
      <c r="N825">
        <v>0.20000000000000018</v>
      </c>
      <c r="O825">
        <v>-5.1000000000000005</v>
      </c>
      <c r="P825">
        <v>5.1000000000000005</v>
      </c>
      <c r="Q825">
        <v>26.010000000000005</v>
      </c>
      <c r="R825">
        <v>0</v>
      </c>
      <c r="S825">
        <v>0</v>
      </c>
      <c r="T825" t="s">
        <v>142</v>
      </c>
      <c r="U825">
        <v>6.5</v>
      </c>
      <c r="V825">
        <v>3.5</v>
      </c>
      <c r="W825" t="s">
        <v>2496</v>
      </c>
      <c r="X825" t="s">
        <v>51</v>
      </c>
    </row>
    <row r="826" spans="1:24">
      <c r="A826" t="s">
        <v>212</v>
      </c>
      <c r="B826" t="s">
        <v>52</v>
      </c>
      <c r="C826" s="36">
        <v>44644</v>
      </c>
      <c r="D826" t="s">
        <v>154</v>
      </c>
      <c r="E826" s="36">
        <v>44926</v>
      </c>
      <c r="F826" t="s">
        <v>64</v>
      </c>
      <c r="G826" s="36">
        <v>44910</v>
      </c>
      <c r="H826">
        <v>6</v>
      </c>
      <c r="I826" t="s">
        <v>2503</v>
      </c>
      <c r="J826">
        <v>3.8</v>
      </c>
      <c r="K826">
        <v>8.3000000000000007</v>
      </c>
      <c r="L826">
        <v>3</v>
      </c>
      <c r="M826">
        <v>0.79999999999999982</v>
      </c>
      <c r="N826">
        <v>0.79999999999999982</v>
      </c>
      <c r="O826">
        <v>-4.5000000000000009</v>
      </c>
      <c r="P826">
        <v>4.5000000000000009</v>
      </c>
      <c r="Q826">
        <v>20.250000000000007</v>
      </c>
      <c r="R826">
        <v>0.59999999999999964</v>
      </c>
      <c r="S826">
        <v>0.59999999999999964</v>
      </c>
      <c r="T826" t="s">
        <v>142</v>
      </c>
      <c r="U826">
        <v>6.6</v>
      </c>
      <c r="V826">
        <v>3.5999999999999996</v>
      </c>
      <c r="W826" t="s">
        <v>2496</v>
      </c>
      <c r="X826" t="s">
        <v>53</v>
      </c>
    </row>
    <row r="827" spans="1:24">
      <c r="A827" t="s">
        <v>212</v>
      </c>
      <c r="B827" t="s">
        <v>54</v>
      </c>
      <c r="C827" s="36">
        <v>44693</v>
      </c>
      <c r="D827" t="s">
        <v>154</v>
      </c>
      <c r="E827" s="36">
        <v>44926</v>
      </c>
      <c r="F827" t="s">
        <v>64</v>
      </c>
      <c r="G827" s="36">
        <v>44910</v>
      </c>
      <c r="H827">
        <v>5</v>
      </c>
      <c r="I827" t="s">
        <v>2500</v>
      </c>
      <c r="J827">
        <v>4.2</v>
      </c>
      <c r="K827">
        <v>8.3000000000000007</v>
      </c>
      <c r="L827">
        <v>3</v>
      </c>
      <c r="M827">
        <v>1.2000000000000002</v>
      </c>
      <c r="N827">
        <v>1.2000000000000002</v>
      </c>
      <c r="O827">
        <v>-4.1000000000000005</v>
      </c>
      <c r="P827">
        <v>4.1000000000000005</v>
      </c>
      <c r="Q827">
        <v>16.810000000000006</v>
      </c>
      <c r="R827">
        <v>0.40000000000000036</v>
      </c>
      <c r="S827">
        <v>0.40000000000000036</v>
      </c>
      <c r="T827" t="s">
        <v>145</v>
      </c>
      <c r="U827">
        <v>7.8</v>
      </c>
      <c r="V827">
        <v>4.8</v>
      </c>
      <c r="W827" t="s">
        <v>2496</v>
      </c>
      <c r="X827" t="s">
        <v>55</v>
      </c>
    </row>
    <row r="828" spans="1:24">
      <c r="A828" t="s">
        <v>212</v>
      </c>
      <c r="B828" t="s">
        <v>56</v>
      </c>
      <c r="C828" s="36">
        <v>44735</v>
      </c>
      <c r="D828" t="s">
        <v>154</v>
      </c>
      <c r="E828" s="36">
        <v>44926</v>
      </c>
      <c r="F828" t="s">
        <v>64</v>
      </c>
      <c r="G828" s="36">
        <v>44910</v>
      </c>
      <c r="H828">
        <v>4</v>
      </c>
      <c r="I828" t="s">
        <v>2501</v>
      </c>
      <c r="J828">
        <v>4.5999999999999996</v>
      </c>
      <c r="K828">
        <v>8.3000000000000007</v>
      </c>
      <c r="L828">
        <v>3</v>
      </c>
      <c r="M828">
        <v>1.5999999999999996</v>
      </c>
      <c r="N828">
        <v>1.5999999999999996</v>
      </c>
      <c r="O828">
        <v>-3.7000000000000011</v>
      </c>
      <c r="P828">
        <v>3.7000000000000011</v>
      </c>
      <c r="Q828">
        <v>13.690000000000008</v>
      </c>
      <c r="R828">
        <v>0.39999999999999947</v>
      </c>
      <c r="S828">
        <v>0.39999999999999947</v>
      </c>
      <c r="T828" t="s">
        <v>145</v>
      </c>
      <c r="U828">
        <v>8</v>
      </c>
      <c r="V828">
        <v>5</v>
      </c>
      <c r="W828" t="s">
        <v>2496</v>
      </c>
      <c r="X828" t="s">
        <v>57</v>
      </c>
    </row>
    <row r="829" spans="1:24">
      <c r="A829" t="s">
        <v>212</v>
      </c>
      <c r="B829" t="s">
        <v>58</v>
      </c>
      <c r="C829" s="36">
        <v>44784</v>
      </c>
      <c r="D829" t="s">
        <v>154</v>
      </c>
      <c r="E829" s="36">
        <v>44926</v>
      </c>
      <c r="F829" t="s">
        <v>64</v>
      </c>
      <c r="G829" s="36">
        <v>44910</v>
      </c>
      <c r="H829">
        <v>3</v>
      </c>
      <c r="I829" t="s">
        <v>2498</v>
      </c>
      <c r="J829">
        <v>5.6</v>
      </c>
      <c r="K829">
        <v>8.3000000000000007</v>
      </c>
      <c r="L829">
        <v>3</v>
      </c>
      <c r="M829">
        <v>2.5999999999999996</v>
      </c>
      <c r="N829">
        <v>2.5999999999999996</v>
      </c>
      <c r="O829">
        <v>-2.7000000000000011</v>
      </c>
      <c r="P829">
        <v>2.7000000000000011</v>
      </c>
      <c r="Q829">
        <v>7.2900000000000054</v>
      </c>
      <c r="R829">
        <v>1</v>
      </c>
      <c r="S829">
        <v>1</v>
      </c>
      <c r="T829" t="s">
        <v>148</v>
      </c>
      <c r="U829">
        <v>8.5</v>
      </c>
      <c r="V829">
        <v>5.5</v>
      </c>
      <c r="W829" t="s">
        <v>2496</v>
      </c>
      <c r="X829" t="s">
        <v>59</v>
      </c>
    </row>
    <row r="830" spans="1:24">
      <c r="A830" t="s">
        <v>212</v>
      </c>
      <c r="B830" t="s">
        <v>60</v>
      </c>
      <c r="C830" s="36">
        <v>44833</v>
      </c>
      <c r="D830" t="s">
        <v>154</v>
      </c>
      <c r="E830" s="36">
        <v>44926</v>
      </c>
      <c r="F830" t="s">
        <v>64</v>
      </c>
      <c r="G830" s="36">
        <v>44910</v>
      </c>
      <c r="H830">
        <v>2</v>
      </c>
      <c r="I830" t="s">
        <v>2499</v>
      </c>
      <c r="J830">
        <v>7.1</v>
      </c>
      <c r="K830">
        <v>8.3000000000000007</v>
      </c>
      <c r="L830">
        <v>3</v>
      </c>
      <c r="M830">
        <v>4.0999999999999996</v>
      </c>
      <c r="N830">
        <v>4.0999999999999996</v>
      </c>
      <c r="O830">
        <v>-1.2000000000000011</v>
      </c>
      <c r="P830">
        <v>1.2000000000000011</v>
      </c>
      <c r="Q830">
        <v>1.4400000000000026</v>
      </c>
      <c r="R830">
        <v>1.5</v>
      </c>
      <c r="S830">
        <v>1.5</v>
      </c>
      <c r="T830" t="s">
        <v>148</v>
      </c>
      <c r="U830">
        <v>8.6999999999999993</v>
      </c>
      <c r="V830">
        <v>5.6999999999999993</v>
      </c>
      <c r="W830" t="s">
        <v>2496</v>
      </c>
      <c r="X830" t="s">
        <v>61</v>
      </c>
    </row>
    <row r="831" spans="1:24">
      <c r="A831" t="s">
        <v>212</v>
      </c>
      <c r="B831" t="s">
        <v>62</v>
      </c>
      <c r="C831" s="36">
        <v>44875</v>
      </c>
      <c r="D831" t="s">
        <v>154</v>
      </c>
      <c r="E831" s="36">
        <v>44926</v>
      </c>
      <c r="F831" t="s">
        <v>64</v>
      </c>
      <c r="G831" s="36">
        <v>44910</v>
      </c>
      <c r="H831">
        <v>1</v>
      </c>
      <c r="I831" t="s">
        <v>2495</v>
      </c>
      <c r="J831">
        <v>7.8</v>
      </c>
      <c r="K831">
        <v>8.3000000000000007</v>
      </c>
      <c r="L831">
        <v>3</v>
      </c>
      <c r="M831">
        <v>4.8</v>
      </c>
      <c r="N831">
        <v>4.8</v>
      </c>
      <c r="O831">
        <v>-0.50000000000000089</v>
      </c>
      <c r="P831">
        <v>0.50000000000000089</v>
      </c>
      <c r="Q831">
        <v>0.25000000000000089</v>
      </c>
      <c r="R831">
        <v>0.70000000000000018</v>
      </c>
      <c r="S831">
        <v>0.70000000000000018</v>
      </c>
      <c r="T831" t="s">
        <v>151</v>
      </c>
      <c r="U831">
        <v>8.5</v>
      </c>
      <c r="V831">
        <v>5.5</v>
      </c>
      <c r="W831" t="s">
        <v>2496</v>
      </c>
      <c r="X831" t="s">
        <v>63</v>
      </c>
    </row>
    <row r="832" spans="1:24">
      <c r="A832" t="s">
        <v>212</v>
      </c>
      <c r="B832" t="s">
        <v>64</v>
      </c>
      <c r="C832" s="36">
        <v>44910</v>
      </c>
      <c r="D832" t="s">
        <v>154</v>
      </c>
      <c r="E832" s="36">
        <v>44926</v>
      </c>
      <c r="F832" t="s">
        <v>64</v>
      </c>
      <c r="G832" s="36">
        <v>44910</v>
      </c>
      <c r="H832">
        <v>0</v>
      </c>
      <c r="I832" t="s">
        <v>2497</v>
      </c>
      <c r="J832">
        <v>8.1999999999999993</v>
      </c>
      <c r="K832">
        <v>8.3000000000000007</v>
      </c>
      <c r="L832">
        <v>3</v>
      </c>
      <c r="M832">
        <v>5.1999999999999993</v>
      </c>
      <c r="N832">
        <v>5.1999999999999993</v>
      </c>
      <c r="O832">
        <v>-0.10000000000000142</v>
      </c>
      <c r="P832">
        <v>0.10000000000000142</v>
      </c>
      <c r="Q832">
        <v>1.0000000000000285E-2</v>
      </c>
      <c r="R832">
        <v>0.39999999999999947</v>
      </c>
      <c r="S832">
        <v>0.39999999999999947</v>
      </c>
      <c r="T832" t="s">
        <v>151</v>
      </c>
      <c r="U832">
        <v>8.6</v>
      </c>
      <c r="V832">
        <v>5.6</v>
      </c>
      <c r="W832" t="s">
        <v>2496</v>
      </c>
      <c r="X832" t="s">
        <v>65</v>
      </c>
    </row>
    <row r="833" spans="1:24">
      <c r="A833" t="s">
        <v>212</v>
      </c>
      <c r="B833" t="s">
        <v>47</v>
      </c>
      <c r="C833" s="36">
        <v>44546</v>
      </c>
      <c r="D833" t="s">
        <v>157</v>
      </c>
      <c r="E833" s="36">
        <v>45016</v>
      </c>
      <c r="F833" t="s">
        <v>68</v>
      </c>
      <c r="G833" s="36">
        <v>45015</v>
      </c>
      <c r="H833">
        <v>10</v>
      </c>
      <c r="I833" t="s">
        <v>2507</v>
      </c>
      <c r="J833">
        <v>2.8</v>
      </c>
      <c r="K833">
        <v>7.2</v>
      </c>
      <c r="L833">
        <v>3</v>
      </c>
      <c r="M833">
        <v>-0.20000000000000018</v>
      </c>
      <c r="N833">
        <v>0.20000000000000018</v>
      </c>
      <c r="O833">
        <v>-4.4000000000000004</v>
      </c>
      <c r="P833">
        <v>4.4000000000000004</v>
      </c>
      <c r="Q833">
        <v>19.360000000000003</v>
      </c>
      <c r="T833" t="s">
        <v>139</v>
      </c>
      <c r="U833">
        <v>6.6</v>
      </c>
      <c r="V833">
        <v>3.5999999999999996</v>
      </c>
      <c r="W833" t="s">
        <v>2496</v>
      </c>
      <c r="X833" t="s">
        <v>49</v>
      </c>
    </row>
    <row r="834" spans="1:24">
      <c r="A834" t="s">
        <v>212</v>
      </c>
      <c r="B834" t="s">
        <v>50</v>
      </c>
      <c r="C834" s="36">
        <v>44602</v>
      </c>
      <c r="D834" t="s">
        <v>157</v>
      </c>
      <c r="E834" s="36">
        <v>45016</v>
      </c>
      <c r="F834" t="s">
        <v>68</v>
      </c>
      <c r="G834" s="36">
        <v>45015</v>
      </c>
      <c r="H834">
        <v>9</v>
      </c>
      <c r="I834" t="s">
        <v>2504</v>
      </c>
      <c r="J834">
        <v>2.7</v>
      </c>
      <c r="K834">
        <v>7.2</v>
      </c>
      <c r="L834">
        <v>3</v>
      </c>
      <c r="M834">
        <v>-0.29999999999999982</v>
      </c>
      <c r="N834">
        <v>0.29999999999999982</v>
      </c>
      <c r="O834">
        <v>-4.5</v>
      </c>
      <c r="P834">
        <v>4.5</v>
      </c>
      <c r="Q834">
        <v>20.25</v>
      </c>
      <c r="R834">
        <v>-9.9999999999999645E-2</v>
      </c>
      <c r="S834">
        <v>9.9999999999999645E-2</v>
      </c>
      <c r="T834" t="s">
        <v>142</v>
      </c>
      <c r="U834">
        <v>6.5</v>
      </c>
      <c r="V834">
        <v>3.5</v>
      </c>
      <c r="W834" t="s">
        <v>2496</v>
      </c>
      <c r="X834" t="s">
        <v>51</v>
      </c>
    </row>
    <row r="835" spans="1:24">
      <c r="A835" t="s">
        <v>212</v>
      </c>
      <c r="B835" t="s">
        <v>52</v>
      </c>
      <c r="C835" s="36">
        <v>44644</v>
      </c>
      <c r="D835" t="s">
        <v>157</v>
      </c>
      <c r="E835" s="36">
        <v>45016</v>
      </c>
      <c r="F835" t="s">
        <v>68</v>
      </c>
      <c r="G835" s="36">
        <v>45015</v>
      </c>
      <c r="H835">
        <v>8</v>
      </c>
      <c r="I835" t="s">
        <v>2505</v>
      </c>
      <c r="J835">
        <v>3.1</v>
      </c>
      <c r="K835">
        <v>7.2</v>
      </c>
      <c r="L835">
        <v>3</v>
      </c>
      <c r="M835">
        <v>0.10000000000000009</v>
      </c>
      <c r="N835">
        <v>0.10000000000000009</v>
      </c>
      <c r="O835">
        <v>-4.0999999999999996</v>
      </c>
      <c r="P835">
        <v>4.0999999999999996</v>
      </c>
      <c r="Q835">
        <v>16.809999999999999</v>
      </c>
      <c r="R835">
        <v>0.39999999999999991</v>
      </c>
      <c r="S835">
        <v>0.39999999999999991</v>
      </c>
      <c r="T835" t="s">
        <v>142</v>
      </c>
      <c r="U835">
        <v>6.6</v>
      </c>
      <c r="V835">
        <v>3.5999999999999996</v>
      </c>
      <c r="W835" t="s">
        <v>2496</v>
      </c>
      <c r="X835" t="s">
        <v>53</v>
      </c>
    </row>
    <row r="836" spans="1:24">
      <c r="A836" t="s">
        <v>212</v>
      </c>
      <c r="B836" t="s">
        <v>54</v>
      </c>
      <c r="C836" s="36">
        <v>44693</v>
      </c>
      <c r="D836" t="s">
        <v>157</v>
      </c>
      <c r="E836" s="36">
        <v>45016</v>
      </c>
      <c r="F836" t="s">
        <v>68</v>
      </c>
      <c r="G836" s="36">
        <v>45015</v>
      </c>
      <c r="H836">
        <v>7</v>
      </c>
      <c r="I836" t="s">
        <v>2502</v>
      </c>
      <c r="J836">
        <v>3.2</v>
      </c>
      <c r="K836">
        <v>7.2</v>
      </c>
      <c r="L836">
        <v>3</v>
      </c>
      <c r="M836">
        <v>0.20000000000000018</v>
      </c>
      <c r="N836">
        <v>0.20000000000000018</v>
      </c>
      <c r="O836">
        <v>-4</v>
      </c>
      <c r="P836">
        <v>4</v>
      </c>
      <c r="Q836">
        <v>16</v>
      </c>
      <c r="R836">
        <v>0.10000000000000009</v>
      </c>
      <c r="S836">
        <v>0.10000000000000009</v>
      </c>
      <c r="T836" t="s">
        <v>145</v>
      </c>
      <c r="U836">
        <v>7.8</v>
      </c>
      <c r="V836">
        <v>4.8</v>
      </c>
      <c r="W836" t="s">
        <v>2496</v>
      </c>
      <c r="X836" t="s">
        <v>55</v>
      </c>
    </row>
    <row r="837" spans="1:24">
      <c r="A837" t="s">
        <v>212</v>
      </c>
      <c r="B837" t="s">
        <v>56</v>
      </c>
      <c r="C837" s="36">
        <v>44735</v>
      </c>
      <c r="D837" t="s">
        <v>157</v>
      </c>
      <c r="E837" s="36">
        <v>45016</v>
      </c>
      <c r="F837" t="s">
        <v>68</v>
      </c>
      <c r="G837" s="36">
        <v>45015</v>
      </c>
      <c r="H837">
        <v>6</v>
      </c>
      <c r="I837" t="s">
        <v>2503</v>
      </c>
      <c r="J837">
        <v>3.6</v>
      </c>
      <c r="K837">
        <v>7.2</v>
      </c>
      <c r="L837">
        <v>3</v>
      </c>
      <c r="M837">
        <v>0.60000000000000009</v>
      </c>
      <c r="N837">
        <v>0.60000000000000009</v>
      </c>
      <c r="O837">
        <v>-3.6</v>
      </c>
      <c r="P837">
        <v>3.6</v>
      </c>
      <c r="Q837">
        <v>12.96</v>
      </c>
      <c r="R837">
        <v>0.39999999999999991</v>
      </c>
      <c r="S837">
        <v>0.39999999999999991</v>
      </c>
      <c r="T837" t="s">
        <v>145</v>
      </c>
      <c r="U837">
        <v>8</v>
      </c>
      <c r="V837">
        <v>5</v>
      </c>
      <c r="W837" t="s">
        <v>2496</v>
      </c>
      <c r="X837" t="s">
        <v>57</v>
      </c>
    </row>
    <row r="838" spans="1:24">
      <c r="A838" t="s">
        <v>212</v>
      </c>
      <c r="B838" t="s">
        <v>58</v>
      </c>
      <c r="C838" s="36">
        <v>44784</v>
      </c>
      <c r="D838" t="s">
        <v>157</v>
      </c>
      <c r="E838" s="36">
        <v>45016</v>
      </c>
      <c r="F838" t="s">
        <v>68</v>
      </c>
      <c r="G838" s="36">
        <v>45015</v>
      </c>
      <c r="H838">
        <v>5</v>
      </c>
      <c r="I838" t="s">
        <v>2500</v>
      </c>
      <c r="J838">
        <v>3.9</v>
      </c>
      <c r="K838">
        <v>7.2</v>
      </c>
      <c r="L838">
        <v>3</v>
      </c>
      <c r="M838">
        <v>0.89999999999999991</v>
      </c>
      <c r="N838">
        <v>0.89999999999999991</v>
      </c>
      <c r="O838">
        <v>-3.3000000000000003</v>
      </c>
      <c r="P838">
        <v>3.3000000000000003</v>
      </c>
      <c r="Q838">
        <v>10.890000000000002</v>
      </c>
      <c r="R838">
        <v>0.29999999999999982</v>
      </c>
      <c r="S838">
        <v>0.29999999999999982</v>
      </c>
      <c r="T838" t="s">
        <v>148</v>
      </c>
      <c r="U838">
        <v>8.5</v>
      </c>
      <c r="V838">
        <v>5.5</v>
      </c>
      <c r="W838" t="s">
        <v>2496</v>
      </c>
      <c r="X838" t="s">
        <v>59</v>
      </c>
    </row>
    <row r="839" spans="1:24">
      <c r="A839" t="s">
        <v>212</v>
      </c>
      <c r="B839" t="s">
        <v>60</v>
      </c>
      <c r="C839" s="36">
        <v>44833</v>
      </c>
      <c r="D839" t="s">
        <v>157</v>
      </c>
      <c r="E839" s="36">
        <v>45016</v>
      </c>
      <c r="F839" t="s">
        <v>68</v>
      </c>
      <c r="G839" s="36">
        <v>45015</v>
      </c>
      <c r="H839">
        <v>4</v>
      </c>
      <c r="I839" t="s">
        <v>2501</v>
      </c>
      <c r="J839">
        <v>5</v>
      </c>
      <c r="K839">
        <v>7.2</v>
      </c>
      <c r="L839">
        <v>3</v>
      </c>
      <c r="M839">
        <v>2</v>
      </c>
      <c r="N839">
        <v>2</v>
      </c>
      <c r="O839">
        <v>-2.2000000000000002</v>
      </c>
      <c r="P839">
        <v>2.2000000000000002</v>
      </c>
      <c r="Q839">
        <v>4.8400000000000007</v>
      </c>
      <c r="R839">
        <v>1.1000000000000001</v>
      </c>
      <c r="S839">
        <v>1.1000000000000001</v>
      </c>
      <c r="T839" t="s">
        <v>148</v>
      </c>
      <c r="U839">
        <v>8.6999999999999993</v>
      </c>
      <c r="V839">
        <v>5.6999999999999993</v>
      </c>
      <c r="W839" t="s">
        <v>2496</v>
      </c>
      <c r="X839" t="s">
        <v>61</v>
      </c>
    </row>
    <row r="840" spans="1:24">
      <c r="A840" t="s">
        <v>212</v>
      </c>
      <c r="B840" t="s">
        <v>62</v>
      </c>
      <c r="C840" s="36">
        <v>44875</v>
      </c>
      <c r="D840" t="s">
        <v>157</v>
      </c>
      <c r="E840" s="36">
        <v>45016</v>
      </c>
      <c r="F840" t="s">
        <v>68</v>
      </c>
      <c r="G840" s="36">
        <v>45015</v>
      </c>
      <c r="H840">
        <v>3</v>
      </c>
      <c r="I840" t="s">
        <v>2498</v>
      </c>
      <c r="J840">
        <v>5.0999999999999996</v>
      </c>
      <c r="K840">
        <v>7.2</v>
      </c>
      <c r="L840">
        <v>3</v>
      </c>
      <c r="M840">
        <v>2.0999999999999996</v>
      </c>
      <c r="N840">
        <v>2.0999999999999996</v>
      </c>
      <c r="O840">
        <v>-2.1000000000000005</v>
      </c>
      <c r="P840">
        <v>2.1000000000000005</v>
      </c>
      <c r="Q840">
        <v>4.4100000000000019</v>
      </c>
      <c r="R840">
        <v>9.9999999999999645E-2</v>
      </c>
      <c r="S840">
        <v>9.9999999999999645E-2</v>
      </c>
      <c r="T840" t="s">
        <v>151</v>
      </c>
      <c r="U840">
        <v>8.5</v>
      </c>
      <c r="V840">
        <v>5.5</v>
      </c>
      <c r="W840" t="s">
        <v>2496</v>
      </c>
      <c r="X840" t="s">
        <v>63</v>
      </c>
    </row>
    <row r="841" spans="1:24">
      <c r="A841" t="s">
        <v>212</v>
      </c>
      <c r="B841" t="s">
        <v>64</v>
      </c>
      <c r="C841" s="36">
        <v>44910</v>
      </c>
      <c r="D841" t="s">
        <v>157</v>
      </c>
      <c r="E841" s="36">
        <v>45016</v>
      </c>
      <c r="F841" t="s">
        <v>68</v>
      </c>
      <c r="G841" s="36">
        <v>45015</v>
      </c>
      <c r="H841">
        <v>2</v>
      </c>
      <c r="I841" t="s">
        <v>2499</v>
      </c>
      <c r="J841">
        <v>5.5</v>
      </c>
      <c r="K841">
        <v>7.2</v>
      </c>
      <c r="L841">
        <v>3</v>
      </c>
      <c r="M841">
        <v>2.5</v>
      </c>
      <c r="N841">
        <v>2.5</v>
      </c>
      <c r="O841">
        <v>-1.7000000000000002</v>
      </c>
      <c r="P841">
        <v>1.7000000000000002</v>
      </c>
      <c r="Q841">
        <v>2.8900000000000006</v>
      </c>
      <c r="R841">
        <v>0.40000000000000036</v>
      </c>
      <c r="S841">
        <v>0.40000000000000036</v>
      </c>
      <c r="T841" t="s">
        <v>151</v>
      </c>
      <c r="U841">
        <v>8.6</v>
      </c>
      <c r="V841">
        <v>5.6</v>
      </c>
      <c r="W841" t="s">
        <v>2496</v>
      </c>
      <c r="X841" t="s">
        <v>65</v>
      </c>
    </row>
    <row r="842" spans="1:24">
      <c r="A842" t="s">
        <v>212</v>
      </c>
      <c r="B842" t="s">
        <v>66</v>
      </c>
      <c r="C842" s="36">
        <v>44966</v>
      </c>
      <c r="D842" t="s">
        <v>157</v>
      </c>
      <c r="E842" s="36">
        <v>45016</v>
      </c>
      <c r="F842" t="s">
        <v>68</v>
      </c>
      <c r="G842" s="36">
        <v>45015</v>
      </c>
      <c r="H842">
        <v>1</v>
      </c>
      <c r="I842" t="s">
        <v>2495</v>
      </c>
      <c r="J842">
        <v>7</v>
      </c>
      <c r="K842">
        <v>7.2</v>
      </c>
      <c r="L842">
        <v>3</v>
      </c>
      <c r="M842">
        <v>4</v>
      </c>
      <c r="N842">
        <v>4</v>
      </c>
      <c r="O842">
        <v>-0.20000000000000018</v>
      </c>
      <c r="P842">
        <v>0.20000000000000018</v>
      </c>
      <c r="Q842">
        <v>4.000000000000007E-2</v>
      </c>
      <c r="R842">
        <v>1.5</v>
      </c>
      <c r="S842">
        <v>1.5</v>
      </c>
      <c r="T842" t="s">
        <v>154</v>
      </c>
      <c r="U842">
        <v>8.4</v>
      </c>
      <c r="V842">
        <v>5.4</v>
      </c>
      <c r="W842" t="s">
        <v>2496</v>
      </c>
      <c r="X842" t="s">
        <v>67</v>
      </c>
    </row>
    <row r="843" spans="1:24">
      <c r="A843" t="s">
        <v>212</v>
      </c>
      <c r="B843" t="s">
        <v>68</v>
      </c>
      <c r="C843" s="36">
        <v>45015</v>
      </c>
      <c r="D843" t="s">
        <v>157</v>
      </c>
      <c r="E843" s="36">
        <v>45016</v>
      </c>
      <c r="F843" t="s">
        <v>68</v>
      </c>
      <c r="G843" s="36">
        <v>45015</v>
      </c>
      <c r="H843">
        <v>0</v>
      </c>
      <c r="I843" t="s">
        <v>2497</v>
      </c>
      <c r="J843">
        <v>7.1</v>
      </c>
      <c r="K843">
        <v>7.2</v>
      </c>
      <c r="L843">
        <v>3</v>
      </c>
      <c r="M843">
        <v>4.0999999999999996</v>
      </c>
      <c r="N843">
        <v>4.0999999999999996</v>
      </c>
      <c r="O843">
        <v>-0.10000000000000053</v>
      </c>
      <c r="P843">
        <v>0.10000000000000053</v>
      </c>
      <c r="Q843">
        <v>1.0000000000000106E-2</v>
      </c>
      <c r="R843">
        <v>9.9999999999999645E-2</v>
      </c>
      <c r="S843">
        <v>9.9999999999999645E-2</v>
      </c>
      <c r="T843" t="s">
        <v>154</v>
      </c>
      <c r="U843">
        <v>8.5</v>
      </c>
      <c r="V843">
        <v>5.5</v>
      </c>
      <c r="W843" t="s">
        <v>2496</v>
      </c>
      <c r="X843" t="s">
        <v>69</v>
      </c>
    </row>
    <row r="844" spans="1:24">
      <c r="A844" t="s">
        <v>212</v>
      </c>
      <c r="B844" t="s">
        <v>47</v>
      </c>
      <c r="C844" s="36">
        <v>44546</v>
      </c>
      <c r="D844" t="s">
        <v>160</v>
      </c>
      <c r="E844" s="36">
        <v>45107</v>
      </c>
      <c r="F844" t="s">
        <v>72</v>
      </c>
      <c r="G844" s="36">
        <v>45099</v>
      </c>
      <c r="H844">
        <v>12</v>
      </c>
      <c r="I844" t="s">
        <v>2509</v>
      </c>
      <c r="J844">
        <v>2.6</v>
      </c>
      <c r="K844">
        <v>4.9000000000000004</v>
      </c>
      <c r="L844">
        <v>3</v>
      </c>
      <c r="M844">
        <v>-0.39999999999999991</v>
      </c>
      <c r="N844">
        <v>0.39999999999999991</v>
      </c>
      <c r="O844">
        <v>-2.3000000000000003</v>
      </c>
      <c r="P844">
        <v>2.3000000000000003</v>
      </c>
      <c r="Q844">
        <v>5.2900000000000009</v>
      </c>
      <c r="T844" t="s">
        <v>139</v>
      </c>
      <c r="U844">
        <v>6.6</v>
      </c>
      <c r="V844">
        <v>3.5999999999999996</v>
      </c>
      <c r="W844" t="s">
        <v>2496</v>
      </c>
      <c r="X844" t="s">
        <v>49</v>
      </c>
    </row>
    <row r="845" spans="1:24">
      <c r="A845" t="s">
        <v>212</v>
      </c>
      <c r="B845" t="s">
        <v>50</v>
      </c>
      <c r="C845" s="36">
        <v>44602</v>
      </c>
      <c r="D845" t="s">
        <v>160</v>
      </c>
      <c r="E845" s="36">
        <v>45107</v>
      </c>
      <c r="F845" t="s">
        <v>72</v>
      </c>
      <c r="G845" s="36">
        <v>45099</v>
      </c>
      <c r="H845">
        <v>11</v>
      </c>
      <c r="I845" t="s">
        <v>2506</v>
      </c>
      <c r="J845">
        <v>2.6</v>
      </c>
      <c r="K845">
        <v>4.9000000000000004</v>
      </c>
      <c r="L845">
        <v>3</v>
      </c>
      <c r="M845">
        <v>-0.39999999999999991</v>
      </c>
      <c r="N845">
        <v>0.39999999999999991</v>
      </c>
      <c r="O845">
        <v>-2.3000000000000003</v>
      </c>
      <c r="P845">
        <v>2.3000000000000003</v>
      </c>
      <c r="Q845">
        <v>5.2900000000000009</v>
      </c>
      <c r="R845">
        <v>0</v>
      </c>
      <c r="S845">
        <v>0</v>
      </c>
      <c r="T845" t="s">
        <v>142</v>
      </c>
      <c r="U845">
        <v>6.5</v>
      </c>
      <c r="V845">
        <v>3.5</v>
      </c>
      <c r="W845" t="s">
        <v>2496</v>
      </c>
      <c r="X845" t="s">
        <v>51</v>
      </c>
    </row>
    <row r="846" spans="1:24">
      <c r="A846" t="s">
        <v>212</v>
      </c>
      <c r="B846" t="s">
        <v>52</v>
      </c>
      <c r="C846" s="36">
        <v>44644</v>
      </c>
      <c r="D846" t="s">
        <v>160</v>
      </c>
      <c r="E846" s="36">
        <v>45107</v>
      </c>
      <c r="F846" t="s">
        <v>72</v>
      </c>
      <c r="G846" s="36">
        <v>45099</v>
      </c>
      <c r="H846">
        <v>10</v>
      </c>
      <c r="I846" t="s">
        <v>2507</v>
      </c>
      <c r="J846">
        <v>3</v>
      </c>
      <c r="K846">
        <v>4.9000000000000004</v>
      </c>
      <c r="L846">
        <v>3</v>
      </c>
      <c r="M846">
        <v>0</v>
      </c>
      <c r="N846">
        <v>0</v>
      </c>
      <c r="O846">
        <v>-1.9000000000000004</v>
      </c>
      <c r="P846">
        <v>1.9000000000000004</v>
      </c>
      <c r="Q846">
        <v>3.6100000000000012</v>
      </c>
      <c r="R846">
        <v>0.39999999999999991</v>
      </c>
      <c r="S846">
        <v>0.39999999999999991</v>
      </c>
      <c r="T846" t="s">
        <v>142</v>
      </c>
      <c r="U846">
        <v>6.6</v>
      </c>
      <c r="V846">
        <v>3.5999999999999996</v>
      </c>
      <c r="W846" t="s">
        <v>2496</v>
      </c>
      <c r="X846" t="s">
        <v>53</v>
      </c>
    </row>
    <row r="847" spans="1:24">
      <c r="A847" t="s">
        <v>212</v>
      </c>
      <c r="B847" t="s">
        <v>54</v>
      </c>
      <c r="C847" s="36">
        <v>44693</v>
      </c>
      <c r="D847" t="s">
        <v>160</v>
      </c>
      <c r="E847" s="36">
        <v>45107</v>
      </c>
      <c r="F847" t="s">
        <v>72</v>
      </c>
      <c r="G847" s="36">
        <v>45099</v>
      </c>
      <c r="H847">
        <v>9</v>
      </c>
      <c r="I847" t="s">
        <v>2504</v>
      </c>
      <c r="J847">
        <v>2.7</v>
      </c>
      <c r="K847">
        <v>4.9000000000000004</v>
      </c>
      <c r="L847">
        <v>3</v>
      </c>
      <c r="M847">
        <v>-0.29999999999999982</v>
      </c>
      <c r="N847">
        <v>0.29999999999999982</v>
      </c>
      <c r="O847">
        <v>-2.2000000000000002</v>
      </c>
      <c r="P847">
        <v>2.2000000000000002</v>
      </c>
      <c r="Q847">
        <v>4.8400000000000007</v>
      </c>
      <c r="R847">
        <v>-0.29999999999999982</v>
      </c>
      <c r="S847">
        <v>0.29999999999999982</v>
      </c>
      <c r="T847" t="s">
        <v>145</v>
      </c>
      <c r="U847">
        <v>7.8</v>
      </c>
      <c r="V847">
        <v>4.8</v>
      </c>
      <c r="W847" t="s">
        <v>2496</v>
      </c>
      <c r="X847" t="s">
        <v>55</v>
      </c>
    </row>
    <row r="848" spans="1:24">
      <c r="A848" t="s">
        <v>212</v>
      </c>
      <c r="B848" t="s">
        <v>56</v>
      </c>
      <c r="C848" s="36">
        <v>44735</v>
      </c>
      <c r="D848" t="s">
        <v>160</v>
      </c>
      <c r="E848" s="36">
        <v>45107</v>
      </c>
      <c r="F848" t="s">
        <v>72</v>
      </c>
      <c r="G848" s="36">
        <v>45099</v>
      </c>
      <c r="H848">
        <v>8</v>
      </c>
      <c r="I848" t="s">
        <v>2505</v>
      </c>
      <c r="J848">
        <v>2.7</v>
      </c>
      <c r="K848">
        <v>4.9000000000000004</v>
      </c>
      <c r="L848">
        <v>3</v>
      </c>
      <c r="M848">
        <v>-0.29999999999999982</v>
      </c>
      <c r="N848">
        <v>0.29999999999999982</v>
      </c>
      <c r="O848">
        <v>-2.2000000000000002</v>
      </c>
      <c r="P848">
        <v>2.2000000000000002</v>
      </c>
      <c r="Q848">
        <v>4.8400000000000007</v>
      </c>
      <c r="R848">
        <v>0</v>
      </c>
      <c r="S848">
        <v>0</v>
      </c>
      <c r="T848" t="s">
        <v>145</v>
      </c>
      <c r="U848">
        <v>8</v>
      </c>
      <c r="V848">
        <v>5</v>
      </c>
      <c r="W848" t="s">
        <v>2496</v>
      </c>
      <c r="X848" t="s">
        <v>57</v>
      </c>
    </row>
    <row r="849" spans="1:24">
      <c r="A849" t="s">
        <v>212</v>
      </c>
      <c r="B849" t="s">
        <v>58</v>
      </c>
      <c r="C849" s="36">
        <v>44784</v>
      </c>
      <c r="D849" t="s">
        <v>160</v>
      </c>
      <c r="E849" s="36">
        <v>45107</v>
      </c>
      <c r="F849" t="s">
        <v>72</v>
      </c>
      <c r="G849" s="36">
        <v>45099</v>
      </c>
      <c r="H849">
        <v>7</v>
      </c>
      <c r="I849" t="s">
        <v>2502</v>
      </c>
      <c r="J849">
        <v>2.9</v>
      </c>
      <c r="K849">
        <v>4.9000000000000004</v>
      </c>
      <c r="L849">
        <v>3</v>
      </c>
      <c r="M849">
        <v>-0.10000000000000009</v>
      </c>
      <c r="N849">
        <v>0.10000000000000009</v>
      </c>
      <c r="O849">
        <v>-2.0000000000000004</v>
      </c>
      <c r="P849">
        <v>2.0000000000000004</v>
      </c>
      <c r="Q849">
        <v>4.0000000000000018</v>
      </c>
      <c r="R849">
        <v>0.19999999999999973</v>
      </c>
      <c r="S849">
        <v>0.19999999999999973</v>
      </c>
      <c r="T849" t="s">
        <v>148</v>
      </c>
      <c r="U849">
        <v>8.5</v>
      </c>
      <c r="V849">
        <v>5.5</v>
      </c>
      <c r="W849" t="s">
        <v>2496</v>
      </c>
      <c r="X849" t="s">
        <v>59</v>
      </c>
    </row>
    <row r="850" spans="1:24">
      <c r="A850" t="s">
        <v>212</v>
      </c>
      <c r="B850" t="s">
        <v>60</v>
      </c>
      <c r="C850" s="36">
        <v>44833</v>
      </c>
      <c r="D850" t="s">
        <v>160</v>
      </c>
      <c r="E850" s="36">
        <v>45107</v>
      </c>
      <c r="F850" t="s">
        <v>72</v>
      </c>
      <c r="G850" s="36">
        <v>45099</v>
      </c>
      <c r="H850">
        <v>6</v>
      </c>
      <c r="I850" t="s">
        <v>2503</v>
      </c>
      <c r="J850">
        <v>4.2</v>
      </c>
      <c r="K850">
        <v>4.9000000000000004</v>
      </c>
      <c r="L850">
        <v>3</v>
      </c>
      <c r="M850">
        <v>1.2000000000000002</v>
      </c>
      <c r="N850">
        <v>1.2000000000000002</v>
      </c>
      <c r="O850">
        <v>-0.70000000000000018</v>
      </c>
      <c r="P850">
        <v>0.70000000000000018</v>
      </c>
      <c r="Q850">
        <v>0.49000000000000027</v>
      </c>
      <c r="R850">
        <v>1.3000000000000003</v>
      </c>
      <c r="S850">
        <v>1.3000000000000003</v>
      </c>
      <c r="T850" t="s">
        <v>148</v>
      </c>
      <c r="U850">
        <v>8.6999999999999993</v>
      </c>
      <c r="V850">
        <v>5.6999999999999993</v>
      </c>
      <c r="W850" t="s">
        <v>2496</v>
      </c>
      <c r="X850" t="s">
        <v>61</v>
      </c>
    </row>
    <row r="851" spans="1:24">
      <c r="A851" t="s">
        <v>212</v>
      </c>
      <c r="B851" t="s">
        <v>62</v>
      </c>
      <c r="C851" s="36">
        <v>44875</v>
      </c>
      <c r="D851" t="s">
        <v>160</v>
      </c>
      <c r="E851" s="36">
        <v>45107</v>
      </c>
      <c r="F851" t="s">
        <v>72</v>
      </c>
      <c r="G851" s="36">
        <v>45099</v>
      </c>
      <c r="H851">
        <v>5</v>
      </c>
      <c r="I851" t="s">
        <v>2500</v>
      </c>
      <c r="J851">
        <v>4.2</v>
      </c>
      <c r="K851">
        <v>4.9000000000000004</v>
      </c>
      <c r="L851">
        <v>3</v>
      </c>
      <c r="M851">
        <v>1.2000000000000002</v>
      </c>
      <c r="N851">
        <v>1.2000000000000002</v>
      </c>
      <c r="O851">
        <v>-0.70000000000000018</v>
      </c>
      <c r="P851">
        <v>0.70000000000000018</v>
      </c>
      <c r="Q851">
        <v>0.49000000000000027</v>
      </c>
      <c r="R851">
        <v>0</v>
      </c>
      <c r="S851">
        <v>0</v>
      </c>
      <c r="T851" t="s">
        <v>151</v>
      </c>
      <c r="U851">
        <v>8.5</v>
      </c>
      <c r="V851">
        <v>5.5</v>
      </c>
      <c r="W851" t="s">
        <v>2496</v>
      </c>
      <c r="X851" t="s">
        <v>63</v>
      </c>
    </row>
    <row r="852" spans="1:24">
      <c r="A852" t="s">
        <v>212</v>
      </c>
      <c r="B852" t="s">
        <v>64</v>
      </c>
      <c r="C852" s="36">
        <v>44910</v>
      </c>
      <c r="D852" t="s">
        <v>160</v>
      </c>
      <c r="E852" s="36">
        <v>45107</v>
      </c>
      <c r="F852" t="s">
        <v>72</v>
      </c>
      <c r="G852" s="36">
        <v>45099</v>
      </c>
      <c r="H852">
        <v>4</v>
      </c>
      <c r="I852" t="s">
        <v>2501</v>
      </c>
      <c r="J852">
        <v>4.5</v>
      </c>
      <c r="K852">
        <v>4.9000000000000004</v>
      </c>
      <c r="L852">
        <v>3</v>
      </c>
      <c r="M852">
        <v>1.5</v>
      </c>
      <c r="N852">
        <v>1.5</v>
      </c>
      <c r="O852">
        <v>-0.40000000000000036</v>
      </c>
      <c r="P852">
        <v>0.40000000000000036</v>
      </c>
      <c r="Q852">
        <v>0.16000000000000028</v>
      </c>
      <c r="R852">
        <v>0.29999999999999982</v>
      </c>
      <c r="S852">
        <v>0.29999999999999982</v>
      </c>
      <c r="T852" t="s">
        <v>151</v>
      </c>
      <c r="U852">
        <v>8.6</v>
      </c>
      <c r="V852">
        <v>5.6</v>
      </c>
      <c r="W852" t="s">
        <v>2496</v>
      </c>
      <c r="X852" t="s">
        <v>65</v>
      </c>
    </row>
    <row r="853" spans="1:24">
      <c r="A853" t="s">
        <v>212</v>
      </c>
      <c r="B853" t="s">
        <v>66</v>
      </c>
      <c r="C853" s="36">
        <v>44966</v>
      </c>
      <c r="D853" t="s">
        <v>160</v>
      </c>
      <c r="E853" s="36">
        <v>45107</v>
      </c>
      <c r="F853" t="s">
        <v>72</v>
      </c>
      <c r="G853" s="36">
        <v>45099</v>
      </c>
      <c r="H853">
        <v>3</v>
      </c>
      <c r="I853" t="s">
        <v>2498</v>
      </c>
      <c r="J853">
        <v>5.2</v>
      </c>
      <c r="K853">
        <v>4.9000000000000004</v>
      </c>
      <c r="L853">
        <v>3</v>
      </c>
      <c r="M853">
        <v>2.2000000000000002</v>
      </c>
      <c r="N853">
        <v>2.2000000000000002</v>
      </c>
      <c r="O853">
        <v>0.29999999999999982</v>
      </c>
      <c r="P853">
        <v>0.29999999999999982</v>
      </c>
      <c r="Q853">
        <v>8.99999999999999E-2</v>
      </c>
      <c r="R853">
        <v>0.70000000000000018</v>
      </c>
      <c r="S853">
        <v>0.70000000000000018</v>
      </c>
      <c r="T853" t="s">
        <v>154</v>
      </c>
      <c r="U853">
        <v>8.4</v>
      </c>
      <c r="V853">
        <v>5.4</v>
      </c>
      <c r="W853" t="s">
        <v>2496</v>
      </c>
      <c r="X853" t="s">
        <v>67</v>
      </c>
    </row>
    <row r="854" spans="1:24">
      <c r="A854" t="s">
        <v>212</v>
      </c>
      <c r="B854" t="s">
        <v>68</v>
      </c>
      <c r="C854" s="36">
        <v>45015</v>
      </c>
      <c r="D854" t="s">
        <v>160</v>
      </c>
      <c r="E854" s="36">
        <v>45107</v>
      </c>
      <c r="F854" t="s">
        <v>72</v>
      </c>
      <c r="G854" s="36">
        <v>45099</v>
      </c>
      <c r="H854">
        <v>2</v>
      </c>
      <c r="I854" t="s">
        <v>2499</v>
      </c>
      <c r="J854">
        <v>5.3</v>
      </c>
      <c r="K854">
        <v>4.9000000000000004</v>
      </c>
      <c r="L854">
        <v>3</v>
      </c>
      <c r="M854">
        <v>2.2999999999999998</v>
      </c>
      <c r="N854">
        <v>2.2999999999999998</v>
      </c>
      <c r="O854">
        <v>0.39999999999999947</v>
      </c>
      <c r="P854">
        <v>0.39999999999999947</v>
      </c>
      <c r="Q854">
        <v>0.15999999999999959</v>
      </c>
      <c r="R854">
        <v>9.9999999999999645E-2</v>
      </c>
      <c r="S854">
        <v>9.9999999999999645E-2</v>
      </c>
      <c r="T854" t="s">
        <v>154</v>
      </c>
      <c r="U854">
        <v>8.5</v>
      </c>
      <c r="V854">
        <v>5.5</v>
      </c>
      <c r="W854" t="s">
        <v>2496</v>
      </c>
      <c r="X854" t="s">
        <v>69</v>
      </c>
    </row>
    <row r="855" spans="1:24">
      <c r="A855" t="s">
        <v>212</v>
      </c>
      <c r="B855" t="s">
        <v>70</v>
      </c>
      <c r="C855" s="36">
        <v>45064</v>
      </c>
      <c r="D855" t="s">
        <v>160</v>
      </c>
      <c r="E855" s="36">
        <v>45107</v>
      </c>
      <c r="F855" t="s">
        <v>72</v>
      </c>
      <c r="G855" s="36">
        <v>45099</v>
      </c>
      <c r="H855">
        <v>1</v>
      </c>
      <c r="I855" t="s">
        <v>2495</v>
      </c>
      <c r="J855">
        <v>5.3</v>
      </c>
      <c r="K855">
        <v>4.9000000000000004</v>
      </c>
      <c r="L855">
        <v>3</v>
      </c>
      <c r="M855">
        <v>2.2999999999999998</v>
      </c>
      <c r="N855">
        <v>2.2999999999999998</v>
      </c>
      <c r="O855">
        <v>0.39999999999999947</v>
      </c>
      <c r="P855">
        <v>0.39999999999999947</v>
      </c>
      <c r="Q855">
        <v>0.15999999999999959</v>
      </c>
      <c r="R855">
        <v>0</v>
      </c>
      <c r="S855">
        <v>0</v>
      </c>
      <c r="T855" t="s">
        <v>157</v>
      </c>
      <c r="U855">
        <v>7</v>
      </c>
      <c r="V855">
        <v>4</v>
      </c>
      <c r="W855" t="s">
        <v>2496</v>
      </c>
      <c r="X855" t="s">
        <v>71</v>
      </c>
    </row>
    <row r="856" spans="1:24">
      <c r="A856" t="s">
        <v>212</v>
      </c>
      <c r="B856" t="s">
        <v>72</v>
      </c>
      <c r="C856" s="36">
        <v>45099</v>
      </c>
      <c r="D856" t="s">
        <v>160</v>
      </c>
      <c r="E856" s="36">
        <v>45107</v>
      </c>
      <c r="F856" t="s">
        <v>72</v>
      </c>
      <c r="G856" s="36">
        <v>45099</v>
      </c>
      <c r="H856">
        <v>0</v>
      </c>
      <c r="I856" t="s">
        <v>2497</v>
      </c>
      <c r="J856">
        <v>5.0999999999999996</v>
      </c>
      <c r="K856">
        <v>4.9000000000000004</v>
      </c>
      <c r="L856">
        <v>3</v>
      </c>
      <c r="M856">
        <v>2.0999999999999996</v>
      </c>
      <c r="N856">
        <v>2.0999999999999996</v>
      </c>
      <c r="O856">
        <v>0.19999999999999929</v>
      </c>
      <c r="P856">
        <v>0.19999999999999929</v>
      </c>
      <c r="Q856">
        <v>3.9999999999999716E-2</v>
      </c>
      <c r="R856">
        <v>-0.20000000000000018</v>
      </c>
      <c r="S856">
        <v>0.20000000000000018</v>
      </c>
      <c r="T856" t="s">
        <v>157</v>
      </c>
      <c r="U856">
        <v>6.9</v>
      </c>
      <c r="V856">
        <v>3.9000000000000004</v>
      </c>
      <c r="W856" t="s">
        <v>2496</v>
      </c>
      <c r="X856" t="s">
        <v>73</v>
      </c>
    </row>
    <row r="857" spans="1:24">
      <c r="A857" t="s">
        <v>212</v>
      </c>
      <c r="B857" t="s">
        <v>47</v>
      </c>
      <c r="C857" s="36">
        <v>44546</v>
      </c>
      <c r="D857" t="s">
        <v>183</v>
      </c>
      <c r="E857" s="36">
        <v>45199</v>
      </c>
      <c r="F857" t="s">
        <v>76</v>
      </c>
      <c r="G857" s="36">
        <v>45197</v>
      </c>
      <c r="H857">
        <v>14</v>
      </c>
      <c r="I857" t="s">
        <v>2511</v>
      </c>
      <c r="J857">
        <v>2.5</v>
      </c>
      <c r="K857">
        <v>4.4000000000000004</v>
      </c>
      <c r="L857">
        <v>3</v>
      </c>
      <c r="M857">
        <v>-0.5</v>
      </c>
      <c r="N857">
        <v>0.5</v>
      </c>
      <c r="O857">
        <v>-1.9000000000000004</v>
      </c>
      <c r="P857">
        <v>1.9000000000000004</v>
      </c>
      <c r="Q857">
        <v>3.6100000000000012</v>
      </c>
      <c r="T857" t="s">
        <v>139</v>
      </c>
      <c r="U857">
        <v>6.6</v>
      </c>
      <c r="V857">
        <v>3.5999999999999996</v>
      </c>
      <c r="W857" t="s">
        <v>2496</v>
      </c>
      <c r="X857" t="s">
        <v>49</v>
      </c>
    </row>
    <row r="858" spans="1:24">
      <c r="A858" t="s">
        <v>212</v>
      </c>
      <c r="B858" t="s">
        <v>50</v>
      </c>
      <c r="C858" s="36">
        <v>44602</v>
      </c>
      <c r="D858" t="s">
        <v>183</v>
      </c>
      <c r="E858" s="36">
        <v>45199</v>
      </c>
      <c r="F858" t="s">
        <v>76</v>
      </c>
      <c r="G858" s="36">
        <v>45197</v>
      </c>
      <c r="H858">
        <v>13</v>
      </c>
      <c r="I858" t="s">
        <v>2508</v>
      </c>
      <c r="J858">
        <v>2.5</v>
      </c>
      <c r="K858">
        <v>4.4000000000000004</v>
      </c>
      <c r="L858">
        <v>3</v>
      </c>
      <c r="M858">
        <v>-0.5</v>
      </c>
      <c r="N858">
        <v>0.5</v>
      </c>
      <c r="O858">
        <v>-1.9000000000000004</v>
      </c>
      <c r="P858">
        <v>1.9000000000000004</v>
      </c>
      <c r="Q858">
        <v>3.6100000000000012</v>
      </c>
      <c r="R858">
        <v>0</v>
      </c>
      <c r="S858">
        <v>0</v>
      </c>
      <c r="T858" t="s">
        <v>142</v>
      </c>
      <c r="U858">
        <v>6.5</v>
      </c>
      <c r="V858">
        <v>3.5</v>
      </c>
      <c r="W858" t="s">
        <v>2496</v>
      </c>
      <c r="X858" t="s">
        <v>51</v>
      </c>
    </row>
    <row r="859" spans="1:24">
      <c r="A859" t="s">
        <v>212</v>
      </c>
      <c r="B859" t="s">
        <v>52</v>
      </c>
      <c r="C859" s="36">
        <v>44644</v>
      </c>
      <c r="D859" t="s">
        <v>183</v>
      </c>
      <c r="E859" s="36">
        <v>45199</v>
      </c>
      <c r="F859" t="s">
        <v>76</v>
      </c>
      <c r="G859" s="36">
        <v>45197</v>
      </c>
      <c r="H859">
        <v>12</v>
      </c>
      <c r="I859" t="s">
        <v>2509</v>
      </c>
      <c r="J859">
        <v>2.8</v>
      </c>
      <c r="K859">
        <v>4.4000000000000004</v>
      </c>
      <c r="L859">
        <v>3</v>
      </c>
      <c r="M859">
        <v>-0.20000000000000018</v>
      </c>
      <c r="N859">
        <v>0.20000000000000018</v>
      </c>
      <c r="O859">
        <v>-1.6000000000000005</v>
      </c>
      <c r="P859">
        <v>1.6000000000000005</v>
      </c>
      <c r="Q859">
        <v>2.5600000000000018</v>
      </c>
      <c r="R859">
        <v>0.29999999999999982</v>
      </c>
      <c r="S859">
        <v>0.29999999999999982</v>
      </c>
      <c r="T859" t="s">
        <v>142</v>
      </c>
      <c r="U859">
        <v>6.6</v>
      </c>
      <c r="V859">
        <v>3.5999999999999996</v>
      </c>
      <c r="W859" t="s">
        <v>2496</v>
      </c>
      <c r="X859" t="s">
        <v>53</v>
      </c>
    </row>
    <row r="860" spans="1:24">
      <c r="A860" t="s">
        <v>212</v>
      </c>
      <c r="B860" t="s">
        <v>54</v>
      </c>
      <c r="C860" s="36">
        <v>44693</v>
      </c>
      <c r="D860" t="s">
        <v>183</v>
      </c>
      <c r="E860" s="36">
        <v>45199</v>
      </c>
      <c r="F860" t="s">
        <v>76</v>
      </c>
      <c r="G860" s="36">
        <v>45197</v>
      </c>
      <c r="H860">
        <v>11</v>
      </c>
      <c r="I860" t="s">
        <v>2506</v>
      </c>
      <c r="J860">
        <v>3.2</v>
      </c>
      <c r="K860">
        <v>4.4000000000000004</v>
      </c>
      <c r="L860">
        <v>3</v>
      </c>
      <c r="M860">
        <v>0.20000000000000018</v>
      </c>
      <c r="N860">
        <v>0.20000000000000018</v>
      </c>
      <c r="O860">
        <v>-1.2000000000000002</v>
      </c>
      <c r="P860">
        <v>1.2000000000000002</v>
      </c>
      <c r="Q860">
        <v>1.4400000000000004</v>
      </c>
      <c r="R860">
        <v>0.40000000000000036</v>
      </c>
      <c r="S860">
        <v>0.40000000000000036</v>
      </c>
      <c r="T860" t="s">
        <v>145</v>
      </c>
      <c r="U860">
        <v>7.8</v>
      </c>
      <c r="V860">
        <v>4.8</v>
      </c>
      <c r="W860" t="s">
        <v>2496</v>
      </c>
      <c r="X860" t="s">
        <v>55</v>
      </c>
    </row>
    <row r="861" spans="1:24">
      <c r="A861" t="s">
        <v>212</v>
      </c>
      <c r="B861" t="s">
        <v>56</v>
      </c>
      <c r="C861" s="36">
        <v>44735</v>
      </c>
      <c r="D861" t="s">
        <v>183</v>
      </c>
      <c r="E861" s="36">
        <v>45199</v>
      </c>
      <c r="F861" t="s">
        <v>76</v>
      </c>
      <c r="G861" s="36">
        <v>45197</v>
      </c>
      <c r="H861">
        <v>10</v>
      </c>
      <c r="I861" t="s">
        <v>2507</v>
      </c>
      <c r="J861">
        <v>3.2</v>
      </c>
      <c r="K861">
        <v>4.4000000000000004</v>
      </c>
      <c r="L861">
        <v>3</v>
      </c>
      <c r="M861">
        <v>0.20000000000000018</v>
      </c>
      <c r="N861">
        <v>0.20000000000000018</v>
      </c>
      <c r="O861">
        <v>-1.2000000000000002</v>
      </c>
      <c r="P861">
        <v>1.2000000000000002</v>
      </c>
      <c r="Q861">
        <v>1.4400000000000004</v>
      </c>
      <c r="R861">
        <v>0</v>
      </c>
      <c r="S861">
        <v>0</v>
      </c>
      <c r="T861" t="s">
        <v>145</v>
      </c>
      <c r="U861">
        <v>8</v>
      </c>
      <c r="V861">
        <v>5</v>
      </c>
      <c r="W861" t="s">
        <v>2496</v>
      </c>
      <c r="X861" t="s">
        <v>57</v>
      </c>
    </row>
    <row r="862" spans="1:24">
      <c r="A862" t="s">
        <v>212</v>
      </c>
      <c r="B862" t="s">
        <v>58</v>
      </c>
      <c r="C862" s="36">
        <v>44784</v>
      </c>
      <c r="D862" t="s">
        <v>183</v>
      </c>
      <c r="E862" s="36">
        <v>45199</v>
      </c>
      <c r="F862" t="s">
        <v>76</v>
      </c>
      <c r="G862" s="36">
        <v>45197</v>
      </c>
      <c r="H862">
        <v>9</v>
      </c>
      <c r="I862" t="s">
        <v>2504</v>
      </c>
      <c r="J862">
        <v>2.9</v>
      </c>
      <c r="K862">
        <v>4.4000000000000004</v>
      </c>
      <c r="L862">
        <v>3</v>
      </c>
      <c r="M862">
        <v>-0.10000000000000009</v>
      </c>
      <c r="N862">
        <v>0.10000000000000009</v>
      </c>
      <c r="O862">
        <v>-1.5000000000000004</v>
      </c>
      <c r="P862">
        <v>1.5000000000000004</v>
      </c>
      <c r="Q862">
        <v>2.2500000000000013</v>
      </c>
      <c r="R862">
        <v>-0.30000000000000027</v>
      </c>
      <c r="S862">
        <v>0.30000000000000027</v>
      </c>
      <c r="T862" t="s">
        <v>148</v>
      </c>
      <c r="U862">
        <v>8.5</v>
      </c>
      <c r="V862">
        <v>5.5</v>
      </c>
      <c r="W862" t="s">
        <v>2496</v>
      </c>
      <c r="X862" t="s">
        <v>59</v>
      </c>
    </row>
    <row r="863" spans="1:24">
      <c r="A863" t="s">
        <v>212</v>
      </c>
      <c r="B863" t="s">
        <v>60</v>
      </c>
      <c r="C863" s="36">
        <v>44833</v>
      </c>
      <c r="D863" t="s">
        <v>183</v>
      </c>
      <c r="E863" s="36">
        <v>45199</v>
      </c>
      <c r="F863" t="s">
        <v>76</v>
      </c>
      <c r="G863" s="36">
        <v>45197</v>
      </c>
      <c r="H863">
        <v>8</v>
      </c>
      <c r="I863" t="s">
        <v>2505</v>
      </c>
      <c r="J863">
        <v>3.8</v>
      </c>
      <c r="K863">
        <v>4.4000000000000004</v>
      </c>
      <c r="L863">
        <v>3</v>
      </c>
      <c r="M863">
        <v>0.79999999999999982</v>
      </c>
      <c r="N863">
        <v>0.79999999999999982</v>
      </c>
      <c r="O863">
        <v>-0.60000000000000053</v>
      </c>
      <c r="P863">
        <v>0.60000000000000053</v>
      </c>
      <c r="Q863">
        <v>0.36000000000000065</v>
      </c>
      <c r="R863">
        <v>0.89999999999999991</v>
      </c>
      <c r="S863">
        <v>0.89999999999999991</v>
      </c>
      <c r="T863" t="s">
        <v>148</v>
      </c>
      <c r="U863">
        <v>8.6999999999999993</v>
      </c>
      <c r="V863">
        <v>5.6999999999999993</v>
      </c>
      <c r="W863" t="s">
        <v>2496</v>
      </c>
      <c r="X863" t="s">
        <v>61</v>
      </c>
    </row>
    <row r="864" spans="1:24">
      <c r="A864" t="s">
        <v>212</v>
      </c>
      <c r="B864" t="s">
        <v>62</v>
      </c>
      <c r="C864" s="36">
        <v>44875</v>
      </c>
      <c r="D864" t="s">
        <v>183</v>
      </c>
      <c r="E864" s="36">
        <v>45199</v>
      </c>
      <c r="F864" t="s">
        <v>76</v>
      </c>
      <c r="G864" s="36">
        <v>45197</v>
      </c>
      <c r="H864">
        <v>7</v>
      </c>
      <c r="I864" t="s">
        <v>2502</v>
      </c>
      <c r="J864">
        <v>3.7</v>
      </c>
      <c r="K864">
        <v>4.4000000000000004</v>
      </c>
      <c r="L864">
        <v>3</v>
      </c>
      <c r="M864">
        <v>0.70000000000000018</v>
      </c>
      <c r="N864">
        <v>0.70000000000000018</v>
      </c>
      <c r="O864">
        <v>-0.70000000000000018</v>
      </c>
      <c r="P864">
        <v>0.70000000000000018</v>
      </c>
      <c r="Q864">
        <v>0.49000000000000027</v>
      </c>
      <c r="R864">
        <v>-9.9999999999999645E-2</v>
      </c>
      <c r="S864">
        <v>9.9999999999999645E-2</v>
      </c>
      <c r="T864" t="s">
        <v>151</v>
      </c>
      <c r="U864">
        <v>8.5</v>
      </c>
      <c r="V864">
        <v>5.5</v>
      </c>
      <c r="W864" t="s">
        <v>2496</v>
      </c>
      <c r="X864" t="s">
        <v>63</v>
      </c>
    </row>
    <row r="865" spans="1:24">
      <c r="A865" t="s">
        <v>212</v>
      </c>
      <c r="B865" t="s">
        <v>64</v>
      </c>
      <c r="C865" s="36">
        <v>44910</v>
      </c>
      <c r="D865" t="s">
        <v>183</v>
      </c>
      <c r="E865" s="36">
        <v>45199</v>
      </c>
      <c r="F865" t="s">
        <v>76</v>
      </c>
      <c r="G865" s="36">
        <v>45197</v>
      </c>
      <c r="H865">
        <v>6</v>
      </c>
      <c r="I865" t="s">
        <v>2503</v>
      </c>
      <c r="J865">
        <v>3.9</v>
      </c>
      <c r="K865">
        <v>4.4000000000000004</v>
      </c>
      <c r="L865">
        <v>3</v>
      </c>
      <c r="M865">
        <v>0.89999999999999991</v>
      </c>
      <c r="N865">
        <v>0.89999999999999991</v>
      </c>
      <c r="O865">
        <v>-0.50000000000000044</v>
      </c>
      <c r="P865">
        <v>0.50000000000000044</v>
      </c>
      <c r="Q865">
        <v>0.25000000000000044</v>
      </c>
      <c r="R865">
        <v>0.19999999999999973</v>
      </c>
      <c r="S865">
        <v>0.19999999999999973</v>
      </c>
      <c r="T865" t="s">
        <v>151</v>
      </c>
      <c r="U865">
        <v>8.6</v>
      </c>
      <c r="V865">
        <v>5.6</v>
      </c>
      <c r="W865" t="s">
        <v>2496</v>
      </c>
      <c r="X865" t="s">
        <v>65</v>
      </c>
    </row>
    <row r="866" spans="1:24">
      <c r="A866" t="s">
        <v>212</v>
      </c>
      <c r="B866" t="s">
        <v>66</v>
      </c>
      <c r="C866" s="36">
        <v>44966</v>
      </c>
      <c r="D866" t="s">
        <v>183</v>
      </c>
      <c r="E866" s="36">
        <v>45199</v>
      </c>
      <c r="F866" t="s">
        <v>76</v>
      </c>
      <c r="G866" s="36">
        <v>45197</v>
      </c>
      <c r="H866">
        <v>5</v>
      </c>
      <c r="I866" t="s">
        <v>2500</v>
      </c>
      <c r="J866">
        <v>4.3</v>
      </c>
      <c r="K866">
        <v>4.4000000000000004</v>
      </c>
      <c r="L866">
        <v>3</v>
      </c>
      <c r="M866">
        <v>1.2999999999999998</v>
      </c>
      <c r="N866">
        <v>1.2999999999999998</v>
      </c>
      <c r="O866">
        <v>-0.10000000000000053</v>
      </c>
      <c r="P866">
        <v>0.10000000000000053</v>
      </c>
      <c r="Q866">
        <v>1.0000000000000106E-2</v>
      </c>
      <c r="R866">
        <v>0.39999999999999991</v>
      </c>
      <c r="S866">
        <v>0.39999999999999991</v>
      </c>
      <c r="T866" t="s">
        <v>154</v>
      </c>
      <c r="U866">
        <v>8.4</v>
      </c>
      <c r="V866">
        <v>5.4</v>
      </c>
      <c r="W866" t="s">
        <v>2496</v>
      </c>
      <c r="X866" t="s">
        <v>67</v>
      </c>
    </row>
    <row r="867" spans="1:24">
      <c r="A867" t="s">
        <v>212</v>
      </c>
      <c r="B867" t="s">
        <v>68</v>
      </c>
      <c r="C867" s="36">
        <v>45015</v>
      </c>
      <c r="D867" t="s">
        <v>183</v>
      </c>
      <c r="E867" s="36">
        <v>45199</v>
      </c>
      <c r="F867" t="s">
        <v>76</v>
      </c>
      <c r="G867" s="36">
        <v>45197</v>
      </c>
      <c r="H867">
        <v>4</v>
      </c>
      <c r="I867" t="s">
        <v>2501</v>
      </c>
      <c r="J867">
        <v>4.2</v>
      </c>
      <c r="K867">
        <v>4.4000000000000004</v>
      </c>
      <c r="L867">
        <v>3</v>
      </c>
      <c r="M867">
        <v>1.2000000000000002</v>
      </c>
      <c r="N867">
        <v>1.2000000000000002</v>
      </c>
      <c r="O867">
        <v>-0.20000000000000018</v>
      </c>
      <c r="P867">
        <v>0.20000000000000018</v>
      </c>
      <c r="Q867">
        <v>4.000000000000007E-2</v>
      </c>
      <c r="R867">
        <v>-9.9999999999999645E-2</v>
      </c>
      <c r="S867">
        <v>9.9999999999999645E-2</v>
      </c>
      <c r="T867" t="s">
        <v>154</v>
      </c>
      <c r="U867">
        <v>8.5</v>
      </c>
      <c r="V867">
        <v>5.5</v>
      </c>
      <c r="W867" t="s">
        <v>2496</v>
      </c>
      <c r="X867" t="s">
        <v>69</v>
      </c>
    </row>
    <row r="868" spans="1:24">
      <c r="A868" t="s">
        <v>212</v>
      </c>
      <c r="B868" t="s">
        <v>70</v>
      </c>
      <c r="C868" s="36">
        <v>45064</v>
      </c>
      <c r="D868" t="s">
        <v>183</v>
      </c>
      <c r="E868" s="36">
        <v>45199</v>
      </c>
      <c r="F868" t="s">
        <v>76</v>
      </c>
      <c r="G868" s="36">
        <v>45197</v>
      </c>
      <c r="H868">
        <v>3</v>
      </c>
      <c r="I868" t="s">
        <v>2498</v>
      </c>
      <c r="J868">
        <v>4.2</v>
      </c>
      <c r="K868">
        <v>4.4000000000000004</v>
      </c>
      <c r="L868">
        <v>3</v>
      </c>
      <c r="M868">
        <v>1.2000000000000002</v>
      </c>
      <c r="N868">
        <v>1.2000000000000002</v>
      </c>
      <c r="O868">
        <v>-0.20000000000000018</v>
      </c>
      <c r="P868">
        <v>0.20000000000000018</v>
      </c>
      <c r="Q868">
        <v>4.000000000000007E-2</v>
      </c>
      <c r="R868">
        <v>0</v>
      </c>
      <c r="S868">
        <v>0</v>
      </c>
      <c r="T868" t="s">
        <v>157</v>
      </c>
      <c r="U868">
        <v>7</v>
      </c>
      <c r="V868">
        <v>4</v>
      </c>
      <c r="W868" t="s">
        <v>2496</v>
      </c>
      <c r="X868" t="s">
        <v>71</v>
      </c>
    </row>
    <row r="869" spans="1:24">
      <c r="A869" t="s">
        <v>212</v>
      </c>
      <c r="B869" t="s">
        <v>72</v>
      </c>
      <c r="C869" s="36">
        <v>45099</v>
      </c>
      <c r="D869" t="s">
        <v>183</v>
      </c>
      <c r="E869" s="36">
        <v>45199</v>
      </c>
      <c r="F869" t="s">
        <v>76</v>
      </c>
      <c r="G869" s="36">
        <v>45197</v>
      </c>
      <c r="H869">
        <v>2</v>
      </c>
      <c r="I869" t="s">
        <v>2499</v>
      </c>
      <c r="J869">
        <v>4.4000000000000004</v>
      </c>
      <c r="K869">
        <v>4.4000000000000004</v>
      </c>
      <c r="L869">
        <v>3</v>
      </c>
      <c r="M869">
        <v>1.4000000000000004</v>
      </c>
      <c r="N869">
        <v>1.4000000000000004</v>
      </c>
      <c r="O869">
        <v>0</v>
      </c>
      <c r="P869">
        <v>0</v>
      </c>
      <c r="Q869">
        <v>0</v>
      </c>
      <c r="R869">
        <v>0.20000000000000018</v>
      </c>
      <c r="S869">
        <v>0.20000000000000018</v>
      </c>
      <c r="T869" t="s">
        <v>157</v>
      </c>
      <c r="U869">
        <v>6.9</v>
      </c>
      <c r="V869">
        <v>3.9000000000000004</v>
      </c>
      <c r="W869" t="s">
        <v>2496</v>
      </c>
      <c r="X869" t="s">
        <v>73</v>
      </c>
    </row>
    <row r="870" spans="1:24">
      <c r="A870" t="s">
        <v>212</v>
      </c>
      <c r="B870" t="s">
        <v>74</v>
      </c>
      <c r="C870" s="36">
        <v>45148</v>
      </c>
      <c r="D870" t="s">
        <v>183</v>
      </c>
      <c r="E870" s="36">
        <v>45199</v>
      </c>
      <c r="F870" t="s">
        <v>76</v>
      </c>
      <c r="G870" s="36">
        <v>45197</v>
      </c>
      <c r="H870">
        <v>1</v>
      </c>
      <c r="I870" t="s">
        <v>2495</v>
      </c>
      <c r="J870">
        <v>4.5</v>
      </c>
      <c r="K870">
        <v>4.4000000000000004</v>
      </c>
      <c r="L870">
        <v>3</v>
      </c>
      <c r="M870">
        <v>1.5</v>
      </c>
      <c r="N870">
        <v>1.5</v>
      </c>
      <c r="O870">
        <v>9.9999999999999645E-2</v>
      </c>
      <c r="P870">
        <v>9.9999999999999645E-2</v>
      </c>
      <c r="Q870">
        <v>9.9999999999999291E-3</v>
      </c>
      <c r="R870">
        <v>9.9999999999999645E-2</v>
      </c>
      <c r="S870">
        <v>9.9999999999999645E-2</v>
      </c>
      <c r="T870" t="s">
        <v>160</v>
      </c>
      <c r="U870">
        <v>5.0999999999999996</v>
      </c>
      <c r="V870">
        <v>2.0999999999999996</v>
      </c>
      <c r="W870" t="s">
        <v>2496</v>
      </c>
      <c r="X870" t="s">
        <v>75</v>
      </c>
    </row>
    <row r="871" spans="1:24">
      <c r="A871" t="s">
        <v>212</v>
      </c>
      <c r="B871" t="s">
        <v>76</v>
      </c>
      <c r="C871" s="36">
        <v>45197</v>
      </c>
      <c r="D871" t="s">
        <v>183</v>
      </c>
      <c r="E871" s="36">
        <v>45199</v>
      </c>
      <c r="F871" t="s">
        <v>76</v>
      </c>
      <c r="G871" s="36">
        <v>45197</v>
      </c>
      <c r="H871">
        <v>0</v>
      </c>
      <c r="I871" t="s">
        <v>2497</v>
      </c>
      <c r="J871">
        <v>4.5999999999999996</v>
      </c>
      <c r="K871">
        <v>4.4000000000000004</v>
      </c>
      <c r="L871">
        <v>3</v>
      </c>
      <c r="M871">
        <v>1.5999999999999996</v>
      </c>
      <c r="N871">
        <v>1.5999999999999996</v>
      </c>
      <c r="O871">
        <v>0.19999999999999929</v>
      </c>
      <c r="P871">
        <v>0.19999999999999929</v>
      </c>
      <c r="Q871">
        <v>3.9999999999999716E-2</v>
      </c>
      <c r="R871">
        <v>9.9999999999999645E-2</v>
      </c>
      <c r="S871">
        <v>9.9999999999999645E-2</v>
      </c>
      <c r="T871" t="s">
        <v>160</v>
      </c>
      <c r="U871">
        <v>5.2</v>
      </c>
      <c r="V871">
        <v>2.2000000000000002</v>
      </c>
      <c r="W871" t="s">
        <v>2496</v>
      </c>
      <c r="X871" t="s">
        <v>77</v>
      </c>
    </row>
    <row r="872" spans="1:24">
      <c r="A872" t="s">
        <v>212</v>
      </c>
      <c r="B872" t="s">
        <v>47</v>
      </c>
      <c r="C872" s="36">
        <v>44546</v>
      </c>
      <c r="D872" t="s">
        <v>254</v>
      </c>
      <c r="E872" s="36">
        <v>45291</v>
      </c>
      <c r="F872" t="s">
        <v>80</v>
      </c>
      <c r="G872" s="36">
        <v>45274</v>
      </c>
      <c r="H872">
        <v>16</v>
      </c>
      <c r="I872" t="s">
        <v>2512</v>
      </c>
      <c r="J872">
        <v>2.7</v>
      </c>
      <c r="K872">
        <v>4.5999999999999996</v>
      </c>
      <c r="L872">
        <v>3</v>
      </c>
      <c r="M872">
        <v>-0.29999999999999982</v>
      </c>
      <c r="N872">
        <v>0.29999999999999982</v>
      </c>
      <c r="O872">
        <v>-1.8999999999999995</v>
      </c>
      <c r="P872">
        <v>1.8999999999999995</v>
      </c>
      <c r="Q872">
        <v>3.6099999999999981</v>
      </c>
      <c r="T872" t="s">
        <v>139</v>
      </c>
      <c r="U872">
        <v>6.6</v>
      </c>
      <c r="V872">
        <v>3.5999999999999996</v>
      </c>
      <c r="W872" t="s">
        <v>2496</v>
      </c>
      <c r="X872" t="s">
        <v>49</v>
      </c>
    </row>
    <row r="873" spans="1:24">
      <c r="A873" t="s">
        <v>212</v>
      </c>
      <c r="B873" t="s">
        <v>50</v>
      </c>
      <c r="C873" s="36">
        <v>44602</v>
      </c>
      <c r="D873" t="s">
        <v>254</v>
      </c>
      <c r="E873" s="36">
        <v>45291</v>
      </c>
      <c r="F873" t="s">
        <v>80</v>
      </c>
      <c r="G873" s="36">
        <v>45274</v>
      </c>
      <c r="H873">
        <v>15</v>
      </c>
      <c r="I873" t="s">
        <v>2510</v>
      </c>
      <c r="J873">
        <v>2.8</v>
      </c>
      <c r="K873">
        <v>4.5999999999999996</v>
      </c>
      <c r="L873">
        <v>3</v>
      </c>
      <c r="M873">
        <v>-0.20000000000000018</v>
      </c>
      <c r="N873">
        <v>0.20000000000000018</v>
      </c>
      <c r="O873">
        <v>-1.7999999999999998</v>
      </c>
      <c r="P873">
        <v>1.7999999999999998</v>
      </c>
      <c r="Q873">
        <v>3.2399999999999993</v>
      </c>
      <c r="R873">
        <v>9.9999999999999645E-2</v>
      </c>
      <c r="S873">
        <v>9.9999999999999645E-2</v>
      </c>
      <c r="T873" t="s">
        <v>142</v>
      </c>
      <c r="U873">
        <v>6.5</v>
      </c>
      <c r="V873">
        <v>3.5</v>
      </c>
      <c r="W873" t="s">
        <v>2496</v>
      </c>
      <c r="X873" t="s">
        <v>51</v>
      </c>
    </row>
    <row r="874" spans="1:24">
      <c r="A874" t="s">
        <v>212</v>
      </c>
      <c r="B874" t="s">
        <v>52</v>
      </c>
      <c r="C874" s="36">
        <v>44644</v>
      </c>
      <c r="D874" t="s">
        <v>254</v>
      </c>
      <c r="E874" s="36">
        <v>45291</v>
      </c>
      <c r="F874" t="s">
        <v>80</v>
      </c>
      <c r="G874" s="36">
        <v>45274</v>
      </c>
      <c r="H874">
        <v>14</v>
      </c>
      <c r="I874" t="s">
        <v>2511</v>
      </c>
      <c r="J874">
        <v>3.4</v>
      </c>
      <c r="K874">
        <v>4.5999999999999996</v>
      </c>
      <c r="L874">
        <v>3</v>
      </c>
      <c r="M874">
        <v>0.39999999999999991</v>
      </c>
      <c r="N874">
        <v>0.39999999999999991</v>
      </c>
      <c r="O874">
        <v>-1.1999999999999997</v>
      </c>
      <c r="P874">
        <v>1.1999999999999997</v>
      </c>
      <c r="Q874">
        <v>1.4399999999999993</v>
      </c>
      <c r="R874">
        <v>0.60000000000000009</v>
      </c>
      <c r="S874">
        <v>0.60000000000000009</v>
      </c>
      <c r="T874" t="s">
        <v>142</v>
      </c>
      <c r="U874">
        <v>6.6</v>
      </c>
      <c r="V874">
        <v>3.5999999999999996</v>
      </c>
      <c r="W874" t="s">
        <v>2496</v>
      </c>
      <c r="X874" t="s">
        <v>53</v>
      </c>
    </row>
    <row r="875" spans="1:24">
      <c r="A875" t="s">
        <v>212</v>
      </c>
      <c r="B875" t="s">
        <v>54</v>
      </c>
      <c r="C875" s="36">
        <v>44693</v>
      </c>
      <c r="D875" t="s">
        <v>254</v>
      </c>
      <c r="E875" s="36">
        <v>45291</v>
      </c>
      <c r="F875" t="s">
        <v>80</v>
      </c>
      <c r="G875" s="36">
        <v>45274</v>
      </c>
      <c r="H875">
        <v>13</v>
      </c>
      <c r="I875" t="s">
        <v>2508</v>
      </c>
      <c r="J875">
        <v>3.4</v>
      </c>
      <c r="K875">
        <v>4.5999999999999996</v>
      </c>
      <c r="L875">
        <v>3</v>
      </c>
      <c r="M875">
        <v>0.39999999999999991</v>
      </c>
      <c r="N875">
        <v>0.39999999999999991</v>
      </c>
      <c r="O875">
        <v>-1.1999999999999997</v>
      </c>
      <c r="P875">
        <v>1.1999999999999997</v>
      </c>
      <c r="Q875">
        <v>1.4399999999999993</v>
      </c>
      <c r="R875">
        <v>0</v>
      </c>
      <c r="S875">
        <v>0</v>
      </c>
      <c r="T875" t="s">
        <v>145</v>
      </c>
      <c r="U875">
        <v>7.8</v>
      </c>
      <c r="V875">
        <v>4.8</v>
      </c>
      <c r="W875" t="s">
        <v>2496</v>
      </c>
      <c r="X875" t="s">
        <v>55</v>
      </c>
    </row>
    <row r="876" spans="1:24">
      <c r="A876" t="s">
        <v>212</v>
      </c>
      <c r="B876" t="s">
        <v>56</v>
      </c>
      <c r="C876" s="36">
        <v>44735</v>
      </c>
      <c r="D876" t="s">
        <v>254</v>
      </c>
      <c r="E876" s="36">
        <v>45291</v>
      </c>
      <c r="F876" t="s">
        <v>80</v>
      </c>
      <c r="G876" s="36">
        <v>45274</v>
      </c>
      <c r="H876">
        <v>12</v>
      </c>
      <c r="I876" t="s">
        <v>2509</v>
      </c>
      <c r="J876">
        <v>3.3</v>
      </c>
      <c r="K876">
        <v>4.5999999999999996</v>
      </c>
      <c r="L876">
        <v>3</v>
      </c>
      <c r="M876">
        <v>0.29999999999999982</v>
      </c>
      <c r="N876">
        <v>0.29999999999999982</v>
      </c>
      <c r="O876">
        <v>-1.2999999999999998</v>
      </c>
      <c r="P876">
        <v>1.2999999999999998</v>
      </c>
      <c r="Q876">
        <v>1.6899999999999995</v>
      </c>
      <c r="R876">
        <v>-0.10000000000000009</v>
      </c>
      <c r="S876">
        <v>0.10000000000000009</v>
      </c>
      <c r="T876" t="s">
        <v>145</v>
      </c>
      <c r="U876">
        <v>8</v>
      </c>
      <c r="V876">
        <v>5</v>
      </c>
      <c r="W876" t="s">
        <v>2496</v>
      </c>
      <c r="X876" t="s">
        <v>57</v>
      </c>
    </row>
    <row r="877" spans="1:24">
      <c r="A877" t="s">
        <v>212</v>
      </c>
      <c r="B877" t="s">
        <v>58</v>
      </c>
      <c r="C877" s="36">
        <v>44784</v>
      </c>
      <c r="D877" t="s">
        <v>254</v>
      </c>
      <c r="E877" s="36">
        <v>45291</v>
      </c>
      <c r="F877" t="s">
        <v>80</v>
      </c>
      <c r="G877" s="36">
        <v>45274</v>
      </c>
      <c r="H877">
        <v>11</v>
      </c>
      <c r="I877" t="s">
        <v>2506</v>
      </c>
      <c r="J877">
        <v>3.1</v>
      </c>
      <c r="K877">
        <v>4.5999999999999996</v>
      </c>
      <c r="L877">
        <v>3</v>
      </c>
      <c r="M877">
        <v>0.10000000000000009</v>
      </c>
      <c r="N877">
        <v>0.10000000000000009</v>
      </c>
      <c r="O877">
        <v>-1.4999999999999996</v>
      </c>
      <c r="P877">
        <v>1.4999999999999996</v>
      </c>
      <c r="Q877">
        <v>2.2499999999999987</v>
      </c>
      <c r="R877">
        <v>-0.19999999999999973</v>
      </c>
      <c r="S877">
        <v>0.19999999999999973</v>
      </c>
      <c r="T877" t="s">
        <v>148</v>
      </c>
      <c r="U877">
        <v>8.5</v>
      </c>
      <c r="V877">
        <v>5.5</v>
      </c>
      <c r="W877" t="s">
        <v>2496</v>
      </c>
      <c r="X877" t="s">
        <v>59</v>
      </c>
    </row>
    <row r="878" spans="1:24">
      <c r="A878" t="s">
        <v>212</v>
      </c>
      <c r="B878" t="s">
        <v>60</v>
      </c>
      <c r="C878" s="36">
        <v>44833</v>
      </c>
      <c r="D878" t="s">
        <v>254</v>
      </c>
      <c r="E878" s="36">
        <v>45291</v>
      </c>
      <c r="F878" t="s">
        <v>80</v>
      </c>
      <c r="G878" s="36">
        <v>45274</v>
      </c>
      <c r="H878">
        <v>10</v>
      </c>
      <c r="I878" t="s">
        <v>2507</v>
      </c>
      <c r="J878">
        <v>3.3</v>
      </c>
      <c r="K878">
        <v>4.5999999999999996</v>
      </c>
      <c r="L878">
        <v>3</v>
      </c>
      <c r="M878">
        <v>0.29999999999999982</v>
      </c>
      <c r="N878">
        <v>0.29999999999999982</v>
      </c>
      <c r="O878">
        <v>-1.2999999999999998</v>
      </c>
      <c r="P878">
        <v>1.2999999999999998</v>
      </c>
      <c r="Q878">
        <v>1.6899999999999995</v>
      </c>
      <c r="R878">
        <v>0.19999999999999973</v>
      </c>
      <c r="S878">
        <v>0.19999999999999973</v>
      </c>
      <c r="T878" t="s">
        <v>148</v>
      </c>
      <c r="U878">
        <v>8.6999999999999993</v>
      </c>
      <c r="V878">
        <v>5.6999999999999993</v>
      </c>
      <c r="W878" t="s">
        <v>2496</v>
      </c>
      <c r="X878" t="s">
        <v>61</v>
      </c>
    </row>
    <row r="879" spans="1:24">
      <c r="A879" t="s">
        <v>212</v>
      </c>
      <c r="B879" t="s">
        <v>62</v>
      </c>
      <c r="C879" s="36">
        <v>44875</v>
      </c>
      <c r="D879" t="s">
        <v>254</v>
      </c>
      <c r="E879" s="36">
        <v>45291</v>
      </c>
      <c r="F879" t="s">
        <v>80</v>
      </c>
      <c r="G879" s="36">
        <v>45274</v>
      </c>
      <c r="H879">
        <v>9</v>
      </c>
      <c r="I879" t="s">
        <v>2504</v>
      </c>
      <c r="J879">
        <v>3.2</v>
      </c>
      <c r="K879">
        <v>4.5999999999999996</v>
      </c>
      <c r="L879">
        <v>3</v>
      </c>
      <c r="M879">
        <v>0.20000000000000018</v>
      </c>
      <c r="N879">
        <v>0.20000000000000018</v>
      </c>
      <c r="O879">
        <v>-1.3999999999999995</v>
      </c>
      <c r="P879">
        <v>1.3999999999999995</v>
      </c>
      <c r="Q879">
        <v>1.9599999999999984</v>
      </c>
      <c r="R879">
        <v>-9.9999999999999645E-2</v>
      </c>
      <c r="S879">
        <v>9.9999999999999645E-2</v>
      </c>
      <c r="T879" t="s">
        <v>151</v>
      </c>
      <c r="U879">
        <v>8.5</v>
      </c>
      <c r="V879">
        <v>5.5</v>
      </c>
      <c r="W879" t="s">
        <v>2496</v>
      </c>
      <c r="X879" t="s">
        <v>63</v>
      </c>
    </row>
    <row r="880" spans="1:24">
      <c r="A880" t="s">
        <v>212</v>
      </c>
      <c r="B880" t="s">
        <v>64</v>
      </c>
      <c r="C880" s="36">
        <v>44910</v>
      </c>
      <c r="D880" t="s">
        <v>254</v>
      </c>
      <c r="E880" s="36">
        <v>45291</v>
      </c>
      <c r="F880" t="s">
        <v>80</v>
      </c>
      <c r="G880" s="36">
        <v>45274</v>
      </c>
      <c r="H880">
        <v>8</v>
      </c>
      <c r="I880" t="s">
        <v>2505</v>
      </c>
      <c r="J880">
        <v>3.1</v>
      </c>
      <c r="K880">
        <v>4.5999999999999996</v>
      </c>
      <c r="L880">
        <v>3</v>
      </c>
      <c r="M880">
        <v>0.10000000000000009</v>
      </c>
      <c r="N880">
        <v>0.10000000000000009</v>
      </c>
      <c r="O880">
        <v>-1.4999999999999996</v>
      </c>
      <c r="P880">
        <v>1.4999999999999996</v>
      </c>
      <c r="Q880">
        <v>2.2499999999999987</v>
      </c>
      <c r="R880">
        <v>-0.10000000000000009</v>
      </c>
      <c r="S880">
        <v>0.10000000000000009</v>
      </c>
      <c r="T880" t="s">
        <v>151</v>
      </c>
      <c r="U880">
        <v>8.6</v>
      </c>
      <c r="V880">
        <v>5.6</v>
      </c>
      <c r="W880" t="s">
        <v>2496</v>
      </c>
      <c r="X880" t="s">
        <v>65</v>
      </c>
    </row>
    <row r="881" spans="1:24">
      <c r="A881" t="s">
        <v>212</v>
      </c>
      <c r="B881" t="s">
        <v>66</v>
      </c>
      <c r="C881" s="36">
        <v>44966</v>
      </c>
      <c r="D881" t="s">
        <v>254</v>
      </c>
      <c r="E881" s="36">
        <v>45291</v>
      </c>
      <c r="F881" t="s">
        <v>80</v>
      </c>
      <c r="G881" s="36">
        <v>45274</v>
      </c>
      <c r="H881">
        <v>7</v>
      </c>
      <c r="I881" t="s">
        <v>2502</v>
      </c>
      <c r="J881">
        <v>3.5</v>
      </c>
      <c r="K881">
        <v>4.5999999999999996</v>
      </c>
      <c r="L881">
        <v>3</v>
      </c>
      <c r="M881">
        <v>0.5</v>
      </c>
      <c r="N881">
        <v>0.5</v>
      </c>
      <c r="O881">
        <v>-1.0999999999999996</v>
      </c>
      <c r="P881">
        <v>1.0999999999999996</v>
      </c>
      <c r="Q881">
        <v>1.2099999999999993</v>
      </c>
      <c r="R881">
        <v>0.39999999999999991</v>
      </c>
      <c r="S881">
        <v>0.39999999999999991</v>
      </c>
      <c r="T881" t="s">
        <v>154</v>
      </c>
      <c r="U881">
        <v>8.4</v>
      </c>
      <c r="V881">
        <v>5.4</v>
      </c>
      <c r="W881" t="s">
        <v>2496</v>
      </c>
      <c r="X881" t="s">
        <v>67</v>
      </c>
    </row>
    <row r="882" spans="1:24">
      <c r="A882" t="s">
        <v>212</v>
      </c>
      <c r="B882" t="s">
        <v>68</v>
      </c>
      <c r="C882" s="36">
        <v>45015</v>
      </c>
      <c r="D882" t="s">
        <v>254</v>
      </c>
      <c r="E882" s="36">
        <v>45291</v>
      </c>
      <c r="F882" t="s">
        <v>80</v>
      </c>
      <c r="G882" s="36">
        <v>45274</v>
      </c>
      <c r="H882">
        <v>6</v>
      </c>
      <c r="I882" t="s">
        <v>2503</v>
      </c>
      <c r="J882">
        <v>3.5</v>
      </c>
      <c r="K882">
        <v>4.5999999999999996</v>
      </c>
      <c r="L882">
        <v>3</v>
      </c>
      <c r="M882">
        <v>0.5</v>
      </c>
      <c r="N882">
        <v>0.5</v>
      </c>
      <c r="O882">
        <v>-1.0999999999999996</v>
      </c>
      <c r="P882">
        <v>1.0999999999999996</v>
      </c>
      <c r="Q882">
        <v>1.2099999999999993</v>
      </c>
      <c r="R882">
        <v>0</v>
      </c>
      <c r="S882">
        <v>0</v>
      </c>
      <c r="T882" t="s">
        <v>154</v>
      </c>
      <c r="U882">
        <v>8.5</v>
      </c>
      <c r="V882">
        <v>5.5</v>
      </c>
      <c r="W882" t="s">
        <v>2496</v>
      </c>
      <c r="X882" t="s">
        <v>69</v>
      </c>
    </row>
    <row r="883" spans="1:24">
      <c r="A883" t="s">
        <v>212</v>
      </c>
      <c r="B883" t="s">
        <v>70</v>
      </c>
      <c r="C883" s="36">
        <v>45064</v>
      </c>
      <c r="D883" t="s">
        <v>254</v>
      </c>
      <c r="E883" s="36">
        <v>45291</v>
      </c>
      <c r="F883" t="s">
        <v>80</v>
      </c>
      <c r="G883" s="36">
        <v>45274</v>
      </c>
      <c r="H883">
        <v>5</v>
      </c>
      <c r="I883" t="s">
        <v>2500</v>
      </c>
      <c r="J883">
        <v>3.6</v>
      </c>
      <c r="K883">
        <v>4.5999999999999996</v>
      </c>
      <c r="L883">
        <v>3</v>
      </c>
      <c r="M883">
        <v>0.60000000000000009</v>
      </c>
      <c r="N883">
        <v>0.60000000000000009</v>
      </c>
      <c r="O883">
        <v>-0.99999999999999956</v>
      </c>
      <c r="P883">
        <v>0.99999999999999956</v>
      </c>
      <c r="Q883">
        <v>0.99999999999999911</v>
      </c>
      <c r="R883">
        <v>0.10000000000000009</v>
      </c>
      <c r="S883">
        <v>0.10000000000000009</v>
      </c>
      <c r="T883" t="s">
        <v>157</v>
      </c>
      <c r="U883">
        <v>7</v>
      </c>
      <c r="V883">
        <v>4</v>
      </c>
      <c r="W883" t="s">
        <v>2496</v>
      </c>
      <c r="X883" t="s">
        <v>71</v>
      </c>
    </row>
    <row r="884" spans="1:24">
      <c r="A884" t="s">
        <v>212</v>
      </c>
      <c r="B884" t="s">
        <v>72</v>
      </c>
      <c r="C884" s="36">
        <v>45099</v>
      </c>
      <c r="D884" t="s">
        <v>254</v>
      </c>
      <c r="E884" s="36">
        <v>45291</v>
      </c>
      <c r="F884" t="s">
        <v>80</v>
      </c>
      <c r="G884" s="36">
        <v>45274</v>
      </c>
      <c r="H884">
        <v>4</v>
      </c>
      <c r="I884" t="s">
        <v>2501</v>
      </c>
      <c r="J884">
        <v>3.6</v>
      </c>
      <c r="K884">
        <v>4.5999999999999996</v>
      </c>
      <c r="L884">
        <v>3</v>
      </c>
      <c r="M884">
        <v>0.60000000000000009</v>
      </c>
      <c r="N884">
        <v>0.60000000000000009</v>
      </c>
      <c r="O884">
        <v>-0.99999999999999956</v>
      </c>
      <c r="P884">
        <v>0.99999999999999956</v>
      </c>
      <c r="Q884">
        <v>0.99999999999999911</v>
      </c>
      <c r="R884">
        <v>0</v>
      </c>
      <c r="S884">
        <v>0</v>
      </c>
      <c r="T884" t="s">
        <v>157</v>
      </c>
      <c r="U884">
        <v>6.9</v>
      </c>
      <c r="V884">
        <v>3.9000000000000004</v>
      </c>
      <c r="W884" t="s">
        <v>2496</v>
      </c>
      <c r="X884" t="s">
        <v>73</v>
      </c>
    </row>
    <row r="885" spans="1:24">
      <c r="A885" t="s">
        <v>212</v>
      </c>
      <c r="B885" t="s">
        <v>74</v>
      </c>
      <c r="C885" s="36">
        <v>45148</v>
      </c>
      <c r="D885" t="s">
        <v>254</v>
      </c>
      <c r="E885" s="36">
        <v>45291</v>
      </c>
      <c r="F885" t="s">
        <v>80</v>
      </c>
      <c r="G885" s="36">
        <v>45274</v>
      </c>
      <c r="H885">
        <v>3</v>
      </c>
      <c r="I885" t="s">
        <v>2498</v>
      </c>
      <c r="J885">
        <v>4</v>
      </c>
      <c r="K885">
        <v>4.5999999999999996</v>
      </c>
      <c r="L885">
        <v>3</v>
      </c>
      <c r="M885">
        <v>1</v>
      </c>
      <c r="N885">
        <v>1</v>
      </c>
      <c r="O885">
        <v>-0.59999999999999964</v>
      </c>
      <c r="P885">
        <v>0.59999999999999964</v>
      </c>
      <c r="Q885">
        <v>0.3599999999999996</v>
      </c>
      <c r="R885">
        <v>0.39999999999999991</v>
      </c>
      <c r="S885">
        <v>0.39999999999999991</v>
      </c>
      <c r="T885" t="s">
        <v>160</v>
      </c>
      <c r="U885">
        <v>5.0999999999999996</v>
      </c>
      <c r="V885">
        <v>2.0999999999999996</v>
      </c>
      <c r="W885" t="s">
        <v>2496</v>
      </c>
      <c r="X885" t="s">
        <v>75</v>
      </c>
    </row>
    <row r="886" spans="1:24">
      <c r="A886" t="s">
        <v>212</v>
      </c>
      <c r="B886" t="s">
        <v>76</v>
      </c>
      <c r="C886" s="36">
        <v>45197</v>
      </c>
      <c r="D886" t="s">
        <v>254</v>
      </c>
      <c r="E886" s="36">
        <v>45291</v>
      </c>
      <c r="F886" t="s">
        <v>80</v>
      </c>
      <c r="G886" s="36">
        <v>45274</v>
      </c>
      <c r="H886">
        <v>2</v>
      </c>
      <c r="I886" t="s">
        <v>2499</v>
      </c>
      <c r="J886">
        <v>4.4000000000000004</v>
      </c>
      <c r="K886">
        <v>4.5999999999999996</v>
      </c>
      <c r="L886">
        <v>3</v>
      </c>
      <c r="M886">
        <v>1.4000000000000004</v>
      </c>
      <c r="N886">
        <v>1.4000000000000004</v>
      </c>
      <c r="O886">
        <v>-0.19999999999999929</v>
      </c>
      <c r="P886">
        <v>0.19999999999999929</v>
      </c>
      <c r="Q886">
        <v>3.9999999999999716E-2</v>
      </c>
      <c r="R886">
        <v>0.40000000000000036</v>
      </c>
      <c r="S886">
        <v>0.40000000000000036</v>
      </c>
      <c r="T886" t="s">
        <v>160</v>
      </c>
      <c r="U886">
        <v>5.2</v>
      </c>
      <c r="V886">
        <v>2.2000000000000002</v>
      </c>
      <c r="W886" t="s">
        <v>2496</v>
      </c>
      <c r="X886" t="s">
        <v>77</v>
      </c>
    </row>
    <row r="887" spans="1:24">
      <c r="A887" t="s">
        <v>212</v>
      </c>
      <c r="B887" t="s">
        <v>78</v>
      </c>
      <c r="C887" s="36">
        <v>45239</v>
      </c>
      <c r="D887" t="s">
        <v>254</v>
      </c>
      <c r="E887" s="36">
        <v>45291</v>
      </c>
      <c r="F887" t="s">
        <v>80</v>
      </c>
      <c r="G887" s="36">
        <v>45274</v>
      </c>
      <c r="H887">
        <v>1</v>
      </c>
      <c r="I887" t="s">
        <v>2495</v>
      </c>
      <c r="J887">
        <v>4.4000000000000004</v>
      </c>
      <c r="K887">
        <v>4.5999999999999996</v>
      </c>
      <c r="L887">
        <v>3</v>
      </c>
      <c r="M887">
        <v>1.4000000000000004</v>
      </c>
      <c r="N887">
        <v>1.4000000000000004</v>
      </c>
      <c r="O887">
        <v>-0.19999999999999929</v>
      </c>
      <c r="P887">
        <v>0.19999999999999929</v>
      </c>
      <c r="Q887">
        <v>3.9999999999999716E-2</v>
      </c>
      <c r="R887">
        <v>0</v>
      </c>
      <c r="S887">
        <v>0</v>
      </c>
      <c r="T887" t="s">
        <v>183</v>
      </c>
      <c r="U887">
        <v>4.5999999999999996</v>
      </c>
      <c r="V887">
        <v>1.5999999999999996</v>
      </c>
      <c r="W887" t="s">
        <v>2496</v>
      </c>
      <c r="X887" t="s">
        <v>79</v>
      </c>
    </row>
    <row r="888" spans="1:24">
      <c r="A888" t="s">
        <v>212</v>
      </c>
      <c r="B888" t="s">
        <v>80</v>
      </c>
      <c r="C888" s="36">
        <v>45274</v>
      </c>
      <c r="D888" t="s">
        <v>254</v>
      </c>
      <c r="E888" s="36">
        <v>45291</v>
      </c>
      <c r="F888" t="s">
        <v>80</v>
      </c>
      <c r="G888" s="36">
        <v>45274</v>
      </c>
      <c r="H888">
        <v>0</v>
      </c>
      <c r="I888" t="s">
        <v>2497</v>
      </c>
      <c r="J888">
        <v>4.5</v>
      </c>
      <c r="K888">
        <v>4.5999999999999996</v>
      </c>
      <c r="L888">
        <v>3</v>
      </c>
      <c r="M888">
        <v>1.5</v>
      </c>
      <c r="N888">
        <v>1.5</v>
      </c>
      <c r="O888">
        <v>-9.9999999999999645E-2</v>
      </c>
      <c r="P888">
        <v>9.9999999999999645E-2</v>
      </c>
      <c r="Q888">
        <v>9.9999999999999291E-3</v>
      </c>
      <c r="R888">
        <v>9.9999999999999645E-2</v>
      </c>
      <c r="S888">
        <v>9.9999999999999645E-2</v>
      </c>
      <c r="T888" t="s">
        <v>183</v>
      </c>
      <c r="U888">
        <v>4.5999999999999996</v>
      </c>
      <c r="V888">
        <v>1.5999999999999996</v>
      </c>
      <c r="W888" t="s">
        <v>2496</v>
      </c>
      <c r="X888" t="s">
        <v>81</v>
      </c>
    </row>
    <row r="889" spans="1:24">
      <c r="A889" t="s">
        <v>212</v>
      </c>
      <c r="B889" t="s">
        <v>52</v>
      </c>
      <c r="C889" s="36">
        <v>44644</v>
      </c>
      <c r="D889" t="s">
        <v>355</v>
      </c>
      <c r="E889" s="36">
        <v>45382</v>
      </c>
      <c r="F889" t="s">
        <v>84</v>
      </c>
      <c r="G889" s="36">
        <v>45372</v>
      </c>
      <c r="H889">
        <v>16</v>
      </c>
      <c r="I889" t="s">
        <v>2512</v>
      </c>
      <c r="J889">
        <v>2.7</v>
      </c>
      <c r="K889">
        <v>4.3</v>
      </c>
      <c r="L889">
        <v>3</v>
      </c>
      <c r="M889">
        <v>-0.29999999999999982</v>
      </c>
      <c r="N889">
        <v>0.29999999999999982</v>
      </c>
      <c r="O889">
        <v>-1.5999999999999996</v>
      </c>
      <c r="P889">
        <v>1.5999999999999996</v>
      </c>
      <c r="Q889">
        <v>2.5599999999999987</v>
      </c>
      <c r="T889" t="s">
        <v>142</v>
      </c>
      <c r="U889">
        <v>6.6</v>
      </c>
      <c r="V889">
        <v>3.5999999999999996</v>
      </c>
      <c r="W889" t="s">
        <v>2496</v>
      </c>
      <c r="X889" t="s">
        <v>53</v>
      </c>
    </row>
    <row r="890" spans="1:24">
      <c r="A890" t="s">
        <v>212</v>
      </c>
      <c r="B890" t="s">
        <v>54</v>
      </c>
      <c r="C890" s="36">
        <v>44693</v>
      </c>
      <c r="D890" t="s">
        <v>355</v>
      </c>
      <c r="E890" s="36">
        <v>45382</v>
      </c>
      <c r="F890" t="s">
        <v>84</v>
      </c>
      <c r="G890" s="36">
        <v>45372</v>
      </c>
      <c r="H890">
        <v>15</v>
      </c>
      <c r="I890" t="s">
        <v>2510</v>
      </c>
      <c r="J890">
        <v>2.7</v>
      </c>
      <c r="K890">
        <v>4.3</v>
      </c>
      <c r="L890">
        <v>3</v>
      </c>
      <c r="M890">
        <v>-0.29999999999999982</v>
      </c>
      <c r="N890">
        <v>0.29999999999999982</v>
      </c>
      <c r="O890">
        <v>-1.5999999999999996</v>
      </c>
      <c r="P890">
        <v>1.5999999999999996</v>
      </c>
      <c r="Q890">
        <v>2.5599999999999987</v>
      </c>
      <c r="R890">
        <v>0</v>
      </c>
      <c r="S890">
        <v>0</v>
      </c>
      <c r="T890" t="s">
        <v>145</v>
      </c>
      <c r="U890">
        <v>7.8</v>
      </c>
      <c r="V890">
        <v>4.8</v>
      </c>
      <c r="W890" t="s">
        <v>2496</v>
      </c>
      <c r="X890" t="s">
        <v>55</v>
      </c>
    </row>
    <row r="891" spans="1:24">
      <c r="A891" t="s">
        <v>212</v>
      </c>
      <c r="B891" t="s">
        <v>56</v>
      </c>
      <c r="C891" s="36">
        <v>44735</v>
      </c>
      <c r="D891" t="s">
        <v>355</v>
      </c>
      <c r="E891" s="36">
        <v>45382</v>
      </c>
      <c r="F891" t="s">
        <v>84</v>
      </c>
      <c r="G891" s="36">
        <v>45372</v>
      </c>
      <c r="H891">
        <v>14</v>
      </c>
      <c r="I891" t="s">
        <v>2511</v>
      </c>
      <c r="J891">
        <v>3.1</v>
      </c>
      <c r="K891">
        <v>4.3</v>
      </c>
      <c r="L891">
        <v>3</v>
      </c>
      <c r="M891">
        <v>0.10000000000000009</v>
      </c>
      <c r="N891">
        <v>0.10000000000000009</v>
      </c>
      <c r="O891">
        <v>-1.1999999999999997</v>
      </c>
      <c r="P891">
        <v>1.1999999999999997</v>
      </c>
      <c r="Q891">
        <v>1.4399999999999993</v>
      </c>
      <c r="R891">
        <v>0.39999999999999991</v>
      </c>
      <c r="S891">
        <v>0.39999999999999991</v>
      </c>
      <c r="T891" t="s">
        <v>145</v>
      </c>
      <c r="U891">
        <v>8</v>
      </c>
      <c r="V891">
        <v>5</v>
      </c>
      <c r="W891" t="s">
        <v>2496</v>
      </c>
      <c r="X891" t="s">
        <v>57</v>
      </c>
    </row>
    <row r="892" spans="1:24">
      <c r="A892" t="s">
        <v>212</v>
      </c>
      <c r="B892" t="s">
        <v>58</v>
      </c>
      <c r="C892" s="36">
        <v>44784</v>
      </c>
      <c r="D892" t="s">
        <v>355</v>
      </c>
      <c r="E892" s="36">
        <v>45382</v>
      </c>
      <c r="F892" t="s">
        <v>84</v>
      </c>
      <c r="G892" s="36">
        <v>45372</v>
      </c>
      <c r="H892">
        <v>13</v>
      </c>
      <c r="I892" t="s">
        <v>2508</v>
      </c>
      <c r="J892">
        <v>3.2</v>
      </c>
      <c r="K892">
        <v>4.3</v>
      </c>
      <c r="L892">
        <v>3</v>
      </c>
      <c r="M892">
        <v>0.20000000000000018</v>
      </c>
      <c r="N892">
        <v>0.20000000000000018</v>
      </c>
      <c r="O892">
        <v>-1.0999999999999996</v>
      </c>
      <c r="P892">
        <v>1.0999999999999996</v>
      </c>
      <c r="Q892">
        <v>1.2099999999999993</v>
      </c>
      <c r="R892">
        <v>0.10000000000000009</v>
      </c>
      <c r="S892">
        <v>0.10000000000000009</v>
      </c>
      <c r="T892" t="s">
        <v>148</v>
      </c>
      <c r="U892">
        <v>8.5</v>
      </c>
      <c r="V892">
        <v>5.5</v>
      </c>
      <c r="W892" t="s">
        <v>2496</v>
      </c>
      <c r="X892" t="s">
        <v>59</v>
      </c>
    </row>
    <row r="893" spans="1:24">
      <c r="A893" t="s">
        <v>212</v>
      </c>
      <c r="B893" t="s">
        <v>60</v>
      </c>
      <c r="C893" s="36">
        <v>44833</v>
      </c>
      <c r="D893" t="s">
        <v>355</v>
      </c>
      <c r="E893" s="36">
        <v>45382</v>
      </c>
      <c r="F893" t="s">
        <v>84</v>
      </c>
      <c r="G893" s="36">
        <v>45372</v>
      </c>
      <c r="H893">
        <v>12</v>
      </c>
      <c r="I893" t="s">
        <v>2509</v>
      </c>
      <c r="J893">
        <v>3.2</v>
      </c>
      <c r="K893">
        <v>4.3</v>
      </c>
      <c r="L893">
        <v>3</v>
      </c>
      <c r="M893">
        <v>0.20000000000000018</v>
      </c>
      <c r="N893">
        <v>0.20000000000000018</v>
      </c>
      <c r="O893">
        <v>-1.0999999999999996</v>
      </c>
      <c r="P893">
        <v>1.0999999999999996</v>
      </c>
      <c r="Q893">
        <v>1.2099999999999993</v>
      </c>
      <c r="R893">
        <v>0</v>
      </c>
      <c r="S893">
        <v>0</v>
      </c>
      <c r="T893" t="s">
        <v>148</v>
      </c>
      <c r="U893">
        <v>8.6999999999999993</v>
      </c>
      <c r="V893">
        <v>5.6999999999999993</v>
      </c>
      <c r="W893" t="s">
        <v>2496</v>
      </c>
      <c r="X893" t="s">
        <v>61</v>
      </c>
    </row>
    <row r="894" spans="1:24">
      <c r="A894" t="s">
        <v>212</v>
      </c>
      <c r="B894" t="s">
        <v>62</v>
      </c>
      <c r="C894" s="36">
        <v>44875</v>
      </c>
      <c r="D894" t="s">
        <v>355</v>
      </c>
      <c r="E894" s="36">
        <v>45382</v>
      </c>
      <c r="F894" t="s">
        <v>84</v>
      </c>
      <c r="G894" s="36">
        <v>45372</v>
      </c>
      <c r="H894">
        <v>11</v>
      </c>
      <c r="I894" t="s">
        <v>2506</v>
      </c>
      <c r="J894">
        <v>3.2</v>
      </c>
      <c r="K894">
        <v>4.3</v>
      </c>
      <c r="L894">
        <v>3</v>
      </c>
      <c r="M894">
        <v>0.20000000000000018</v>
      </c>
      <c r="N894">
        <v>0.20000000000000018</v>
      </c>
      <c r="O894">
        <v>-1.0999999999999996</v>
      </c>
      <c r="P894">
        <v>1.0999999999999996</v>
      </c>
      <c r="Q894">
        <v>1.2099999999999993</v>
      </c>
      <c r="R894">
        <v>0</v>
      </c>
      <c r="S894">
        <v>0</v>
      </c>
      <c r="T894" t="s">
        <v>151</v>
      </c>
      <c r="U894">
        <v>8.5</v>
      </c>
      <c r="V894">
        <v>5.5</v>
      </c>
      <c r="W894" t="s">
        <v>2496</v>
      </c>
      <c r="X894" t="s">
        <v>63</v>
      </c>
    </row>
    <row r="895" spans="1:24">
      <c r="A895" t="s">
        <v>212</v>
      </c>
      <c r="B895" t="s">
        <v>64</v>
      </c>
      <c r="C895" s="36">
        <v>44910</v>
      </c>
      <c r="D895" t="s">
        <v>355</v>
      </c>
      <c r="E895" s="36">
        <v>45382</v>
      </c>
      <c r="F895" t="s">
        <v>84</v>
      </c>
      <c r="G895" s="36">
        <v>45372</v>
      </c>
      <c r="H895">
        <v>10</v>
      </c>
      <c r="I895" t="s">
        <v>2507</v>
      </c>
      <c r="J895">
        <v>3.1</v>
      </c>
      <c r="K895">
        <v>4.3</v>
      </c>
      <c r="L895">
        <v>3</v>
      </c>
      <c r="M895">
        <v>0.10000000000000009</v>
      </c>
      <c r="N895">
        <v>0.10000000000000009</v>
      </c>
      <c r="O895">
        <v>-1.1999999999999997</v>
      </c>
      <c r="P895">
        <v>1.1999999999999997</v>
      </c>
      <c r="Q895">
        <v>1.4399999999999993</v>
      </c>
      <c r="R895">
        <v>-0.10000000000000009</v>
      </c>
      <c r="S895">
        <v>0.10000000000000009</v>
      </c>
      <c r="T895" t="s">
        <v>151</v>
      </c>
      <c r="U895">
        <v>8.6</v>
      </c>
      <c r="V895">
        <v>5.6</v>
      </c>
      <c r="W895" t="s">
        <v>2496</v>
      </c>
      <c r="X895" t="s">
        <v>65</v>
      </c>
    </row>
    <row r="896" spans="1:24">
      <c r="A896" t="s">
        <v>212</v>
      </c>
      <c r="B896" t="s">
        <v>66</v>
      </c>
      <c r="C896" s="36">
        <v>44966</v>
      </c>
      <c r="D896" t="s">
        <v>355</v>
      </c>
      <c r="E896" s="36">
        <v>45382</v>
      </c>
      <c r="F896" t="s">
        <v>84</v>
      </c>
      <c r="G896" s="36">
        <v>45372</v>
      </c>
      <c r="H896">
        <v>9</v>
      </c>
      <c r="I896" t="s">
        <v>2504</v>
      </c>
      <c r="J896">
        <v>3.4</v>
      </c>
      <c r="K896">
        <v>4.3</v>
      </c>
      <c r="L896">
        <v>3</v>
      </c>
      <c r="M896">
        <v>0.39999999999999991</v>
      </c>
      <c r="N896">
        <v>0.39999999999999991</v>
      </c>
      <c r="O896">
        <v>-0.89999999999999991</v>
      </c>
      <c r="P896">
        <v>0.89999999999999991</v>
      </c>
      <c r="Q896">
        <v>0.80999999999999983</v>
      </c>
      <c r="R896">
        <v>0.29999999999999982</v>
      </c>
      <c r="S896">
        <v>0.29999999999999982</v>
      </c>
      <c r="T896" t="s">
        <v>154</v>
      </c>
      <c r="U896">
        <v>8.4</v>
      </c>
      <c r="V896">
        <v>5.4</v>
      </c>
      <c r="W896" t="s">
        <v>2496</v>
      </c>
      <c r="X896" t="s">
        <v>67</v>
      </c>
    </row>
    <row r="897" spans="1:24">
      <c r="A897" t="s">
        <v>212</v>
      </c>
      <c r="B897" t="s">
        <v>68</v>
      </c>
      <c r="C897" s="36">
        <v>45015</v>
      </c>
      <c r="D897" t="s">
        <v>355</v>
      </c>
      <c r="E897" s="36">
        <v>45382</v>
      </c>
      <c r="F897" t="s">
        <v>84</v>
      </c>
      <c r="G897" s="36">
        <v>45372</v>
      </c>
      <c r="H897">
        <v>8</v>
      </c>
      <c r="I897" t="s">
        <v>2505</v>
      </c>
      <c r="J897">
        <v>3.4</v>
      </c>
      <c r="K897">
        <v>4.3</v>
      </c>
      <c r="L897">
        <v>3</v>
      </c>
      <c r="M897">
        <v>0.39999999999999991</v>
      </c>
      <c r="N897">
        <v>0.39999999999999991</v>
      </c>
      <c r="O897">
        <v>-0.89999999999999991</v>
      </c>
      <c r="P897">
        <v>0.89999999999999991</v>
      </c>
      <c r="Q897">
        <v>0.80999999999999983</v>
      </c>
      <c r="R897">
        <v>0</v>
      </c>
      <c r="S897">
        <v>0</v>
      </c>
      <c r="T897" t="s">
        <v>154</v>
      </c>
      <c r="U897">
        <v>8.5</v>
      </c>
      <c r="V897">
        <v>5.5</v>
      </c>
      <c r="W897" t="s">
        <v>2496</v>
      </c>
      <c r="X897" t="s">
        <v>69</v>
      </c>
    </row>
    <row r="898" spans="1:24">
      <c r="A898" t="s">
        <v>212</v>
      </c>
      <c r="B898" t="s">
        <v>70</v>
      </c>
      <c r="C898" s="36">
        <v>45064</v>
      </c>
      <c r="D898" t="s">
        <v>355</v>
      </c>
      <c r="E898" s="36">
        <v>45382</v>
      </c>
      <c r="F898" t="s">
        <v>84</v>
      </c>
      <c r="G898" s="36">
        <v>45372</v>
      </c>
      <c r="H898">
        <v>7</v>
      </c>
      <c r="I898" t="s">
        <v>2502</v>
      </c>
      <c r="J898">
        <v>3.4</v>
      </c>
      <c r="K898">
        <v>4.3</v>
      </c>
      <c r="L898">
        <v>3</v>
      </c>
      <c r="M898">
        <v>0.39999999999999991</v>
      </c>
      <c r="N898">
        <v>0.39999999999999991</v>
      </c>
      <c r="O898">
        <v>-0.89999999999999991</v>
      </c>
      <c r="P898">
        <v>0.89999999999999991</v>
      </c>
      <c r="Q898">
        <v>0.80999999999999983</v>
      </c>
      <c r="R898">
        <v>0</v>
      </c>
      <c r="S898">
        <v>0</v>
      </c>
      <c r="T898" t="s">
        <v>157</v>
      </c>
      <c r="U898">
        <v>7</v>
      </c>
      <c r="V898">
        <v>4</v>
      </c>
      <c r="W898" t="s">
        <v>2496</v>
      </c>
      <c r="X898" t="s">
        <v>71</v>
      </c>
    </row>
    <row r="899" spans="1:24">
      <c r="A899" t="s">
        <v>212</v>
      </c>
      <c r="B899" t="s">
        <v>72</v>
      </c>
      <c r="C899" s="36">
        <v>45099</v>
      </c>
      <c r="D899" t="s">
        <v>355</v>
      </c>
      <c r="E899" s="36">
        <v>45382</v>
      </c>
      <c r="F899" t="s">
        <v>84</v>
      </c>
      <c r="G899" s="36">
        <v>45372</v>
      </c>
      <c r="H899">
        <v>6</v>
      </c>
      <c r="I899" t="s">
        <v>2503</v>
      </c>
      <c r="J899">
        <v>3.3</v>
      </c>
      <c r="K899">
        <v>4.3</v>
      </c>
      <c r="L899">
        <v>3</v>
      </c>
      <c r="M899">
        <v>0.29999999999999982</v>
      </c>
      <c r="N899">
        <v>0.29999999999999982</v>
      </c>
      <c r="O899">
        <v>-1</v>
      </c>
      <c r="P899">
        <v>1</v>
      </c>
      <c r="Q899">
        <v>1</v>
      </c>
      <c r="R899">
        <v>-0.10000000000000009</v>
      </c>
      <c r="S899">
        <v>0.10000000000000009</v>
      </c>
      <c r="T899" t="s">
        <v>157</v>
      </c>
      <c r="U899">
        <v>6.9</v>
      </c>
      <c r="V899">
        <v>3.9000000000000004</v>
      </c>
      <c r="W899" t="s">
        <v>2496</v>
      </c>
      <c r="X899" t="s">
        <v>73</v>
      </c>
    </row>
    <row r="900" spans="1:24">
      <c r="A900" t="s">
        <v>212</v>
      </c>
      <c r="B900" t="s">
        <v>74</v>
      </c>
      <c r="C900" s="36">
        <v>45148</v>
      </c>
      <c r="D900" t="s">
        <v>355</v>
      </c>
      <c r="E900" s="36">
        <v>45382</v>
      </c>
      <c r="F900" t="s">
        <v>84</v>
      </c>
      <c r="G900" s="36">
        <v>45372</v>
      </c>
      <c r="H900">
        <v>5</v>
      </c>
      <c r="I900" t="s">
        <v>2500</v>
      </c>
      <c r="J900">
        <v>3.2</v>
      </c>
      <c r="K900">
        <v>4.3</v>
      </c>
      <c r="L900">
        <v>3</v>
      </c>
      <c r="M900">
        <v>0.20000000000000018</v>
      </c>
      <c r="N900">
        <v>0.20000000000000018</v>
      </c>
      <c r="O900">
        <v>-1.0999999999999996</v>
      </c>
      <c r="P900">
        <v>1.0999999999999996</v>
      </c>
      <c r="Q900">
        <v>1.2099999999999993</v>
      </c>
      <c r="R900">
        <v>-9.9999999999999645E-2</v>
      </c>
      <c r="S900">
        <v>9.9999999999999645E-2</v>
      </c>
      <c r="T900" t="s">
        <v>160</v>
      </c>
      <c r="U900">
        <v>5.0999999999999996</v>
      </c>
      <c r="V900">
        <v>2.0999999999999996</v>
      </c>
      <c r="W900" t="s">
        <v>2496</v>
      </c>
      <c r="X900" t="s">
        <v>75</v>
      </c>
    </row>
    <row r="901" spans="1:24">
      <c r="A901" t="s">
        <v>212</v>
      </c>
      <c r="B901" t="s">
        <v>76</v>
      </c>
      <c r="C901" s="36">
        <v>45197</v>
      </c>
      <c r="D901" t="s">
        <v>355</v>
      </c>
      <c r="E901" s="36">
        <v>45382</v>
      </c>
      <c r="F901" t="s">
        <v>84</v>
      </c>
      <c r="G901" s="36">
        <v>45372</v>
      </c>
      <c r="H901">
        <v>4</v>
      </c>
      <c r="I901" t="s">
        <v>2501</v>
      </c>
      <c r="J901">
        <v>3.5</v>
      </c>
      <c r="K901">
        <v>4.3</v>
      </c>
      <c r="L901">
        <v>3</v>
      </c>
      <c r="M901">
        <v>0.5</v>
      </c>
      <c r="N901">
        <v>0.5</v>
      </c>
      <c r="O901">
        <v>-0.79999999999999982</v>
      </c>
      <c r="P901">
        <v>0.79999999999999982</v>
      </c>
      <c r="Q901">
        <v>0.63999999999999968</v>
      </c>
      <c r="R901">
        <v>0.29999999999999982</v>
      </c>
      <c r="S901">
        <v>0.29999999999999982</v>
      </c>
      <c r="T901" t="s">
        <v>160</v>
      </c>
      <c r="U901">
        <v>5.2</v>
      </c>
      <c r="V901">
        <v>2.2000000000000002</v>
      </c>
      <c r="W901" t="s">
        <v>2496</v>
      </c>
      <c r="X901" t="s">
        <v>77</v>
      </c>
    </row>
    <row r="902" spans="1:24">
      <c r="A902" t="s">
        <v>212</v>
      </c>
      <c r="B902" t="s">
        <v>78</v>
      </c>
      <c r="C902" s="36">
        <v>45239</v>
      </c>
      <c r="D902" t="s">
        <v>355</v>
      </c>
      <c r="E902" s="36">
        <v>45382</v>
      </c>
      <c r="F902" t="s">
        <v>84</v>
      </c>
      <c r="G902" s="36">
        <v>45372</v>
      </c>
      <c r="H902">
        <v>3</v>
      </c>
      <c r="I902" t="s">
        <v>2498</v>
      </c>
      <c r="J902">
        <v>3.5</v>
      </c>
      <c r="K902">
        <v>4.3</v>
      </c>
      <c r="L902">
        <v>3</v>
      </c>
      <c r="M902">
        <v>0.5</v>
      </c>
      <c r="N902">
        <v>0.5</v>
      </c>
      <c r="O902">
        <v>-0.79999999999999982</v>
      </c>
      <c r="P902">
        <v>0.79999999999999982</v>
      </c>
      <c r="Q902">
        <v>0.63999999999999968</v>
      </c>
      <c r="R902">
        <v>0</v>
      </c>
      <c r="S902">
        <v>0</v>
      </c>
      <c r="T902" t="s">
        <v>183</v>
      </c>
      <c r="U902">
        <v>4.5999999999999996</v>
      </c>
      <c r="V902">
        <v>1.5999999999999996</v>
      </c>
      <c r="W902" t="s">
        <v>2496</v>
      </c>
      <c r="X902" t="s">
        <v>79</v>
      </c>
    </row>
    <row r="903" spans="1:24">
      <c r="A903" t="s">
        <v>212</v>
      </c>
      <c r="B903" t="s">
        <v>80</v>
      </c>
      <c r="C903" s="36">
        <v>45274</v>
      </c>
      <c r="D903" t="s">
        <v>355</v>
      </c>
      <c r="E903" s="36">
        <v>45382</v>
      </c>
      <c r="F903" t="s">
        <v>84</v>
      </c>
      <c r="G903" s="36">
        <v>45372</v>
      </c>
      <c r="H903">
        <v>2</v>
      </c>
      <c r="I903" t="s">
        <v>2499</v>
      </c>
      <c r="J903">
        <v>4.2</v>
      </c>
      <c r="K903">
        <v>4.3</v>
      </c>
      <c r="L903">
        <v>3</v>
      </c>
      <c r="M903">
        <v>1.2000000000000002</v>
      </c>
      <c r="N903">
        <v>1.2000000000000002</v>
      </c>
      <c r="O903">
        <v>-9.9999999999999645E-2</v>
      </c>
      <c r="P903">
        <v>9.9999999999999645E-2</v>
      </c>
      <c r="Q903">
        <v>9.9999999999999291E-3</v>
      </c>
      <c r="R903">
        <v>0.70000000000000018</v>
      </c>
      <c r="S903">
        <v>0.70000000000000018</v>
      </c>
      <c r="T903" t="s">
        <v>183</v>
      </c>
      <c r="U903">
        <v>4.5999999999999996</v>
      </c>
      <c r="V903">
        <v>1.5999999999999996</v>
      </c>
      <c r="W903" t="s">
        <v>2496</v>
      </c>
      <c r="X903" t="s">
        <v>81</v>
      </c>
    </row>
    <row r="904" spans="1:24">
      <c r="A904" t="s">
        <v>212</v>
      </c>
      <c r="B904" t="s">
        <v>82</v>
      </c>
      <c r="C904" s="36">
        <v>45330</v>
      </c>
      <c r="D904" t="s">
        <v>355</v>
      </c>
      <c r="E904" s="36">
        <v>45382</v>
      </c>
      <c r="F904" t="s">
        <v>84</v>
      </c>
      <c r="G904" s="36">
        <v>45372</v>
      </c>
      <c r="H904">
        <v>1</v>
      </c>
      <c r="I904" t="s">
        <v>2495</v>
      </c>
      <c r="J904">
        <v>4.0999999999999996</v>
      </c>
      <c r="K904">
        <v>4.3</v>
      </c>
      <c r="L904">
        <v>3</v>
      </c>
      <c r="M904">
        <v>1.0999999999999996</v>
      </c>
      <c r="N904">
        <v>1.0999999999999996</v>
      </c>
      <c r="O904">
        <v>-0.20000000000000018</v>
      </c>
      <c r="P904">
        <v>0.20000000000000018</v>
      </c>
      <c r="Q904">
        <v>4.000000000000007E-2</v>
      </c>
      <c r="R904">
        <v>-0.10000000000000053</v>
      </c>
      <c r="S904">
        <v>0.10000000000000053</v>
      </c>
      <c r="T904" t="s">
        <v>254</v>
      </c>
      <c r="U904">
        <v>4.4000000000000004</v>
      </c>
      <c r="V904">
        <v>1.4000000000000004</v>
      </c>
      <c r="W904" t="s">
        <v>2496</v>
      </c>
      <c r="X904" t="s">
        <v>83</v>
      </c>
    </row>
    <row r="905" spans="1:24">
      <c r="A905" t="s">
        <v>212</v>
      </c>
      <c r="B905" t="s">
        <v>84</v>
      </c>
      <c r="C905" s="36">
        <v>45372</v>
      </c>
      <c r="D905" t="s">
        <v>355</v>
      </c>
      <c r="E905" s="36">
        <v>45382</v>
      </c>
      <c r="F905" t="s">
        <v>84</v>
      </c>
      <c r="G905" s="36">
        <v>45372</v>
      </c>
      <c r="H905">
        <v>0</v>
      </c>
      <c r="I905" t="s">
        <v>2497</v>
      </c>
      <c r="J905">
        <v>4.3</v>
      </c>
      <c r="K905">
        <v>4.3</v>
      </c>
      <c r="L905">
        <v>3</v>
      </c>
      <c r="M905">
        <v>1.2999999999999998</v>
      </c>
      <c r="N905">
        <v>1.2999999999999998</v>
      </c>
      <c r="O905">
        <v>0</v>
      </c>
      <c r="P905">
        <v>0</v>
      </c>
      <c r="Q905">
        <v>0</v>
      </c>
      <c r="R905">
        <v>0.20000000000000018</v>
      </c>
      <c r="S905">
        <v>0.20000000000000018</v>
      </c>
      <c r="T905" t="s">
        <v>254</v>
      </c>
      <c r="U905">
        <v>4.5999999999999996</v>
      </c>
      <c r="V905">
        <v>1.5999999999999996</v>
      </c>
      <c r="W905" t="s">
        <v>2496</v>
      </c>
      <c r="X905" t="s">
        <v>85</v>
      </c>
    </row>
    <row r="906" spans="1:24">
      <c r="A906" t="s">
        <v>212</v>
      </c>
      <c r="B906" t="s">
        <v>56</v>
      </c>
      <c r="C906" s="36">
        <v>44735</v>
      </c>
      <c r="D906" t="s">
        <v>460</v>
      </c>
      <c r="E906" s="36">
        <v>45473</v>
      </c>
      <c r="F906" t="s">
        <v>88</v>
      </c>
      <c r="G906" s="36">
        <v>45470</v>
      </c>
      <c r="H906">
        <v>16</v>
      </c>
      <c r="I906" t="s">
        <v>2512</v>
      </c>
      <c r="J906">
        <v>2.7</v>
      </c>
      <c r="K906">
        <v>3.5</v>
      </c>
      <c r="L906">
        <v>3</v>
      </c>
      <c r="M906">
        <v>-0.29999999999999982</v>
      </c>
      <c r="N906">
        <v>0.29999999999999982</v>
      </c>
      <c r="O906">
        <v>-0.79999999999999982</v>
      </c>
      <c r="P906">
        <v>0.79999999999999982</v>
      </c>
      <c r="Q906">
        <v>0.63999999999999968</v>
      </c>
      <c r="T906" t="s">
        <v>145</v>
      </c>
      <c r="U906">
        <v>8</v>
      </c>
      <c r="V906">
        <v>5</v>
      </c>
      <c r="W906" t="s">
        <v>2513</v>
      </c>
      <c r="X906" t="s">
        <v>57</v>
      </c>
    </row>
    <row r="907" spans="1:24">
      <c r="A907" t="s">
        <v>212</v>
      </c>
      <c r="B907" t="s">
        <v>58</v>
      </c>
      <c r="C907" s="36">
        <v>44784</v>
      </c>
      <c r="D907" t="s">
        <v>460</v>
      </c>
      <c r="E907" s="36">
        <v>45473</v>
      </c>
      <c r="F907" t="s">
        <v>88</v>
      </c>
      <c r="G907" s="36">
        <v>45470</v>
      </c>
      <c r="H907">
        <v>15</v>
      </c>
      <c r="I907" t="s">
        <v>2510</v>
      </c>
      <c r="J907">
        <v>2.8</v>
      </c>
      <c r="K907">
        <v>3.5</v>
      </c>
      <c r="L907">
        <v>3</v>
      </c>
      <c r="M907">
        <v>-0.20000000000000018</v>
      </c>
      <c r="N907">
        <v>0.20000000000000018</v>
      </c>
      <c r="O907">
        <v>-0.70000000000000018</v>
      </c>
      <c r="P907">
        <v>0.70000000000000018</v>
      </c>
      <c r="Q907">
        <v>0.49000000000000027</v>
      </c>
      <c r="R907">
        <v>9.9999999999999645E-2</v>
      </c>
      <c r="S907">
        <v>9.9999999999999645E-2</v>
      </c>
      <c r="T907" t="s">
        <v>148</v>
      </c>
      <c r="U907">
        <v>8.5</v>
      </c>
      <c r="V907">
        <v>5.5</v>
      </c>
      <c r="W907" t="s">
        <v>2513</v>
      </c>
      <c r="X907" t="s">
        <v>59</v>
      </c>
    </row>
    <row r="908" spans="1:24">
      <c r="A908" t="s">
        <v>212</v>
      </c>
      <c r="B908" t="s">
        <v>60</v>
      </c>
      <c r="C908" s="36">
        <v>44833</v>
      </c>
      <c r="D908" t="s">
        <v>460</v>
      </c>
      <c r="E908" s="36">
        <v>45473</v>
      </c>
      <c r="F908" t="s">
        <v>88</v>
      </c>
      <c r="G908" s="36">
        <v>45470</v>
      </c>
      <c r="H908">
        <v>14</v>
      </c>
      <c r="I908" t="s">
        <v>2511</v>
      </c>
      <c r="J908">
        <v>2.8</v>
      </c>
      <c r="K908">
        <v>3.5</v>
      </c>
      <c r="L908">
        <v>3</v>
      </c>
      <c r="M908">
        <v>-0.20000000000000018</v>
      </c>
      <c r="N908">
        <v>0.20000000000000018</v>
      </c>
      <c r="O908">
        <v>-0.70000000000000018</v>
      </c>
      <c r="P908">
        <v>0.70000000000000018</v>
      </c>
      <c r="Q908">
        <v>0.49000000000000027</v>
      </c>
      <c r="R908">
        <v>0</v>
      </c>
      <c r="S908">
        <v>0</v>
      </c>
      <c r="T908" t="s">
        <v>148</v>
      </c>
      <c r="U908">
        <v>8.6999999999999993</v>
      </c>
      <c r="V908">
        <v>5.6999999999999993</v>
      </c>
      <c r="W908" t="s">
        <v>2513</v>
      </c>
      <c r="X908" t="s">
        <v>61</v>
      </c>
    </row>
    <row r="909" spans="1:24">
      <c r="A909" t="s">
        <v>212</v>
      </c>
      <c r="B909" t="s">
        <v>62</v>
      </c>
      <c r="C909" s="36">
        <v>44875</v>
      </c>
      <c r="D909" t="s">
        <v>460</v>
      </c>
      <c r="E909" s="36">
        <v>45473</v>
      </c>
      <c r="F909" t="s">
        <v>88</v>
      </c>
      <c r="G909" s="36">
        <v>45470</v>
      </c>
      <c r="H909">
        <v>13</v>
      </c>
      <c r="I909" t="s">
        <v>2508</v>
      </c>
      <c r="J909">
        <v>2.9</v>
      </c>
      <c r="K909">
        <v>3.5</v>
      </c>
      <c r="L909">
        <v>3</v>
      </c>
      <c r="M909">
        <v>-0.10000000000000009</v>
      </c>
      <c r="N909">
        <v>0.10000000000000009</v>
      </c>
      <c r="O909">
        <v>-0.60000000000000009</v>
      </c>
      <c r="P909">
        <v>0.60000000000000009</v>
      </c>
      <c r="Q909">
        <v>0.3600000000000001</v>
      </c>
      <c r="R909">
        <v>0.10000000000000009</v>
      </c>
      <c r="S909">
        <v>0.10000000000000009</v>
      </c>
      <c r="T909" t="s">
        <v>151</v>
      </c>
      <c r="U909">
        <v>8.5</v>
      </c>
      <c r="V909">
        <v>5.5</v>
      </c>
      <c r="W909" t="s">
        <v>2513</v>
      </c>
      <c r="X909" t="s">
        <v>63</v>
      </c>
    </row>
    <row r="910" spans="1:24">
      <c r="A910" t="s">
        <v>212</v>
      </c>
      <c r="B910" t="s">
        <v>64</v>
      </c>
      <c r="C910" s="36">
        <v>44910</v>
      </c>
      <c r="D910" t="s">
        <v>460</v>
      </c>
      <c r="E910" s="36">
        <v>45473</v>
      </c>
      <c r="F910" t="s">
        <v>88</v>
      </c>
      <c r="G910" s="36">
        <v>45470</v>
      </c>
      <c r="H910">
        <v>12</v>
      </c>
      <c r="I910" t="s">
        <v>2509</v>
      </c>
      <c r="J910">
        <v>2.9</v>
      </c>
      <c r="K910">
        <v>3.5</v>
      </c>
      <c r="L910">
        <v>3</v>
      </c>
      <c r="M910">
        <v>-0.10000000000000009</v>
      </c>
      <c r="N910">
        <v>0.10000000000000009</v>
      </c>
      <c r="O910">
        <v>-0.60000000000000009</v>
      </c>
      <c r="P910">
        <v>0.60000000000000009</v>
      </c>
      <c r="Q910">
        <v>0.3600000000000001</v>
      </c>
      <c r="R910">
        <v>0</v>
      </c>
      <c r="S910">
        <v>0</v>
      </c>
      <c r="T910" t="s">
        <v>151</v>
      </c>
      <c r="U910">
        <v>8.6</v>
      </c>
      <c r="V910">
        <v>5.6</v>
      </c>
      <c r="W910" t="s">
        <v>2513</v>
      </c>
      <c r="X910" t="s">
        <v>65</v>
      </c>
    </row>
    <row r="911" spans="1:24">
      <c r="A911" t="s">
        <v>212</v>
      </c>
      <c r="B911" t="s">
        <v>66</v>
      </c>
      <c r="C911" s="36">
        <v>44966</v>
      </c>
      <c r="D911" t="s">
        <v>460</v>
      </c>
      <c r="E911" s="36">
        <v>45473</v>
      </c>
      <c r="F911" t="s">
        <v>88</v>
      </c>
      <c r="G911" s="36">
        <v>45470</v>
      </c>
      <c r="H911">
        <v>11</v>
      </c>
      <c r="I911" t="s">
        <v>2506</v>
      </c>
      <c r="J911">
        <v>3</v>
      </c>
      <c r="K911">
        <v>3.5</v>
      </c>
      <c r="L911">
        <v>3</v>
      </c>
      <c r="M911">
        <v>0</v>
      </c>
      <c r="N911">
        <v>0</v>
      </c>
      <c r="O911">
        <v>-0.5</v>
      </c>
      <c r="P911">
        <v>0.5</v>
      </c>
      <c r="Q911">
        <v>0.25</v>
      </c>
      <c r="R911">
        <v>0.10000000000000009</v>
      </c>
      <c r="S911">
        <v>0.10000000000000009</v>
      </c>
      <c r="T911" t="s">
        <v>154</v>
      </c>
      <c r="U911">
        <v>8.4</v>
      </c>
      <c r="V911">
        <v>5.4</v>
      </c>
      <c r="W911" t="s">
        <v>2513</v>
      </c>
      <c r="X911" t="s">
        <v>67</v>
      </c>
    </row>
    <row r="912" spans="1:24">
      <c r="A912" t="s">
        <v>212</v>
      </c>
      <c r="B912" t="s">
        <v>68</v>
      </c>
      <c r="C912" s="36">
        <v>45015</v>
      </c>
      <c r="D912" t="s">
        <v>460</v>
      </c>
      <c r="E912" s="36">
        <v>45473</v>
      </c>
      <c r="F912" t="s">
        <v>88</v>
      </c>
      <c r="G912" s="36">
        <v>45470</v>
      </c>
      <c r="H912">
        <v>10</v>
      </c>
      <c r="I912" t="s">
        <v>2507</v>
      </c>
      <c r="J912">
        <v>3</v>
      </c>
      <c r="K912">
        <v>3.5</v>
      </c>
      <c r="L912">
        <v>3</v>
      </c>
      <c r="M912">
        <v>0</v>
      </c>
      <c r="N912">
        <v>0</v>
      </c>
      <c r="O912">
        <v>-0.5</v>
      </c>
      <c r="P912">
        <v>0.5</v>
      </c>
      <c r="Q912">
        <v>0.25</v>
      </c>
      <c r="R912">
        <v>0</v>
      </c>
      <c r="S912">
        <v>0</v>
      </c>
      <c r="T912" t="s">
        <v>154</v>
      </c>
      <c r="U912">
        <v>8.5</v>
      </c>
      <c r="V912">
        <v>5.5</v>
      </c>
      <c r="W912" t="s">
        <v>2513</v>
      </c>
      <c r="X912" t="s">
        <v>69</v>
      </c>
    </row>
    <row r="913" spans="1:24">
      <c r="A913" t="s">
        <v>212</v>
      </c>
      <c r="B913" t="s">
        <v>70</v>
      </c>
      <c r="C913" s="36">
        <v>45064</v>
      </c>
      <c r="D913" t="s">
        <v>460</v>
      </c>
      <c r="E913" s="36">
        <v>45473</v>
      </c>
      <c r="F913" t="s">
        <v>88</v>
      </c>
      <c r="G913" s="36">
        <v>45470</v>
      </c>
      <c r="H913">
        <v>9</v>
      </c>
      <c r="I913" t="s">
        <v>2504</v>
      </c>
      <c r="J913">
        <v>3</v>
      </c>
      <c r="K913">
        <v>3.5</v>
      </c>
      <c r="L913">
        <v>3</v>
      </c>
      <c r="M913">
        <v>0</v>
      </c>
      <c r="N913">
        <v>0</v>
      </c>
      <c r="O913">
        <v>-0.5</v>
      </c>
      <c r="P913">
        <v>0.5</v>
      </c>
      <c r="Q913">
        <v>0.25</v>
      </c>
      <c r="R913">
        <v>0</v>
      </c>
      <c r="S913">
        <v>0</v>
      </c>
      <c r="T913" t="s">
        <v>157</v>
      </c>
      <c r="U913">
        <v>7</v>
      </c>
      <c r="V913">
        <v>4</v>
      </c>
      <c r="W913" t="s">
        <v>2513</v>
      </c>
      <c r="X913" t="s">
        <v>71</v>
      </c>
    </row>
    <row r="914" spans="1:24">
      <c r="A914" t="s">
        <v>212</v>
      </c>
      <c r="B914" t="s">
        <v>72</v>
      </c>
      <c r="C914" s="36">
        <v>45099</v>
      </c>
      <c r="D914" t="s">
        <v>460</v>
      </c>
      <c r="E914" s="36">
        <v>45473</v>
      </c>
      <c r="F914" t="s">
        <v>88</v>
      </c>
      <c r="G914" s="36">
        <v>45470</v>
      </c>
      <c r="H914">
        <v>8</v>
      </c>
      <c r="I914" t="s">
        <v>2505</v>
      </c>
      <c r="J914">
        <v>2.8</v>
      </c>
      <c r="K914">
        <v>3.5</v>
      </c>
      <c r="L914">
        <v>3</v>
      </c>
      <c r="M914">
        <v>-0.20000000000000018</v>
      </c>
      <c r="N914">
        <v>0.20000000000000018</v>
      </c>
      <c r="O914">
        <v>-0.70000000000000018</v>
      </c>
      <c r="P914">
        <v>0.70000000000000018</v>
      </c>
      <c r="Q914">
        <v>0.49000000000000027</v>
      </c>
      <c r="R914">
        <v>-0.20000000000000018</v>
      </c>
      <c r="S914">
        <v>0.20000000000000018</v>
      </c>
      <c r="T914" t="s">
        <v>157</v>
      </c>
      <c r="U914">
        <v>6.9</v>
      </c>
      <c r="V914">
        <v>3.9000000000000004</v>
      </c>
      <c r="W914" t="s">
        <v>2513</v>
      </c>
      <c r="X914" t="s">
        <v>73</v>
      </c>
    </row>
    <row r="915" spans="1:24">
      <c r="A915" t="s">
        <v>212</v>
      </c>
      <c r="B915" t="s">
        <v>74</v>
      </c>
      <c r="C915" s="36">
        <v>45148</v>
      </c>
      <c r="D915" t="s">
        <v>460</v>
      </c>
      <c r="E915" s="36">
        <v>45473</v>
      </c>
      <c r="F915" t="s">
        <v>88</v>
      </c>
      <c r="G915" s="36">
        <v>45470</v>
      </c>
      <c r="H915">
        <v>7</v>
      </c>
      <c r="I915" t="s">
        <v>2502</v>
      </c>
      <c r="J915">
        <v>2.8</v>
      </c>
      <c r="K915">
        <v>3.5</v>
      </c>
      <c r="L915">
        <v>3</v>
      </c>
      <c r="M915">
        <v>-0.20000000000000018</v>
      </c>
      <c r="N915">
        <v>0.20000000000000018</v>
      </c>
      <c r="O915">
        <v>-0.70000000000000018</v>
      </c>
      <c r="P915">
        <v>0.70000000000000018</v>
      </c>
      <c r="Q915">
        <v>0.49000000000000027</v>
      </c>
      <c r="R915">
        <v>0</v>
      </c>
      <c r="S915">
        <v>0</v>
      </c>
      <c r="T915" t="s">
        <v>160</v>
      </c>
      <c r="U915">
        <v>5.0999999999999996</v>
      </c>
      <c r="V915">
        <v>2.0999999999999996</v>
      </c>
      <c r="W915" t="s">
        <v>2513</v>
      </c>
      <c r="X915" t="s">
        <v>75</v>
      </c>
    </row>
    <row r="916" spans="1:24">
      <c r="A916" t="s">
        <v>212</v>
      </c>
      <c r="B916" t="s">
        <v>76</v>
      </c>
      <c r="C916" s="36">
        <v>45197</v>
      </c>
      <c r="D916" t="s">
        <v>460</v>
      </c>
      <c r="E916" s="36">
        <v>45473</v>
      </c>
      <c r="F916" t="s">
        <v>88</v>
      </c>
      <c r="G916" s="36">
        <v>45470</v>
      </c>
      <c r="H916">
        <v>6</v>
      </c>
      <c r="I916" t="s">
        <v>2503</v>
      </c>
      <c r="J916">
        <v>3.1</v>
      </c>
      <c r="K916">
        <v>3.5</v>
      </c>
      <c r="L916">
        <v>3</v>
      </c>
      <c r="M916">
        <v>0.10000000000000009</v>
      </c>
      <c r="N916">
        <v>0.10000000000000009</v>
      </c>
      <c r="O916">
        <v>-0.39999999999999991</v>
      </c>
      <c r="P916">
        <v>0.39999999999999991</v>
      </c>
      <c r="Q916">
        <v>0.15999999999999992</v>
      </c>
      <c r="R916">
        <v>0.30000000000000027</v>
      </c>
      <c r="S916">
        <v>0.30000000000000027</v>
      </c>
      <c r="T916" t="s">
        <v>160</v>
      </c>
      <c r="U916">
        <v>5.2</v>
      </c>
      <c r="V916">
        <v>2.2000000000000002</v>
      </c>
      <c r="W916" t="s">
        <v>2513</v>
      </c>
      <c r="X916" t="s">
        <v>77</v>
      </c>
    </row>
    <row r="917" spans="1:24">
      <c r="A917" t="s">
        <v>212</v>
      </c>
      <c r="B917" t="s">
        <v>78</v>
      </c>
      <c r="C917" s="36">
        <v>45239</v>
      </c>
      <c r="D917" t="s">
        <v>460</v>
      </c>
      <c r="E917" s="36">
        <v>45473</v>
      </c>
      <c r="F917" t="s">
        <v>88</v>
      </c>
      <c r="G917" s="36">
        <v>45470</v>
      </c>
      <c r="H917">
        <v>5</v>
      </c>
      <c r="I917" t="s">
        <v>2500</v>
      </c>
      <c r="J917">
        <v>3</v>
      </c>
      <c r="K917">
        <v>3.5</v>
      </c>
      <c r="L917">
        <v>3</v>
      </c>
      <c r="M917">
        <v>0</v>
      </c>
      <c r="N917">
        <v>0</v>
      </c>
      <c r="O917">
        <v>-0.5</v>
      </c>
      <c r="P917">
        <v>0.5</v>
      </c>
      <c r="Q917">
        <v>0.25</v>
      </c>
      <c r="R917">
        <v>-0.10000000000000009</v>
      </c>
      <c r="S917">
        <v>0.10000000000000009</v>
      </c>
      <c r="T917" t="s">
        <v>183</v>
      </c>
      <c r="U917">
        <v>4.5999999999999996</v>
      </c>
      <c r="V917">
        <v>1.5999999999999996</v>
      </c>
      <c r="W917" t="s">
        <v>2513</v>
      </c>
      <c r="X917" t="s">
        <v>79</v>
      </c>
    </row>
    <row r="918" spans="1:24">
      <c r="A918" t="s">
        <v>212</v>
      </c>
      <c r="B918" t="s">
        <v>80</v>
      </c>
      <c r="C918" s="36">
        <v>45274</v>
      </c>
      <c r="D918" t="s">
        <v>460</v>
      </c>
      <c r="E918" s="36">
        <v>45473</v>
      </c>
      <c r="F918" t="s">
        <v>88</v>
      </c>
      <c r="G918" s="36">
        <v>45470</v>
      </c>
      <c r="H918">
        <v>4</v>
      </c>
      <c r="I918" t="s">
        <v>2501</v>
      </c>
      <c r="J918">
        <v>3.1</v>
      </c>
      <c r="K918">
        <v>3.5</v>
      </c>
      <c r="L918">
        <v>3</v>
      </c>
      <c r="M918">
        <v>0.10000000000000009</v>
      </c>
      <c r="N918">
        <v>0.10000000000000009</v>
      </c>
      <c r="O918">
        <v>-0.39999999999999991</v>
      </c>
      <c r="P918">
        <v>0.39999999999999991</v>
      </c>
      <c r="Q918">
        <v>0.15999999999999992</v>
      </c>
      <c r="R918">
        <v>0.10000000000000009</v>
      </c>
      <c r="S918">
        <v>0.10000000000000009</v>
      </c>
      <c r="T918" t="s">
        <v>183</v>
      </c>
      <c r="U918">
        <v>4.5999999999999996</v>
      </c>
      <c r="V918">
        <v>1.5999999999999996</v>
      </c>
      <c r="W918" t="s">
        <v>2513</v>
      </c>
      <c r="X918" t="s">
        <v>81</v>
      </c>
    </row>
    <row r="919" spans="1:24">
      <c r="A919" t="s">
        <v>212</v>
      </c>
      <c r="B919" t="s">
        <v>82</v>
      </c>
      <c r="C919" s="36">
        <v>45330</v>
      </c>
      <c r="D919" t="s">
        <v>460</v>
      </c>
      <c r="E919" s="36">
        <v>45473</v>
      </c>
      <c r="F919" t="s">
        <v>88</v>
      </c>
      <c r="G919" s="36">
        <v>45470</v>
      </c>
      <c r="H919">
        <v>3</v>
      </c>
      <c r="I919" t="s">
        <v>2498</v>
      </c>
      <c r="J919">
        <v>3.4</v>
      </c>
      <c r="K919">
        <v>3.5</v>
      </c>
      <c r="L919">
        <v>3</v>
      </c>
      <c r="M919">
        <v>0.39999999999999991</v>
      </c>
      <c r="N919">
        <v>0.39999999999999991</v>
      </c>
      <c r="O919">
        <v>-0.10000000000000009</v>
      </c>
      <c r="P919">
        <v>0.10000000000000009</v>
      </c>
      <c r="Q919">
        <v>1.0000000000000018E-2</v>
      </c>
      <c r="R919">
        <v>0.29999999999999982</v>
      </c>
      <c r="S919">
        <v>0.29999999999999982</v>
      </c>
      <c r="T919" t="s">
        <v>254</v>
      </c>
      <c r="U919">
        <v>4.4000000000000004</v>
      </c>
      <c r="V919">
        <v>1.4000000000000004</v>
      </c>
      <c r="W919" t="s">
        <v>2513</v>
      </c>
      <c r="X919" t="s">
        <v>83</v>
      </c>
    </row>
    <row r="920" spans="1:24">
      <c r="A920" t="s">
        <v>212</v>
      </c>
      <c r="B920" t="s">
        <v>84</v>
      </c>
      <c r="C920" s="36">
        <v>45372</v>
      </c>
      <c r="D920" t="s">
        <v>460</v>
      </c>
      <c r="E920" s="36">
        <v>45473</v>
      </c>
      <c r="F920" t="s">
        <v>88</v>
      </c>
      <c r="G920" s="36">
        <v>45470</v>
      </c>
      <c r="H920">
        <v>2</v>
      </c>
      <c r="I920" t="s">
        <v>2499</v>
      </c>
      <c r="J920">
        <v>3.5</v>
      </c>
      <c r="K920">
        <v>3.5</v>
      </c>
      <c r="L920">
        <v>3</v>
      </c>
      <c r="M920">
        <v>0.5</v>
      </c>
      <c r="N920">
        <v>0.5</v>
      </c>
      <c r="O920">
        <v>0</v>
      </c>
      <c r="P920">
        <v>0</v>
      </c>
      <c r="Q920">
        <v>0</v>
      </c>
      <c r="R920">
        <v>0.10000000000000009</v>
      </c>
      <c r="S920">
        <v>0.10000000000000009</v>
      </c>
      <c r="T920" t="s">
        <v>254</v>
      </c>
      <c r="U920">
        <v>4.5999999999999996</v>
      </c>
      <c r="V920">
        <v>1.5999999999999996</v>
      </c>
      <c r="W920" t="s">
        <v>2513</v>
      </c>
      <c r="X920" t="s">
        <v>85</v>
      </c>
    </row>
    <row r="921" spans="1:24">
      <c r="A921" t="s">
        <v>212</v>
      </c>
      <c r="B921" t="s">
        <v>86</v>
      </c>
      <c r="C921" s="36">
        <v>45421</v>
      </c>
      <c r="D921" t="s">
        <v>460</v>
      </c>
      <c r="E921" s="36">
        <v>45473</v>
      </c>
      <c r="F921" t="s">
        <v>88</v>
      </c>
      <c r="G921" s="36">
        <v>45470</v>
      </c>
      <c r="H921">
        <v>1</v>
      </c>
      <c r="I921" t="s">
        <v>2495</v>
      </c>
      <c r="J921">
        <v>3.8</v>
      </c>
      <c r="K921">
        <v>3.5</v>
      </c>
      <c r="L921">
        <v>3</v>
      </c>
      <c r="M921">
        <v>0.79999999999999982</v>
      </c>
      <c r="N921">
        <v>0.79999999999999982</v>
      </c>
      <c r="O921">
        <v>0.29999999999999982</v>
      </c>
      <c r="P921">
        <v>0.29999999999999982</v>
      </c>
      <c r="Q921">
        <v>8.99999999999999E-2</v>
      </c>
      <c r="R921">
        <v>0.29999999999999982</v>
      </c>
      <c r="S921">
        <v>0.29999999999999982</v>
      </c>
      <c r="T921" t="s">
        <v>355</v>
      </c>
      <c r="U921">
        <v>4.3</v>
      </c>
      <c r="V921">
        <v>1.2999999999999998</v>
      </c>
      <c r="W921" t="s">
        <v>2513</v>
      </c>
      <c r="X921" t="s">
        <v>87</v>
      </c>
    </row>
    <row r="922" spans="1:24">
      <c r="A922" t="s">
        <v>212</v>
      </c>
      <c r="B922" t="s">
        <v>88</v>
      </c>
      <c r="C922" s="36">
        <v>45470</v>
      </c>
      <c r="D922" t="s">
        <v>460</v>
      </c>
      <c r="E922" s="36">
        <v>45473</v>
      </c>
      <c r="F922" t="s">
        <v>88</v>
      </c>
      <c r="G922" s="36">
        <v>45470</v>
      </c>
      <c r="H922">
        <v>0</v>
      </c>
      <c r="I922" t="s">
        <v>2497</v>
      </c>
      <c r="J922">
        <v>3.9</v>
      </c>
      <c r="K922">
        <v>3.5</v>
      </c>
      <c r="L922">
        <v>3</v>
      </c>
      <c r="M922">
        <v>0.89999999999999991</v>
      </c>
      <c r="N922">
        <v>0.89999999999999991</v>
      </c>
      <c r="O922">
        <v>0.39999999999999991</v>
      </c>
      <c r="P922">
        <v>0.39999999999999991</v>
      </c>
      <c r="Q922">
        <v>0.15999999999999992</v>
      </c>
      <c r="R922">
        <v>0.10000000000000009</v>
      </c>
      <c r="S922">
        <v>0.10000000000000009</v>
      </c>
      <c r="T922" t="s">
        <v>355</v>
      </c>
      <c r="U922">
        <v>4.2</v>
      </c>
      <c r="V922">
        <v>1.2000000000000002</v>
      </c>
      <c r="W922" t="s">
        <v>2513</v>
      </c>
      <c r="X922" t="s">
        <v>89</v>
      </c>
    </row>
    <row r="923" spans="1:24">
      <c r="A923" t="s">
        <v>212</v>
      </c>
      <c r="B923" t="s">
        <v>60</v>
      </c>
      <c r="C923" s="36">
        <v>44833</v>
      </c>
      <c r="D923" t="s">
        <v>565</v>
      </c>
      <c r="E923" s="36">
        <v>45565</v>
      </c>
      <c r="F923" t="s">
        <v>92</v>
      </c>
      <c r="G923" s="36">
        <v>45561</v>
      </c>
      <c r="H923">
        <v>16</v>
      </c>
      <c r="I923" t="s">
        <v>2512</v>
      </c>
      <c r="J923">
        <v>2.7</v>
      </c>
      <c r="K923">
        <v>3.6</v>
      </c>
      <c r="L923">
        <v>3</v>
      </c>
      <c r="M923">
        <v>-0.29999999999999982</v>
      </c>
      <c r="N923">
        <v>0.29999999999999982</v>
      </c>
      <c r="O923">
        <v>-0.89999999999999991</v>
      </c>
      <c r="P923">
        <v>0.89999999999999991</v>
      </c>
      <c r="Q923">
        <v>0.80999999999999983</v>
      </c>
      <c r="T923" t="s">
        <v>148</v>
      </c>
      <c r="U923">
        <v>8.6999999999999993</v>
      </c>
      <c r="V923">
        <v>5.6999999999999993</v>
      </c>
      <c r="W923" t="s">
        <v>2513</v>
      </c>
      <c r="X923" t="s">
        <v>61</v>
      </c>
    </row>
    <row r="924" spans="1:24">
      <c r="A924" t="s">
        <v>212</v>
      </c>
      <c r="B924" t="s">
        <v>62</v>
      </c>
      <c r="C924" s="36">
        <v>44875</v>
      </c>
      <c r="D924" t="s">
        <v>565</v>
      </c>
      <c r="E924" s="36">
        <v>45565</v>
      </c>
      <c r="F924" t="s">
        <v>92</v>
      </c>
      <c r="G924" s="36">
        <v>45561</v>
      </c>
      <c r="H924">
        <v>15</v>
      </c>
      <c r="I924" t="s">
        <v>2510</v>
      </c>
      <c r="J924">
        <v>2.6</v>
      </c>
      <c r="K924">
        <v>3.6</v>
      </c>
      <c r="L924">
        <v>3</v>
      </c>
      <c r="M924">
        <v>-0.39999999999999991</v>
      </c>
      <c r="N924">
        <v>0.39999999999999991</v>
      </c>
      <c r="O924">
        <v>-1</v>
      </c>
      <c r="P924">
        <v>1</v>
      </c>
      <c r="Q924">
        <v>1</v>
      </c>
      <c r="R924">
        <v>-0.10000000000000009</v>
      </c>
      <c r="S924">
        <v>0.10000000000000009</v>
      </c>
      <c r="T924" t="s">
        <v>151</v>
      </c>
      <c r="U924">
        <v>8.5</v>
      </c>
      <c r="V924">
        <v>5.5</v>
      </c>
      <c r="W924" t="s">
        <v>2513</v>
      </c>
      <c r="X924" t="s">
        <v>63</v>
      </c>
    </row>
    <row r="925" spans="1:24">
      <c r="A925" t="s">
        <v>212</v>
      </c>
      <c r="B925" t="s">
        <v>64</v>
      </c>
      <c r="C925" s="36">
        <v>44910</v>
      </c>
      <c r="D925" t="s">
        <v>565</v>
      </c>
      <c r="E925" s="36">
        <v>45565</v>
      </c>
      <c r="F925" t="s">
        <v>92</v>
      </c>
      <c r="G925" s="36">
        <v>45561</v>
      </c>
      <c r="H925">
        <v>14</v>
      </c>
      <c r="I925" t="s">
        <v>2511</v>
      </c>
      <c r="J925">
        <v>2.8</v>
      </c>
      <c r="K925">
        <v>3.6</v>
      </c>
      <c r="L925">
        <v>3</v>
      </c>
      <c r="M925">
        <v>-0.20000000000000018</v>
      </c>
      <c r="N925">
        <v>0.20000000000000018</v>
      </c>
      <c r="O925">
        <v>-0.80000000000000027</v>
      </c>
      <c r="P925">
        <v>0.80000000000000027</v>
      </c>
      <c r="Q925">
        <v>0.64000000000000046</v>
      </c>
      <c r="R925">
        <v>0.19999999999999973</v>
      </c>
      <c r="S925">
        <v>0.19999999999999973</v>
      </c>
      <c r="T925" t="s">
        <v>151</v>
      </c>
      <c r="U925">
        <v>8.6</v>
      </c>
      <c r="V925">
        <v>5.6</v>
      </c>
      <c r="W925" t="s">
        <v>2513</v>
      </c>
      <c r="X925" t="s">
        <v>65</v>
      </c>
    </row>
    <row r="926" spans="1:24">
      <c r="A926" t="s">
        <v>212</v>
      </c>
      <c r="B926" t="s">
        <v>66</v>
      </c>
      <c r="C926" s="36">
        <v>44966</v>
      </c>
      <c r="D926" t="s">
        <v>565</v>
      </c>
      <c r="E926" s="36">
        <v>45565</v>
      </c>
      <c r="F926" t="s">
        <v>92</v>
      </c>
      <c r="G926" s="36">
        <v>45561</v>
      </c>
      <c r="H926">
        <v>13</v>
      </c>
      <c r="I926" t="s">
        <v>2508</v>
      </c>
      <c r="J926">
        <v>2.8</v>
      </c>
      <c r="K926">
        <v>3.6</v>
      </c>
      <c r="L926">
        <v>3</v>
      </c>
      <c r="M926">
        <v>-0.20000000000000018</v>
      </c>
      <c r="N926">
        <v>0.20000000000000018</v>
      </c>
      <c r="O926">
        <v>-0.80000000000000027</v>
      </c>
      <c r="P926">
        <v>0.80000000000000027</v>
      </c>
      <c r="Q926">
        <v>0.64000000000000046</v>
      </c>
      <c r="R926">
        <v>0</v>
      </c>
      <c r="S926">
        <v>0</v>
      </c>
      <c r="T926" t="s">
        <v>154</v>
      </c>
      <c r="U926">
        <v>8.4</v>
      </c>
      <c r="V926">
        <v>5.4</v>
      </c>
      <c r="W926" t="s">
        <v>2513</v>
      </c>
      <c r="X926" t="s">
        <v>67</v>
      </c>
    </row>
    <row r="927" spans="1:24">
      <c r="A927" t="s">
        <v>212</v>
      </c>
      <c r="B927" t="s">
        <v>68</v>
      </c>
      <c r="C927" s="36">
        <v>45015</v>
      </c>
      <c r="D927" t="s">
        <v>565</v>
      </c>
      <c r="E927" s="36">
        <v>45565</v>
      </c>
      <c r="F927" t="s">
        <v>92</v>
      </c>
      <c r="G927" s="36">
        <v>45561</v>
      </c>
      <c r="H927">
        <v>12</v>
      </c>
      <c r="I927" t="s">
        <v>2509</v>
      </c>
      <c r="J927">
        <v>2.8</v>
      </c>
      <c r="K927">
        <v>3.6</v>
      </c>
      <c r="L927">
        <v>3</v>
      </c>
      <c r="M927">
        <v>-0.20000000000000018</v>
      </c>
      <c r="N927">
        <v>0.20000000000000018</v>
      </c>
      <c r="O927">
        <v>-0.80000000000000027</v>
      </c>
      <c r="P927">
        <v>0.80000000000000027</v>
      </c>
      <c r="Q927">
        <v>0.64000000000000046</v>
      </c>
      <c r="R927">
        <v>0</v>
      </c>
      <c r="S927">
        <v>0</v>
      </c>
      <c r="T927" t="s">
        <v>154</v>
      </c>
      <c r="U927">
        <v>8.5</v>
      </c>
      <c r="V927">
        <v>5.5</v>
      </c>
      <c r="W927" t="s">
        <v>2513</v>
      </c>
      <c r="X927" t="s">
        <v>69</v>
      </c>
    </row>
    <row r="928" spans="1:24">
      <c r="A928" t="s">
        <v>212</v>
      </c>
      <c r="B928" t="s">
        <v>70</v>
      </c>
      <c r="C928" s="36">
        <v>45064</v>
      </c>
      <c r="D928" t="s">
        <v>565</v>
      </c>
      <c r="E928" s="36">
        <v>45565</v>
      </c>
      <c r="F928" t="s">
        <v>92</v>
      </c>
      <c r="G928" s="36">
        <v>45561</v>
      </c>
      <c r="H928">
        <v>11</v>
      </c>
      <c r="I928" t="s">
        <v>2506</v>
      </c>
      <c r="J928">
        <v>2.8</v>
      </c>
      <c r="K928">
        <v>3.6</v>
      </c>
      <c r="L928">
        <v>3</v>
      </c>
      <c r="M928">
        <v>-0.20000000000000018</v>
      </c>
      <c r="N928">
        <v>0.20000000000000018</v>
      </c>
      <c r="O928">
        <v>-0.80000000000000027</v>
      </c>
      <c r="P928">
        <v>0.80000000000000027</v>
      </c>
      <c r="Q928">
        <v>0.64000000000000046</v>
      </c>
      <c r="R928">
        <v>0</v>
      </c>
      <c r="S928">
        <v>0</v>
      </c>
      <c r="T928" t="s">
        <v>157</v>
      </c>
      <c r="U928">
        <v>7</v>
      </c>
      <c r="V928">
        <v>4</v>
      </c>
      <c r="W928" t="s">
        <v>2513</v>
      </c>
      <c r="X928" t="s">
        <v>71</v>
      </c>
    </row>
    <row r="929" spans="1:24">
      <c r="A929" t="s">
        <v>212</v>
      </c>
      <c r="B929" t="s">
        <v>72</v>
      </c>
      <c r="C929" s="36">
        <v>45099</v>
      </c>
      <c r="D929" t="s">
        <v>565</v>
      </c>
      <c r="E929" s="36">
        <v>45565</v>
      </c>
      <c r="F929" t="s">
        <v>92</v>
      </c>
      <c r="G929" s="36">
        <v>45561</v>
      </c>
      <c r="H929">
        <v>10</v>
      </c>
      <c r="I929" t="s">
        <v>2507</v>
      </c>
      <c r="J929">
        <v>3</v>
      </c>
      <c r="K929">
        <v>3.6</v>
      </c>
      <c r="L929">
        <v>3</v>
      </c>
      <c r="M929">
        <v>0</v>
      </c>
      <c r="N929">
        <v>0</v>
      </c>
      <c r="O929">
        <v>-0.60000000000000009</v>
      </c>
      <c r="P929">
        <v>0.60000000000000009</v>
      </c>
      <c r="Q929">
        <v>0.3600000000000001</v>
      </c>
      <c r="R929">
        <v>0.20000000000000018</v>
      </c>
      <c r="S929">
        <v>0.20000000000000018</v>
      </c>
      <c r="T929" t="s">
        <v>157</v>
      </c>
      <c r="U929">
        <v>6.9</v>
      </c>
      <c r="V929">
        <v>3.9000000000000004</v>
      </c>
      <c r="W929" t="s">
        <v>2513</v>
      </c>
      <c r="X929" t="s">
        <v>73</v>
      </c>
    </row>
    <row r="930" spans="1:24">
      <c r="A930" t="s">
        <v>212</v>
      </c>
      <c r="B930" t="s">
        <v>74</v>
      </c>
      <c r="C930" s="36">
        <v>45148</v>
      </c>
      <c r="D930" t="s">
        <v>565</v>
      </c>
      <c r="E930" s="36">
        <v>45565</v>
      </c>
      <c r="F930" t="s">
        <v>92</v>
      </c>
      <c r="G930" s="36">
        <v>45561</v>
      </c>
      <c r="H930">
        <v>9</v>
      </c>
      <c r="I930" t="s">
        <v>2504</v>
      </c>
      <c r="J930">
        <v>2.9</v>
      </c>
      <c r="K930">
        <v>3.6</v>
      </c>
      <c r="L930">
        <v>3</v>
      </c>
      <c r="M930">
        <v>-0.10000000000000009</v>
      </c>
      <c r="N930">
        <v>0.10000000000000009</v>
      </c>
      <c r="O930">
        <v>-0.70000000000000018</v>
      </c>
      <c r="P930">
        <v>0.70000000000000018</v>
      </c>
      <c r="Q930">
        <v>0.49000000000000027</v>
      </c>
      <c r="R930">
        <v>-0.10000000000000009</v>
      </c>
      <c r="S930">
        <v>0.10000000000000009</v>
      </c>
      <c r="T930" t="s">
        <v>160</v>
      </c>
      <c r="U930">
        <v>5.0999999999999996</v>
      </c>
      <c r="V930">
        <v>2.0999999999999996</v>
      </c>
      <c r="W930" t="s">
        <v>2513</v>
      </c>
      <c r="X930" t="s">
        <v>75</v>
      </c>
    </row>
    <row r="931" spans="1:24">
      <c r="A931" t="s">
        <v>212</v>
      </c>
      <c r="B931" t="s">
        <v>76</v>
      </c>
      <c r="C931" s="36">
        <v>45197</v>
      </c>
      <c r="D931" t="s">
        <v>565</v>
      </c>
      <c r="E931" s="36">
        <v>45565</v>
      </c>
      <c r="F931" t="s">
        <v>92</v>
      </c>
      <c r="G931" s="36">
        <v>45561</v>
      </c>
      <c r="H931">
        <v>8</v>
      </c>
      <c r="I931" t="s">
        <v>2505</v>
      </c>
      <c r="J931">
        <v>3.1</v>
      </c>
      <c r="K931">
        <v>3.6</v>
      </c>
      <c r="L931">
        <v>3</v>
      </c>
      <c r="M931">
        <v>0.10000000000000009</v>
      </c>
      <c r="N931">
        <v>0.10000000000000009</v>
      </c>
      <c r="O931">
        <v>-0.5</v>
      </c>
      <c r="P931">
        <v>0.5</v>
      </c>
      <c r="Q931">
        <v>0.25</v>
      </c>
      <c r="R931">
        <v>0.20000000000000018</v>
      </c>
      <c r="S931">
        <v>0.20000000000000018</v>
      </c>
      <c r="T931" t="s">
        <v>160</v>
      </c>
      <c r="U931">
        <v>5.2</v>
      </c>
      <c r="V931">
        <v>2.2000000000000002</v>
      </c>
      <c r="W931" t="s">
        <v>2513</v>
      </c>
      <c r="X931" t="s">
        <v>77</v>
      </c>
    </row>
    <row r="932" spans="1:24">
      <c r="A932" t="s">
        <v>212</v>
      </c>
      <c r="B932" t="s">
        <v>78</v>
      </c>
      <c r="C932" s="36">
        <v>45239</v>
      </c>
      <c r="D932" t="s">
        <v>565</v>
      </c>
      <c r="E932" s="36">
        <v>45565</v>
      </c>
      <c r="F932" t="s">
        <v>92</v>
      </c>
      <c r="G932" s="36">
        <v>45561</v>
      </c>
      <c r="H932">
        <v>7</v>
      </c>
      <c r="I932" t="s">
        <v>2502</v>
      </c>
      <c r="J932">
        <v>3.2</v>
      </c>
      <c r="K932">
        <v>3.6</v>
      </c>
      <c r="L932">
        <v>3</v>
      </c>
      <c r="M932">
        <v>0.20000000000000018</v>
      </c>
      <c r="N932">
        <v>0.20000000000000018</v>
      </c>
      <c r="O932">
        <v>-0.39999999999999991</v>
      </c>
      <c r="P932">
        <v>0.39999999999999991</v>
      </c>
      <c r="Q932">
        <v>0.15999999999999992</v>
      </c>
      <c r="R932">
        <v>0.10000000000000009</v>
      </c>
      <c r="S932">
        <v>0.10000000000000009</v>
      </c>
      <c r="T932" t="s">
        <v>183</v>
      </c>
      <c r="U932">
        <v>4.5999999999999996</v>
      </c>
      <c r="V932">
        <v>1.5999999999999996</v>
      </c>
      <c r="W932" t="s">
        <v>2513</v>
      </c>
      <c r="X932" t="s">
        <v>79</v>
      </c>
    </row>
    <row r="933" spans="1:24">
      <c r="A933" t="s">
        <v>212</v>
      </c>
      <c r="B933" t="s">
        <v>80</v>
      </c>
      <c r="C933" s="36">
        <v>45274</v>
      </c>
      <c r="D933" t="s">
        <v>565</v>
      </c>
      <c r="E933" s="36">
        <v>45565</v>
      </c>
      <c r="F933" t="s">
        <v>92</v>
      </c>
      <c r="G933" s="36">
        <v>45561</v>
      </c>
      <c r="H933">
        <v>6</v>
      </c>
      <c r="I933" t="s">
        <v>2503</v>
      </c>
      <c r="J933">
        <v>3.3</v>
      </c>
      <c r="K933">
        <v>3.6</v>
      </c>
      <c r="L933">
        <v>3</v>
      </c>
      <c r="M933">
        <v>0.29999999999999982</v>
      </c>
      <c r="N933">
        <v>0.29999999999999982</v>
      </c>
      <c r="O933">
        <v>-0.30000000000000027</v>
      </c>
      <c r="P933">
        <v>0.30000000000000027</v>
      </c>
      <c r="Q933">
        <v>9.0000000000000163E-2</v>
      </c>
      <c r="R933">
        <v>9.9999999999999645E-2</v>
      </c>
      <c r="S933">
        <v>9.9999999999999645E-2</v>
      </c>
      <c r="T933" t="s">
        <v>183</v>
      </c>
      <c r="U933">
        <v>4.5999999999999996</v>
      </c>
      <c r="V933">
        <v>1.5999999999999996</v>
      </c>
      <c r="W933" t="s">
        <v>2513</v>
      </c>
      <c r="X933" t="s">
        <v>81</v>
      </c>
    </row>
    <row r="934" spans="1:24">
      <c r="A934" t="s">
        <v>212</v>
      </c>
      <c r="B934" t="s">
        <v>82</v>
      </c>
      <c r="C934" s="36">
        <v>45330</v>
      </c>
      <c r="D934" t="s">
        <v>565</v>
      </c>
      <c r="E934" s="36">
        <v>45565</v>
      </c>
      <c r="F934" t="s">
        <v>92</v>
      </c>
      <c r="G934" s="36">
        <v>45561</v>
      </c>
      <c r="H934">
        <v>5</v>
      </c>
      <c r="I934" t="s">
        <v>2500</v>
      </c>
      <c r="J934">
        <v>3.2</v>
      </c>
      <c r="K934">
        <v>3.6</v>
      </c>
      <c r="L934">
        <v>3</v>
      </c>
      <c r="M934">
        <v>0.20000000000000018</v>
      </c>
      <c r="N934">
        <v>0.20000000000000018</v>
      </c>
      <c r="O934">
        <v>-0.39999999999999991</v>
      </c>
      <c r="P934">
        <v>0.39999999999999991</v>
      </c>
      <c r="Q934">
        <v>0.15999999999999992</v>
      </c>
      <c r="R934">
        <v>-9.9999999999999645E-2</v>
      </c>
      <c r="S934">
        <v>9.9999999999999645E-2</v>
      </c>
      <c r="T934" t="s">
        <v>254</v>
      </c>
      <c r="U934">
        <v>4.4000000000000004</v>
      </c>
      <c r="V934">
        <v>1.4000000000000004</v>
      </c>
      <c r="W934" t="s">
        <v>2513</v>
      </c>
      <c r="X934" t="s">
        <v>83</v>
      </c>
    </row>
    <row r="935" spans="1:24">
      <c r="A935" t="s">
        <v>212</v>
      </c>
      <c r="B935" t="s">
        <v>84</v>
      </c>
      <c r="C935" s="36">
        <v>45372</v>
      </c>
      <c r="D935" t="s">
        <v>565</v>
      </c>
      <c r="E935" s="36">
        <v>45565</v>
      </c>
      <c r="F935" t="s">
        <v>92</v>
      </c>
      <c r="G935" s="36">
        <v>45561</v>
      </c>
      <c r="H935">
        <v>4</v>
      </c>
      <c r="I935" t="s">
        <v>2501</v>
      </c>
      <c r="J935">
        <v>3.1</v>
      </c>
      <c r="K935">
        <v>3.6</v>
      </c>
      <c r="L935">
        <v>3</v>
      </c>
      <c r="M935">
        <v>0.10000000000000009</v>
      </c>
      <c r="N935">
        <v>0.10000000000000009</v>
      </c>
      <c r="O935">
        <v>-0.5</v>
      </c>
      <c r="P935">
        <v>0.5</v>
      </c>
      <c r="Q935">
        <v>0.25</v>
      </c>
      <c r="R935">
        <v>-0.10000000000000009</v>
      </c>
      <c r="S935">
        <v>0.10000000000000009</v>
      </c>
      <c r="T935" t="s">
        <v>254</v>
      </c>
      <c r="U935">
        <v>4.5999999999999996</v>
      </c>
      <c r="V935">
        <v>1.5999999999999996</v>
      </c>
      <c r="W935" t="s">
        <v>2513</v>
      </c>
      <c r="X935" t="s">
        <v>85</v>
      </c>
    </row>
    <row r="936" spans="1:24">
      <c r="A936" t="s">
        <v>212</v>
      </c>
      <c r="B936" t="s">
        <v>86</v>
      </c>
      <c r="C936" s="36">
        <v>45421</v>
      </c>
      <c r="D936" t="s">
        <v>565</v>
      </c>
      <c r="E936" s="36">
        <v>45565</v>
      </c>
      <c r="F936" t="s">
        <v>92</v>
      </c>
      <c r="G936" s="36">
        <v>45561</v>
      </c>
      <c r="H936">
        <v>3</v>
      </c>
      <c r="I936" t="s">
        <v>2498</v>
      </c>
      <c r="J936">
        <v>3.5</v>
      </c>
      <c r="K936">
        <v>3.6</v>
      </c>
      <c r="L936">
        <v>3</v>
      </c>
      <c r="M936">
        <v>0.5</v>
      </c>
      <c r="N936">
        <v>0.5</v>
      </c>
      <c r="O936">
        <v>-0.10000000000000009</v>
      </c>
      <c r="P936">
        <v>0.10000000000000009</v>
      </c>
      <c r="Q936">
        <v>1.0000000000000018E-2</v>
      </c>
      <c r="R936">
        <v>0.39999999999999991</v>
      </c>
      <c r="S936">
        <v>0.39999999999999991</v>
      </c>
      <c r="T936" t="s">
        <v>355</v>
      </c>
      <c r="U936">
        <v>4.3</v>
      </c>
      <c r="V936">
        <v>1.2999999999999998</v>
      </c>
      <c r="W936" t="s">
        <v>2513</v>
      </c>
      <c r="X936" t="s">
        <v>87</v>
      </c>
    </row>
    <row r="937" spans="1:24">
      <c r="A937" t="s">
        <v>212</v>
      </c>
      <c r="B937" t="s">
        <v>88</v>
      </c>
      <c r="C937" s="36">
        <v>45470</v>
      </c>
      <c r="D937" t="s">
        <v>565</v>
      </c>
      <c r="E937" s="36">
        <v>45565</v>
      </c>
      <c r="F937" t="s">
        <v>92</v>
      </c>
      <c r="G937" s="36">
        <v>45561</v>
      </c>
      <c r="H937">
        <v>2</v>
      </c>
      <c r="I937" t="s">
        <v>2499</v>
      </c>
      <c r="J937">
        <v>3.6</v>
      </c>
      <c r="K937">
        <v>3.6</v>
      </c>
      <c r="L937">
        <v>3</v>
      </c>
      <c r="M937">
        <v>0.60000000000000009</v>
      </c>
      <c r="N937">
        <v>0.60000000000000009</v>
      </c>
      <c r="O937">
        <v>0</v>
      </c>
      <c r="P937">
        <v>0</v>
      </c>
      <c r="Q937">
        <v>0</v>
      </c>
      <c r="R937">
        <v>0.10000000000000009</v>
      </c>
      <c r="S937">
        <v>0.10000000000000009</v>
      </c>
      <c r="T937" t="s">
        <v>355</v>
      </c>
      <c r="U937">
        <v>4.2</v>
      </c>
      <c r="V937">
        <v>1.2000000000000002</v>
      </c>
      <c r="W937" t="s">
        <v>2513</v>
      </c>
      <c r="X937" t="s">
        <v>89</v>
      </c>
    </row>
    <row r="938" spans="1:24">
      <c r="A938" t="s">
        <v>212</v>
      </c>
      <c r="B938" t="s">
        <v>90</v>
      </c>
      <c r="C938" s="36">
        <v>45512</v>
      </c>
      <c r="D938" t="s">
        <v>565</v>
      </c>
      <c r="E938" s="36">
        <v>45565</v>
      </c>
      <c r="F938" t="s">
        <v>92</v>
      </c>
      <c r="G938" s="36">
        <v>45561</v>
      </c>
      <c r="H938">
        <v>1</v>
      </c>
      <c r="I938" t="s">
        <v>2495</v>
      </c>
      <c r="J938">
        <v>3.7</v>
      </c>
      <c r="K938">
        <v>3.6</v>
      </c>
      <c r="L938">
        <v>3</v>
      </c>
      <c r="M938">
        <v>0.70000000000000018</v>
      </c>
      <c r="N938">
        <v>0.70000000000000018</v>
      </c>
      <c r="O938">
        <v>0.10000000000000009</v>
      </c>
      <c r="P938">
        <v>0.10000000000000009</v>
      </c>
      <c r="Q938">
        <v>1.0000000000000018E-2</v>
      </c>
      <c r="R938">
        <v>0.10000000000000009</v>
      </c>
      <c r="S938">
        <v>0.10000000000000009</v>
      </c>
      <c r="T938" t="s">
        <v>460</v>
      </c>
      <c r="U938">
        <v>3.6</v>
      </c>
      <c r="V938">
        <v>0.60000000000000009</v>
      </c>
      <c r="W938" t="s">
        <v>2513</v>
      </c>
      <c r="X938" t="s">
        <v>91</v>
      </c>
    </row>
    <row r="939" spans="1:24">
      <c r="A939" t="s">
        <v>212</v>
      </c>
      <c r="B939" t="s">
        <v>92</v>
      </c>
      <c r="C939" s="36">
        <v>45561</v>
      </c>
      <c r="D939" t="s">
        <v>565</v>
      </c>
      <c r="E939" s="36">
        <v>45565</v>
      </c>
      <c r="F939" t="s">
        <v>92</v>
      </c>
      <c r="G939" s="36">
        <v>45561</v>
      </c>
      <c r="H939">
        <v>0</v>
      </c>
      <c r="I939" t="s">
        <v>2497</v>
      </c>
      <c r="J939">
        <v>3.5</v>
      </c>
      <c r="K939">
        <v>3.6</v>
      </c>
      <c r="L939">
        <v>3</v>
      </c>
      <c r="M939">
        <v>0.5</v>
      </c>
      <c r="N939">
        <v>0.5</v>
      </c>
      <c r="O939">
        <v>-0.10000000000000009</v>
      </c>
      <c r="P939">
        <v>0.10000000000000009</v>
      </c>
      <c r="Q939">
        <v>1.0000000000000018E-2</v>
      </c>
      <c r="R939">
        <v>-0.20000000000000018</v>
      </c>
      <c r="S939">
        <v>0.20000000000000018</v>
      </c>
      <c r="T939" t="s">
        <v>460</v>
      </c>
      <c r="U939">
        <v>3.7</v>
      </c>
      <c r="V939">
        <v>0.70000000000000018</v>
      </c>
      <c r="W939" t="s">
        <v>2513</v>
      </c>
      <c r="X939" t="s">
        <v>93</v>
      </c>
    </row>
    <row r="940" spans="1:24">
      <c r="A940" t="s">
        <v>212</v>
      </c>
      <c r="B940" t="s">
        <v>64</v>
      </c>
      <c r="C940" s="36">
        <v>44910</v>
      </c>
      <c r="D940" t="s">
        <v>670</v>
      </c>
      <c r="E940" s="36">
        <v>45657</v>
      </c>
      <c r="F940" t="s">
        <v>96</v>
      </c>
      <c r="G940" s="36">
        <v>45645</v>
      </c>
      <c r="H940">
        <v>16</v>
      </c>
      <c r="I940" t="s">
        <v>2512</v>
      </c>
      <c r="J940">
        <v>3</v>
      </c>
      <c r="K940">
        <v>3.6</v>
      </c>
      <c r="L940">
        <v>3</v>
      </c>
      <c r="M940">
        <v>0</v>
      </c>
      <c r="N940">
        <v>0</v>
      </c>
      <c r="O940">
        <v>-0.60000000000000009</v>
      </c>
      <c r="P940">
        <v>0.60000000000000009</v>
      </c>
      <c r="Q940">
        <v>0.3600000000000001</v>
      </c>
      <c r="T940" t="s">
        <v>151</v>
      </c>
      <c r="U940">
        <v>8.6</v>
      </c>
      <c r="V940">
        <v>5.6</v>
      </c>
      <c r="W940" t="s">
        <v>2513</v>
      </c>
      <c r="X940" t="s">
        <v>65</v>
      </c>
    </row>
    <row r="941" spans="1:24">
      <c r="A941" t="s">
        <v>212</v>
      </c>
      <c r="B941" t="s">
        <v>66</v>
      </c>
      <c r="C941" s="36">
        <v>44966</v>
      </c>
      <c r="D941" t="s">
        <v>670</v>
      </c>
      <c r="E941" s="36">
        <v>45657</v>
      </c>
      <c r="F941" t="s">
        <v>96</v>
      </c>
      <c r="G941" s="36">
        <v>45645</v>
      </c>
      <c r="H941">
        <v>15</v>
      </c>
      <c r="I941" t="s">
        <v>2510</v>
      </c>
      <c r="J941">
        <v>3.1</v>
      </c>
      <c r="K941">
        <v>3.6</v>
      </c>
      <c r="L941">
        <v>3</v>
      </c>
      <c r="M941">
        <v>0.10000000000000009</v>
      </c>
      <c r="N941">
        <v>0.10000000000000009</v>
      </c>
      <c r="O941">
        <v>-0.5</v>
      </c>
      <c r="P941">
        <v>0.5</v>
      </c>
      <c r="Q941">
        <v>0.25</v>
      </c>
      <c r="R941">
        <v>0.10000000000000009</v>
      </c>
      <c r="S941">
        <v>0.10000000000000009</v>
      </c>
      <c r="T941" t="s">
        <v>154</v>
      </c>
      <c r="U941">
        <v>8.4</v>
      </c>
      <c r="V941">
        <v>5.4</v>
      </c>
      <c r="W941" t="s">
        <v>2513</v>
      </c>
      <c r="X941" t="s">
        <v>67</v>
      </c>
    </row>
    <row r="942" spans="1:24">
      <c r="A942" t="s">
        <v>212</v>
      </c>
      <c r="B942" t="s">
        <v>68</v>
      </c>
      <c r="C942" s="36">
        <v>45015</v>
      </c>
      <c r="D942" t="s">
        <v>670</v>
      </c>
      <c r="E942" s="36">
        <v>45657</v>
      </c>
      <c r="F942" t="s">
        <v>96</v>
      </c>
      <c r="G942" s="36">
        <v>45645</v>
      </c>
      <c r="H942">
        <v>14</v>
      </c>
      <c r="I942" t="s">
        <v>2511</v>
      </c>
      <c r="J942">
        <v>3.1</v>
      </c>
      <c r="K942">
        <v>3.6</v>
      </c>
      <c r="L942">
        <v>3</v>
      </c>
      <c r="M942">
        <v>0.10000000000000009</v>
      </c>
      <c r="N942">
        <v>0.10000000000000009</v>
      </c>
      <c r="O942">
        <v>-0.5</v>
      </c>
      <c r="P942">
        <v>0.5</v>
      </c>
      <c r="Q942">
        <v>0.25</v>
      </c>
      <c r="R942">
        <v>0</v>
      </c>
      <c r="S942">
        <v>0</v>
      </c>
      <c r="T942" t="s">
        <v>154</v>
      </c>
      <c r="U942">
        <v>8.5</v>
      </c>
      <c r="V942">
        <v>5.5</v>
      </c>
      <c r="W942" t="s">
        <v>2513</v>
      </c>
      <c r="X942" t="s">
        <v>69</v>
      </c>
    </row>
    <row r="943" spans="1:24">
      <c r="A943" t="s">
        <v>212</v>
      </c>
      <c r="B943" t="s">
        <v>70</v>
      </c>
      <c r="C943" s="36">
        <v>45064</v>
      </c>
      <c r="D943" t="s">
        <v>670</v>
      </c>
      <c r="E943" s="36">
        <v>45657</v>
      </c>
      <c r="F943" t="s">
        <v>96</v>
      </c>
      <c r="G943" s="36">
        <v>45645</v>
      </c>
      <c r="H943">
        <v>13</v>
      </c>
      <c r="I943" t="s">
        <v>2508</v>
      </c>
      <c r="J943">
        <v>3.1</v>
      </c>
      <c r="K943">
        <v>3.6</v>
      </c>
      <c r="L943">
        <v>3</v>
      </c>
      <c r="M943">
        <v>0.10000000000000009</v>
      </c>
      <c r="N943">
        <v>0.10000000000000009</v>
      </c>
      <c r="O943">
        <v>-0.5</v>
      </c>
      <c r="P943">
        <v>0.5</v>
      </c>
      <c r="Q943">
        <v>0.25</v>
      </c>
      <c r="R943">
        <v>0</v>
      </c>
      <c r="S943">
        <v>0</v>
      </c>
      <c r="T943" t="s">
        <v>157</v>
      </c>
      <c r="U943">
        <v>7</v>
      </c>
      <c r="V943">
        <v>4</v>
      </c>
      <c r="W943" t="s">
        <v>2513</v>
      </c>
      <c r="X943" t="s">
        <v>71</v>
      </c>
    </row>
    <row r="944" spans="1:24">
      <c r="A944" t="s">
        <v>212</v>
      </c>
      <c r="B944" t="s">
        <v>72</v>
      </c>
      <c r="C944" s="36">
        <v>45099</v>
      </c>
      <c r="D944" t="s">
        <v>670</v>
      </c>
      <c r="E944" s="36">
        <v>45657</v>
      </c>
      <c r="F944" t="s">
        <v>96</v>
      </c>
      <c r="G944" s="36">
        <v>45645</v>
      </c>
      <c r="H944">
        <v>12</v>
      </c>
      <c r="I944" t="s">
        <v>2509</v>
      </c>
      <c r="J944">
        <v>3.2</v>
      </c>
      <c r="K944">
        <v>3.6</v>
      </c>
      <c r="L944">
        <v>3</v>
      </c>
      <c r="M944">
        <v>0.20000000000000018</v>
      </c>
      <c r="N944">
        <v>0.20000000000000018</v>
      </c>
      <c r="O944">
        <v>-0.39999999999999991</v>
      </c>
      <c r="P944">
        <v>0.39999999999999991</v>
      </c>
      <c r="Q944">
        <v>0.15999999999999992</v>
      </c>
      <c r="R944">
        <v>0.10000000000000009</v>
      </c>
      <c r="S944">
        <v>0.10000000000000009</v>
      </c>
      <c r="T944" t="s">
        <v>157</v>
      </c>
      <c r="U944">
        <v>6.9</v>
      </c>
      <c r="V944">
        <v>3.9000000000000004</v>
      </c>
      <c r="W944" t="s">
        <v>2513</v>
      </c>
      <c r="X944" t="s">
        <v>73</v>
      </c>
    </row>
    <row r="945" spans="1:24">
      <c r="A945" t="s">
        <v>212</v>
      </c>
      <c r="B945" t="s">
        <v>74</v>
      </c>
      <c r="C945" s="36">
        <v>45148</v>
      </c>
      <c r="D945" t="s">
        <v>670</v>
      </c>
      <c r="E945" s="36">
        <v>45657</v>
      </c>
      <c r="F945" t="s">
        <v>96</v>
      </c>
      <c r="G945" s="36">
        <v>45645</v>
      </c>
      <c r="H945">
        <v>11</v>
      </c>
      <c r="I945" t="s">
        <v>2506</v>
      </c>
      <c r="J945">
        <v>3.3</v>
      </c>
      <c r="K945">
        <v>3.6</v>
      </c>
      <c r="L945">
        <v>3</v>
      </c>
      <c r="M945">
        <v>0.29999999999999982</v>
      </c>
      <c r="N945">
        <v>0.29999999999999982</v>
      </c>
      <c r="O945">
        <v>-0.30000000000000027</v>
      </c>
      <c r="P945">
        <v>0.30000000000000027</v>
      </c>
      <c r="Q945">
        <v>9.0000000000000163E-2</v>
      </c>
      <c r="R945">
        <v>9.9999999999999645E-2</v>
      </c>
      <c r="S945">
        <v>9.9999999999999645E-2</v>
      </c>
      <c r="T945" t="s">
        <v>160</v>
      </c>
      <c r="U945">
        <v>5.0999999999999996</v>
      </c>
      <c r="V945">
        <v>2.0999999999999996</v>
      </c>
      <c r="W945" t="s">
        <v>2513</v>
      </c>
      <c r="X945" t="s">
        <v>75</v>
      </c>
    </row>
    <row r="946" spans="1:24">
      <c r="A946" t="s">
        <v>212</v>
      </c>
      <c r="B946" t="s">
        <v>76</v>
      </c>
      <c r="C946" s="36">
        <v>45197</v>
      </c>
      <c r="D946" t="s">
        <v>670</v>
      </c>
      <c r="E946" s="36">
        <v>45657</v>
      </c>
      <c r="F946" t="s">
        <v>96</v>
      </c>
      <c r="G946" s="36">
        <v>45645</v>
      </c>
      <c r="H946">
        <v>10</v>
      </c>
      <c r="I946" t="s">
        <v>2507</v>
      </c>
      <c r="J946">
        <v>3.4</v>
      </c>
      <c r="K946">
        <v>3.6</v>
      </c>
      <c r="L946">
        <v>3</v>
      </c>
      <c r="M946">
        <v>0.39999999999999991</v>
      </c>
      <c r="N946">
        <v>0.39999999999999991</v>
      </c>
      <c r="O946">
        <v>-0.20000000000000018</v>
      </c>
      <c r="P946">
        <v>0.20000000000000018</v>
      </c>
      <c r="Q946">
        <v>4.000000000000007E-2</v>
      </c>
      <c r="R946">
        <v>0.10000000000000009</v>
      </c>
      <c r="S946">
        <v>0.10000000000000009</v>
      </c>
      <c r="T946" t="s">
        <v>160</v>
      </c>
      <c r="U946">
        <v>5.2</v>
      </c>
      <c r="V946">
        <v>2.2000000000000002</v>
      </c>
      <c r="W946" t="s">
        <v>2513</v>
      </c>
      <c r="X946" t="s">
        <v>77</v>
      </c>
    </row>
    <row r="947" spans="1:24">
      <c r="A947" t="s">
        <v>212</v>
      </c>
      <c r="B947" t="s">
        <v>78</v>
      </c>
      <c r="C947" s="36">
        <v>45239</v>
      </c>
      <c r="D947" t="s">
        <v>670</v>
      </c>
      <c r="E947" s="36">
        <v>45657</v>
      </c>
      <c r="F947" t="s">
        <v>96</v>
      </c>
      <c r="G947" s="36">
        <v>45645</v>
      </c>
      <c r="H947">
        <v>9</v>
      </c>
      <c r="I947" t="s">
        <v>2504</v>
      </c>
      <c r="J947">
        <v>3.4</v>
      </c>
      <c r="K947">
        <v>3.6</v>
      </c>
      <c r="L947">
        <v>3</v>
      </c>
      <c r="M947">
        <v>0.39999999999999991</v>
      </c>
      <c r="N947">
        <v>0.39999999999999991</v>
      </c>
      <c r="O947">
        <v>-0.20000000000000018</v>
      </c>
      <c r="P947">
        <v>0.20000000000000018</v>
      </c>
      <c r="Q947">
        <v>4.000000000000007E-2</v>
      </c>
      <c r="R947">
        <v>0</v>
      </c>
      <c r="S947">
        <v>0</v>
      </c>
      <c r="T947" t="s">
        <v>183</v>
      </c>
      <c r="U947">
        <v>4.5999999999999996</v>
      </c>
      <c r="V947">
        <v>1.5999999999999996</v>
      </c>
      <c r="W947" t="s">
        <v>2513</v>
      </c>
      <c r="X947" t="s">
        <v>79</v>
      </c>
    </row>
    <row r="948" spans="1:24">
      <c r="A948" t="s">
        <v>212</v>
      </c>
      <c r="B948" t="s">
        <v>80</v>
      </c>
      <c r="C948" s="36">
        <v>45274</v>
      </c>
      <c r="D948" t="s">
        <v>670</v>
      </c>
      <c r="E948" s="36">
        <v>45657</v>
      </c>
      <c r="F948" t="s">
        <v>96</v>
      </c>
      <c r="G948" s="36">
        <v>45645</v>
      </c>
      <c r="H948">
        <v>8</v>
      </c>
      <c r="I948" t="s">
        <v>2505</v>
      </c>
      <c r="J948">
        <v>3.5</v>
      </c>
      <c r="K948">
        <v>3.6</v>
      </c>
      <c r="L948">
        <v>3</v>
      </c>
      <c r="M948">
        <v>0.5</v>
      </c>
      <c r="N948">
        <v>0.5</v>
      </c>
      <c r="O948">
        <v>-0.10000000000000009</v>
      </c>
      <c r="P948">
        <v>0.10000000000000009</v>
      </c>
      <c r="Q948">
        <v>1.0000000000000018E-2</v>
      </c>
      <c r="R948">
        <v>0.10000000000000009</v>
      </c>
      <c r="S948">
        <v>0.10000000000000009</v>
      </c>
      <c r="T948" t="s">
        <v>183</v>
      </c>
      <c r="U948">
        <v>4.5999999999999996</v>
      </c>
      <c r="V948">
        <v>1.5999999999999996</v>
      </c>
      <c r="W948" t="s">
        <v>2513</v>
      </c>
      <c r="X948" t="s">
        <v>81</v>
      </c>
    </row>
    <row r="949" spans="1:24">
      <c r="A949" t="s">
        <v>212</v>
      </c>
      <c r="B949" t="s">
        <v>82</v>
      </c>
      <c r="C949" s="36">
        <v>45330</v>
      </c>
      <c r="D949" t="s">
        <v>670</v>
      </c>
      <c r="E949" s="36">
        <v>45657</v>
      </c>
      <c r="F949" t="s">
        <v>96</v>
      </c>
      <c r="G949" s="36">
        <v>45645</v>
      </c>
      <c r="H949">
        <v>7</v>
      </c>
      <c r="I949" t="s">
        <v>2502</v>
      </c>
      <c r="J949">
        <v>3.4</v>
      </c>
      <c r="K949">
        <v>3.6</v>
      </c>
      <c r="L949">
        <v>3</v>
      </c>
      <c r="M949">
        <v>0.39999999999999991</v>
      </c>
      <c r="N949">
        <v>0.39999999999999991</v>
      </c>
      <c r="O949">
        <v>-0.20000000000000018</v>
      </c>
      <c r="P949">
        <v>0.20000000000000018</v>
      </c>
      <c r="Q949">
        <v>4.000000000000007E-2</v>
      </c>
      <c r="R949">
        <v>-0.10000000000000009</v>
      </c>
      <c r="S949">
        <v>0.10000000000000009</v>
      </c>
      <c r="T949" t="s">
        <v>254</v>
      </c>
      <c r="U949">
        <v>4.4000000000000004</v>
      </c>
      <c r="V949">
        <v>1.4000000000000004</v>
      </c>
      <c r="W949" t="s">
        <v>2513</v>
      </c>
      <c r="X949" t="s">
        <v>83</v>
      </c>
    </row>
    <row r="950" spans="1:24">
      <c r="A950" t="s">
        <v>212</v>
      </c>
      <c r="B950" t="s">
        <v>84</v>
      </c>
      <c r="C950" s="36">
        <v>45372</v>
      </c>
      <c r="D950" t="s">
        <v>670</v>
      </c>
      <c r="E950" s="36">
        <v>45657</v>
      </c>
      <c r="F950" t="s">
        <v>96</v>
      </c>
      <c r="G950" s="36">
        <v>45645</v>
      </c>
      <c r="H950">
        <v>6</v>
      </c>
      <c r="I950" t="s">
        <v>2503</v>
      </c>
      <c r="J950">
        <v>3.3</v>
      </c>
      <c r="K950">
        <v>3.6</v>
      </c>
      <c r="L950">
        <v>3</v>
      </c>
      <c r="M950">
        <v>0.29999999999999982</v>
      </c>
      <c r="N950">
        <v>0.29999999999999982</v>
      </c>
      <c r="O950">
        <v>-0.30000000000000027</v>
      </c>
      <c r="P950">
        <v>0.30000000000000027</v>
      </c>
      <c r="Q950">
        <v>9.0000000000000163E-2</v>
      </c>
      <c r="R950">
        <v>-0.10000000000000009</v>
      </c>
      <c r="S950">
        <v>0.10000000000000009</v>
      </c>
      <c r="T950" t="s">
        <v>254</v>
      </c>
      <c r="U950">
        <v>4.5999999999999996</v>
      </c>
      <c r="V950">
        <v>1.5999999999999996</v>
      </c>
      <c r="W950" t="s">
        <v>2513</v>
      </c>
      <c r="X950" t="s">
        <v>85</v>
      </c>
    </row>
    <row r="951" spans="1:24">
      <c r="A951" t="s">
        <v>212</v>
      </c>
      <c r="B951" t="s">
        <v>86</v>
      </c>
      <c r="C951" s="36">
        <v>45421</v>
      </c>
      <c r="D951" t="s">
        <v>670</v>
      </c>
      <c r="E951" s="36">
        <v>45657</v>
      </c>
      <c r="F951" t="s">
        <v>96</v>
      </c>
      <c r="G951" s="36">
        <v>45645</v>
      </c>
      <c r="H951">
        <v>5</v>
      </c>
      <c r="I951" t="s">
        <v>2500</v>
      </c>
      <c r="J951">
        <v>3.5</v>
      </c>
      <c r="K951">
        <v>3.6</v>
      </c>
      <c r="L951">
        <v>3</v>
      </c>
      <c r="M951">
        <v>0.5</v>
      </c>
      <c r="N951">
        <v>0.5</v>
      </c>
      <c r="O951">
        <v>-0.10000000000000009</v>
      </c>
      <c r="P951">
        <v>0.10000000000000009</v>
      </c>
      <c r="Q951">
        <v>1.0000000000000018E-2</v>
      </c>
      <c r="R951">
        <v>0.20000000000000018</v>
      </c>
      <c r="S951">
        <v>0.20000000000000018</v>
      </c>
      <c r="T951" t="s">
        <v>355</v>
      </c>
      <c r="U951">
        <v>4.3</v>
      </c>
      <c r="V951">
        <v>1.2999999999999998</v>
      </c>
      <c r="W951" t="s">
        <v>2513</v>
      </c>
      <c r="X951" t="s">
        <v>87</v>
      </c>
    </row>
    <row r="952" spans="1:24">
      <c r="A952" t="s">
        <v>212</v>
      </c>
      <c r="B952" t="s">
        <v>88</v>
      </c>
      <c r="C952" s="36">
        <v>45470</v>
      </c>
      <c r="D952" t="s">
        <v>670</v>
      </c>
      <c r="E952" s="36">
        <v>45657</v>
      </c>
      <c r="F952" t="s">
        <v>96</v>
      </c>
      <c r="G952" s="36">
        <v>45645</v>
      </c>
      <c r="H952">
        <v>4</v>
      </c>
      <c r="I952" t="s">
        <v>2501</v>
      </c>
      <c r="J952">
        <v>3.6</v>
      </c>
      <c r="K952">
        <v>3.6</v>
      </c>
      <c r="L952">
        <v>3</v>
      </c>
      <c r="M952">
        <v>0.60000000000000009</v>
      </c>
      <c r="N952">
        <v>0.60000000000000009</v>
      </c>
      <c r="O952">
        <v>0</v>
      </c>
      <c r="P952">
        <v>0</v>
      </c>
      <c r="Q952">
        <v>0</v>
      </c>
      <c r="R952">
        <v>0.10000000000000009</v>
      </c>
      <c r="S952">
        <v>0.10000000000000009</v>
      </c>
      <c r="T952" t="s">
        <v>355</v>
      </c>
      <c r="U952">
        <v>4.2</v>
      </c>
      <c r="V952">
        <v>1.2000000000000002</v>
      </c>
      <c r="W952" t="s">
        <v>2513</v>
      </c>
      <c r="X952" t="s">
        <v>89</v>
      </c>
    </row>
    <row r="953" spans="1:24">
      <c r="A953" t="s">
        <v>212</v>
      </c>
      <c r="B953" t="s">
        <v>90</v>
      </c>
      <c r="C953" s="36">
        <v>45512</v>
      </c>
      <c r="D953" t="s">
        <v>670</v>
      </c>
      <c r="E953" s="36">
        <v>45657</v>
      </c>
      <c r="F953" t="s">
        <v>96</v>
      </c>
      <c r="G953" s="36">
        <v>45645</v>
      </c>
      <c r="H953">
        <v>3</v>
      </c>
      <c r="I953" t="s">
        <v>2498</v>
      </c>
      <c r="J953">
        <v>3.7</v>
      </c>
      <c r="K953">
        <v>3.6</v>
      </c>
      <c r="L953">
        <v>3</v>
      </c>
      <c r="M953">
        <v>0.70000000000000018</v>
      </c>
      <c r="N953">
        <v>0.70000000000000018</v>
      </c>
      <c r="O953">
        <v>0.10000000000000009</v>
      </c>
      <c r="P953">
        <v>0.10000000000000009</v>
      </c>
      <c r="Q953">
        <v>1.0000000000000018E-2</v>
      </c>
      <c r="R953">
        <v>0.10000000000000009</v>
      </c>
      <c r="S953">
        <v>0.10000000000000009</v>
      </c>
      <c r="T953" t="s">
        <v>460</v>
      </c>
      <c r="U953">
        <v>3.6</v>
      </c>
      <c r="V953">
        <v>0.60000000000000009</v>
      </c>
      <c r="W953" t="s">
        <v>2513</v>
      </c>
      <c r="X953" t="s">
        <v>91</v>
      </c>
    </row>
    <row r="954" spans="1:24">
      <c r="A954" t="s">
        <v>212</v>
      </c>
      <c r="B954" t="s">
        <v>92</v>
      </c>
      <c r="C954" s="36">
        <v>45561</v>
      </c>
      <c r="D954" t="s">
        <v>670</v>
      </c>
      <c r="E954" s="36">
        <v>45657</v>
      </c>
      <c r="F954" t="s">
        <v>96</v>
      </c>
      <c r="G954" s="36">
        <v>45645</v>
      </c>
      <c r="H954">
        <v>2</v>
      </c>
      <c r="I954" t="s">
        <v>2499</v>
      </c>
      <c r="J954">
        <v>3.7</v>
      </c>
      <c r="K954">
        <v>3.6</v>
      </c>
      <c r="L954">
        <v>3</v>
      </c>
      <c r="M954">
        <v>0.70000000000000018</v>
      </c>
      <c r="N954">
        <v>0.70000000000000018</v>
      </c>
      <c r="O954">
        <v>0.10000000000000009</v>
      </c>
      <c r="P954">
        <v>0.10000000000000009</v>
      </c>
      <c r="Q954">
        <v>1.0000000000000018E-2</v>
      </c>
      <c r="R954">
        <v>0</v>
      </c>
      <c r="S954">
        <v>0</v>
      </c>
      <c r="T954" t="s">
        <v>460</v>
      </c>
      <c r="U954">
        <v>3.7</v>
      </c>
      <c r="V954">
        <v>0.70000000000000018</v>
      </c>
      <c r="W954" t="s">
        <v>2513</v>
      </c>
      <c r="X954" t="s">
        <v>93</v>
      </c>
    </row>
    <row r="955" spans="1:24">
      <c r="A955" t="s">
        <v>212</v>
      </c>
      <c r="B955" t="s">
        <v>94</v>
      </c>
      <c r="C955" s="36">
        <v>45610</v>
      </c>
      <c r="D955" t="s">
        <v>670</v>
      </c>
      <c r="E955" s="36">
        <v>45657</v>
      </c>
      <c r="F955" t="s">
        <v>96</v>
      </c>
      <c r="G955" s="36">
        <v>45645</v>
      </c>
      <c r="H955">
        <v>1</v>
      </c>
      <c r="I955" t="s">
        <v>2495</v>
      </c>
      <c r="J955">
        <v>3.5</v>
      </c>
      <c r="K955">
        <v>3.6</v>
      </c>
      <c r="L955">
        <v>3</v>
      </c>
      <c r="M955">
        <v>0.5</v>
      </c>
      <c r="N955">
        <v>0.5</v>
      </c>
      <c r="O955">
        <v>-0.10000000000000009</v>
      </c>
      <c r="P955">
        <v>0.10000000000000009</v>
      </c>
      <c r="Q955">
        <v>1.0000000000000018E-2</v>
      </c>
      <c r="R955">
        <v>-0.20000000000000018</v>
      </c>
      <c r="S955">
        <v>0.20000000000000018</v>
      </c>
      <c r="T955" t="s">
        <v>565</v>
      </c>
      <c r="U955">
        <v>3.6</v>
      </c>
      <c r="V955">
        <v>0.60000000000000009</v>
      </c>
      <c r="W955" t="s">
        <v>2513</v>
      </c>
      <c r="X955" t="s">
        <v>95</v>
      </c>
    </row>
    <row r="956" spans="1:24">
      <c r="A956" t="s">
        <v>212</v>
      </c>
      <c r="B956" t="s">
        <v>96</v>
      </c>
      <c r="C956" s="36">
        <v>45645</v>
      </c>
      <c r="D956" t="s">
        <v>670</v>
      </c>
      <c r="E956" s="36">
        <v>45657</v>
      </c>
      <c r="F956" t="s">
        <v>96</v>
      </c>
      <c r="G956" s="36">
        <v>45645</v>
      </c>
      <c r="H956">
        <v>0</v>
      </c>
      <c r="I956" t="s">
        <v>2497</v>
      </c>
      <c r="J956">
        <v>3.4</v>
      </c>
      <c r="K956">
        <v>3.6</v>
      </c>
      <c r="L956">
        <v>3</v>
      </c>
      <c r="M956">
        <v>0.39999999999999991</v>
      </c>
      <c r="N956">
        <v>0.39999999999999991</v>
      </c>
      <c r="O956">
        <v>-0.20000000000000018</v>
      </c>
      <c r="P956">
        <v>0.20000000000000018</v>
      </c>
      <c r="Q956">
        <v>4.000000000000007E-2</v>
      </c>
      <c r="R956">
        <v>-0.10000000000000009</v>
      </c>
      <c r="S956">
        <v>0.10000000000000009</v>
      </c>
      <c r="T956" t="s">
        <v>565</v>
      </c>
      <c r="U956">
        <v>3.6</v>
      </c>
      <c r="V956">
        <v>0.60000000000000009</v>
      </c>
      <c r="W956" t="s">
        <v>2513</v>
      </c>
      <c r="X956" t="s">
        <v>97</v>
      </c>
    </row>
    <row r="957" spans="1:24">
      <c r="A957" t="s">
        <v>212</v>
      </c>
      <c r="B957" t="s">
        <v>68</v>
      </c>
      <c r="C957" s="36">
        <v>45015</v>
      </c>
      <c r="D957" t="s">
        <v>771</v>
      </c>
      <c r="E957" s="36">
        <v>45747</v>
      </c>
      <c r="F957" t="s">
        <v>100</v>
      </c>
      <c r="G957" s="36">
        <v>45743</v>
      </c>
      <c r="H957">
        <v>16</v>
      </c>
      <c r="I957" t="s">
        <v>2512</v>
      </c>
      <c r="J957">
        <v>3.3</v>
      </c>
      <c r="K957">
        <v>4.3</v>
      </c>
      <c r="L957">
        <v>3</v>
      </c>
      <c r="M957">
        <v>0.29999999999999982</v>
      </c>
      <c r="N957">
        <v>0.29999999999999982</v>
      </c>
      <c r="O957">
        <v>-1</v>
      </c>
      <c r="P957">
        <v>1</v>
      </c>
      <c r="Q957">
        <v>1</v>
      </c>
      <c r="T957" t="s">
        <v>154</v>
      </c>
      <c r="U957">
        <v>8.5</v>
      </c>
      <c r="V957">
        <v>5.5</v>
      </c>
      <c r="W957" t="s">
        <v>2496</v>
      </c>
      <c r="X957" t="s">
        <v>69</v>
      </c>
    </row>
    <row r="958" spans="1:24">
      <c r="A958" t="s">
        <v>212</v>
      </c>
      <c r="B958" t="s">
        <v>70</v>
      </c>
      <c r="C958" s="36">
        <v>45064</v>
      </c>
      <c r="D958" t="s">
        <v>771</v>
      </c>
      <c r="E958" s="36">
        <v>45747</v>
      </c>
      <c r="F958" t="s">
        <v>100</v>
      </c>
      <c r="G958" s="36">
        <v>45743</v>
      </c>
      <c r="H958">
        <v>15</v>
      </c>
      <c r="I958" t="s">
        <v>2510</v>
      </c>
      <c r="J958">
        <v>3.3</v>
      </c>
      <c r="K958">
        <v>4.3</v>
      </c>
      <c r="L958">
        <v>3</v>
      </c>
      <c r="M958">
        <v>0.29999999999999982</v>
      </c>
      <c r="N958">
        <v>0.29999999999999982</v>
      </c>
      <c r="O958">
        <v>-1</v>
      </c>
      <c r="P958">
        <v>1</v>
      </c>
      <c r="Q958">
        <v>1</v>
      </c>
      <c r="R958">
        <v>0</v>
      </c>
      <c r="S958">
        <v>0</v>
      </c>
      <c r="T958" t="s">
        <v>157</v>
      </c>
      <c r="U958">
        <v>7</v>
      </c>
      <c r="V958">
        <v>4</v>
      </c>
      <c r="W958" t="s">
        <v>2496</v>
      </c>
      <c r="X958" t="s">
        <v>71</v>
      </c>
    </row>
    <row r="959" spans="1:24">
      <c r="A959" t="s">
        <v>212</v>
      </c>
      <c r="B959" t="s">
        <v>72</v>
      </c>
      <c r="C959" s="36">
        <v>45099</v>
      </c>
      <c r="D959" t="s">
        <v>771</v>
      </c>
      <c r="E959" s="36">
        <v>45747</v>
      </c>
      <c r="F959" t="s">
        <v>100</v>
      </c>
      <c r="G959" s="36">
        <v>45743</v>
      </c>
      <c r="H959">
        <v>14</v>
      </c>
      <c r="I959" t="s">
        <v>2511</v>
      </c>
      <c r="J959">
        <v>3.2</v>
      </c>
      <c r="K959">
        <v>4.3</v>
      </c>
      <c r="L959">
        <v>3</v>
      </c>
      <c r="M959">
        <v>0.20000000000000018</v>
      </c>
      <c r="N959">
        <v>0.20000000000000018</v>
      </c>
      <c r="O959">
        <v>-1.0999999999999996</v>
      </c>
      <c r="P959">
        <v>1.0999999999999996</v>
      </c>
      <c r="Q959">
        <v>1.2099999999999993</v>
      </c>
      <c r="R959">
        <v>-9.9999999999999645E-2</v>
      </c>
      <c r="S959">
        <v>9.9999999999999645E-2</v>
      </c>
      <c r="T959" t="s">
        <v>157</v>
      </c>
      <c r="U959">
        <v>6.9</v>
      </c>
      <c r="V959">
        <v>3.9000000000000004</v>
      </c>
      <c r="W959" t="s">
        <v>2496</v>
      </c>
      <c r="X959" t="s">
        <v>73</v>
      </c>
    </row>
    <row r="960" spans="1:24">
      <c r="A960" t="s">
        <v>212</v>
      </c>
      <c r="B960" t="s">
        <v>74</v>
      </c>
      <c r="C960" s="36">
        <v>45148</v>
      </c>
      <c r="D960" t="s">
        <v>771</v>
      </c>
      <c r="E960" s="36">
        <v>45747</v>
      </c>
      <c r="F960" t="s">
        <v>100</v>
      </c>
      <c r="G960" s="36">
        <v>45743</v>
      </c>
      <c r="H960">
        <v>13</v>
      </c>
      <c r="I960" t="s">
        <v>2508</v>
      </c>
      <c r="J960">
        <v>3.2</v>
      </c>
      <c r="K960">
        <v>4.3</v>
      </c>
      <c r="L960">
        <v>3</v>
      </c>
      <c r="M960">
        <v>0.20000000000000018</v>
      </c>
      <c r="N960">
        <v>0.20000000000000018</v>
      </c>
      <c r="O960">
        <v>-1.0999999999999996</v>
      </c>
      <c r="P960">
        <v>1.0999999999999996</v>
      </c>
      <c r="Q960">
        <v>1.2099999999999993</v>
      </c>
      <c r="R960">
        <v>0</v>
      </c>
      <c r="S960">
        <v>0</v>
      </c>
      <c r="T960" t="s">
        <v>160</v>
      </c>
      <c r="U960">
        <v>5.0999999999999996</v>
      </c>
      <c r="V960">
        <v>2.0999999999999996</v>
      </c>
      <c r="W960" t="s">
        <v>2496</v>
      </c>
      <c r="X960" t="s">
        <v>75</v>
      </c>
    </row>
    <row r="961" spans="1:24">
      <c r="A961" t="s">
        <v>212</v>
      </c>
      <c r="B961" t="s">
        <v>76</v>
      </c>
      <c r="C961" s="36">
        <v>45197</v>
      </c>
      <c r="D961" t="s">
        <v>771</v>
      </c>
      <c r="E961" s="36">
        <v>45747</v>
      </c>
      <c r="F961" t="s">
        <v>100</v>
      </c>
      <c r="G961" s="36">
        <v>45743</v>
      </c>
      <c r="H961">
        <v>12</v>
      </c>
      <c r="I961" t="s">
        <v>2509</v>
      </c>
      <c r="J961">
        <v>3</v>
      </c>
      <c r="K961">
        <v>4.3</v>
      </c>
      <c r="L961">
        <v>3</v>
      </c>
      <c r="M961">
        <v>0</v>
      </c>
      <c r="N961">
        <v>0</v>
      </c>
      <c r="O961">
        <v>-1.2999999999999998</v>
      </c>
      <c r="P961">
        <v>1.2999999999999998</v>
      </c>
      <c r="Q961">
        <v>1.6899999999999995</v>
      </c>
      <c r="R961">
        <v>-0.20000000000000018</v>
      </c>
      <c r="S961">
        <v>0.20000000000000018</v>
      </c>
      <c r="T961" t="s">
        <v>160</v>
      </c>
      <c r="U961">
        <v>5.2</v>
      </c>
      <c r="V961">
        <v>2.2000000000000002</v>
      </c>
      <c r="W961" t="s">
        <v>2496</v>
      </c>
      <c r="X961" t="s">
        <v>77</v>
      </c>
    </row>
    <row r="962" spans="1:24">
      <c r="A962" t="s">
        <v>212</v>
      </c>
      <c r="B962" t="s">
        <v>78</v>
      </c>
      <c r="C962" s="36">
        <v>45239</v>
      </c>
      <c r="D962" t="s">
        <v>771</v>
      </c>
      <c r="E962" s="36">
        <v>45747</v>
      </c>
      <c r="F962" t="s">
        <v>100</v>
      </c>
      <c r="G962" s="36">
        <v>45743</v>
      </c>
      <c r="H962">
        <v>11</v>
      </c>
      <c r="I962" t="s">
        <v>2506</v>
      </c>
      <c r="J962">
        <v>3</v>
      </c>
      <c r="K962">
        <v>4.3</v>
      </c>
      <c r="L962">
        <v>3</v>
      </c>
      <c r="M962">
        <v>0</v>
      </c>
      <c r="N962">
        <v>0</v>
      </c>
      <c r="O962">
        <v>-1.2999999999999998</v>
      </c>
      <c r="P962">
        <v>1.2999999999999998</v>
      </c>
      <c r="Q962">
        <v>1.6899999999999995</v>
      </c>
      <c r="R962">
        <v>0</v>
      </c>
      <c r="S962">
        <v>0</v>
      </c>
      <c r="T962" t="s">
        <v>183</v>
      </c>
      <c r="U962">
        <v>4.5999999999999996</v>
      </c>
      <c r="V962">
        <v>1.5999999999999996</v>
      </c>
      <c r="W962" t="s">
        <v>2496</v>
      </c>
      <c r="X962" t="s">
        <v>79</v>
      </c>
    </row>
    <row r="963" spans="1:24">
      <c r="A963" t="s">
        <v>212</v>
      </c>
      <c r="B963" t="s">
        <v>80</v>
      </c>
      <c r="C963" s="36">
        <v>45274</v>
      </c>
      <c r="D963" t="s">
        <v>771</v>
      </c>
      <c r="E963" s="36">
        <v>45747</v>
      </c>
      <c r="F963" t="s">
        <v>100</v>
      </c>
      <c r="G963" s="36">
        <v>45743</v>
      </c>
      <c r="H963">
        <v>10</v>
      </c>
      <c r="I963" t="s">
        <v>2507</v>
      </c>
      <c r="J963">
        <v>3.1</v>
      </c>
      <c r="K963">
        <v>4.3</v>
      </c>
      <c r="L963">
        <v>3</v>
      </c>
      <c r="M963">
        <v>0.10000000000000009</v>
      </c>
      <c r="N963">
        <v>0.10000000000000009</v>
      </c>
      <c r="O963">
        <v>-1.1999999999999997</v>
      </c>
      <c r="P963">
        <v>1.1999999999999997</v>
      </c>
      <c r="Q963">
        <v>1.4399999999999993</v>
      </c>
      <c r="R963">
        <v>0.10000000000000009</v>
      </c>
      <c r="S963">
        <v>0.10000000000000009</v>
      </c>
      <c r="T963" t="s">
        <v>183</v>
      </c>
      <c r="U963">
        <v>4.5999999999999996</v>
      </c>
      <c r="V963">
        <v>1.5999999999999996</v>
      </c>
      <c r="W963" t="s">
        <v>2496</v>
      </c>
      <c r="X963" t="s">
        <v>81</v>
      </c>
    </row>
    <row r="964" spans="1:24">
      <c r="A964" t="s">
        <v>212</v>
      </c>
      <c r="B964" t="s">
        <v>82</v>
      </c>
      <c r="C964" s="36">
        <v>45330</v>
      </c>
      <c r="D964" t="s">
        <v>771</v>
      </c>
      <c r="E964" s="36">
        <v>45747</v>
      </c>
      <c r="F964" t="s">
        <v>100</v>
      </c>
      <c r="G964" s="36">
        <v>45743</v>
      </c>
      <c r="H964">
        <v>9</v>
      </c>
      <c r="I964" t="s">
        <v>2504</v>
      </c>
      <c r="J964">
        <v>3</v>
      </c>
      <c r="K964">
        <v>4.3</v>
      </c>
      <c r="L964">
        <v>3</v>
      </c>
      <c r="M964">
        <v>0</v>
      </c>
      <c r="N964">
        <v>0</v>
      </c>
      <c r="O964">
        <v>-1.2999999999999998</v>
      </c>
      <c r="P964">
        <v>1.2999999999999998</v>
      </c>
      <c r="Q964">
        <v>1.6899999999999995</v>
      </c>
      <c r="R964">
        <v>-0.10000000000000009</v>
      </c>
      <c r="S964">
        <v>0.10000000000000009</v>
      </c>
      <c r="T964" t="s">
        <v>254</v>
      </c>
      <c r="U964">
        <v>4.4000000000000004</v>
      </c>
      <c r="V964">
        <v>1.4000000000000004</v>
      </c>
      <c r="W964" t="s">
        <v>2496</v>
      </c>
      <c r="X964" t="s">
        <v>83</v>
      </c>
    </row>
    <row r="965" spans="1:24">
      <c r="A965" t="s">
        <v>212</v>
      </c>
      <c r="B965" t="s">
        <v>84</v>
      </c>
      <c r="C965" s="36">
        <v>45372</v>
      </c>
      <c r="D965" t="s">
        <v>771</v>
      </c>
      <c r="E965" s="36">
        <v>45747</v>
      </c>
      <c r="F965" t="s">
        <v>100</v>
      </c>
      <c r="G965" s="36">
        <v>45743</v>
      </c>
      <c r="H965">
        <v>8</v>
      </c>
      <c r="I965" t="s">
        <v>2505</v>
      </c>
      <c r="J965">
        <v>3.1</v>
      </c>
      <c r="K965">
        <v>4.3</v>
      </c>
      <c r="L965">
        <v>3</v>
      </c>
      <c r="M965">
        <v>0.10000000000000009</v>
      </c>
      <c r="N965">
        <v>0.10000000000000009</v>
      </c>
      <c r="O965">
        <v>-1.1999999999999997</v>
      </c>
      <c r="P965">
        <v>1.1999999999999997</v>
      </c>
      <c r="Q965">
        <v>1.4399999999999993</v>
      </c>
      <c r="R965">
        <v>0.10000000000000009</v>
      </c>
      <c r="S965">
        <v>0.10000000000000009</v>
      </c>
      <c r="T965" t="s">
        <v>254</v>
      </c>
      <c r="U965">
        <v>4.5999999999999996</v>
      </c>
      <c r="V965">
        <v>1.5999999999999996</v>
      </c>
      <c r="W965" t="s">
        <v>2496</v>
      </c>
      <c r="X965" t="s">
        <v>85</v>
      </c>
    </row>
    <row r="966" spans="1:24">
      <c r="A966" t="s">
        <v>212</v>
      </c>
      <c r="B966" t="s">
        <v>86</v>
      </c>
      <c r="C966" s="36">
        <v>45421</v>
      </c>
      <c r="D966" t="s">
        <v>771</v>
      </c>
      <c r="E966" s="36">
        <v>45747</v>
      </c>
      <c r="F966" t="s">
        <v>100</v>
      </c>
      <c r="G966" s="36">
        <v>45743</v>
      </c>
      <c r="H966">
        <v>7</v>
      </c>
      <c r="I966" t="s">
        <v>2502</v>
      </c>
      <c r="J966">
        <v>3.2</v>
      </c>
      <c r="K966">
        <v>4.3</v>
      </c>
      <c r="L966">
        <v>3</v>
      </c>
      <c r="M966">
        <v>0.20000000000000018</v>
      </c>
      <c r="N966">
        <v>0.20000000000000018</v>
      </c>
      <c r="O966">
        <v>-1.0999999999999996</v>
      </c>
      <c r="P966">
        <v>1.0999999999999996</v>
      </c>
      <c r="Q966">
        <v>1.2099999999999993</v>
      </c>
      <c r="R966">
        <v>0.10000000000000009</v>
      </c>
      <c r="S966">
        <v>0.10000000000000009</v>
      </c>
      <c r="T966" t="s">
        <v>355</v>
      </c>
      <c r="U966">
        <v>4.3</v>
      </c>
      <c r="V966">
        <v>1.2999999999999998</v>
      </c>
      <c r="W966" t="s">
        <v>2496</v>
      </c>
      <c r="X966" t="s">
        <v>87</v>
      </c>
    </row>
    <row r="967" spans="1:24">
      <c r="A967" t="s">
        <v>212</v>
      </c>
      <c r="B967" t="s">
        <v>88</v>
      </c>
      <c r="C967" s="36">
        <v>45470</v>
      </c>
      <c r="D967" t="s">
        <v>771</v>
      </c>
      <c r="E967" s="36">
        <v>45747</v>
      </c>
      <c r="F967" t="s">
        <v>100</v>
      </c>
      <c r="G967" s="36">
        <v>45743</v>
      </c>
      <c r="H967">
        <v>6</v>
      </c>
      <c r="I967" t="s">
        <v>2503</v>
      </c>
      <c r="J967">
        <v>3</v>
      </c>
      <c r="K967">
        <v>4.3</v>
      </c>
      <c r="L967">
        <v>3</v>
      </c>
      <c r="M967">
        <v>0</v>
      </c>
      <c r="N967">
        <v>0</v>
      </c>
      <c r="O967">
        <v>-1.2999999999999998</v>
      </c>
      <c r="P967">
        <v>1.2999999999999998</v>
      </c>
      <c r="Q967">
        <v>1.6899999999999995</v>
      </c>
      <c r="R967">
        <v>-0.20000000000000018</v>
      </c>
      <c r="S967">
        <v>0.20000000000000018</v>
      </c>
      <c r="T967" t="s">
        <v>355</v>
      </c>
      <c r="U967">
        <v>4.2</v>
      </c>
      <c r="V967">
        <v>1.2000000000000002</v>
      </c>
      <c r="W967" t="s">
        <v>2496</v>
      </c>
      <c r="X967" t="s">
        <v>89</v>
      </c>
    </row>
    <row r="968" spans="1:24">
      <c r="A968" t="s">
        <v>212</v>
      </c>
      <c r="B968" t="s">
        <v>90</v>
      </c>
      <c r="C968" s="36">
        <v>45512</v>
      </c>
      <c r="D968" t="s">
        <v>771</v>
      </c>
      <c r="E968" s="36">
        <v>45747</v>
      </c>
      <c r="F968" t="s">
        <v>100</v>
      </c>
      <c r="G968" s="36">
        <v>45743</v>
      </c>
      <c r="H968">
        <v>5</v>
      </c>
      <c r="I968" t="s">
        <v>2500</v>
      </c>
      <c r="J968">
        <v>3.2</v>
      </c>
      <c r="K968">
        <v>4.3</v>
      </c>
      <c r="L968">
        <v>3</v>
      </c>
      <c r="M968">
        <v>0.20000000000000018</v>
      </c>
      <c r="N968">
        <v>0.20000000000000018</v>
      </c>
      <c r="O968">
        <v>-1.0999999999999996</v>
      </c>
      <c r="P968">
        <v>1.0999999999999996</v>
      </c>
      <c r="Q968">
        <v>1.2099999999999993</v>
      </c>
      <c r="R968">
        <v>0.20000000000000018</v>
      </c>
      <c r="S968">
        <v>0.20000000000000018</v>
      </c>
      <c r="T968" t="s">
        <v>460</v>
      </c>
      <c r="U968">
        <v>3.6</v>
      </c>
      <c r="V968">
        <v>0.60000000000000009</v>
      </c>
      <c r="W968" t="s">
        <v>2496</v>
      </c>
      <c r="X968" t="s">
        <v>91</v>
      </c>
    </row>
    <row r="969" spans="1:24">
      <c r="A969" t="s">
        <v>212</v>
      </c>
      <c r="B969" t="s">
        <v>92</v>
      </c>
      <c r="C969" s="36">
        <v>45561</v>
      </c>
      <c r="D969" t="s">
        <v>771</v>
      </c>
      <c r="E969" s="36">
        <v>45747</v>
      </c>
      <c r="F969" t="s">
        <v>100</v>
      </c>
      <c r="G969" s="36">
        <v>45743</v>
      </c>
      <c r="H969">
        <v>4</v>
      </c>
      <c r="I969" t="s">
        <v>2501</v>
      </c>
      <c r="J969">
        <v>3.2</v>
      </c>
      <c r="K969">
        <v>4.3</v>
      </c>
      <c r="L969">
        <v>3</v>
      </c>
      <c r="M969">
        <v>0.20000000000000018</v>
      </c>
      <c r="N969">
        <v>0.20000000000000018</v>
      </c>
      <c r="O969">
        <v>-1.0999999999999996</v>
      </c>
      <c r="P969">
        <v>1.0999999999999996</v>
      </c>
      <c r="Q969">
        <v>1.2099999999999993</v>
      </c>
      <c r="R969">
        <v>0</v>
      </c>
      <c r="S969">
        <v>0</v>
      </c>
      <c r="T969" t="s">
        <v>460</v>
      </c>
      <c r="U969">
        <v>3.7</v>
      </c>
      <c r="V969">
        <v>0.70000000000000018</v>
      </c>
      <c r="W969" t="s">
        <v>2496</v>
      </c>
      <c r="X969" t="s">
        <v>93</v>
      </c>
    </row>
    <row r="970" spans="1:24">
      <c r="A970" t="s">
        <v>212</v>
      </c>
      <c r="B970" t="s">
        <v>94</v>
      </c>
      <c r="C970" s="36">
        <v>45610</v>
      </c>
      <c r="D970" t="s">
        <v>771</v>
      </c>
      <c r="E970" s="36">
        <v>45747</v>
      </c>
      <c r="F970" t="s">
        <v>100</v>
      </c>
      <c r="G970" s="36">
        <v>45743</v>
      </c>
      <c r="H970">
        <v>3</v>
      </c>
      <c r="I970" t="s">
        <v>2498</v>
      </c>
      <c r="J970">
        <v>3.3</v>
      </c>
      <c r="K970">
        <v>4.3</v>
      </c>
      <c r="L970">
        <v>3</v>
      </c>
      <c r="M970">
        <v>0.29999999999999982</v>
      </c>
      <c r="N970">
        <v>0.29999999999999982</v>
      </c>
      <c r="O970">
        <v>-1</v>
      </c>
      <c r="P970">
        <v>1</v>
      </c>
      <c r="Q970">
        <v>1</v>
      </c>
      <c r="R970">
        <v>9.9999999999999645E-2</v>
      </c>
      <c r="S970">
        <v>9.9999999999999645E-2</v>
      </c>
      <c r="T970" t="s">
        <v>565</v>
      </c>
      <c r="U970">
        <v>3.6</v>
      </c>
      <c r="V970">
        <v>0.60000000000000009</v>
      </c>
      <c r="W970" t="s">
        <v>2496</v>
      </c>
      <c r="X970" t="s">
        <v>95</v>
      </c>
    </row>
    <row r="971" spans="1:24">
      <c r="A971" t="s">
        <v>212</v>
      </c>
      <c r="B971" t="s">
        <v>96</v>
      </c>
      <c r="C971" s="36">
        <v>45645</v>
      </c>
      <c r="D971" t="s">
        <v>771</v>
      </c>
      <c r="E971" s="36">
        <v>45747</v>
      </c>
      <c r="F971" t="s">
        <v>100</v>
      </c>
      <c r="G971" s="36">
        <v>45743</v>
      </c>
      <c r="H971">
        <v>2</v>
      </c>
      <c r="I971" t="s">
        <v>2499</v>
      </c>
      <c r="J971">
        <v>3.7</v>
      </c>
      <c r="K971">
        <v>4.3</v>
      </c>
      <c r="L971">
        <v>3</v>
      </c>
      <c r="M971">
        <v>0.70000000000000018</v>
      </c>
      <c r="N971">
        <v>0.70000000000000018</v>
      </c>
      <c r="O971">
        <v>-0.59999999999999964</v>
      </c>
      <c r="P971">
        <v>0.59999999999999964</v>
      </c>
      <c r="Q971">
        <v>0.3599999999999996</v>
      </c>
      <c r="R971">
        <v>0.40000000000000036</v>
      </c>
      <c r="S971">
        <v>0.40000000000000036</v>
      </c>
      <c r="T971" t="s">
        <v>565</v>
      </c>
      <c r="U971">
        <v>3.6</v>
      </c>
      <c r="V971">
        <v>0.60000000000000009</v>
      </c>
      <c r="W971" t="s">
        <v>2496</v>
      </c>
      <c r="X971" t="s">
        <v>97</v>
      </c>
    </row>
    <row r="972" spans="1:24">
      <c r="A972" t="s">
        <v>212</v>
      </c>
      <c r="B972" t="s">
        <v>98</v>
      </c>
      <c r="C972" s="36">
        <v>45694</v>
      </c>
      <c r="D972" t="s">
        <v>771</v>
      </c>
      <c r="E972" s="36">
        <v>45747</v>
      </c>
      <c r="F972" t="s">
        <v>100</v>
      </c>
      <c r="G972" s="36">
        <v>45743</v>
      </c>
      <c r="H972">
        <v>1</v>
      </c>
      <c r="I972" t="s">
        <v>2495</v>
      </c>
      <c r="J972">
        <v>3.8</v>
      </c>
      <c r="K972">
        <v>4.3</v>
      </c>
      <c r="L972">
        <v>3</v>
      </c>
      <c r="M972">
        <v>0.79999999999999982</v>
      </c>
      <c r="N972">
        <v>0.79999999999999982</v>
      </c>
      <c r="O972">
        <v>-0.5</v>
      </c>
      <c r="P972">
        <v>0.5</v>
      </c>
      <c r="Q972">
        <v>0.25</v>
      </c>
      <c r="R972">
        <v>9.9999999999999645E-2</v>
      </c>
      <c r="S972">
        <v>9.9999999999999645E-2</v>
      </c>
      <c r="T972" t="s">
        <v>670</v>
      </c>
      <c r="U972">
        <v>3.4</v>
      </c>
      <c r="V972">
        <v>0.39999999999999991</v>
      </c>
      <c r="W972" t="s">
        <v>2496</v>
      </c>
      <c r="X972" t="s">
        <v>99</v>
      </c>
    </row>
    <row r="973" spans="1:24">
      <c r="A973" t="s">
        <v>212</v>
      </c>
      <c r="B973" t="s">
        <v>100</v>
      </c>
      <c r="C973" s="36">
        <v>45743</v>
      </c>
      <c r="D973" t="s">
        <v>771</v>
      </c>
      <c r="E973" s="36">
        <v>45747</v>
      </c>
      <c r="F973" t="s">
        <v>100</v>
      </c>
      <c r="G973" s="36">
        <v>45743</v>
      </c>
      <c r="H973">
        <v>0</v>
      </c>
      <c r="I973" t="s">
        <v>2497</v>
      </c>
      <c r="J973">
        <v>4.0999999999999996</v>
      </c>
      <c r="K973">
        <v>4.3</v>
      </c>
      <c r="L973">
        <v>3</v>
      </c>
      <c r="M973">
        <v>1.0999999999999996</v>
      </c>
      <c r="N973">
        <v>1.0999999999999996</v>
      </c>
      <c r="O973">
        <v>-0.20000000000000018</v>
      </c>
      <c r="P973">
        <v>0.20000000000000018</v>
      </c>
      <c r="Q973">
        <v>4.000000000000007E-2</v>
      </c>
      <c r="R973">
        <v>0.29999999999999982</v>
      </c>
      <c r="S973">
        <v>0.29999999999999982</v>
      </c>
      <c r="T973" t="s">
        <v>670</v>
      </c>
      <c r="U973">
        <v>3.4</v>
      </c>
      <c r="V973">
        <v>0.39999999999999991</v>
      </c>
      <c r="W973" t="s">
        <v>2496</v>
      </c>
      <c r="X973" t="s">
        <v>101</v>
      </c>
    </row>
    <row r="974" spans="1:24">
      <c r="A974" t="s">
        <v>212</v>
      </c>
      <c r="B974" t="s">
        <v>72</v>
      </c>
      <c r="C974" s="36">
        <v>45099</v>
      </c>
      <c r="D974" t="s">
        <v>876</v>
      </c>
      <c r="E974" s="36">
        <v>45838</v>
      </c>
      <c r="F974" t="s">
        <v>104</v>
      </c>
      <c r="G974" s="36">
        <v>45834</v>
      </c>
      <c r="H974">
        <v>16</v>
      </c>
      <c r="I974" t="s">
        <v>2512</v>
      </c>
      <c r="J974">
        <v>2.8</v>
      </c>
      <c r="K974">
        <v>4.9000000000000004</v>
      </c>
      <c r="L974">
        <v>3</v>
      </c>
      <c r="M974">
        <v>-0.20000000000000018</v>
      </c>
      <c r="N974">
        <v>0.20000000000000018</v>
      </c>
      <c r="O974">
        <v>-2.1000000000000005</v>
      </c>
      <c r="P974">
        <v>2.1000000000000005</v>
      </c>
      <c r="Q974">
        <v>4.4100000000000019</v>
      </c>
      <c r="T974" t="s">
        <v>157</v>
      </c>
      <c r="U974">
        <v>6.9</v>
      </c>
      <c r="V974">
        <v>3.9000000000000004</v>
      </c>
      <c r="W974" t="s">
        <v>2496</v>
      </c>
      <c r="X974" t="s">
        <v>73</v>
      </c>
    </row>
    <row r="975" spans="1:24">
      <c r="A975" t="s">
        <v>212</v>
      </c>
      <c r="B975" t="s">
        <v>74</v>
      </c>
      <c r="C975" s="36">
        <v>45148</v>
      </c>
      <c r="D975" t="s">
        <v>876</v>
      </c>
      <c r="E975" s="36">
        <v>45838</v>
      </c>
      <c r="F975" t="s">
        <v>104</v>
      </c>
      <c r="G975" s="36">
        <v>45834</v>
      </c>
      <c r="H975">
        <v>15</v>
      </c>
      <c r="I975" t="s">
        <v>2510</v>
      </c>
      <c r="J975">
        <v>2.8</v>
      </c>
      <c r="K975">
        <v>4.9000000000000004</v>
      </c>
      <c r="L975">
        <v>3</v>
      </c>
      <c r="M975">
        <v>-0.20000000000000018</v>
      </c>
      <c r="N975">
        <v>0.20000000000000018</v>
      </c>
      <c r="O975">
        <v>-2.1000000000000005</v>
      </c>
      <c r="P975">
        <v>2.1000000000000005</v>
      </c>
      <c r="Q975">
        <v>4.4100000000000019</v>
      </c>
      <c r="R975">
        <v>0</v>
      </c>
      <c r="S975">
        <v>0</v>
      </c>
      <c r="T975" t="s">
        <v>160</v>
      </c>
      <c r="U975">
        <v>5.0999999999999996</v>
      </c>
      <c r="V975">
        <v>2.0999999999999996</v>
      </c>
      <c r="W975" t="s">
        <v>2496</v>
      </c>
      <c r="X975" t="s">
        <v>75</v>
      </c>
    </row>
    <row r="976" spans="1:24">
      <c r="A976" t="s">
        <v>212</v>
      </c>
      <c r="B976" t="s">
        <v>76</v>
      </c>
      <c r="C976" s="36">
        <v>45197</v>
      </c>
      <c r="D976" t="s">
        <v>876</v>
      </c>
      <c r="E976" s="36">
        <v>45838</v>
      </c>
      <c r="F976" t="s">
        <v>104</v>
      </c>
      <c r="G976" s="36">
        <v>45834</v>
      </c>
      <c r="H976">
        <v>14</v>
      </c>
      <c r="I976" t="s">
        <v>2511</v>
      </c>
      <c r="J976">
        <v>2.7</v>
      </c>
      <c r="K976">
        <v>4.9000000000000004</v>
      </c>
      <c r="L976">
        <v>3</v>
      </c>
      <c r="M976">
        <v>-0.29999999999999982</v>
      </c>
      <c r="N976">
        <v>0.29999999999999982</v>
      </c>
      <c r="O976">
        <v>-2.2000000000000002</v>
      </c>
      <c r="P976">
        <v>2.2000000000000002</v>
      </c>
      <c r="Q976">
        <v>4.8400000000000007</v>
      </c>
      <c r="R976">
        <v>-9.9999999999999645E-2</v>
      </c>
      <c r="S976">
        <v>9.9999999999999645E-2</v>
      </c>
      <c r="T976" t="s">
        <v>160</v>
      </c>
      <c r="U976">
        <v>5.2</v>
      </c>
      <c r="V976">
        <v>2.2000000000000002</v>
      </c>
      <c r="W976" t="s">
        <v>2496</v>
      </c>
      <c r="X976" t="s">
        <v>77</v>
      </c>
    </row>
    <row r="977" spans="1:24">
      <c r="A977" t="s">
        <v>212</v>
      </c>
      <c r="B977" t="s">
        <v>78</v>
      </c>
      <c r="C977" s="36">
        <v>45239</v>
      </c>
      <c r="D977" t="s">
        <v>876</v>
      </c>
      <c r="E977" s="36">
        <v>45838</v>
      </c>
      <c r="F977" t="s">
        <v>104</v>
      </c>
      <c r="G977" s="36">
        <v>45834</v>
      </c>
      <c r="H977">
        <v>13</v>
      </c>
      <c r="I977" t="s">
        <v>2508</v>
      </c>
      <c r="J977">
        <v>2.7</v>
      </c>
      <c r="K977">
        <v>4.9000000000000004</v>
      </c>
      <c r="L977">
        <v>3</v>
      </c>
      <c r="M977">
        <v>-0.29999999999999982</v>
      </c>
      <c r="N977">
        <v>0.29999999999999982</v>
      </c>
      <c r="O977">
        <v>-2.2000000000000002</v>
      </c>
      <c r="P977">
        <v>2.2000000000000002</v>
      </c>
      <c r="Q977">
        <v>4.8400000000000007</v>
      </c>
      <c r="R977">
        <v>0</v>
      </c>
      <c r="S977">
        <v>0</v>
      </c>
      <c r="T977" t="s">
        <v>183</v>
      </c>
      <c r="U977">
        <v>4.5999999999999996</v>
      </c>
      <c r="V977">
        <v>1.5999999999999996</v>
      </c>
      <c r="W977" t="s">
        <v>2496</v>
      </c>
      <c r="X977" t="s">
        <v>79</v>
      </c>
    </row>
    <row r="978" spans="1:24">
      <c r="A978" t="s">
        <v>212</v>
      </c>
      <c r="B978" t="s">
        <v>80</v>
      </c>
      <c r="C978" s="36">
        <v>45274</v>
      </c>
      <c r="D978" t="s">
        <v>876</v>
      </c>
      <c r="E978" s="36">
        <v>45838</v>
      </c>
      <c r="F978" t="s">
        <v>104</v>
      </c>
      <c r="G978" s="36">
        <v>45834</v>
      </c>
      <c r="H978">
        <v>12</v>
      </c>
      <c r="I978" t="s">
        <v>2509</v>
      </c>
      <c r="J978">
        <v>2.8</v>
      </c>
      <c r="K978">
        <v>4.9000000000000004</v>
      </c>
      <c r="L978">
        <v>3</v>
      </c>
      <c r="M978">
        <v>-0.20000000000000018</v>
      </c>
      <c r="N978">
        <v>0.20000000000000018</v>
      </c>
      <c r="O978">
        <v>-2.1000000000000005</v>
      </c>
      <c r="P978">
        <v>2.1000000000000005</v>
      </c>
      <c r="Q978">
        <v>4.4100000000000019</v>
      </c>
      <c r="R978">
        <v>9.9999999999999645E-2</v>
      </c>
      <c r="S978">
        <v>9.9999999999999645E-2</v>
      </c>
      <c r="T978" t="s">
        <v>183</v>
      </c>
      <c r="U978">
        <v>4.5999999999999996</v>
      </c>
      <c r="V978">
        <v>1.5999999999999996</v>
      </c>
      <c r="W978" t="s">
        <v>2496</v>
      </c>
      <c r="X978" t="s">
        <v>81</v>
      </c>
    </row>
    <row r="979" spans="1:24">
      <c r="A979" t="s">
        <v>212</v>
      </c>
      <c r="B979" t="s">
        <v>82</v>
      </c>
      <c r="C979" s="36">
        <v>45330</v>
      </c>
      <c r="D979" t="s">
        <v>876</v>
      </c>
      <c r="E979" s="36">
        <v>45838</v>
      </c>
      <c r="F979" t="s">
        <v>104</v>
      </c>
      <c r="G979" s="36">
        <v>45834</v>
      </c>
      <c r="H979">
        <v>11</v>
      </c>
      <c r="I979" t="s">
        <v>2506</v>
      </c>
      <c r="J979">
        <v>3</v>
      </c>
      <c r="K979">
        <v>4.9000000000000004</v>
      </c>
      <c r="L979">
        <v>3</v>
      </c>
      <c r="M979">
        <v>0</v>
      </c>
      <c r="N979">
        <v>0</v>
      </c>
      <c r="O979">
        <v>-1.9000000000000004</v>
      </c>
      <c r="P979">
        <v>1.9000000000000004</v>
      </c>
      <c r="Q979">
        <v>3.6100000000000012</v>
      </c>
      <c r="R979">
        <v>0.20000000000000018</v>
      </c>
      <c r="S979">
        <v>0.20000000000000018</v>
      </c>
      <c r="T979" t="s">
        <v>254</v>
      </c>
      <c r="U979">
        <v>4.4000000000000004</v>
      </c>
      <c r="V979">
        <v>1.4000000000000004</v>
      </c>
      <c r="W979" t="s">
        <v>2496</v>
      </c>
      <c r="X979" t="s">
        <v>83</v>
      </c>
    </row>
    <row r="980" spans="1:24">
      <c r="A980" t="s">
        <v>212</v>
      </c>
      <c r="B980" t="s">
        <v>84</v>
      </c>
      <c r="C980" s="36">
        <v>45372</v>
      </c>
      <c r="D980" t="s">
        <v>876</v>
      </c>
      <c r="E980" s="36">
        <v>45838</v>
      </c>
      <c r="F980" t="s">
        <v>104</v>
      </c>
      <c r="G980" s="36">
        <v>45834</v>
      </c>
      <c r="H980">
        <v>10</v>
      </c>
      <c r="I980" t="s">
        <v>2507</v>
      </c>
      <c r="J980">
        <v>3.2</v>
      </c>
      <c r="K980">
        <v>4.9000000000000004</v>
      </c>
      <c r="L980">
        <v>3</v>
      </c>
      <c r="M980">
        <v>0.20000000000000018</v>
      </c>
      <c r="N980">
        <v>0.20000000000000018</v>
      </c>
      <c r="O980">
        <v>-1.7000000000000002</v>
      </c>
      <c r="P980">
        <v>1.7000000000000002</v>
      </c>
      <c r="Q980">
        <v>2.8900000000000006</v>
      </c>
      <c r="R980">
        <v>0.20000000000000018</v>
      </c>
      <c r="S980">
        <v>0.20000000000000018</v>
      </c>
      <c r="T980" t="s">
        <v>254</v>
      </c>
      <c r="U980">
        <v>4.5999999999999996</v>
      </c>
      <c r="V980">
        <v>1.5999999999999996</v>
      </c>
      <c r="W980" t="s">
        <v>2496</v>
      </c>
      <c r="X980" t="s">
        <v>85</v>
      </c>
    </row>
    <row r="981" spans="1:24">
      <c r="A981" t="s">
        <v>212</v>
      </c>
      <c r="B981" t="s">
        <v>86</v>
      </c>
      <c r="C981" s="36">
        <v>45421</v>
      </c>
      <c r="D981" t="s">
        <v>876</v>
      </c>
      <c r="E981" s="36">
        <v>45838</v>
      </c>
      <c r="F981" t="s">
        <v>104</v>
      </c>
      <c r="G981" s="36">
        <v>45834</v>
      </c>
      <c r="H981">
        <v>9</v>
      </c>
      <c r="I981" t="s">
        <v>2504</v>
      </c>
      <c r="J981">
        <v>3.2</v>
      </c>
      <c r="K981">
        <v>4.9000000000000004</v>
      </c>
      <c r="L981">
        <v>3</v>
      </c>
      <c r="M981">
        <v>0.20000000000000018</v>
      </c>
      <c r="N981">
        <v>0.20000000000000018</v>
      </c>
      <c r="O981">
        <v>-1.7000000000000002</v>
      </c>
      <c r="P981">
        <v>1.7000000000000002</v>
      </c>
      <c r="Q981">
        <v>2.8900000000000006</v>
      </c>
      <c r="R981">
        <v>0</v>
      </c>
      <c r="S981">
        <v>0</v>
      </c>
      <c r="T981" t="s">
        <v>355</v>
      </c>
      <c r="U981">
        <v>4.3</v>
      </c>
      <c r="V981">
        <v>1.2999999999999998</v>
      </c>
      <c r="W981" t="s">
        <v>2496</v>
      </c>
      <c r="X981" t="s">
        <v>87</v>
      </c>
    </row>
    <row r="982" spans="1:24">
      <c r="A982" t="s">
        <v>212</v>
      </c>
      <c r="B982" t="s">
        <v>88</v>
      </c>
      <c r="C982" s="36">
        <v>45470</v>
      </c>
      <c r="D982" t="s">
        <v>876</v>
      </c>
      <c r="E982" s="36">
        <v>45838</v>
      </c>
      <c r="F982" t="s">
        <v>104</v>
      </c>
      <c r="G982" s="36">
        <v>45834</v>
      </c>
      <c r="H982">
        <v>8</v>
      </c>
      <c r="I982" t="s">
        <v>2505</v>
      </c>
      <c r="J982">
        <v>2.8</v>
      </c>
      <c r="K982">
        <v>4.9000000000000004</v>
      </c>
      <c r="L982">
        <v>3</v>
      </c>
      <c r="M982">
        <v>-0.20000000000000018</v>
      </c>
      <c r="N982">
        <v>0.20000000000000018</v>
      </c>
      <c r="O982">
        <v>-2.1000000000000005</v>
      </c>
      <c r="P982">
        <v>2.1000000000000005</v>
      </c>
      <c r="Q982">
        <v>4.4100000000000019</v>
      </c>
      <c r="R982">
        <v>-0.40000000000000036</v>
      </c>
      <c r="S982">
        <v>0.40000000000000036</v>
      </c>
      <c r="T982" t="s">
        <v>355</v>
      </c>
      <c r="U982">
        <v>4.2</v>
      </c>
      <c r="V982">
        <v>1.2000000000000002</v>
      </c>
      <c r="W982" t="s">
        <v>2496</v>
      </c>
      <c r="X982" t="s">
        <v>89</v>
      </c>
    </row>
    <row r="983" spans="1:24">
      <c r="A983" t="s">
        <v>212</v>
      </c>
      <c r="B983" t="s">
        <v>90</v>
      </c>
      <c r="C983" s="36">
        <v>45512</v>
      </c>
      <c r="D983" t="s">
        <v>876</v>
      </c>
      <c r="E983" s="36">
        <v>45838</v>
      </c>
      <c r="F983" t="s">
        <v>104</v>
      </c>
      <c r="G983" s="36">
        <v>45834</v>
      </c>
      <c r="H983">
        <v>7</v>
      </c>
      <c r="I983" t="s">
        <v>2502</v>
      </c>
      <c r="J983">
        <v>2.7</v>
      </c>
      <c r="K983">
        <v>4.9000000000000004</v>
      </c>
      <c r="L983">
        <v>3</v>
      </c>
      <c r="M983">
        <v>-0.29999999999999982</v>
      </c>
      <c r="N983">
        <v>0.29999999999999982</v>
      </c>
      <c r="O983">
        <v>-2.2000000000000002</v>
      </c>
      <c r="P983">
        <v>2.2000000000000002</v>
      </c>
      <c r="Q983">
        <v>4.8400000000000007</v>
      </c>
      <c r="R983">
        <v>-9.9999999999999645E-2</v>
      </c>
      <c r="S983">
        <v>9.9999999999999645E-2</v>
      </c>
      <c r="T983" t="s">
        <v>460</v>
      </c>
      <c r="U983">
        <v>3.6</v>
      </c>
      <c r="V983">
        <v>0.60000000000000009</v>
      </c>
      <c r="W983" t="s">
        <v>2496</v>
      </c>
      <c r="X983" t="s">
        <v>91</v>
      </c>
    </row>
    <row r="984" spans="1:24">
      <c r="A984" t="s">
        <v>212</v>
      </c>
      <c r="B984" t="s">
        <v>92</v>
      </c>
      <c r="C984" s="36">
        <v>45561</v>
      </c>
      <c r="D984" t="s">
        <v>876</v>
      </c>
      <c r="E984" s="36">
        <v>45838</v>
      </c>
      <c r="F984" t="s">
        <v>104</v>
      </c>
      <c r="G984" s="36">
        <v>45834</v>
      </c>
      <c r="H984">
        <v>6</v>
      </c>
      <c r="I984" t="s">
        <v>2503</v>
      </c>
      <c r="J984">
        <v>2.7</v>
      </c>
      <c r="K984">
        <v>4.9000000000000004</v>
      </c>
      <c r="L984">
        <v>3</v>
      </c>
      <c r="M984">
        <v>-0.29999999999999982</v>
      </c>
      <c r="N984">
        <v>0.29999999999999982</v>
      </c>
      <c r="O984">
        <v>-2.2000000000000002</v>
      </c>
      <c r="P984">
        <v>2.2000000000000002</v>
      </c>
      <c r="Q984">
        <v>4.8400000000000007</v>
      </c>
      <c r="R984">
        <v>0</v>
      </c>
      <c r="S984">
        <v>0</v>
      </c>
      <c r="T984" t="s">
        <v>460</v>
      </c>
      <c r="U984">
        <v>3.7</v>
      </c>
      <c r="V984">
        <v>0.70000000000000018</v>
      </c>
      <c r="W984" t="s">
        <v>2496</v>
      </c>
      <c r="X984" t="s">
        <v>93</v>
      </c>
    </row>
    <row r="985" spans="1:24">
      <c r="A985" t="s">
        <v>212</v>
      </c>
      <c r="B985" t="s">
        <v>94</v>
      </c>
      <c r="C985" s="36">
        <v>45610</v>
      </c>
      <c r="D985" t="s">
        <v>876</v>
      </c>
      <c r="E985" s="36">
        <v>45838</v>
      </c>
      <c r="F985" t="s">
        <v>104</v>
      </c>
      <c r="G985" s="36">
        <v>45834</v>
      </c>
      <c r="H985">
        <v>5</v>
      </c>
      <c r="I985" t="s">
        <v>2500</v>
      </c>
      <c r="J985">
        <v>2.7</v>
      </c>
      <c r="K985">
        <v>4.9000000000000004</v>
      </c>
      <c r="L985">
        <v>3</v>
      </c>
      <c r="M985">
        <v>-0.29999999999999982</v>
      </c>
      <c r="N985">
        <v>0.29999999999999982</v>
      </c>
      <c r="O985">
        <v>-2.2000000000000002</v>
      </c>
      <c r="P985">
        <v>2.2000000000000002</v>
      </c>
      <c r="Q985">
        <v>4.8400000000000007</v>
      </c>
      <c r="R985">
        <v>0</v>
      </c>
      <c r="S985">
        <v>0</v>
      </c>
      <c r="T985" t="s">
        <v>565</v>
      </c>
      <c r="U985">
        <v>3.6</v>
      </c>
      <c r="V985">
        <v>0.60000000000000009</v>
      </c>
      <c r="W985" t="s">
        <v>2496</v>
      </c>
      <c r="X985" t="s">
        <v>95</v>
      </c>
    </row>
    <row r="986" spans="1:24">
      <c r="A986" t="s">
        <v>212</v>
      </c>
      <c r="B986" t="s">
        <v>96</v>
      </c>
      <c r="C986" s="36">
        <v>45645</v>
      </c>
      <c r="D986" t="s">
        <v>876</v>
      </c>
      <c r="E986" s="36">
        <v>45838</v>
      </c>
      <c r="F986" t="s">
        <v>104</v>
      </c>
      <c r="G986" s="36">
        <v>45834</v>
      </c>
      <c r="H986">
        <v>4</v>
      </c>
      <c r="I986" t="s">
        <v>2501</v>
      </c>
      <c r="J986">
        <v>3.4</v>
      </c>
      <c r="K986">
        <v>4.9000000000000004</v>
      </c>
      <c r="L986">
        <v>3</v>
      </c>
      <c r="M986">
        <v>0.39999999999999991</v>
      </c>
      <c r="N986">
        <v>0.39999999999999991</v>
      </c>
      <c r="O986">
        <v>-1.5000000000000004</v>
      </c>
      <c r="P986">
        <v>1.5000000000000004</v>
      </c>
      <c r="Q986">
        <v>2.2500000000000013</v>
      </c>
      <c r="R986">
        <v>0.69999999999999973</v>
      </c>
      <c r="S986">
        <v>0.69999999999999973</v>
      </c>
      <c r="T986" t="s">
        <v>565</v>
      </c>
      <c r="U986">
        <v>3.6</v>
      </c>
      <c r="V986">
        <v>0.60000000000000009</v>
      </c>
      <c r="W986" t="s">
        <v>2496</v>
      </c>
      <c r="X986" t="s">
        <v>97</v>
      </c>
    </row>
    <row r="987" spans="1:24">
      <c r="A987" t="s">
        <v>212</v>
      </c>
      <c r="B987" t="s">
        <v>98</v>
      </c>
      <c r="C987" s="36">
        <v>45694</v>
      </c>
      <c r="D987" t="s">
        <v>876</v>
      </c>
      <c r="E987" s="36">
        <v>45838</v>
      </c>
      <c r="F987" t="s">
        <v>104</v>
      </c>
      <c r="G987" s="36">
        <v>45834</v>
      </c>
      <c r="H987">
        <v>3</v>
      </c>
      <c r="I987" t="s">
        <v>2498</v>
      </c>
      <c r="J987">
        <v>3.2</v>
      </c>
      <c r="K987">
        <v>4.9000000000000004</v>
      </c>
      <c r="L987">
        <v>3</v>
      </c>
      <c r="M987">
        <v>0.20000000000000018</v>
      </c>
      <c r="N987">
        <v>0.20000000000000018</v>
      </c>
      <c r="O987">
        <v>-1.7000000000000002</v>
      </c>
      <c r="P987">
        <v>1.7000000000000002</v>
      </c>
      <c r="Q987">
        <v>2.8900000000000006</v>
      </c>
      <c r="R987">
        <v>-0.19999999999999973</v>
      </c>
      <c r="S987">
        <v>0.19999999999999973</v>
      </c>
      <c r="T987" t="s">
        <v>670</v>
      </c>
      <c r="U987">
        <v>3.4</v>
      </c>
      <c r="V987">
        <v>0.39999999999999991</v>
      </c>
      <c r="W987" t="s">
        <v>2496</v>
      </c>
      <c r="X987" t="s">
        <v>99</v>
      </c>
    </row>
    <row r="988" spans="1:24">
      <c r="A988" t="s">
        <v>212</v>
      </c>
      <c r="B988" t="s">
        <v>100</v>
      </c>
      <c r="C988" s="36">
        <v>45743</v>
      </c>
      <c r="D988" t="s">
        <v>876</v>
      </c>
      <c r="E988" s="36">
        <v>45838</v>
      </c>
      <c r="F988" t="s">
        <v>104</v>
      </c>
      <c r="G988" s="36">
        <v>45834</v>
      </c>
      <c r="H988">
        <v>2</v>
      </c>
      <c r="I988" t="s">
        <v>2499</v>
      </c>
      <c r="J988">
        <v>3.3</v>
      </c>
      <c r="K988">
        <v>4.9000000000000004</v>
      </c>
      <c r="L988">
        <v>3</v>
      </c>
      <c r="M988">
        <v>0.29999999999999982</v>
      </c>
      <c r="N988">
        <v>0.29999999999999982</v>
      </c>
      <c r="O988">
        <v>-1.6000000000000005</v>
      </c>
      <c r="P988">
        <v>1.6000000000000005</v>
      </c>
      <c r="Q988">
        <v>2.5600000000000018</v>
      </c>
      <c r="R988">
        <v>9.9999999999999645E-2</v>
      </c>
      <c r="S988">
        <v>9.9999999999999645E-2</v>
      </c>
      <c r="T988" t="s">
        <v>670</v>
      </c>
      <c r="U988">
        <v>3.4</v>
      </c>
      <c r="V988">
        <v>0.39999999999999991</v>
      </c>
      <c r="W988" t="s">
        <v>2496</v>
      </c>
      <c r="X988" t="s">
        <v>101</v>
      </c>
    </row>
    <row r="989" spans="1:24">
      <c r="A989" t="s">
        <v>212</v>
      </c>
      <c r="B989" t="s">
        <v>102</v>
      </c>
      <c r="C989" s="36">
        <v>45792</v>
      </c>
      <c r="D989" t="s">
        <v>876</v>
      </c>
      <c r="E989" s="36">
        <v>45838</v>
      </c>
      <c r="F989" t="s">
        <v>104</v>
      </c>
      <c r="G989" s="36">
        <v>45834</v>
      </c>
      <c r="H989">
        <v>1</v>
      </c>
      <c r="I989" t="s">
        <v>2495</v>
      </c>
      <c r="J989">
        <v>4.0999999999999996</v>
      </c>
      <c r="K989">
        <v>4.9000000000000004</v>
      </c>
      <c r="L989">
        <v>3</v>
      </c>
      <c r="M989">
        <v>1.0999999999999996</v>
      </c>
      <c r="N989">
        <v>1.0999999999999996</v>
      </c>
      <c r="O989">
        <v>-0.80000000000000071</v>
      </c>
      <c r="P989">
        <v>0.80000000000000071</v>
      </c>
      <c r="Q989">
        <v>0.64000000000000112</v>
      </c>
      <c r="R989">
        <v>0.79999999999999982</v>
      </c>
      <c r="S989">
        <v>0.79999999999999982</v>
      </c>
      <c r="T989" t="s">
        <v>771</v>
      </c>
      <c r="U989">
        <v>4.2</v>
      </c>
      <c r="V989">
        <v>1.2000000000000002</v>
      </c>
      <c r="W989" t="s">
        <v>2496</v>
      </c>
      <c r="X989" t="s">
        <v>103</v>
      </c>
    </row>
    <row r="990" spans="1:24">
      <c r="A990" t="s">
        <v>212</v>
      </c>
      <c r="B990" t="s">
        <v>104</v>
      </c>
      <c r="C990" s="36">
        <v>45834</v>
      </c>
      <c r="D990" t="s">
        <v>876</v>
      </c>
      <c r="E990" s="36">
        <v>45838</v>
      </c>
      <c r="F990" t="s">
        <v>104</v>
      </c>
      <c r="G990" s="36">
        <v>45834</v>
      </c>
      <c r="H990">
        <v>0</v>
      </c>
      <c r="I990" t="s">
        <v>2497</v>
      </c>
      <c r="J990">
        <v>4.5999999999999996</v>
      </c>
      <c r="K990">
        <v>4.9000000000000004</v>
      </c>
      <c r="L990">
        <v>3</v>
      </c>
      <c r="M990">
        <v>1.5999999999999996</v>
      </c>
      <c r="N990">
        <v>1.5999999999999996</v>
      </c>
      <c r="O990">
        <v>-0.30000000000000071</v>
      </c>
      <c r="P990">
        <v>0.30000000000000071</v>
      </c>
      <c r="Q990">
        <v>9.0000000000000427E-2</v>
      </c>
      <c r="R990">
        <v>0.5</v>
      </c>
      <c r="S990">
        <v>0.5</v>
      </c>
      <c r="T990" t="s">
        <v>771</v>
      </c>
      <c r="U990">
        <v>4.2</v>
      </c>
      <c r="V990">
        <v>1.2000000000000002</v>
      </c>
      <c r="W990" t="s">
        <v>2496</v>
      </c>
      <c r="X990" t="s">
        <v>105</v>
      </c>
    </row>
    <row r="991" spans="1:24">
      <c r="A991" t="s">
        <v>212</v>
      </c>
      <c r="B991" t="s">
        <v>76</v>
      </c>
      <c r="C991" s="36">
        <v>45197</v>
      </c>
      <c r="D991" t="s">
        <v>981</v>
      </c>
      <c r="E991" s="36">
        <v>45930</v>
      </c>
      <c r="F991" t="s">
        <v>108</v>
      </c>
      <c r="G991" s="36">
        <v>45925</v>
      </c>
      <c r="H991">
        <v>16</v>
      </c>
      <c r="I991" t="s">
        <v>2512</v>
      </c>
      <c r="J991">
        <v>3.2</v>
      </c>
      <c r="K991">
        <v>4.4000000000000004</v>
      </c>
      <c r="L991">
        <v>3</v>
      </c>
      <c r="M991">
        <v>0.20000000000000018</v>
      </c>
      <c r="N991">
        <v>0.20000000000000018</v>
      </c>
      <c r="O991">
        <v>-1.2000000000000002</v>
      </c>
      <c r="P991">
        <v>1.2000000000000002</v>
      </c>
      <c r="Q991">
        <v>1.4400000000000004</v>
      </c>
      <c r="T991" t="s">
        <v>160</v>
      </c>
      <c r="U991">
        <v>5.2</v>
      </c>
      <c r="V991">
        <v>2.2000000000000002</v>
      </c>
      <c r="W991" t="s">
        <v>2496</v>
      </c>
      <c r="X991" t="s">
        <v>77</v>
      </c>
    </row>
    <row r="992" spans="1:24">
      <c r="A992" t="s">
        <v>212</v>
      </c>
      <c r="B992" t="s">
        <v>78</v>
      </c>
      <c r="C992" s="36">
        <v>45239</v>
      </c>
      <c r="D992" t="s">
        <v>981</v>
      </c>
      <c r="E992" s="36">
        <v>45930</v>
      </c>
      <c r="F992" t="s">
        <v>108</v>
      </c>
      <c r="G992" s="36">
        <v>45925</v>
      </c>
      <c r="H992">
        <v>15</v>
      </c>
      <c r="I992" t="s">
        <v>2510</v>
      </c>
      <c r="J992">
        <v>3.3</v>
      </c>
      <c r="K992">
        <v>4.4000000000000004</v>
      </c>
      <c r="L992">
        <v>3</v>
      </c>
      <c r="M992">
        <v>0.29999999999999982</v>
      </c>
      <c r="N992">
        <v>0.29999999999999982</v>
      </c>
      <c r="O992">
        <v>-1.1000000000000005</v>
      </c>
      <c r="P992">
        <v>1.1000000000000005</v>
      </c>
      <c r="Q992">
        <v>1.2100000000000011</v>
      </c>
      <c r="R992">
        <v>9.9999999999999645E-2</v>
      </c>
      <c r="S992">
        <v>9.9999999999999645E-2</v>
      </c>
      <c r="T992" t="s">
        <v>183</v>
      </c>
      <c r="U992">
        <v>4.5999999999999996</v>
      </c>
      <c r="V992">
        <v>1.5999999999999996</v>
      </c>
      <c r="W992" t="s">
        <v>2496</v>
      </c>
      <c r="X992" t="s">
        <v>79</v>
      </c>
    </row>
    <row r="993" spans="1:24">
      <c r="A993" t="s">
        <v>212</v>
      </c>
      <c r="B993" t="s">
        <v>80</v>
      </c>
      <c r="C993" s="36">
        <v>45274</v>
      </c>
      <c r="D993" t="s">
        <v>981</v>
      </c>
      <c r="E993" s="36">
        <v>45930</v>
      </c>
      <c r="F993" t="s">
        <v>108</v>
      </c>
      <c r="G993" s="36">
        <v>45925</v>
      </c>
      <c r="H993">
        <v>14</v>
      </c>
      <c r="I993" t="s">
        <v>2511</v>
      </c>
      <c r="J993">
        <v>3.3</v>
      </c>
      <c r="K993">
        <v>4.4000000000000004</v>
      </c>
      <c r="L993">
        <v>3</v>
      </c>
      <c r="M993">
        <v>0.29999999999999982</v>
      </c>
      <c r="N993">
        <v>0.29999999999999982</v>
      </c>
      <c r="O993">
        <v>-1.1000000000000005</v>
      </c>
      <c r="P993">
        <v>1.1000000000000005</v>
      </c>
      <c r="Q993">
        <v>1.2100000000000011</v>
      </c>
      <c r="R993">
        <v>0</v>
      </c>
      <c r="S993">
        <v>0</v>
      </c>
      <c r="T993" t="s">
        <v>183</v>
      </c>
      <c r="U993">
        <v>4.5999999999999996</v>
      </c>
      <c r="V993">
        <v>1.5999999999999996</v>
      </c>
      <c r="W993" t="s">
        <v>2496</v>
      </c>
      <c r="X993" t="s">
        <v>81</v>
      </c>
    </row>
    <row r="994" spans="1:24">
      <c r="A994" t="s">
        <v>212</v>
      </c>
      <c r="B994" t="s">
        <v>82</v>
      </c>
      <c r="C994" s="36">
        <v>45330</v>
      </c>
      <c r="D994" t="s">
        <v>981</v>
      </c>
      <c r="E994" s="36">
        <v>45930</v>
      </c>
      <c r="F994" t="s">
        <v>108</v>
      </c>
      <c r="G994" s="36">
        <v>45925</v>
      </c>
      <c r="H994">
        <v>13</v>
      </c>
      <c r="I994" t="s">
        <v>2508</v>
      </c>
      <c r="J994">
        <v>3.2</v>
      </c>
      <c r="K994">
        <v>4.4000000000000004</v>
      </c>
      <c r="L994">
        <v>3</v>
      </c>
      <c r="M994">
        <v>0.20000000000000018</v>
      </c>
      <c r="N994">
        <v>0.20000000000000018</v>
      </c>
      <c r="O994">
        <v>-1.2000000000000002</v>
      </c>
      <c r="P994">
        <v>1.2000000000000002</v>
      </c>
      <c r="Q994">
        <v>1.4400000000000004</v>
      </c>
      <c r="R994">
        <v>-9.9999999999999645E-2</v>
      </c>
      <c r="S994">
        <v>9.9999999999999645E-2</v>
      </c>
      <c r="T994" t="s">
        <v>254</v>
      </c>
      <c r="U994">
        <v>4.4000000000000004</v>
      </c>
      <c r="V994">
        <v>1.4000000000000004</v>
      </c>
      <c r="W994" t="s">
        <v>2496</v>
      </c>
      <c r="X994" t="s">
        <v>83</v>
      </c>
    </row>
    <row r="995" spans="1:24">
      <c r="A995" t="s">
        <v>212</v>
      </c>
      <c r="B995" t="s">
        <v>84</v>
      </c>
      <c r="C995" s="36">
        <v>45372</v>
      </c>
      <c r="D995" t="s">
        <v>981</v>
      </c>
      <c r="E995" s="36">
        <v>45930</v>
      </c>
      <c r="F995" t="s">
        <v>108</v>
      </c>
      <c r="G995" s="36">
        <v>45925</v>
      </c>
      <c r="H995">
        <v>12</v>
      </c>
      <c r="I995" t="s">
        <v>2509</v>
      </c>
      <c r="J995">
        <v>3.2</v>
      </c>
      <c r="K995">
        <v>4.4000000000000004</v>
      </c>
      <c r="L995">
        <v>3</v>
      </c>
      <c r="M995">
        <v>0.20000000000000018</v>
      </c>
      <c r="N995">
        <v>0.20000000000000018</v>
      </c>
      <c r="O995">
        <v>-1.2000000000000002</v>
      </c>
      <c r="P995">
        <v>1.2000000000000002</v>
      </c>
      <c r="Q995">
        <v>1.4400000000000004</v>
      </c>
      <c r="R995">
        <v>0</v>
      </c>
      <c r="S995">
        <v>0</v>
      </c>
      <c r="T995" t="s">
        <v>254</v>
      </c>
      <c r="U995">
        <v>4.5999999999999996</v>
      </c>
      <c r="V995">
        <v>1.5999999999999996</v>
      </c>
      <c r="W995" t="s">
        <v>2496</v>
      </c>
      <c r="X995" t="s">
        <v>85</v>
      </c>
    </row>
    <row r="996" spans="1:24">
      <c r="A996" t="s">
        <v>212</v>
      </c>
      <c r="B996" t="s">
        <v>86</v>
      </c>
      <c r="C996" s="36">
        <v>45421</v>
      </c>
      <c r="D996" t="s">
        <v>981</v>
      </c>
      <c r="E996" s="36">
        <v>45930</v>
      </c>
      <c r="F996" t="s">
        <v>108</v>
      </c>
      <c r="G996" s="36">
        <v>45925</v>
      </c>
      <c r="H996">
        <v>11</v>
      </c>
      <c r="I996" t="s">
        <v>2506</v>
      </c>
      <c r="J996">
        <v>3.2</v>
      </c>
      <c r="K996">
        <v>4.4000000000000004</v>
      </c>
      <c r="L996">
        <v>3</v>
      </c>
      <c r="M996">
        <v>0.20000000000000018</v>
      </c>
      <c r="N996">
        <v>0.20000000000000018</v>
      </c>
      <c r="O996">
        <v>-1.2000000000000002</v>
      </c>
      <c r="P996">
        <v>1.2000000000000002</v>
      </c>
      <c r="Q996">
        <v>1.4400000000000004</v>
      </c>
      <c r="R996">
        <v>0</v>
      </c>
      <c r="S996">
        <v>0</v>
      </c>
      <c r="T996" t="s">
        <v>355</v>
      </c>
      <c r="U996">
        <v>4.3</v>
      </c>
      <c r="V996">
        <v>1.2999999999999998</v>
      </c>
      <c r="W996" t="s">
        <v>2496</v>
      </c>
      <c r="X996" t="s">
        <v>87</v>
      </c>
    </row>
    <row r="997" spans="1:24">
      <c r="A997" t="s">
        <v>212</v>
      </c>
      <c r="B997" t="s">
        <v>88</v>
      </c>
      <c r="C997" s="36">
        <v>45470</v>
      </c>
      <c r="D997" t="s">
        <v>981</v>
      </c>
      <c r="E997" s="36">
        <v>45930</v>
      </c>
      <c r="F997" t="s">
        <v>108</v>
      </c>
      <c r="G997" s="36">
        <v>45925</v>
      </c>
      <c r="H997">
        <v>10</v>
      </c>
      <c r="I997" t="s">
        <v>2507</v>
      </c>
      <c r="J997">
        <v>3</v>
      </c>
      <c r="K997">
        <v>4.4000000000000004</v>
      </c>
      <c r="L997">
        <v>3</v>
      </c>
      <c r="M997">
        <v>0</v>
      </c>
      <c r="N997">
        <v>0</v>
      </c>
      <c r="O997">
        <v>-1.4000000000000004</v>
      </c>
      <c r="P997">
        <v>1.4000000000000004</v>
      </c>
      <c r="Q997">
        <v>1.9600000000000011</v>
      </c>
      <c r="R997">
        <v>-0.20000000000000018</v>
      </c>
      <c r="S997">
        <v>0.20000000000000018</v>
      </c>
      <c r="T997" t="s">
        <v>355</v>
      </c>
      <c r="U997">
        <v>4.2</v>
      </c>
      <c r="V997">
        <v>1.2000000000000002</v>
      </c>
      <c r="W997" t="s">
        <v>2496</v>
      </c>
      <c r="X997" t="s">
        <v>89</v>
      </c>
    </row>
    <row r="998" spans="1:24">
      <c r="A998" t="s">
        <v>212</v>
      </c>
      <c r="B998" t="s">
        <v>90</v>
      </c>
      <c r="C998" s="36">
        <v>45512</v>
      </c>
      <c r="D998" t="s">
        <v>981</v>
      </c>
      <c r="E998" s="36">
        <v>45930</v>
      </c>
      <c r="F998" t="s">
        <v>108</v>
      </c>
      <c r="G998" s="36">
        <v>45925</v>
      </c>
      <c r="H998">
        <v>9</v>
      </c>
      <c r="I998" t="s">
        <v>2504</v>
      </c>
      <c r="J998">
        <v>3</v>
      </c>
      <c r="K998">
        <v>4.4000000000000004</v>
      </c>
      <c r="L998">
        <v>3</v>
      </c>
      <c r="M998">
        <v>0</v>
      </c>
      <c r="N998">
        <v>0</v>
      </c>
      <c r="O998">
        <v>-1.4000000000000004</v>
      </c>
      <c r="P998">
        <v>1.4000000000000004</v>
      </c>
      <c r="Q998">
        <v>1.9600000000000011</v>
      </c>
      <c r="R998">
        <v>0</v>
      </c>
      <c r="S998">
        <v>0</v>
      </c>
      <c r="T998" t="s">
        <v>460</v>
      </c>
      <c r="U998">
        <v>3.6</v>
      </c>
      <c r="V998">
        <v>0.60000000000000009</v>
      </c>
      <c r="W998" t="s">
        <v>2496</v>
      </c>
      <c r="X998" t="s">
        <v>91</v>
      </c>
    </row>
    <row r="999" spans="1:24">
      <c r="A999" t="s">
        <v>212</v>
      </c>
      <c r="B999" t="s">
        <v>92</v>
      </c>
      <c r="C999" s="36">
        <v>45561</v>
      </c>
      <c r="D999" t="s">
        <v>981</v>
      </c>
      <c r="E999" s="36">
        <v>45930</v>
      </c>
      <c r="F999" t="s">
        <v>108</v>
      </c>
      <c r="G999" s="36">
        <v>45925</v>
      </c>
      <c r="H999">
        <v>8</v>
      </c>
      <c r="I999" t="s">
        <v>2505</v>
      </c>
      <c r="J999">
        <v>3</v>
      </c>
      <c r="K999">
        <v>4.4000000000000004</v>
      </c>
      <c r="L999">
        <v>3</v>
      </c>
      <c r="M999">
        <v>0</v>
      </c>
      <c r="N999">
        <v>0</v>
      </c>
      <c r="O999">
        <v>-1.4000000000000004</v>
      </c>
      <c r="P999">
        <v>1.4000000000000004</v>
      </c>
      <c r="Q999">
        <v>1.9600000000000011</v>
      </c>
      <c r="R999">
        <v>0</v>
      </c>
      <c r="S999">
        <v>0</v>
      </c>
      <c r="T999" t="s">
        <v>460</v>
      </c>
      <c r="U999">
        <v>3.7</v>
      </c>
      <c r="V999">
        <v>0.70000000000000018</v>
      </c>
      <c r="W999" t="s">
        <v>2496</v>
      </c>
      <c r="X999" t="s">
        <v>93</v>
      </c>
    </row>
    <row r="1000" spans="1:24">
      <c r="A1000" t="s">
        <v>212</v>
      </c>
      <c r="B1000" t="s">
        <v>94</v>
      </c>
      <c r="C1000" s="36">
        <v>45610</v>
      </c>
      <c r="D1000" t="s">
        <v>981</v>
      </c>
      <c r="E1000" s="36">
        <v>45930</v>
      </c>
      <c r="F1000" t="s">
        <v>108</v>
      </c>
      <c r="G1000" s="36">
        <v>45925</v>
      </c>
      <c r="H1000">
        <v>7</v>
      </c>
      <c r="I1000" t="s">
        <v>2502</v>
      </c>
      <c r="J1000">
        <v>3</v>
      </c>
      <c r="K1000">
        <v>4.4000000000000004</v>
      </c>
      <c r="L1000">
        <v>3</v>
      </c>
      <c r="M1000">
        <v>0</v>
      </c>
      <c r="N1000">
        <v>0</v>
      </c>
      <c r="O1000">
        <v>-1.4000000000000004</v>
      </c>
      <c r="P1000">
        <v>1.4000000000000004</v>
      </c>
      <c r="Q1000">
        <v>1.9600000000000011</v>
      </c>
      <c r="R1000">
        <v>0</v>
      </c>
      <c r="S1000">
        <v>0</v>
      </c>
      <c r="T1000" t="s">
        <v>565</v>
      </c>
      <c r="U1000">
        <v>3.6</v>
      </c>
      <c r="V1000">
        <v>0.60000000000000009</v>
      </c>
      <c r="W1000" t="s">
        <v>2496</v>
      </c>
      <c r="X1000" t="s">
        <v>95</v>
      </c>
    </row>
    <row r="1001" spans="1:24">
      <c r="A1001" t="s">
        <v>212</v>
      </c>
      <c r="B1001" t="s">
        <v>96</v>
      </c>
      <c r="C1001" s="36">
        <v>45645</v>
      </c>
      <c r="D1001" t="s">
        <v>981</v>
      </c>
      <c r="E1001" s="36">
        <v>45930</v>
      </c>
      <c r="F1001" t="s">
        <v>108</v>
      </c>
      <c r="G1001" s="36">
        <v>45925</v>
      </c>
      <c r="H1001">
        <v>6</v>
      </c>
      <c r="I1001" t="s">
        <v>2503</v>
      </c>
      <c r="J1001">
        <v>3.3</v>
      </c>
      <c r="K1001">
        <v>4.4000000000000004</v>
      </c>
      <c r="L1001">
        <v>3</v>
      </c>
      <c r="M1001">
        <v>0.29999999999999982</v>
      </c>
      <c r="N1001">
        <v>0.29999999999999982</v>
      </c>
      <c r="O1001">
        <v>-1.1000000000000005</v>
      </c>
      <c r="P1001">
        <v>1.1000000000000005</v>
      </c>
      <c r="Q1001">
        <v>1.2100000000000011</v>
      </c>
      <c r="R1001">
        <v>0.29999999999999982</v>
      </c>
      <c r="S1001">
        <v>0.29999999999999982</v>
      </c>
      <c r="T1001" t="s">
        <v>565</v>
      </c>
      <c r="U1001">
        <v>3.6</v>
      </c>
      <c r="V1001">
        <v>0.60000000000000009</v>
      </c>
      <c r="W1001" t="s">
        <v>2496</v>
      </c>
      <c r="X1001" t="s">
        <v>97</v>
      </c>
    </row>
    <row r="1002" spans="1:24">
      <c r="A1002" t="s">
        <v>212</v>
      </c>
      <c r="B1002" t="s">
        <v>98</v>
      </c>
      <c r="C1002" s="36">
        <v>45694</v>
      </c>
      <c r="D1002" t="s">
        <v>981</v>
      </c>
      <c r="E1002" s="36">
        <v>45930</v>
      </c>
      <c r="F1002" t="s">
        <v>108</v>
      </c>
      <c r="G1002" s="36">
        <v>45925</v>
      </c>
      <c r="H1002">
        <v>5</v>
      </c>
      <c r="I1002" t="s">
        <v>2500</v>
      </c>
      <c r="J1002">
        <v>3.2</v>
      </c>
      <c r="K1002">
        <v>4.4000000000000004</v>
      </c>
      <c r="L1002">
        <v>3</v>
      </c>
      <c r="M1002">
        <v>0.20000000000000018</v>
      </c>
      <c r="N1002">
        <v>0.20000000000000018</v>
      </c>
      <c r="O1002">
        <v>-1.2000000000000002</v>
      </c>
      <c r="P1002">
        <v>1.2000000000000002</v>
      </c>
      <c r="Q1002">
        <v>1.4400000000000004</v>
      </c>
      <c r="R1002">
        <v>-9.9999999999999645E-2</v>
      </c>
      <c r="S1002">
        <v>9.9999999999999645E-2</v>
      </c>
      <c r="T1002" t="s">
        <v>670</v>
      </c>
      <c r="U1002">
        <v>3.4</v>
      </c>
      <c r="V1002">
        <v>0.39999999999999991</v>
      </c>
      <c r="W1002" t="s">
        <v>2496</v>
      </c>
      <c r="X1002" t="s">
        <v>99</v>
      </c>
    </row>
    <row r="1003" spans="1:24">
      <c r="A1003" t="s">
        <v>212</v>
      </c>
      <c r="B1003" t="s">
        <v>100</v>
      </c>
      <c r="C1003" s="36">
        <v>45743</v>
      </c>
      <c r="D1003" t="s">
        <v>981</v>
      </c>
      <c r="E1003" s="36">
        <v>45930</v>
      </c>
      <c r="F1003" t="s">
        <v>108</v>
      </c>
      <c r="G1003" s="36">
        <v>45925</v>
      </c>
      <c r="H1003">
        <v>4</v>
      </c>
      <c r="I1003" t="s">
        <v>2501</v>
      </c>
      <c r="J1003">
        <v>3.1</v>
      </c>
      <c r="K1003">
        <v>4.4000000000000004</v>
      </c>
      <c r="L1003">
        <v>3</v>
      </c>
      <c r="M1003">
        <v>0.10000000000000009</v>
      </c>
      <c r="N1003">
        <v>0.10000000000000009</v>
      </c>
      <c r="O1003">
        <v>-1.3000000000000003</v>
      </c>
      <c r="P1003">
        <v>1.3000000000000003</v>
      </c>
      <c r="Q1003">
        <v>1.6900000000000006</v>
      </c>
      <c r="R1003">
        <v>-0.10000000000000009</v>
      </c>
      <c r="S1003">
        <v>0.10000000000000009</v>
      </c>
      <c r="T1003" t="s">
        <v>670</v>
      </c>
      <c r="U1003">
        <v>3.4</v>
      </c>
      <c r="V1003">
        <v>0.39999999999999991</v>
      </c>
      <c r="W1003" t="s">
        <v>2496</v>
      </c>
      <c r="X1003" t="s">
        <v>101</v>
      </c>
    </row>
    <row r="1004" spans="1:24">
      <c r="A1004" t="s">
        <v>212</v>
      </c>
      <c r="B1004" t="s">
        <v>102</v>
      </c>
      <c r="C1004" s="36">
        <v>45792</v>
      </c>
      <c r="D1004" t="s">
        <v>981</v>
      </c>
      <c r="E1004" s="36">
        <v>45930</v>
      </c>
      <c r="F1004" t="s">
        <v>108</v>
      </c>
      <c r="G1004" s="36">
        <v>45925</v>
      </c>
      <c r="H1004">
        <v>3</v>
      </c>
      <c r="I1004" t="s">
        <v>2498</v>
      </c>
      <c r="J1004">
        <v>2.7</v>
      </c>
      <c r="K1004">
        <v>4.4000000000000004</v>
      </c>
      <c r="L1004">
        <v>3</v>
      </c>
      <c r="M1004">
        <v>-0.29999999999999982</v>
      </c>
      <c r="N1004">
        <v>0.29999999999999982</v>
      </c>
      <c r="O1004">
        <v>-1.7000000000000002</v>
      </c>
      <c r="P1004">
        <v>1.7000000000000002</v>
      </c>
      <c r="Q1004">
        <v>2.8900000000000006</v>
      </c>
      <c r="R1004">
        <v>-0.39999999999999991</v>
      </c>
      <c r="S1004">
        <v>0.39999999999999991</v>
      </c>
      <c r="T1004" t="s">
        <v>771</v>
      </c>
      <c r="U1004">
        <v>4.2</v>
      </c>
      <c r="V1004">
        <v>1.2000000000000002</v>
      </c>
      <c r="W1004" t="s">
        <v>2496</v>
      </c>
      <c r="X1004" t="s">
        <v>103</v>
      </c>
    </row>
    <row r="1005" spans="1:24">
      <c r="A1005" t="s">
        <v>212</v>
      </c>
      <c r="B1005" t="s">
        <v>104</v>
      </c>
      <c r="C1005" s="36">
        <v>45834</v>
      </c>
      <c r="D1005" t="s">
        <v>981</v>
      </c>
      <c r="E1005" s="36">
        <v>45930</v>
      </c>
      <c r="F1005" t="s">
        <v>108</v>
      </c>
      <c r="G1005" s="36">
        <v>45925</v>
      </c>
      <c r="H1005">
        <v>2</v>
      </c>
      <c r="I1005" t="s">
        <v>2499</v>
      </c>
      <c r="J1005">
        <v>3.1</v>
      </c>
      <c r="K1005">
        <v>4.4000000000000004</v>
      </c>
      <c r="L1005">
        <v>3</v>
      </c>
      <c r="M1005">
        <v>0.10000000000000009</v>
      </c>
      <c r="N1005">
        <v>0.10000000000000009</v>
      </c>
      <c r="O1005">
        <v>-1.3000000000000003</v>
      </c>
      <c r="P1005">
        <v>1.3000000000000003</v>
      </c>
      <c r="Q1005">
        <v>1.6900000000000006</v>
      </c>
      <c r="R1005">
        <v>0.39999999999999991</v>
      </c>
      <c r="S1005">
        <v>0.39999999999999991</v>
      </c>
      <c r="T1005" t="s">
        <v>771</v>
      </c>
      <c r="U1005">
        <v>4.2</v>
      </c>
      <c r="V1005">
        <v>1.2000000000000002</v>
      </c>
      <c r="W1005" t="s">
        <v>2496</v>
      </c>
      <c r="X1005" t="s">
        <v>105</v>
      </c>
    </row>
    <row r="1006" spans="1:24">
      <c r="A1006" t="s">
        <v>212</v>
      </c>
      <c r="B1006" t="s">
        <v>106</v>
      </c>
      <c r="C1006" s="36">
        <v>45876</v>
      </c>
      <c r="D1006" t="s">
        <v>981</v>
      </c>
      <c r="E1006" s="36">
        <v>45930</v>
      </c>
      <c r="F1006" t="s">
        <v>108</v>
      </c>
      <c r="G1006" s="36">
        <v>45925</v>
      </c>
      <c r="H1006">
        <v>1</v>
      </c>
      <c r="I1006" t="s">
        <v>2495</v>
      </c>
      <c r="J1006">
        <v>3.7</v>
      </c>
      <c r="K1006">
        <v>4.4000000000000004</v>
      </c>
      <c r="L1006">
        <v>3</v>
      </c>
      <c r="M1006">
        <v>0.70000000000000018</v>
      </c>
      <c r="N1006">
        <v>0.70000000000000018</v>
      </c>
      <c r="O1006">
        <v>-0.70000000000000018</v>
      </c>
      <c r="P1006">
        <v>0.70000000000000018</v>
      </c>
      <c r="Q1006">
        <v>0.49000000000000027</v>
      </c>
      <c r="R1006">
        <v>0.60000000000000009</v>
      </c>
      <c r="S1006">
        <v>0.60000000000000009</v>
      </c>
      <c r="T1006" t="s">
        <v>876</v>
      </c>
      <c r="U1006">
        <v>5</v>
      </c>
      <c r="V1006">
        <v>2</v>
      </c>
      <c r="W1006" t="s">
        <v>2496</v>
      </c>
      <c r="X1006" t="s">
        <v>107</v>
      </c>
    </row>
    <row r="1007" spans="1:24">
      <c r="A1007" t="s">
        <v>212</v>
      </c>
      <c r="B1007" t="s">
        <v>108</v>
      </c>
      <c r="C1007" s="36">
        <v>45925</v>
      </c>
      <c r="D1007" t="s">
        <v>981</v>
      </c>
      <c r="E1007" s="36">
        <v>45930</v>
      </c>
      <c r="F1007" t="s">
        <v>108</v>
      </c>
      <c r="G1007" s="36">
        <v>45925</v>
      </c>
      <c r="H1007">
        <v>0</v>
      </c>
      <c r="I1007" t="s">
        <v>2497</v>
      </c>
      <c r="J1007">
        <v>4</v>
      </c>
      <c r="K1007">
        <v>4.4000000000000004</v>
      </c>
      <c r="L1007">
        <v>3</v>
      </c>
      <c r="M1007">
        <v>1</v>
      </c>
      <c r="N1007">
        <v>1</v>
      </c>
      <c r="O1007">
        <v>-0.40000000000000036</v>
      </c>
      <c r="P1007">
        <v>0.40000000000000036</v>
      </c>
      <c r="Q1007">
        <v>0.16000000000000028</v>
      </c>
      <c r="R1007">
        <v>0.29999999999999982</v>
      </c>
      <c r="S1007">
        <v>0.29999999999999982</v>
      </c>
      <c r="T1007" t="s">
        <v>876</v>
      </c>
      <c r="U1007">
        <v>4.9000000000000004</v>
      </c>
      <c r="V1007">
        <v>1.9000000000000004</v>
      </c>
      <c r="W1007" t="s">
        <v>2496</v>
      </c>
      <c r="X1007" t="s">
        <v>109</v>
      </c>
    </row>
    <row r="1008" spans="1:24">
      <c r="A1008" t="s">
        <v>212</v>
      </c>
      <c r="B1008" t="s">
        <v>80</v>
      </c>
      <c r="C1008" s="36">
        <v>45274</v>
      </c>
      <c r="D1008" t="s">
        <v>1086</v>
      </c>
      <c r="E1008" s="36">
        <v>46022</v>
      </c>
      <c r="F1008" t="s">
        <v>112</v>
      </c>
      <c r="G1008" s="36">
        <v>46009</v>
      </c>
      <c r="H1008">
        <v>16</v>
      </c>
      <c r="I1008" t="s">
        <v>2512</v>
      </c>
      <c r="J1008">
        <v>3.3</v>
      </c>
      <c r="K1008">
        <v>4</v>
      </c>
      <c r="L1008">
        <v>3</v>
      </c>
      <c r="M1008">
        <v>0.29999999999999982</v>
      </c>
      <c r="N1008">
        <v>0.29999999999999982</v>
      </c>
      <c r="O1008">
        <v>-0.70000000000000018</v>
      </c>
      <c r="P1008">
        <v>0.70000000000000018</v>
      </c>
      <c r="Q1008">
        <v>0.49000000000000027</v>
      </c>
      <c r="T1008" t="s">
        <v>183</v>
      </c>
      <c r="U1008">
        <v>4.5999999999999996</v>
      </c>
      <c r="V1008">
        <v>1.5999999999999996</v>
      </c>
      <c r="W1008" t="s">
        <v>2513</v>
      </c>
      <c r="X1008" t="s">
        <v>81</v>
      </c>
    </row>
    <row r="1009" spans="1:24">
      <c r="A1009" t="s">
        <v>212</v>
      </c>
      <c r="B1009" t="s">
        <v>82</v>
      </c>
      <c r="C1009" s="36">
        <v>45330</v>
      </c>
      <c r="D1009" t="s">
        <v>1086</v>
      </c>
      <c r="E1009" s="36">
        <v>46022</v>
      </c>
      <c r="F1009" t="s">
        <v>112</v>
      </c>
      <c r="G1009" s="36">
        <v>46009</v>
      </c>
      <c r="H1009">
        <v>15</v>
      </c>
      <c r="I1009" t="s">
        <v>2510</v>
      </c>
      <c r="J1009">
        <v>3.2</v>
      </c>
      <c r="K1009">
        <v>4</v>
      </c>
      <c r="L1009">
        <v>3</v>
      </c>
      <c r="M1009">
        <v>0.20000000000000018</v>
      </c>
      <c r="N1009">
        <v>0.20000000000000018</v>
      </c>
      <c r="O1009">
        <v>-0.79999999999999982</v>
      </c>
      <c r="P1009">
        <v>0.79999999999999982</v>
      </c>
      <c r="Q1009">
        <v>0.63999999999999968</v>
      </c>
      <c r="R1009">
        <v>-9.9999999999999645E-2</v>
      </c>
      <c r="S1009">
        <v>9.9999999999999645E-2</v>
      </c>
      <c r="T1009" t="s">
        <v>254</v>
      </c>
      <c r="U1009">
        <v>4.4000000000000004</v>
      </c>
      <c r="V1009">
        <v>1.4000000000000004</v>
      </c>
      <c r="W1009" t="s">
        <v>2513</v>
      </c>
      <c r="X1009" t="s">
        <v>83</v>
      </c>
    </row>
    <row r="1010" spans="1:24">
      <c r="A1010" t="s">
        <v>212</v>
      </c>
      <c r="B1010" t="s">
        <v>84</v>
      </c>
      <c r="C1010" s="36">
        <v>45372</v>
      </c>
      <c r="D1010" t="s">
        <v>1086</v>
      </c>
      <c r="E1010" s="36">
        <v>46022</v>
      </c>
      <c r="F1010" t="s">
        <v>112</v>
      </c>
      <c r="G1010" s="36">
        <v>46009</v>
      </c>
      <c r="H1010">
        <v>14</v>
      </c>
      <c r="I1010" t="s">
        <v>2511</v>
      </c>
      <c r="J1010">
        <v>3.2</v>
      </c>
      <c r="K1010">
        <v>4</v>
      </c>
      <c r="L1010">
        <v>3</v>
      </c>
      <c r="M1010">
        <v>0.20000000000000018</v>
      </c>
      <c r="N1010">
        <v>0.20000000000000018</v>
      </c>
      <c r="O1010">
        <v>-0.79999999999999982</v>
      </c>
      <c r="P1010">
        <v>0.79999999999999982</v>
      </c>
      <c r="Q1010">
        <v>0.63999999999999968</v>
      </c>
      <c r="R1010">
        <v>0</v>
      </c>
      <c r="S1010">
        <v>0</v>
      </c>
      <c r="T1010" t="s">
        <v>254</v>
      </c>
      <c r="U1010">
        <v>4.5999999999999996</v>
      </c>
      <c r="V1010">
        <v>1.5999999999999996</v>
      </c>
      <c r="W1010" t="s">
        <v>2513</v>
      </c>
      <c r="X1010" t="s">
        <v>85</v>
      </c>
    </row>
    <row r="1011" spans="1:24">
      <c r="A1011" t="s">
        <v>212</v>
      </c>
      <c r="B1011" t="s">
        <v>86</v>
      </c>
      <c r="C1011" s="36">
        <v>45421</v>
      </c>
      <c r="D1011" t="s">
        <v>1086</v>
      </c>
      <c r="E1011" s="36">
        <v>46022</v>
      </c>
      <c r="F1011" t="s">
        <v>112</v>
      </c>
      <c r="G1011" s="36">
        <v>46009</v>
      </c>
      <c r="H1011">
        <v>13</v>
      </c>
      <c r="I1011" t="s">
        <v>2508</v>
      </c>
      <c r="J1011">
        <v>2.9</v>
      </c>
      <c r="K1011">
        <v>4</v>
      </c>
      <c r="L1011">
        <v>3</v>
      </c>
      <c r="M1011">
        <v>-0.10000000000000009</v>
      </c>
      <c r="N1011">
        <v>0.10000000000000009</v>
      </c>
      <c r="O1011">
        <v>-1.1000000000000001</v>
      </c>
      <c r="P1011">
        <v>1.1000000000000001</v>
      </c>
      <c r="Q1011">
        <v>1.2100000000000002</v>
      </c>
      <c r="R1011">
        <v>-0.30000000000000027</v>
      </c>
      <c r="S1011">
        <v>0.30000000000000027</v>
      </c>
      <c r="T1011" t="s">
        <v>355</v>
      </c>
      <c r="U1011">
        <v>4.3</v>
      </c>
      <c r="V1011">
        <v>1.2999999999999998</v>
      </c>
      <c r="W1011" t="s">
        <v>2513</v>
      </c>
      <c r="X1011" t="s">
        <v>87</v>
      </c>
    </row>
    <row r="1012" spans="1:24">
      <c r="A1012" t="s">
        <v>212</v>
      </c>
      <c r="B1012" t="s">
        <v>88</v>
      </c>
      <c r="C1012" s="36">
        <v>45470</v>
      </c>
      <c r="D1012" t="s">
        <v>1086</v>
      </c>
      <c r="E1012" s="36">
        <v>46022</v>
      </c>
      <c r="F1012" t="s">
        <v>112</v>
      </c>
      <c r="G1012" s="36">
        <v>46009</v>
      </c>
      <c r="H1012">
        <v>12</v>
      </c>
      <c r="I1012" t="s">
        <v>2509</v>
      </c>
      <c r="J1012">
        <v>3.1</v>
      </c>
      <c r="K1012">
        <v>4</v>
      </c>
      <c r="L1012">
        <v>3</v>
      </c>
      <c r="M1012">
        <v>0.10000000000000009</v>
      </c>
      <c r="N1012">
        <v>0.10000000000000009</v>
      </c>
      <c r="O1012">
        <v>-0.89999999999999991</v>
      </c>
      <c r="P1012">
        <v>0.89999999999999991</v>
      </c>
      <c r="Q1012">
        <v>0.80999999999999983</v>
      </c>
      <c r="R1012">
        <v>0.20000000000000018</v>
      </c>
      <c r="S1012">
        <v>0.20000000000000018</v>
      </c>
      <c r="T1012" t="s">
        <v>355</v>
      </c>
      <c r="U1012">
        <v>4.2</v>
      </c>
      <c r="V1012">
        <v>1.2000000000000002</v>
      </c>
      <c r="W1012" t="s">
        <v>2513</v>
      </c>
      <c r="X1012" t="s">
        <v>89</v>
      </c>
    </row>
    <row r="1013" spans="1:24">
      <c r="A1013" t="s">
        <v>212</v>
      </c>
      <c r="B1013" t="s">
        <v>90</v>
      </c>
      <c r="C1013" s="36">
        <v>45512</v>
      </c>
      <c r="D1013" t="s">
        <v>1086</v>
      </c>
      <c r="E1013" s="36">
        <v>46022</v>
      </c>
      <c r="F1013" t="s">
        <v>112</v>
      </c>
      <c r="G1013" s="36">
        <v>46009</v>
      </c>
      <c r="H1013">
        <v>11</v>
      </c>
      <c r="I1013" t="s">
        <v>2506</v>
      </c>
      <c r="J1013">
        <v>3.1</v>
      </c>
      <c r="K1013">
        <v>4</v>
      </c>
      <c r="L1013">
        <v>3</v>
      </c>
      <c r="M1013">
        <v>0.10000000000000009</v>
      </c>
      <c r="N1013">
        <v>0.10000000000000009</v>
      </c>
      <c r="O1013">
        <v>-0.89999999999999991</v>
      </c>
      <c r="P1013">
        <v>0.89999999999999991</v>
      </c>
      <c r="Q1013">
        <v>0.80999999999999983</v>
      </c>
      <c r="R1013">
        <v>0</v>
      </c>
      <c r="S1013">
        <v>0</v>
      </c>
      <c r="T1013" t="s">
        <v>460</v>
      </c>
      <c r="U1013">
        <v>3.6</v>
      </c>
      <c r="V1013">
        <v>0.60000000000000009</v>
      </c>
      <c r="W1013" t="s">
        <v>2513</v>
      </c>
      <c r="X1013" t="s">
        <v>91</v>
      </c>
    </row>
    <row r="1014" spans="1:24">
      <c r="A1014" t="s">
        <v>212</v>
      </c>
      <c r="B1014" t="s">
        <v>92</v>
      </c>
      <c r="C1014" s="36">
        <v>45561</v>
      </c>
      <c r="D1014" t="s">
        <v>1086</v>
      </c>
      <c r="E1014" s="36">
        <v>46022</v>
      </c>
      <c r="F1014" t="s">
        <v>112</v>
      </c>
      <c r="G1014" s="36">
        <v>46009</v>
      </c>
      <c r="H1014">
        <v>10</v>
      </c>
      <c r="I1014" t="s">
        <v>2507</v>
      </c>
      <c r="J1014">
        <v>3</v>
      </c>
      <c r="K1014">
        <v>4</v>
      </c>
      <c r="L1014">
        <v>3</v>
      </c>
      <c r="M1014">
        <v>0</v>
      </c>
      <c r="N1014">
        <v>0</v>
      </c>
      <c r="O1014">
        <v>-1</v>
      </c>
      <c r="P1014">
        <v>1</v>
      </c>
      <c r="Q1014">
        <v>1</v>
      </c>
      <c r="R1014">
        <v>-0.10000000000000009</v>
      </c>
      <c r="S1014">
        <v>0.10000000000000009</v>
      </c>
      <c r="T1014" t="s">
        <v>460</v>
      </c>
      <c r="U1014">
        <v>3.7</v>
      </c>
      <c r="V1014">
        <v>0.70000000000000018</v>
      </c>
      <c r="W1014" t="s">
        <v>2513</v>
      </c>
      <c r="X1014" t="s">
        <v>93</v>
      </c>
    </row>
    <row r="1015" spans="1:24">
      <c r="A1015" t="s">
        <v>212</v>
      </c>
      <c r="B1015" t="s">
        <v>94</v>
      </c>
      <c r="C1015" s="36">
        <v>45610</v>
      </c>
      <c r="D1015" t="s">
        <v>1086</v>
      </c>
      <c r="E1015" s="36">
        <v>46022</v>
      </c>
      <c r="F1015" t="s">
        <v>112</v>
      </c>
      <c r="G1015" s="36">
        <v>46009</v>
      </c>
      <c r="H1015">
        <v>9</v>
      </c>
      <c r="I1015" t="s">
        <v>2504</v>
      </c>
      <c r="J1015">
        <v>2.9</v>
      </c>
      <c r="K1015">
        <v>4</v>
      </c>
      <c r="L1015">
        <v>3</v>
      </c>
      <c r="M1015">
        <v>-0.10000000000000009</v>
      </c>
      <c r="N1015">
        <v>0.10000000000000009</v>
      </c>
      <c r="O1015">
        <v>-1.1000000000000001</v>
      </c>
      <c r="P1015">
        <v>1.1000000000000001</v>
      </c>
      <c r="Q1015">
        <v>1.2100000000000002</v>
      </c>
      <c r="R1015">
        <v>-0.10000000000000009</v>
      </c>
      <c r="S1015">
        <v>0.10000000000000009</v>
      </c>
      <c r="T1015" t="s">
        <v>565</v>
      </c>
      <c r="U1015">
        <v>3.6</v>
      </c>
      <c r="V1015">
        <v>0.60000000000000009</v>
      </c>
      <c r="W1015" t="s">
        <v>2513</v>
      </c>
      <c r="X1015" t="s">
        <v>95</v>
      </c>
    </row>
    <row r="1016" spans="1:24">
      <c r="A1016" t="s">
        <v>212</v>
      </c>
      <c r="B1016" t="s">
        <v>96</v>
      </c>
      <c r="C1016" s="36">
        <v>45645</v>
      </c>
      <c r="D1016" t="s">
        <v>1086</v>
      </c>
      <c r="E1016" s="36">
        <v>46022</v>
      </c>
      <c r="F1016" t="s">
        <v>112</v>
      </c>
      <c r="G1016" s="36">
        <v>46009</v>
      </c>
      <c r="H1016">
        <v>8</v>
      </c>
      <c r="I1016" t="s">
        <v>2505</v>
      </c>
      <c r="J1016">
        <v>3</v>
      </c>
      <c r="K1016">
        <v>4</v>
      </c>
      <c r="L1016">
        <v>3</v>
      </c>
      <c r="M1016">
        <v>0</v>
      </c>
      <c r="N1016">
        <v>0</v>
      </c>
      <c r="O1016">
        <v>-1</v>
      </c>
      <c r="P1016">
        <v>1</v>
      </c>
      <c r="Q1016">
        <v>1</v>
      </c>
      <c r="R1016">
        <v>0.10000000000000009</v>
      </c>
      <c r="S1016">
        <v>0.10000000000000009</v>
      </c>
      <c r="T1016" t="s">
        <v>565</v>
      </c>
      <c r="U1016">
        <v>3.6</v>
      </c>
      <c r="V1016">
        <v>0.60000000000000009</v>
      </c>
      <c r="W1016" t="s">
        <v>2513</v>
      </c>
      <c r="X1016" t="s">
        <v>97</v>
      </c>
    </row>
    <row r="1017" spans="1:24">
      <c r="A1017" t="s">
        <v>212</v>
      </c>
      <c r="B1017" t="s">
        <v>98</v>
      </c>
      <c r="C1017" s="36">
        <v>45694</v>
      </c>
      <c r="D1017" t="s">
        <v>1086</v>
      </c>
      <c r="E1017" s="36">
        <v>46022</v>
      </c>
      <c r="F1017" t="s">
        <v>112</v>
      </c>
      <c r="G1017" s="36">
        <v>46009</v>
      </c>
      <c r="H1017">
        <v>7</v>
      </c>
      <c r="I1017" t="s">
        <v>2502</v>
      </c>
      <c r="J1017">
        <v>3</v>
      </c>
      <c r="K1017">
        <v>4</v>
      </c>
      <c r="L1017">
        <v>3</v>
      </c>
      <c r="M1017">
        <v>0</v>
      </c>
      <c r="N1017">
        <v>0</v>
      </c>
      <c r="O1017">
        <v>-1</v>
      </c>
      <c r="P1017">
        <v>1</v>
      </c>
      <c r="Q1017">
        <v>1</v>
      </c>
      <c r="R1017">
        <v>0</v>
      </c>
      <c r="S1017">
        <v>0</v>
      </c>
      <c r="T1017" t="s">
        <v>670</v>
      </c>
      <c r="U1017">
        <v>3.4</v>
      </c>
      <c r="V1017">
        <v>0.39999999999999991</v>
      </c>
      <c r="W1017" t="s">
        <v>2513</v>
      </c>
      <c r="X1017" t="s">
        <v>99</v>
      </c>
    </row>
    <row r="1018" spans="1:24">
      <c r="A1018" t="s">
        <v>212</v>
      </c>
      <c r="B1018" t="s">
        <v>100</v>
      </c>
      <c r="C1018" s="36">
        <v>45743</v>
      </c>
      <c r="D1018" t="s">
        <v>1086</v>
      </c>
      <c r="E1018" s="36">
        <v>46022</v>
      </c>
      <c r="F1018" t="s">
        <v>112</v>
      </c>
      <c r="G1018" s="36">
        <v>46009</v>
      </c>
      <c r="H1018">
        <v>6</v>
      </c>
      <c r="I1018" t="s">
        <v>2503</v>
      </c>
      <c r="J1018">
        <v>3</v>
      </c>
      <c r="K1018">
        <v>4</v>
      </c>
      <c r="L1018">
        <v>3</v>
      </c>
      <c r="M1018">
        <v>0</v>
      </c>
      <c r="N1018">
        <v>0</v>
      </c>
      <c r="O1018">
        <v>-1</v>
      </c>
      <c r="P1018">
        <v>1</v>
      </c>
      <c r="Q1018">
        <v>1</v>
      </c>
      <c r="R1018">
        <v>0</v>
      </c>
      <c r="S1018">
        <v>0</v>
      </c>
      <c r="T1018" t="s">
        <v>670</v>
      </c>
      <c r="U1018">
        <v>3.4</v>
      </c>
      <c r="V1018">
        <v>0.39999999999999991</v>
      </c>
      <c r="W1018" t="s">
        <v>2513</v>
      </c>
      <c r="X1018" t="s">
        <v>101</v>
      </c>
    </row>
    <row r="1019" spans="1:24">
      <c r="A1019" t="s">
        <v>212</v>
      </c>
      <c r="B1019" t="s">
        <v>102</v>
      </c>
      <c r="C1019" s="36">
        <v>45792</v>
      </c>
      <c r="D1019" t="s">
        <v>1086</v>
      </c>
      <c r="E1019" s="36">
        <v>46022</v>
      </c>
      <c r="F1019" t="s">
        <v>112</v>
      </c>
      <c r="G1019" s="36">
        <v>46009</v>
      </c>
      <c r="H1019">
        <v>5</v>
      </c>
      <c r="I1019" t="s">
        <v>2500</v>
      </c>
      <c r="J1019">
        <v>3</v>
      </c>
      <c r="K1019">
        <v>4</v>
      </c>
      <c r="L1019">
        <v>3</v>
      </c>
      <c r="M1019">
        <v>0</v>
      </c>
      <c r="N1019">
        <v>0</v>
      </c>
      <c r="O1019">
        <v>-1</v>
      </c>
      <c r="P1019">
        <v>1</v>
      </c>
      <c r="Q1019">
        <v>1</v>
      </c>
      <c r="R1019">
        <v>0</v>
      </c>
      <c r="S1019">
        <v>0</v>
      </c>
      <c r="T1019" t="s">
        <v>771</v>
      </c>
      <c r="U1019">
        <v>4.2</v>
      </c>
      <c r="V1019">
        <v>1.2000000000000002</v>
      </c>
      <c r="W1019" t="s">
        <v>2513</v>
      </c>
      <c r="X1019" t="s">
        <v>103</v>
      </c>
    </row>
    <row r="1020" spans="1:24">
      <c r="A1020" t="s">
        <v>212</v>
      </c>
      <c r="B1020" t="s">
        <v>104</v>
      </c>
      <c r="C1020" s="36">
        <v>45834</v>
      </c>
      <c r="D1020" t="s">
        <v>1086</v>
      </c>
      <c r="E1020" s="36">
        <v>46022</v>
      </c>
      <c r="F1020" t="s">
        <v>112</v>
      </c>
      <c r="G1020" s="36">
        <v>46009</v>
      </c>
      <c r="H1020">
        <v>4</v>
      </c>
      <c r="I1020" t="s">
        <v>2501</v>
      </c>
      <c r="J1020">
        <v>2.9</v>
      </c>
      <c r="K1020">
        <v>4</v>
      </c>
      <c r="L1020">
        <v>3</v>
      </c>
      <c r="M1020">
        <v>-0.10000000000000009</v>
      </c>
      <c r="N1020">
        <v>0.10000000000000009</v>
      </c>
      <c r="O1020">
        <v>-1.1000000000000001</v>
      </c>
      <c r="P1020">
        <v>1.1000000000000001</v>
      </c>
      <c r="Q1020">
        <v>1.2100000000000002</v>
      </c>
      <c r="R1020">
        <v>-0.10000000000000009</v>
      </c>
      <c r="S1020">
        <v>0.10000000000000009</v>
      </c>
      <c r="T1020" t="s">
        <v>771</v>
      </c>
      <c r="U1020">
        <v>4.2</v>
      </c>
      <c r="V1020">
        <v>1.2000000000000002</v>
      </c>
      <c r="W1020" t="s">
        <v>2513</v>
      </c>
      <c r="X1020" t="s">
        <v>105</v>
      </c>
    </row>
    <row r="1021" spans="1:24">
      <c r="A1021" t="s">
        <v>212</v>
      </c>
      <c r="B1021" t="s">
        <v>106</v>
      </c>
      <c r="C1021" s="36">
        <v>45876</v>
      </c>
      <c r="D1021" t="s">
        <v>1086</v>
      </c>
      <c r="E1021" s="36">
        <v>46022</v>
      </c>
      <c r="F1021" t="s">
        <v>112</v>
      </c>
      <c r="G1021" s="36">
        <v>46009</v>
      </c>
      <c r="H1021">
        <v>3</v>
      </c>
      <c r="I1021" t="s">
        <v>2498</v>
      </c>
      <c r="J1021">
        <v>2.6</v>
      </c>
      <c r="K1021">
        <v>4</v>
      </c>
      <c r="L1021">
        <v>3</v>
      </c>
      <c r="M1021">
        <v>-0.39999999999999991</v>
      </c>
      <c r="N1021">
        <v>0.39999999999999991</v>
      </c>
      <c r="O1021">
        <v>-1.4</v>
      </c>
      <c r="P1021">
        <v>1.4</v>
      </c>
      <c r="Q1021">
        <v>1.9599999999999997</v>
      </c>
      <c r="R1021">
        <v>-0.29999999999999982</v>
      </c>
      <c r="S1021">
        <v>0.29999999999999982</v>
      </c>
      <c r="T1021" t="s">
        <v>876</v>
      </c>
      <c r="U1021">
        <v>5</v>
      </c>
      <c r="V1021">
        <v>2</v>
      </c>
      <c r="W1021" t="s">
        <v>2513</v>
      </c>
      <c r="X1021" t="s">
        <v>107</v>
      </c>
    </row>
    <row r="1022" spans="1:24">
      <c r="A1022" t="s">
        <v>212</v>
      </c>
      <c r="B1022" t="s">
        <v>108</v>
      </c>
      <c r="C1022" s="36">
        <v>45925</v>
      </c>
      <c r="D1022" t="s">
        <v>1086</v>
      </c>
      <c r="E1022" s="36">
        <v>46022</v>
      </c>
      <c r="F1022" t="s">
        <v>112</v>
      </c>
      <c r="G1022" s="36">
        <v>46009</v>
      </c>
      <c r="H1022">
        <v>2</v>
      </c>
      <c r="I1022" t="s">
        <v>2499</v>
      </c>
      <c r="J1022">
        <v>3</v>
      </c>
      <c r="K1022">
        <v>4</v>
      </c>
      <c r="L1022">
        <v>3</v>
      </c>
      <c r="M1022">
        <v>0</v>
      </c>
      <c r="N1022">
        <v>0</v>
      </c>
      <c r="O1022">
        <v>-1</v>
      </c>
      <c r="P1022">
        <v>1</v>
      </c>
      <c r="Q1022">
        <v>1</v>
      </c>
      <c r="R1022">
        <v>0.39999999999999991</v>
      </c>
      <c r="S1022">
        <v>0.39999999999999991</v>
      </c>
      <c r="T1022" t="s">
        <v>876</v>
      </c>
      <c r="U1022">
        <v>4.9000000000000004</v>
      </c>
      <c r="V1022">
        <v>1.9000000000000004</v>
      </c>
      <c r="W1022" t="s">
        <v>2513</v>
      </c>
      <c r="X1022" t="s">
        <v>109</v>
      </c>
    </row>
    <row r="1023" spans="1:24">
      <c r="A1023" t="s">
        <v>212</v>
      </c>
      <c r="B1023" t="s">
        <v>110</v>
      </c>
      <c r="C1023" s="36">
        <v>45967</v>
      </c>
      <c r="D1023" t="s">
        <v>1086</v>
      </c>
      <c r="E1023" s="36">
        <v>46022</v>
      </c>
      <c r="F1023" t="s">
        <v>112</v>
      </c>
      <c r="G1023" s="36">
        <v>46009</v>
      </c>
      <c r="H1023">
        <v>1</v>
      </c>
      <c r="I1023" t="s">
        <v>2495</v>
      </c>
      <c r="J1023">
        <v>3.1</v>
      </c>
      <c r="K1023">
        <v>4</v>
      </c>
      <c r="L1023">
        <v>3</v>
      </c>
      <c r="M1023">
        <v>0.10000000000000009</v>
      </c>
      <c r="N1023">
        <v>0.10000000000000009</v>
      </c>
      <c r="O1023">
        <v>-0.89999999999999991</v>
      </c>
      <c r="P1023">
        <v>0.89999999999999991</v>
      </c>
      <c r="Q1023">
        <v>0.80999999999999983</v>
      </c>
      <c r="R1023">
        <v>0.10000000000000009</v>
      </c>
      <c r="S1023">
        <v>0.10000000000000009</v>
      </c>
      <c r="T1023" t="s">
        <v>981</v>
      </c>
      <c r="U1023">
        <v>4.3</v>
      </c>
      <c r="V1023">
        <v>1.2999999999999998</v>
      </c>
      <c r="W1023" t="s">
        <v>2513</v>
      </c>
      <c r="X1023" t="s">
        <v>111</v>
      </c>
    </row>
    <row r="1024" spans="1:24">
      <c r="A1024" t="s">
        <v>212</v>
      </c>
      <c r="B1024" t="s">
        <v>112</v>
      </c>
      <c r="C1024" s="36">
        <v>46009</v>
      </c>
      <c r="D1024" t="s">
        <v>1086</v>
      </c>
      <c r="E1024" s="36">
        <v>46022</v>
      </c>
      <c r="F1024" t="s">
        <v>112</v>
      </c>
      <c r="G1024" s="36">
        <v>46009</v>
      </c>
      <c r="H1024">
        <v>0</v>
      </c>
      <c r="I1024" t="s">
        <v>2497</v>
      </c>
      <c r="J1024">
        <v>3.6</v>
      </c>
      <c r="K1024">
        <v>4</v>
      </c>
      <c r="L1024">
        <v>3</v>
      </c>
      <c r="M1024">
        <v>0.60000000000000009</v>
      </c>
      <c r="N1024">
        <v>0.60000000000000009</v>
      </c>
      <c r="O1024">
        <v>-0.39999999999999991</v>
      </c>
      <c r="P1024">
        <v>0.39999999999999991</v>
      </c>
      <c r="Q1024">
        <v>0.15999999999999992</v>
      </c>
      <c r="R1024">
        <v>0.5</v>
      </c>
      <c r="S1024">
        <v>0.5</v>
      </c>
      <c r="T1024" t="s">
        <v>981</v>
      </c>
      <c r="U1024">
        <v>4.3</v>
      </c>
      <c r="V1024">
        <v>1.2999999999999998</v>
      </c>
      <c r="W1024" t="s">
        <v>2513</v>
      </c>
      <c r="X1024" t="s">
        <v>113</v>
      </c>
    </row>
    <row r="1025" spans="1:24">
      <c r="A1025" t="s">
        <v>212</v>
      </c>
      <c r="B1025" t="s">
        <v>84</v>
      </c>
      <c r="C1025" s="36">
        <v>45372</v>
      </c>
      <c r="D1025" t="s">
        <v>1183</v>
      </c>
      <c r="E1025" s="36">
        <v>46112</v>
      </c>
      <c r="F1025" t="s">
        <v>116</v>
      </c>
      <c r="G1025" s="36">
        <v>46107</v>
      </c>
      <c r="H1025">
        <v>16</v>
      </c>
      <c r="I1025" t="s">
        <v>2512</v>
      </c>
      <c r="J1025">
        <v>3</v>
      </c>
      <c r="K1025">
        <v>4.5999999999999996</v>
      </c>
      <c r="L1025">
        <v>3</v>
      </c>
      <c r="M1025">
        <v>0</v>
      </c>
      <c r="N1025">
        <v>0</v>
      </c>
      <c r="O1025">
        <v>-1.5999999999999996</v>
      </c>
      <c r="P1025">
        <v>1.5999999999999996</v>
      </c>
      <c r="Q1025">
        <v>2.5599999999999987</v>
      </c>
      <c r="T1025" t="s">
        <v>254</v>
      </c>
      <c r="U1025">
        <v>4.5999999999999996</v>
      </c>
      <c r="V1025">
        <v>1.5999999999999996</v>
      </c>
      <c r="W1025" t="s">
        <v>2496</v>
      </c>
      <c r="X1025" t="s">
        <v>85</v>
      </c>
    </row>
    <row r="1026" spans="1:24">
      <c r="A1026" t="s">
        <v>212</v>
      </c>
      <c r="B1026" t="s">
        <v>86</v>
      </c>
      <c r="C1026" s="36">
        <v>45421</v>
      </c>
      <c r="D1026" t="s">
        <v>1183</v>
      </c>
      <c r="E1026" s="36">
        <v>46112</v>
      </c>
      <c r="F1026" t="s">
        <v>116</v>
      </c>
      <c r="G1026" s="36">
        <v>46107</v>
      </c>
      <c r="H1026">
        <v>15</v>
      </c>
      <c r="I1026" t="s">
        <v>2510</v>
      </c>
      <c r="J1026">
        <v>3</v>
      </c>
      <c r="K1026">
        <v>4.5999999999999996</v>
      </c>
      <c r="L1026">
        <v>3</v>
      </c>
      <c r="M1026">
        <v>0</v>
      </c>
      <c r="N1026">
        <v>0</v>
      </c>
      <c r="O1026">
        <v>-1.5999999999999996</v>
      </c>
      <c r="P1026">
        <v>1.5999999999999996</v>
      </c>
      <c r="Q1026">
        <v>2.5599999999999987</v>
      </c>
      <c r="R1026">
        <v>0</v>
      </c>
      <c r="S1026">
        <v>0</v>
      </c>
      <c r="T1026" t="s">
        <v>355</v>
      </c>
      <c r="U1026">
        <v>4.3</v>
      </c>
      <c r="V1026">
        <v>1.2999999999999998</v>
      </c>
      <c r="W1026" t="s">
        <v>2496</v>
      </c>
      <c r="X1026" t="s">
        <v>87</v>
      </c>
    </row>
    <row r="1027" spans="1:24">
      <c r="A1027" t="s">
        <v>212</v>
      </c>
      <c r="B1027" t="s">
        <v>88</v>
      </c>
      <c r="C1027" s="36">
        <v>45470</v>
      </c>
      <c r="D1027" t="s">
        <v>1183</v>
      </c>
      <c r="E1027" s="36">
        <v>46112</v>
      </c>
      <c r="F1027" t="s">
        <v>116</v>
      </c>
      <c r="G1027" s="36">
        <v>46107</v>
      </c>
      <c r="H1027">
        <v>14</v>
      </c>
      <c r="I1027" t="s">
        <v>2511</v>
      </c>
      <c r="J1027">
        <v>3</v>
      </c>
      <c r="K1027">
        <v>4.5999999999999996</v>
      </c>
      <c r="L1027">
        <v>3</v>
      </c>
      <c r="M1027">
        <v>0</v>
      </c>
      <c r="N1027">
        <v>0</v>
      </c>
      <c r="O1027">
        <v>-1.5999999999999996</v>
      </c>
      <c r="P1027">
        <v>1.5999999999999996</v>
      </c>
      <c r="Q1027">
        <v>2.5599999999999987</v>
      </c>
      <c r="R1027">
        <v>0</v>
      </c>
      <c r="S1027">
        <v>0</v>
      </c>
      <c r="T1027" t="s">
        <v>355</v>
      </c>
      <c r="U1027">
        <v>4.2</v>
      </c>
      <c r="V1027">
        <v>1.2000000000000002</v>
      </c>
      <c r="W1027" t="s">
        <v>2496</v>
      </c>
      <c r="X1027" t="s">
        <v>89</v>
      </c>
    </row>
    <row r="1028" spans="1:24">
      <c r="A1028" t="s">
        <v>212</v>
      </c>
      <c r="B1028" t="s">
        <v>90</v>
      </c>
      <c r="C1028" s="36">
        <v>45512</v>
      </c>
      <c r="D1028" t="s">
        <v>1183</v>
      </c>
      <c r="E1028" s="36">
        <v>46112</v>
      </c>
      <c r="F1028" t="s">
        <v>116</v>
      </c>
      <c r="G1028" s="36">
        <v>46107</v>
      </c>
      <c r="H1028">
        <v>13</v>
      </c>
      <c r="I1028" t="s">
        <v>2508</v>
      </c>
      <c r="J1028">
        <v>3</v>
      </c>
      <c r="K1028">
        <v>4.5999999999999996</v>
      </c>
      <c r="L1028">
        <v>3</v>
      </c>
      <c r="M1028">
        <v>0</v>
      </c>
      <c r="N1028">
        <v>0</v>
      </c>
      <c r="O1028">
        <v>-1.5999999999999996</v>
      </c>
      <c r="P1028">
        <v>1.5999999999999996</v>
      </c>
      <c r="Q1028">
        <v>2.5599999999999987</v>
      </c>
      <c r="R1028">
        <v>0</v>
      </c>
      <c r="S1028">
        <v>0</v>
      </c>
      <c r="T1028" t="s">
        <v>460</v>
      </c>
      <c r="U1028">
        <v>3.6</v>
      </c>
      <c r="V1028">
        <v>0.60000000000000009</v>
      </c>
      <c r="W1028" t="s">
        <v>2496</v>
      </c>
      <c r="X1028" t="s">
        <v>91</v>
      </c>
    </row>
    <row r="1029" spans="1:24">
      <c r="A1029" t="s">
        <v>212</v>
      </c>
      <c r="B1029" t="s">
        <v>92</v>
      </c>
      <c r="C1029" s="36">
        <v>45561</v>
      </c>
      <c r="D1029" t="s">
        <v>1183</v>
      </c>
      <c r="E1029" s="36">
        <v>46112</v>
      </c>
      <c r="F1029" t="s">
        <v>116</v>
      </c>
      <c r="G1029" s="36">
        <v>46107</v>
      </c>
      <c r="H1029">
        <v>12</v>
      </c>
      <c r="I1029" t="s">
        <v>2509</v>
      </c>
      <c r="J1029">
        <v>3</v>
      </c>
      <c r="K1029">
        <v>4.5999999999999996</v>
      </c>
      <c r="L1029">
        <v>3</v>
      </c>
      <c r="M1029">
        <v>0</v>
      </c>
      <c r="N1029">
        <v>0</v>
      </c>
      <c r="O1029">
        <v>-1.5999999999999996</v>
      </c>
      <c r="P1029">
        <v>1.5999999999999996</v>
      </c>
      <c r="Q1029">
        <v>2.5599999999999987</v>
      </c>
      <c r="R1029">
        <v>0</v>
      </c>
      <c r="S1029">
        <v>0</v>
      </c>
      <c r="T1029" t="s">
        <v>460</v>
      </c>
      <c r="U1029">
        <v>3.7</v>
      </c>
      <c r="V1029">
        <v>0.70000000000000018</v>
      </c>
      <c r="W1029" t="s">
        <v>2496</v>
      </c>
      <c r="X1029" t="s">
        <v>93</v>
      </c>
    </row>
    <row r="1030" spans="1:24">
      <c r="A1030" t="s">
        <v>212</v>
      </c>
      <c r="B1030" t="s">
        <v>94</v>
      </c>
      <c r="C1030" s="36">
        <v>45610</v>
      </c>
      <c r="D1030" t="s">
        <v>1183</v>
      </c>
      <c r="E1030" s="36">
        <v>46112</v>
      </c>
      <c r="F1030" t="s">
        <v>116</v>
      </c>
      <c r="G1030" s="36">
        <v>46107</v>
      </c>
      <c r="H1030">
        <v>11</v>
      </c>
      <c r="I1030" t="s">
        <v>2506</v>
      </c>
      <c r="J1030">
        <v>3.2</v>
      </c>
      <c r="K1030">
        <v>4.5999999999999996</v>
      </c>
      <c r="L1030">
        <v>3</v>
      </c>
      <c r="M1030">
        <v>0.20000000000000018</v>
      </c>
      <c r="N1030">
        <v>0.20000000000000018</v>
      </c>
      <c r="O1030">
        <v>-1.3999999999999995</v>
      </c>
      <c r="P1030">
        <v>1.3999999999999995</v>
      </c>
      <c r="Q1030">
        <v>1.9599999999999984</v>
      </c>
      <c r="R1030">
        <v>0.20000000000000018</v>
      </c>
      <c r="S1030">
        <v>0.20000000000000018</v>
      </c>
      <c r="T1030" t="s">
        <v>565</v>
      </c>
      <c r="U1030">
        <v>3.6</v>
      </c>
      <c r="V1030">
        <v>0.60000000000000009</v>
      </c>
      <c r="W1030" t="s">
        <v>2496</v>
      </c>
      <c r="X1030" t="s">
        <v>95</v>
      </c>
    </row>
    <row r="1031" spans="1:24">
      <c r="A1031" t="s">
        <v>212</v>
      </c>
      <c r="B1031" t="s">
        <v>96</v>
      </c>
      <c r="C1031" s="36">
        <v>45645</v>
      </c>
      <c r="D1031" t="s">
        <v>1183</v>
      </c>
      <c r="E1031" s="36">
        <v>46112</v>
      </c>
      <c r="F1031" t="s">
        <v>116</v>
      </c>
      <c r="G1031" s="36">
        <v>46107</v>
      </c>
      <c r="H1031">
        <v>10</v>
      </c>
      <c r="I1031" t="s">
        <v>2507</v>
      </c>
      <c r="J1031">
        <v>3</v>
      </c>
      <c r="K1031">
        <v>4.5999999999999996</v>
      </c>
      <c r="L1031">
        <v>3</v>
      </c>
      <c r="M1031">
        <v>0</v>
      </c>
      <c r="N1031">
        <v>0</v>
      </c>
      <c r="O1031">
        <v>-1.5999999999999996</v>
      </c>
      <c r="P1031">
        <v>1.5999999999999996</v>
      </c>
      <c r="Q1031">
        <v>2.5599999999999987</v>
      </c>
      <c r="R1031">
        <v>-0.20000000000000018</v>
      </c>
      <c r="S1031">
        <v>0.20000000000000018</v>
      </c>
      <c r="T1031" t="s">
        <v>565</v>
      </c>
      <c r="U1031">
        <v>3.6</v>
      </c>
      <c r="V1031">
        <v>0.60000000000000009</v>
      </c>
      <c r="W1031" t="s">
        <v>2496</v>
      </c>
      <c r="X1031" t="s">
        <v>97</v>
      </c>
    </row>
    <row r="1032" spans="1:24">
      <c r="A1032" t="s">
        <v>212</v>
      </c>
      <c r="B1032" t="s">
        <v>98</v>
      </c>
      <c r="C1032" s="36">
        <v>45694</v>
      </c>
      <c r="D1032" t="s">
        <v>1183</v>
      </c>
      <c r="E1032" s="36">
        <v>46112</v>
      </c>
      <c r="F1032" t="s">
        <v>116</v>
      </c>
      <c r="G1032" s="36">
        <v>46107</v>
      </c>
      <c r="H1032">
        <v>9</v>
      </c>
      <c r="I1032" t="s">
        <v>2504</v>
      </c>
      <c r="J1032">
        <v>3.1</v>
      </c>
      <c r="K1032">
        <v>4.5999999999999996</v>
      </c>
      <c r="L1032">
        <v>3</v>
      </c>
      <c r="M1032">
        <v>0.10000000000000009</v>
      </c>
      <c r="N1032">
        <v>0.10000000000000009</v>
      </c>
      <c r="O1032">
        <v>-1.4999999999999996</v>
      </c>
      <c r="P1032">
        <v>1.4999999999999996</v>
      </c>
      <c r="Q1032">
        <v>2.2499999999999987</v>
      </c>
      <c r="R1032">
        <v>0.10000000000000009</v>
      </c>
      <c r="S1032">
        <v>0.10000000000000009</v>
      </c>
      <c r="T1032" t="s">
        <v>670</v>
      </c>
      <c r="U1032">
        <v>3.4</v>
      </c>
      <c r="V1032">
        <v>0.39999999999999991</v>
      </c>
      <c r="W1032" t="s">
        <v>2496</v>
      </c>
      <c r="X1032" t="s">
        <v>99</v>
      </c>
    </row>
    <row r="1033" spans="1:24">
      <c r="A1033" t="s">
        <v>212</v>
      </c>
      <c r="B1033" t="s">
        <v>100</v>
      </c>
      <c r="C1033" s="36">
        <v>45743</v>
      </c>
      <c r="D1033" t="s">
        <v>1183</v>
      </c>
      <c r="E1033" s="36">
        <v>46112</v>
      </c>
      <c r="F1033" t="s">
        <v>116</v>
      </c>
      <c r="G1033" s="36">
        <v>46107</v>
      </c>
      <c r="H1033">
        <v>8</v>
      </c>
      <c r="I1033" t="s">
        <v>2505</v>
      </c>
      <c r="J1033">
        <v>3.2</v>
      </c>
      <c r="K1033">
        <v>4.5999999999999996</v>
      </c>
      <c r="L1033">
        <v>3</v>
      </c>
      <c r="M1033">
        <v>0.20000000000000018</v>
      </c>
      <c r="N1033">
        <v>0.20000000000000018</v>
      </c>
      <c r="O1033">
        <v>-1.3999999999999995</v>
      </c>
      <c r="P1033">
        <v>1.3999999999999995</v>
      </c>
      <c r="Q1033">
        <v>1.9599999999999984</v>
      </c>
      <c r="R1033">
        <v>0.10000000000000009</v>
      </c>
      <c r="S1033">
        <v>0.10000000000000009</v>
      </c>
      <c r="T1033" t="s">
        <v>670</v>
      </c>
      <c r="U1033">
        <v>3.4</v>
      </c>
      <c r="V1033">
        <v>0.39999999999999991</v>
      </c>
      <c r="W1033" t="s">
        <v>2496</v>
      </c>
      <c r="X1033" t="s">
        <v>101</v>
      </c>
    </row>
    <row r="1034" spans="1:24">
      <c r="A1034" t="s">
        <v>212</v>
      </c>
      <c r="B1034" t="s">
        <v>102</v>
      </c>
      <c r="C1034" s="36">
        <v>45792</v>
      </c>
      <c r="D1034" t="s">
        <v>1183</v>
      </c>
      <c r="E1034" s="36">
        <v>46112</v>
      </c>
      <c r="F1034" t="s">
        <v>116</v>
      </c>
      <c r="G1034" s="36">
        <v>46107</v>
      </c>
      <c r="H1034">
        <v>7</v>
      </c>
      <c r="I1034" t="s">
        <v>2502</v>
      </c>
      <c r="J1034">
        <v>3.3</v>
      </c>
      <c r="K1034">
        <v>4.5999999999999996</v>
      </c>
      <c r="L1034">
        <v>3</v>
      </c>
      <c r="M1034">
        <v>0.29999999999999982</v>
      </c>
      <c r="N1034">
        <v>0.29999999999999982</v>
      </c>
      <c r="O1034">
        <v>-1.2999999999999998</v>
      </c>
      <c r="P1034">
        <v>1.2999999999999998</v>
      </c>
      <c r="Q1034">
        <v>1.6899999999999995</v>
      </c>
      <c r="R1034">
        <v>9.9999999999999645E-2</v>
      </c>
      <c r="S1034">
        <v>9.9999999999999645E-2</v>
      </c>
      <c r="T1034" t="s">
        <v>771</v>
      </c>
      <c r="U1034">
        <v>4.2</v>
      </c>
      <c r="V1034">
        <v>1.2000000000000002</v>
      </c>
      <c r="W1034" t="s">
        <v>2496</v>
      </c>
      <c r="X1034" t="s">
        <v>103</v>
      </c>
    </row>
    <row r="1035" spans="1:24">
      <c r="A1035" t="s">
        <v>212</v>
      </c>
      <c r="B1035" t="s">
        <v>104</v>
      </c>
      <c r="C1035" s="36">
        <v>45834</v>
      </c>
      <c r="D1035" t="s">
        <v>1183</v>
      </c>
      <c r="E1035" s="36">
        <v>46112</v>
      </c>
      <c r="F1035" t="s">
        <v>116</v>
      </c>
      <c r="G1035" s="36">
        <v>46107</v>
      </c>
      <c r="H1035">
        <v>6</v>
      </c>
      <c r="I1035" t="s">
        <v>2503</v>
      </c>
      <c r="J1035">
        <v>3.3</v>
      </c>
      <c r="K1035">
        <v>4.5999999999999996</v>
      </c>
      <c r="L1035">
        <v>3</v>
      </c>
      <c r="M1035">
        <v>0.29999999999999982</v>
      </c>
      <c r="N1035">
        <v>0.29999999999999982</v>
      </c>
      <c r="O1035">
        <v>-1.2999999999999998</v>
      </c>
      <c r="P1035">
        <v>1.2999999999999998</v>
      </c>
      <c r="Q1035">
        <v>1.6899999999999995</v>
      </c>
      <c r="R1035">
        <v>0</v>
      </c>
      <c r="S1035">
        <v>0</v>
      </c>
      <c r="T1035" t="s">
        <v>771</v>
      </c>
      <c r="U1035">
        <v>4.2</v>
      </c>
      <c r="V1035">
        <v>1.2000000000000002</v>
      </c>
      <c r="W1035" t="s">
        <v>2496</v>
      </c>
      <c r="X1035" t="s">
        <v>105</v>
      </c>
    </row>
    <row r="1036" spans="1:24">
      <c r="A1036" t="s">
        <v>212</v>
      </c>
      <c r="B1036" t="s">
        <v>106</v>
      </c>
      <c r="C1036" s="36">
        <v>45876</v>
      </c>
      <c r="D1036" t="s">
        <v>1183</v>
      </c>
      <c r="E1036" s="36">
        <v>46112</v>
      </c>
      <c r="F1036" t="s">
        <v>116</v>
      </c>
      <c r="G1036" s="36">
        <v>46107</v>
      </c>
      <c r="H1036">
        <v>5</v>
      </c>
      <c r="I1036" t="s">
        <v>2500</v>
      </c>
      <c r="J1036">
        <v>3.2</v>
      </c>
      <c r="K1036">
        <v>4.5999999999999996</v>
      </c>
      <c r="L1036">
        <v>3</v>
      </c>
      <c r="M1036">
        <v>0.20000000000000018</v>
      </c>
      <c r="N1036">
        <v>0.20000000000000018</v>
      </c>
      <c r="O1036">
        <v>-1.3999999999999995</v>
      </c>
      <c r="P1036">
        <v>1.3999999999999995</v>
      </c>
      <c r="Q1036">
        <v>1.9599999999999984</v>
      </c>
      <c r="R1036">
        <v>-9.9999999999999645E-2</v>
      </c>
      <c r="S1036">
        <v>9.9999999999999645E-2</v>
      </c>
      <c r="T1036" t="s">
        <v>876</v>
      </c>
      <c r="U1036">
        <v>5</v>
      </c>
      <c r="V1036">
        <v>2</v>
      </c>
      <c r="W1036" t="s">
        <v>2496</v>
      </c>
      <c r="X1036" t="s">
        <v>107</v>
      </c>
    </row>
    <row r="1037" spans="1:24">
      <c r="A1037" t="s">
        <v>212</v>
      </c>
      <c r="B1037" t="s">
        <v>108</v>
      </c>
      <c r="C1037" s="36">
        <v>45925</v>
      </c>
      <c r="D1037" t="s">
        <v>1183</v>
      </c>
      <c r="E1037" s="36">
        <v>46112</v>
      </c>
      <c r="F1037" t="s">
        <v>116</v>
      </c>
      <c r="G1037" s="36">
        <v>46107</v>
      </c>
      <c r="H1037">
        <v>4</v>
      </c>
      <c r="I1037" t="s">
        <v>2501</v>
      </c>
      <c r="J1037">
        <v>2.7</v>
      </c>
      <c r="K1037">
        <v>4.5999999999999996</v>
      </c>
      <c r="L1037">
        <v>3</v>
      </c>
      <c r="M1037">
        <v>-0.29999999999999982</v>
      </c>
      <c r="N1037">
        <v>0.29999999999999982</v>
      </c>
      <c r="O1037">
        <v>-1.8999999999999995</v>
      </c>
      <c r="P1037">
        <v>1.8999999999999995</v>
      </c>
      <c r="Q1037">
        <v>3.6099999999999981</v>
      </c>
      <c r="R1037">
        <v>-0.5</v>
      </c>
      <c r="S1037">
        <v>0.5</v>
      </c>
      <c r="T1037" t="s">
        <v>876</v>
      </c>
      <c r="U1037">
        <v>4.9000000000000004</v>
      </c>
      <c r="V1037">
        <v>1.9000000000000004</v>
      </c>
      <c r="W1037" t="s">
        <v>2496</v>
      </c>
      <c r="X1037" t="s">
        <v>109</v>
      </c>
    </row>
    <row r="1038" spans="1:24">
      <c r="A1038" t="s">
        <v>212</v>
      </c>
      <c r="B1038" t="s">
        <v>110</v>
      </c>
      <c r="C1038" s="36">
        <v>45967</v>
      </c>
      <c r="D1038" t="s">
        <v>1183</v>
      </c>
      <c r="E1038" s="36">
        <v>46112</v>
      </c>
      <c r="F1038" t="s">
        <v>116</v>
      </c>
      <c r="G1038" s="36">
        <v>46107</v>
      </c>
      <c r="H1038">
        <v>3</v>
      </c>
      <c r="I1038" t="s">
        <v>2498</v>
      </c>
      <c r="J1038">
        <v>3</v>
      </c>
      <c r="K1038">
        <v>4.5999999999999996</v>
      </c>
      <c r="L1038">
        <v>3</v>
      </c>
      <c r="M1038">
        <v>0</v>
      </c>
      <c r="N1038">
        <v>0</v>
      </c>
      <c r="O1038">
        <v>-1.5999999999999996</v>
      </c>
      <c r="P1038">
        <v>1.5999999999999996</v>
      </c>
      <c r="Q1038">
        <v>2.5599999999999987</v>
      </c>
      <c r="R1038">
        <v>0.29999999999999982</v>
      </c>
      <c r="S1038">
        <v>0.29999999999999982</v>
      </c>
      <c r="T1038" t="s">
        <v>981</v>
      </c>
      <c r="U1038">
        <v>4.3</v>
      </c>
      <c r="V1038">
        <v>1.2999999999999998</v>
      </c>
      <c r="W1038" t="s">
        <v>2496</v>
      </c>
      <c r="X1038" t="s">
        <v>111</v>
      </c>
    </row>
    <row r="1039" spans="1:24">
      <c r="A1039" t="s">
        <v>212</v>
      </c>
      <c r="B1039" t="s">
        <v>112</v>
      </c>
      <c r="C1039" s="36">
        <v>46009</v>
      </c>
      <c r="D1039" t="s">
        <v>1183</v>
      </c>
      <c r="E1039" s="36">
        <v>46112</v>
      </c>
      <c r="F1039" t="s">
        <v>116</v>
      </c>
      <c r="G1039" s="36">
        <v>46107</v>
      </c>
      <c r="H1039">
        <v>2</v>
      </c>
      <c r="I1039" t="s">
        <v>2499</v>
      </c>
      <c r="J1039">
        <v>3.1</v>
      </c>
      <c r="K1039">
        <v>4.5999999999999996</v>
      </c>
      <c r="L1039">
        <v>3</v>
      </c>
      <c r="M1039">
        <v>0.10000000000000009</v>
      </c>
      <c r="N1039">
        <v>0.10000000000000009</v>
      </c>
      <c r="O1039">
        <v>-1.4999999999999996</v>
      </c>
      <c r="P1039">
        <v>1.4999999999999996</v>
      </c>
      <c r="Q1039">
        <v>2.2499999999999987</v>
      </c>
      <c r="R1039">
        <v>0.10000000000000009</v>
      </c>
      <c r="S1039">
        <v>0.10000000000000009</v>
      </c>
      <c r="T1039" t="s">
        <v>981</v>
      </c>
      <c r="U1039">
        <v>4.3</v>
      </c>
      <c r="V1039">
        <v>1.2999999999999998</v>
      </c>
      <c r="W1039" t="s">
        <v>2496</v>
      </c>
      <c r="X1039" t="s">
        <v>113</v>
      </c>
    </row>
    <row r="1040" spans="1:24">
      <c r="A1040" t="s">
        <v>212</v>
      </c>
      <c r="B1040" t="s">
        <v>114</v>
      </c>
      <c r="C1040" s="36">
        <v>46058</v>
      </c>
      <c r="D1040" t="s">
        <v>1183</v>
      </c>
      <c r="E1040" s="36">
        <v>46112</v>
      </c>
      <c r="F1040" t="s">
        <v>116</v>
      </c>
      <c r="G1040" s="36">
        <v>46107</v>
      </c>
      <c r="H1040">
        <v>1</v>
      </c>
      <c r="I1040" t="s">
        <v>2495</v>
      </c>
      <c r="J1040">
        <v>4.2</v>
      </c>
      <c r="K1040">
        <v>4.5999999999999996</v>
      </c>
      <c r="L1040">
        <v>3</v>
      </c>
      <c r="M1040">
        <v>1.2000000000000002</v>
      </c>
      <c r="N1040">
        <v>1.2000000000000002</v>
      </c>
      <c r="O1040">
        <v>-0.39999999999999947</v>
      </c>
      <c r="P1040">
        <v>0.39999999999999947</v>
      </c>
      <c r="Q1040">
        <v>0.15999999999999959</v>
      </c>
      <c r="R1040">
        <v>1.1000000000000001</v>
      </c>
      <c r="S1040">
        <v>1.1000000000000001</v>
      </c>
      <c r="T1040" t="s">
        <v>1086</v>
      </c>
      <c r="U1040">
        <v>3.9</v>
      </c>
      <c r="V1040">
        <v>0.89999999999999991</v>
      </c>
      <c r="W1040" t="s">
        <v>2496</v>
      </c>
      <c r="X1040" t="s">
        <v>115</v>
      </c>
    </row>
    <row r="1041" spans="1:24">
      <c r="A1041" t="s">
        <v>212</v>
      </c>
      <c r="B1041" t="s">
        <v>116</v>
      </c>
      <c r="C1041" s="36">
        <v>46107</v>
      </c>
      <c r="D1041" t="s">
        <v>1183</v>
      </c>
      <c r="E1041" s="36">
        <v>46112</v>
      </c>
      <c r="F1041" t="s">
        <v>116</v>
      </c>
      <c r="G1041" s="36">
        <v>46107</v>
      </c>
      <c r="H1041">
        <v>0</v>
      </c>
      <c r="I1041" t="s">
        <v>2497</v>
      </c>
      <c r="J1041">
        <v>4.5999999999999996</v>
      </c>
      <c r="K1041">
        <v>4.5999999999999996</v>
      </c>
      <c r="L1041">
        <v>3</v>
      </c>
      <c r="M1041">
        <v>1.5999999999999996</v>
      </c>
      <c r="N1041">
        <v>1.5999999999999996</v>
      </c>
      <c r="O1041">
        <v>0</v>
      </c>
      <c r="P1041">
        <v>0</v>
      </c>
      <c r="Q1041">
        <v>0</v>
      </c>
      <c r="R1041">
        <v>0.39999999999999947</v>
      </c>
      <c r="S1041">
        <v>0.39999999999999947</v>
      </c>
      <c r="T1041" t="s">
        <v>1086</v>
      </c>
      <c r="U1041">
        <v>4</v>
      </c>
      <c r="V1041">
        <v>1</v>
      </c>
      <c r="W1041" t="s">
        <v>2496</v>
      </c>
      <c r="X1041" t="s">
        <v>117</v>
      </c>
    </row>
    <row r="1042" spans="1:24">
      <c r="A1042" t="s">
        <v>212</v>
      </c>
      <c r="B1042" t="s">
        <v>88</v>
      </c>
      <c r="C1042" s="36">
        <v>45470</v>
      </c>
      <c r="D1042" t="s">
        <v>1276</v>
      </c>
      <c r="E1042" s="36">
        <v>46203</v>
      </c>
      <c r="F1042" t="s">
        <v>120</v>
      </c>
      <c r="G1042" s="36">
        <v>46198</v>
      </c>
      <c r="H1042">
        <v>16</v>
      </c>
      <c r="I1042" t="s">
        <v>2512</v>
      </c>
      <c r="J1042">
        <v>2.8</v>
      </c>
      <c r="K1042">
        <v>3.7</v>
      </c>
      <c r="L1042">
        <v>3</v>
      </c>
      <c r="M1042">
        <v>-0.20000000000000018</v>
      </c>
      <c r="N1042">
        <v>0.20000000000000018</v>
      </c>
      <c r="O1042">
        <v>-0.90000000000000036</v>
      </c>
      <c r="P1042">
        <v>0.90000000000000036</v>
      </c>
      <c r="Q1042">
        <v>0.81000000000000061</v>
      </c>
      <c r="T1042" t="s">
        <v>355</v>
      </c>
      <c r="U1042">
        <v>4.2</v>
      </c>
      <c r="V1042">
        <v>1.2000000000000002</v>
      </c>
      <c r="W1042" t="s">
        <v>2513</v>
      </c>
      <c r="X1042" t="s">
        <v>89</v>
      </c>
    </row>
    <row r="1043" spans="1:24">
      <c r="A1043" t="s">
        <v>212</v>
      </c>
      <c r="B1043" t="s">
        <v>90</v>
      </c>
      <c r="C1043" s="36">
        <v>45512</v>
      </c>
      <c r="D1043" t="s">
        <v>1276</v>
      </c>
      <c r="E1043" s="36">
        <v>46203</v>
      </c>
      <c r="F1043" t="s">
        <v>120</v>
      </c>
      <c r="G1043" s="36">
        <v>46198</v>
      </c>
      <c r="H1043">
        <v>15</v>
      </c>
      <c r="I1043" t="s">
        <v>2510</v>
      </c>
      <c r="J1043">
        <v>2.8</v>
      </c>
      <c r="K1043">
        <v>3.7</v>
      </c>
      <c r="L1043">
        <v>3</v>
      </c>
      <c r="M1043">
        <v>-0.20000000000000018</v>
      </c>
      <c r="N1043">
        <v>0.20000000000000018</v>
      </c>
      <c r="O1043">
        <v>-0.90000000000000036</v>
      </c>
      <c r="P1043">
        <v>0.90000000000000036</v>
      </c>
      <c r="Q1043">
        <v>0.81000000000000061</v>
      </c>
      <c r="R1043">
        <v>0</v>
      </c>
      <c r="S1043">
        <v>0</v>
      </c>
      <c r="T1043" t="s">
        <v>460</v>
      </c>
      <c r="U1043">
        <v>3.6</v>
      </c>
      <c r="V1043">
        <v>0.60000000000000009</v>
      </c>
      <c r="W1043" t="s">
        <v>2513</v>
      </c>
      <c r="X1043" t="s">
        <v>91</v>
      </c>
    </row>
    <row r="1044" spans="1:24">
      <c r="A1044" t="s">
        <v>212</v>
      </c>
      <c r="B1044" t="s">
        <v>92</v>
      </c>
      <c r="C1044" s="36">
        <v>45561</v>
      </c>
      <c r="D1044" t="s">
        <v>1276</v>
      </c>
      <c r="E1044" s="36">
        <v>46203</v>
      </c>
      <c r="F1044" t="s">
        <v>120</v>
      </c>
      <c r="G1044" s="36">
        <v>46198</v>
      </c>
      <c r="H1044">
        <v>14</v>
      </c>
      <c r="I1044" t="s">
        <v>2511</v>
      </c>
      <c r="J1044">
        <v>2.8</v>
      </c>
      <c r="K1044">
        <v>3.7</v>
      </c>
      <c r="L1044">
        <v>3</v>
      </c>
      <c r="M1044">
        <v>-0.20000000000000018</v>
      </c>
      <c r="N1044">
        <v>0.20000000000000018</v>
      </c>
      <c r="O1044">
        <v>-0.90000000000000036</v>
      </c>
      <c r="P1044">
        <v>0.90000000000000036</v>
      </c>
      <c r="Q1044">
        <v>0.81000000000000061</v>
      </c>
      <c r="R1044">
        <v>0</v>
      </c>
      <c r="S1044">
        <v>0</v>
      </c>
      <c r="T1044" t="s">
        <v>460</v>
      </c>
      <c r="U1044">
        <v>3.7</v>
      </c>
      <c r="V1044">
        <v>0.70000000000000018</v>
      </c>
      <c r="W1044" t="s">
        <v>2513</v>
      </c>
      <c r="X1044" t="s">
        <v>93</v>
      </c>
    </row>
    <row r="1045" spans="1:24">
      <c r="A1045" t="s">
        <v>212</v>
      </c>
      <c r="B1045" t="s">
        <v>94</v>
      </c>
      <c r="C1045" s="36">
        <v>45610</v>
      </c>
      <c r="D1045" t="s">
        <v>1276</v>
      </c>
      <c r="E1045" s="36">
        <v>46203</v>
      </c>
      <c r="F1045" t="s">
        <v>120</v>
      </c>
      <c r="G1045" s="36">
        <v>46198</v>
      </c>
      <c r="H1045">
        <v>13</v>
      </c>
      <c r="I1045" t="s">
        <v>2508</v>
      </c>
      <c r="J1045">
        <v>2.8</v>
      </c>
      <c r="K1045">
        <v>3.7</v>
      </c>
      <c r="L1045">
        <v>3</v>
      </c>
      <c r="M1045">
        <v>-0.20000000000000018</v>
      </c>
      <c r="N1045">
        <v>0.20000000000000018</v>
      </c>
      <c r="O1045">
        <v>-0.90000000000000036</v>
      </c>
      <c r="P1045">
        <v>0.90000000000000036</v>
      </c>
      <c r="Q1045">
        <v>0.81000000000000061</v>
      </c>
      <c r="R1045">
        <v>0</v>
      </c>
      <c r="S1045">
        <v>0</v>
      </c>
      <c r="T1045" t="s">
        <v>565</v>
      </c>
      <c r="U1045">
        <v>3.6</v>
      </c>
      <c r="V1045">
        <v>0.60000000000000009</v>
      </c>
      <c r="W1045" t="s">
        <v>2513</v>
      </c>
      <c r="X1045" t="s">
        <v>95</v>
      </c>
    </row>
    <row r="1046" spans="1:24">
      <c r="A1046" t="s">
        <v>212</v>
      </c>
      <c r="B1046" t="s">
        <v>96</v>
      </c>
      <c r="C1046" s="36">
        <v>45645</v>
      </c>
      <c r="D1046" t="s">
        <v>1276</v>
      </c>
      <c r="E1046" s="36">
        <v>46203</v>
      </c>
      <c r="F1046" t="s">
        <v>120</v>
      </c>
      <c r="G1046" s="36">
        <v>46198</v>
      </c>
      <c r="H1046">
        <v>12</v>
      </c>
      <c r="I1046" t="s">
        <v>2509</v>
      </c>
      <c r="J1046">
        <v>2.8</v>
      </c>
      <c r="K1046">
        <v>3.7</v>
      </c>
      <c r="L1046">
        <v>3</v>
      </c>
      <c r="M1046">
        <v>-0.20000000000000018</v>
      </c>
      <c r="N1046">
        <v>0.20000000000000018</v>
      </c>
      <c r="O1046">
        <v>-0.90000000000000036</v>
      </c>
      <c r="P1046">
        <v>0.90000000000000036</v>
      </c>
      <c r="Q1046">
        <v>0.81000000000000061</v>
      </c>
      <c r="R1046">
        <v>0</v>
      </c>
      <c r="S1046">
        <v>0</v>
      </c>
      <c r="T1046" t="s">
        <v>565</v>
      </c>
      <c r="U1046">
        <v>3.6</v>
      </c>
      <c r="V1046">
        <v>0.60000000000000009</v>
      </c>
      <c r="W1046" t="s">
        <v>2513</v>
      </c>
      <c r="X1046" t="s">
        <v>97</v>
      </c>
    </row>
    <row r="1047" spans="1:24">
      <c r="A1047" t="s">
        <v>212</v>
      </c>
      <c r="B1047" t="s">
        <v>98</v>
      </c>
      <c r="C1047" s="36">
        <v>45694</v>
      </c>
      <c r="D1047" t="s">
        <v>1276</v>
      </c>
      <c r="E1047" s="36">
        <v>46203</v>
      </c>
      <c r="F1047" t="s">
        <v>120</v>
      </c>
      <c r="G1047" s="36">
        <v>46198</v>
      </c>
      <c r="H1047">
        <v>11</v>
      </c>
      <c r="I1047" t="s">
        <v>2506</v>
      </c>
      <c r="J1047">
        <v>2.8</v>
      </c>
      <c r="K1047">
        <v>3.7</v>
      </c>
      <c r="L1047">
        <v>3</v>
      </c>
      <c r="M1047">
        <v>-0.20000000000000018</v>
      </c>
      <c r="N1047">
        <v>0.20000000000000018</v>
      </c>
      <c r="O1047">
        <v>-0.90000000000000036</v>
      </c>
      <c r="P1047">
        <v>0.90000000000000036</v>
      </c>
      <c r="Q1047">
        <v>0.81000000000000061</v>
      </c>
      <c r="R1047">
        <v>0</v>
      </c>
      <c r="S1047">
        <v>0</v>
      </c>
      <c r="T1047" t="s">
        <v>670</v>
      </c>
      <c r="U1047">
        <v>3.4</v>
      </c>
      <c r="V1047">
        <v>0.39999999999999991</v>
      </c>
      <c r="W1047" t="s">
        <v>2513</v>
      </c>
      <c r="X1047" t="s">
        <v>99</v>
      </c>
    </row>
    <row r="1048" spans="1:24">
      <c r="A1048" t="s">
        <v>212</v>
      </c>
      <c r="B1048" t="s">
        <v>100</v>
      </c>
      <c r="C1048" s="36">
        <v>45743</v>
      </c>
      <c r="D1048" t="s">
        <v>1276</v>
      </c>
      <c r="E1048" s="36">
        <v>46203</v>
      </c>
      <c r="F1048" t="s">
        <v>120</v>
      </c>
      <c r="G1048" s="36">
        <v>46198</v>
      </c>
      <c r="H1048">
        <v>10</v>
      </c>
      <c r="I1048" t="s">
        <v>2507</v>
      </c>
      <c r="J1048">
        <v>2.9</v>
      </c>
      <c r="K1048">
        <v>3.7</v>
      </c>
      <c r="L1048">
        <v>3</v>
      </c>
      <c r="M1048">
        <v>-0.10000000000000009</v>
      </c>
      <c r="N1048">
        <v>0.10000000000000009</v>
      </c>
      <c r="O1048">
        <v>-0.80000000000000027</v>
      </c>
      <c r="P1048">
        <v>0.80000000000000027</v>
      </c>
      <c r="Q1048">
        <v>0.64000000000000046</v>
      </c>
      <c r="R1048">
        <v>0.10000000000000009</v>
      </c>
      <c r="S1048">
        <v>0.10000000000000009</v>
      </c>
      <c r="T1048" t="s">
        <v>670</v>
      </c>
      <c r="U1048">
        <v>3.4</v>
      </c>
      <c r="V1048">
        <v>0.39999999999999991</v>
      </c>
      <c r="W1048" t="s">
        <v>2513</v>
      </c>
      <c r="X1048" t="s">
        <v>101</v>
      </c>
    </row>
    <row r="1049" spans="1:24">
      <c r="A1049" t="s">
        <v>212</v>
      </c>
      <c r="B1049" t="s">
        <v>102</v>
      </c>
      <c r="C1049" s="36">
        <v>45792</v>
      </c>
      <c r="D1049" t="s">
        <v>1276</v>
      </c>
      <c r="E1049" s="36">
        <v>46203</v>
      </c>
      <c r="F1049" t="s">
        <v>120</v>
      </c>
      <c r="G1049" s="36">
        <v>46198</v>
      </c>
      <c r="H1049">
        <v>9</v>
      </c>
      <c r="I1049" t="s">
        <v>2504</v>
      </c>
      <c r="J1049">
        <v>3.3</v>
      </c>
      <c r="K1049">
        <v>3.7</v>
      </c>
      <c r="L1049">
        <v>3</v>
      </c>
      <c r="M1049">
        <v>0.29999999999999982</v>
      </c>
      <c r="N1049">
        <v>0.29999999999999982</v>
      </c>
      <c r="O1049">
        <v>-0.40000000000000036</v>
      </c>
      <c r="P1049">
        <v>0.40000000000000036</v>
      </c>
      <c r="Q1049">
        <v>0.16000000000000028</v>
      </c>
      <c r="R1049">
        <v>0.39999999999999991</v>
      </c>
      <c r="S1049">
        <v>0.39999999999999991</v>
      </c>
      <c r="T1049" t="s">
        <v>771</v>
      </c>
      <c r="U1049">
        <v>4.2</v>
      </c>
      <c r="V1049">
        <v>1.2000000000000002</v>
      </c>
      <c r="W1049" t="s">
        <v>2513</v>
      </c>
      <c r="X1049" t="s">
        <v>103</v>
      </c>
    </row>
    <row r="1050" spans="1:24">
      <c r="A1050" t="s">
        <v>212</v>
      </c>
      <c r="B1050" t="s">
        <v>104</v>
      </c>
      <c r="C1050" s="36">
        <v>45834</v>
      </c>
      <c r="D1050" t="s">
        <v>1276</v>
      </c>
      <c r="E1050" s="36">
        <v>46203</v>
      </c>
      <c r="F1050" t="s">
        <v>120</v>
      </c>
      <c r="G1050" s="36">
        <v>46198</v>
      </c>
      <c r="H1050">
        <v>8</v>
      </c>
      <c r="I1050" t="s">
        <v>2505</v>
      </c>
      <c r="J1050">
        <v>3.1</v>
      </c>
      <c r="K1050">
        <v>3.7</v>
      </c>
      <c r="L1050">
        <v>3</v>
      </c>
      <c r="M1050">
        <v>0.10000000000000009</v>
      </c>
      <c r="N1050">
        <v>0.10000000000000009</v>
      </c>
      <c r="O1050">
        <v>-0.60000000000000009</v>
      </c>
      <c r="P1050">
        <v>0.60000000000000009</v>
      </c>
      <c r="Q1050">
        <v>0.3600000000000001</v>
      </c>
      <c r="R1050">
        <v>-0.19999999999999973</v>
      </c>
      <c r="S1050">
        <v>0.19999999999999973</v>
      </c>
      <c r="T1050" t="s">
        <v>771</v>
      </c>
      <c r="U1050">
        <v>4.2</v>
      </c>
      <c r="V1050">
        <v>1.2000000000000002</v>
      </c>
      <c r="W1050" t="s">
        <v>2513</v>
      </c>
      <c r="X1050" t="s">
        <v>105</v>
      </c>
    </row>
    <row r="1051" spans="1:24">
      <c r="A1051" t="s">
        <v>212</v>
      </c>
      <c r="B1051" t="s">
        <v>106</v>
      </c>
      <c r="C1051" s="36">
        <v>45876</v>
      </c>
      <c r="D1051" t="s">
        <v>1276</v>
      </c>
      <c r="E1051" s="36">
        <v>46203</v>
      </c>
      <c r="F1051" t="s">
        <v>120</v>
      </c>
      <c r="G1051" s="36">
        <v>46198</v>
      </c>
      <c r="H1051">
        <v>7</v>
      </c>
      <c r="I1051" t="s">
        <v>2502</v>
      </c>
      <c r="J1051">
        <v>3</v>
      </c>
      <c r="K1051">
        <v>3.7</v>
      </c>
      <c r="L1051">
        <v>3</v>
      </c>
      <c r="M1051">
        <v>0</v>
      </c>
      <c r="N1051">
        <v>0</v>
      </c>
      <c r="O1051">
        <v>-0.70000000000000018</v>
      </c>
      <c r="P1051">
        <v>0.70000000000000018</v>
      </c>
      <c r="Q1051">
        <v>0.49000000000000027</v>
      </c>
      <c r="R1051">
        <v>-0.10000000000000009</v>
      </c>
      <c r="S1051">
        <v>0.10000000000000009</v>
      </c>
      <c r="T1051" t="s">
        <v>876</v>
      </c>
      <c r="U1051">
        <v>5</v>
      </c>
      <c r="V1051">
        <v>2</v>
      </c>
      <c r="W1051" t="s">
        <v>2513</v>
      </c>
      <c r="X1051" t="s">
        <v>107</v>
      </c>
    </row>
    <row r="1052" spans="1:24">
      <c r="A1052" t="s">
        <v>212</v>
      </c>
      <c r="B1052" t="s">
        <v>108</v>
      </c>
      <c r="C1052" s="36">
        <v>45925</v>
      </c>
      <c r="D1052" t="s">
        <v>1276</v>
      </c>
      <c r="E1052" s="36">
        <v>46203</v>
      </c>
      <c r="F1052" t="s">
        <v>120</v>
      </c>
      <c r="G1052" s="36">
        <v>46198</v>
      </c>
      <c r="H1052">
        <v>6</v>
      </c>
      <c r="I1052" t="s">
        <v>2503</v>
      </c>
      <c r="J1052">
        <v>3.1</v>
      </c>
      <c r="K1052">
        <v>3.7</v>
      </c>
      <c r="L1052">
        <v>3</v>
      </c>
      <c r="M1052">
        <v>0.10000000000000009</v>
      </c>
      <c r="N1052">
        <v>0.10000000000000009</v>
      </c>
      <c r="O1052">
        <v>-0.60000000000000009</v>
      </c>
      <c r="P1052">
        <v>0.60000000000000009</v>
      </c>
      <c r="Q1052">
        <v>0.3600000000000001</v>
      </c>
      <c r="R1052">
        <v>0.10000000000000009</v>
      </c>
      <c r="S1052">
        <v>0.10000000000000009</v>
      </c>
      <c r="T1052" t="s">
        <v>876</v>
      </c>
      <c r="U1052">
        <v>4.9000000000000004</v>
      </c>
      <c r="V1052">
        <v>1.9000000000000004</v>
      </c>
      <c r="W1052" t="s">
        <v>2513</v>
      </c>
      <c r="X1052" t="s">
        <v>109</v>
      </c>
    </row>
    <row r="1053" spans="1:24">
      <c r="A1053" t="s">
        <v>212</v>
      </c>
      <c r="B1053" t="s">
        <v>110</v>
      </c>
      <c r="C1053" s="36">
        <v>45967</v>
      </c>
      <c r="D1053" t="s">
        <v>1276</v>
      </c>
      <c r="E1053" s="36">
        <v>46203</v>
      </c>
      <c r="F1053" t="s">
        <v>120</v>
      </c>
      <c r="G1053" s="36">
        <v>46198</v>
      </c>
      <c r="H1053">
        <v>5</v>
      </c>
      <c r="I1053" t="s">
        <v>2500</v>
      </c>
      <c r="J1053">
        <v>2.9</v>
      </c>
      <c r="K1053">
        <v>3.7</v>
      </c>
      <c r="L1053">
        <v>3</v>
      </c>
      <c r="M1053">
        <v>-0.10000000000000009</v>
      </c>
      <c r="N1053">
        <v>0.10000000000000009</v>
      </c>
      <c r="O1053">
        <v>-0.80000000000000027</v>
      </c>
      <c r="P1053">
        <v>0.80000000000000027</v>
      </c>
      <c r="Q1053">
        <v>0.64000000000000046</v>
      </c>
      <c r="R1053">
        <v>-0.20000000000000018</v>
      </c>
      <c r="S1053">
        <v>0.20000000000000018</v>
      </c>
      <c r="T1053" t="s">
        <v>981</v>
      </c>
      <c r="U1053">
        <v>4.3</v>
      </c>
      <c r="V1053">
        <v>1.2999999999999998</v>
      </c>
      <c r="W1053" t="s">
        <v>2513</v>
      </c>
      <c r="X1053" t="s">
        <v>111</v>
      </c>
    </row>
    <row r="1054" spans="1:24">
      <c r="A1054" t="s">
        <v>212</v>
      </c>
      <c r="B1054" t="s">
        <v>112</v>
      </c>
      <c r="C1054" s="36">
        <v>46009</v>
      </c>
      <c r="D1054" t="s">
        <v>1276</v>
      </c>
      <c r="E1054" s="36">
        <v>46203</v>
      </c>
      <c r="F1054" t="s">
        <v>120</v>
      </c>
      <c r="G1054" s="36">
        <v>46198</v>
      </c>
      <c r="H1054">
        <v>4</v>
      </c>
      <c r="I1054" t="s">
        <v>2501</v>
      </c>
      <c r="J1054">
        <v>2.6</v>
      </c>
      <c r="K1054">
        <v>3.7</v>
      </c>
      <c r="L1054">
        <v>3</v>
      </c>
      <c r="M1054">
        <v>-0.39999999999999991</v>
      </c>
      <c r="N1054">
        <v>0.39999999999999991</v>
      </c>
      <c r="O1054">
        <v>-1.1000000000000001</v>
      </c>
      <c r="P1054">
        <v>1.1000000000000001</v>
      </c>
      <c r="Q1054">
        <v>1.2100000000000002</v>
      </c>
      <c r="R1054">
        <v>-0.29999999999999982</v>
      </c>
      <c r="S1054">
        <v>0.29999999999999982</v>
      </c>
      <c r="T1054" t="s">
        <v>981</v>
      </c>
      <c r="U1054">
        <v>4.3</v>
      </c>
      <c r="V1054">
        <v>1.2999999999999998</v>
      </c>
      <c r="W1054" t="s">
        <v>2513</v>
      </c>
      <c r="X1054" t="s">
        <v>113</v>
      </c>
    </row>
    <row r="1055" spans="1:24">
      <c r="A1055" t="s">
        <v>212</v>
      </c>
      <c r="B1055" t="s">
        <v>114</v>
      </c>
      <c r="C1055" s="36">
        <v>46058</v>
      </c>
      <c r="D1055" t="s">
        <v>1276</v>
      </c>
      <c r="E1055" s="36">
        <v>46203</v>
      </c>
      <c r="F1055" t="s">
        <v>120</v>
      </c>
      <c r="G1055" s="36">
        <v>46198</v>
      </c>
      <c r="H1055">
        <v>3</v>
      </c>
      <c r="I1055" t="s">
        <v>2498</v>
      </c>
      <c r="J1055">
        <v>3.3</v>
      </c>
      <c r="K1055">
        <v>3.7</v>
      </c>
      <c r="L1055">
        <v>3</v>
      </c>
      <c r="M1055">
        <v>0.29999999999999982</v>
      </c>
      <c r="N1055">
        <v>0.29999999999999982</v>
      </c>
      <c r="O1055">
        <v>-0.40000000000000036</v>
      </c>
      <c r="P1055">
        <v>0.40000000000000036</v>
      </c>
      <c r="Q1055">
        <v>0.16000000000000028</v>
      </c>
      <c r="R1055">
        <v>0.69999999999999973</v>
      </c>
      <c r="S1055">
        <v>0.69999999999999973</v>
      </c>
      <c r="T1055" t="s">
        <v>1086</v>
      </c>
      <c r="U1055">
        <v>3.9</v>
      </c>
      <c r="V1055">
        <v>0.89999999999999991</v>
      </c>
      <c r="W1055" t="s">
        <v>2513</v>
      </c>
      <c r="X1055" t="s">
        <v>115</v>
      </c>
    </row>
    <row r="1056" spans="1:24">
      <c r="A1056" t="s">
        <v>212</v>
      </c>
      <c r="B1056" t="s">
        <v>116</v>
      </c>
      <c r="C1056" s="36">
        <v>46107</v>
      </c>
      <c r="D1056" t="s">
        <v>1276</v>
      </c>
      <c r="E1056" s="36">
        <v>46203</v>
      </c>
      <c r="F1056" t="s">
        <v>120</v>
      </c>
      <c r="G1056" s="36">
        <v>46198</v>
      </c>
      <c r="H1056">
        <v>2</v>
      </c>
      <c r="I1056" t="s">
        <v>2499</v>
      </c>
      <c r="J1056">
        <v>3.3</v>
      </c>
      <c r="K1056">
        <v>3.7</v>
      </c>
      <c r="L1056">
        <v>3</v>
      </c>
      <c r="M1056">
        <v>0.29999999999999982</v>
      </c>
      <c r="N1056">
        <v>0.29999999999999982</v>
      </c>
      <c r="O1056">
        <v>-0.40000000000000036</v>
      </c>
      <c r="P1056">
        <v>0.40000000000000036</v>
      </c>
      <c r="Q1056">
        <v>0.16000000000000028</v>
      </c>
      <c r="R1056">
        <v>0</v>
      </c>
      <c r="S1056">
        <v>0</v>
      </c>
      <c r="T1056" t="s">
        <v>1086</v>
      </c>
      <c r="U1056">
        <v>4</v>
      </c>
      <c r="V1056">
        <v>1</v>
      </c>
      <c r="W1056" t="s">
        <v>2513</v>
      </c>
      <c r="X1056" t="s">
        <v>117</v>
      </c>
    </row>
    <row r="1057" spans="1:24">
      <c r="A1057" t="s">
        <v>212</v>
      </c>
      <c r="B1057" t="s">
        <v>118</v>
      </c>
      <c r="C1057" s="36">
        <v>46149</v>
      </c>
      <c r="D1057" t="s">
        <v>1276</v>
      </c>
      <c r="E1057" s="36">
        <v>46203</v>
      </c>
      <c r="F1057" t="s">
        <v>120</v>
      </c>
      <c r="G1057" s="36">
        <v>46198</v>
      </c>
      <c r="H1057">
        <v>1</v>
      </c>
      <c r="I1057" t="s">
        <v>2495</v>
      </c>
      <c r="J1057">
        <v>3.4</v>
      </c>
      <c r="K1057">
        <v>3.7</v>
      </c>
      <c r="L1057">
        <v>3</v>
      </c>
      <c r="M1057">
        <v>0.39999999999999991</v>
      </c>
      <c r="N1057">
        <v>0.39999999999999991</v>
      </c>
      <c r="O1057">
        <v>-0.30000000000000027</v>
      </c>
      <c r="P1057">
        <v>0.30000000000000027</v>
      </c>
      <c r="Q1057">
        <v>9.0000000000000163E-2</v>
      </c>
      <c r="R1057">
        <v>0.10000000000000009</v>
      </c>
      <c r="S1057">
        <v>0.10000000000000009</v>
      </c>
      <c r="T1057" t="s">
        <v>1183</v>
      </c>
      <c r="U1057">
        <v>4.5999999999999996</v>
      </c>
      <c r="V1057">
        <v>1.5999999999999996</v>
      </c>
      <c r="W1057" t="s">
        <v>2513</v>
      </c>
      <c r="X1057" t="s">
        <v>119</v>
      </c>
    </row>
    <row r="1058" spans="1:24">
      <c r="A1058" t="s">
        <v>212</v>
      </c>
      <c r="B1058" t="s">
        <v>120</v>
      </c>
      <c r="C1058" s="36">
        <v>46198</v>
      </c>
      <c r="D1058" t="s">
        <v>1276</v>
      </c>
      <c r="E1058" s="36">
        <v>46203</v>
      </c>
      <c r="F1058" t="s">
        <v>120</v>
      </c>
      <c r="G1058" s="36">
        <v>46198</v>
      </c>
      <c r="H1058">
        <v>0</v>
      </c>
      <c r="I1058" t="s">
        <v>2497</v>
      </c>
      <c r="J1058">
        <v>3.7</v>
      </c>
      <c r="K1058">
        <v>3.7</v>
      </c>
      <c r="L1058">
        <v>3</v>
      </c>
      <c r="M1058">
        <v>0.70000000000000018</v>
      </c>
      <c r="N1058">
        <v>0.70000000000000018</v>
      </c>
      <c r="O1058">
        <v>0</v>
      </c>
      <c r="P1058">
        <v>0</v>
      </c>
      <c r="Q1058">
        <v>0</v>
      </c>
      <c r="R1058">
        <v>0.30000000000000027</v>
      </c>
      <c r="S1058">
        <v>0.30000000000000027</v>
      </c>
      <c r="T1058" t="s">
        <v>1183</v>
      </c>
      <c r="U1058">
        <v>4.5999999999999996</v>
      </c>
      <c r="V1058">
        <v>1.5999999999999996</v>
      </c>
      <c r="W1058" t="s">
        <v>2513</v>
      </c>
      <c r="X1058" t="s">
        <v>121</v>
      </c>
    </row>
    <row r="1061" spans="1:24">
      <c r="A1061" t="s">
        <v>125</v>
      </c>
      <c r="B1061" t="s">
        <v>2514</v>
      </c>
      <c r="C1061" t="s">
        <v>2515</v>
      </c>
      <c r="D1061" t="s">
        <v>2467</v>
      </c>
      <c r="E1061" t="s">
        <v>2516</v>
      </c>
      <c r="F1061" t="s">
        <v>2517</v>
      </c>
      <c r="G1061" t="s">
        <v>2518</v>
      </c>
      <c r="H1061" t="s">
        <v>2519</v>
      </c>
      <c r="I1061" t="s">
        <v>2520</v>
      </c>
      <c r="J1061" t="s">
        <v>2521</v>
      </c>
      <c r="K1061" t="s">
        <v>2522</v>
      </c>
      <c r="L1061" t="s">
        <v>2523</v>
      </c>
      <c r="M1061" t="s">
        <v>2524</v>
      </c>
      <c r="N1061" t="s">
        <v>2525</v>
      </c>
      <c r="O1061" t="s">
        <v>2526</v>
      </c>
      <c r="P1061" t="s">
        <v>2527</v>
      </c>
      <c r="Q1061" t="s">
        <v>2528</v>
      </c>
      <c r="R1061" t="s">
        <v>2529</v>
      </c>
    </row>
    <row r="1062" spans="1:24">
      <c r="A1062" t="s">
        <v>22</v>
      </c>
      <c r="B1062">
        <v>0</v>
      </c>
      <c r="C1062" t="s">
        <v>2497</v>
      </c>
      <c r="D1062">
        <v>20</v>
      </c>
      <c r="E1062">
        <v>5.4599999999999991</v>
      </c>
      <c r="F1062">
        <v>5.4350000000000005</v>
      </c>
      <c r="G1062">
        <v>2.4999999999999932E-2</v>
      </c>
      <c r="H1062">
        <v>4.499999999999986E-2</v>
      </c>
      <c r="I1062">
        <v>6.7082039324993487E-2</v>
      </c>
      <c r="J1062">
        <v>2.4600000000000009</v>
      </c>
      <c r="K1062">
        <v>2.4600000000000009</v>
      </c>
      <c r="L1062">
        <v>1.65</v>
      </c>
      <c r="M1062">
        <v>1</v>
      </c>
      <c r="N1062">
        <v>0</v>
      </c>
      <c r="O1062">
        <v>0</v>
      </c>
      <c r="P1062">
        <v>0</v>
      </c>
      <c r="Q1062">
        <v>2.4999999999999866E-2</v>
      </c>
      <c r="R1062">
        <v>0.16500000000000012</v>
      </c>
    </row>
    <row r="1063" spans="1:24">
      <c r="A1063" t="s">
        <v>22</v>
      </c>
      <c r="B1063">
        <v>1</v>
      </c>
      <c r="C1063" t="s">
        <v>2495</v>
      </c>
      <c r="D1063">
        <v>20</v>
      </c>
      <c r="E1063">
        <v>5.4350000000000005</v>
      </c>
      <c r="F1063">
        <v>5.4350000000000005</v>
      </c>
      <c r="G1063">
        <v>6.661338147750939E-17</v>
      </c>
      <c r="H1063">
        <v>0.1800000000000001</v>
      </c>
      <c r="I1063">
        <v>0.20736441353327728</v>
      </c>
      <c r="J1063">
        <v>2.4350000000000005</v>
      </c>
      <c r="K1063">
        <v>2.4350000000000005</v>
      </c>
      <c r="L1063">
        <v>1.7000000000000002</v>
      </c>
      <c r="M1063">
        <v>1</v>
      </c>
      <c r="N1063">
        <v>0</v>
      </c>
      <c r="O1063">
        <v>0</v>
      </c>
      <c r="P1063">
        <v>0.05</v>
      </c>
      <c r="Q1063">
        <v>0.15263157894736848</v>
      </c>
      <c r="R1063">
        <v>0.33157894736842097</v>
      </c>
    </row>
    <row r="1064" spans="1:24">
      <c r="A1064" t="s">
        <v>22</v>
      </c>
      <c r="B1064">
        <v>2</v>
      </c>
      <c r="C1064" t="s">
        <v>2499</v>
      </c>
      <c r="D1064">
        <v>19</v>
      </c>
      <c r="E1064">
        <v>5.2736842105263149</v>
      </c>
      <c r="F1064">
        <v>5.4157894736842112</v>
      </c>
      <c r="G1064">
        <v>-0.14210526315789473</v>
      </c>
      <c r="H1064">
        <v>0.41578947368421038</v>
      </c>
      <c r="I1064">
        <v>0.48177304112817948</v>
      </c>
      <c r="J1064">
        <v>2.2736842105263158</v>
      </c>
      <c r="K1064">
        <v>2.2736842105263158</v>
      </c>
      <c r="L1064">
        <v>1.5</v>
      </c>
      <c r="M1064">
        <v>1</v>
      </c>
      <c r="N1064">
        <v>0</v>
      </c>
      <c r="O1064">
        <v>0</v>
      </c>
      <c r="P1064">
        <v>5.2631578947368418E-2</v>
      </c>
      <c r="Q1064">
        <v>0.24210526315789471</v>
      </c>
      <c r="R1064">
        <v>0.31578947368421062</v>
      </c>
    </row>
    <row r="1065" spans="1:24">
      <c r="A1065" t="s">
        <v>22</v>
      </c>
      <c r="B1065">
        <v>3</v>
      </c>
      <c r="C1065" t="s">
        <v>2498</v>
      </c>
      <c r="D1065">
        <v>19</v>
      </c>
      <c r="E1065">
        <v>5.0315789473684225</v>
      </c>
      <c r="F1065">
        <v>5.4157894736842112</v>
      </c>
      <c r="G1065">
        <v>-0.38421052631578939</v>
      </c>
      <c r="H1065">
        <v>0.58421052631578929</v>
      </c>
      <c r="I1065">
        <v>0.83445538495097737</v>
      </c>
      <c r="J1065">
        <v>2.0315789473684207</v>
      </c>
      <c r="K1065">
        <v>2.0315789473684207</v>
      </c>
      <c r="L1065">
        <v>1.4000000000000004</v>
      </c>
      <c r="M1065">
        <v>1</v>
      </c>
      <c r="N1065">
        <v>0</v>
      </c>
      <c r="O1065">
        <v>0</v>
      </c>
      <c r="P1065">
        <v>0.15789473684210525</v>
      </c>
      <c r="Q1065">
        <v>0.24444444444444446</v>
      </c>
      <c r="R1065">
        <v>0.3000000000000001</v>
      </c>
    </row>
    <row r="1066" spans="1:24">
      <c r="A1066" t="s">
        <v>22</v>
      </c>
      <c r="B1066">
        <v>4</v>
      </c>
      <c r="C1066" t="s">
        <v>2501</v>
      </c>
      <c r="D1066">
        <v>18</v>
      </c>
      <c r="E1066">
        <v>4.7500000000000009</v>
      </c>
      <c r="F1066">
        <v>5.3277777777777784</v>
      </c>
      <c r="G1066">
        <v>-0.57777777777777761</v>
      </c>
      <c r="H1066">
        <v>0.74444444444444424</v>
      </c>
      <c r="I1066">
        <v>1.0561986345169907</v>
      </c>
      <c r="J1066">
        <v>1.7499999999999998</v>
      </c>
      <c r="K1066">
        <v>1.7499999999999998</v>
      </c>
      <c r="L1066">
        <v>1.25</v>
      </c>
      <c r="M1066">
        <v>1</v>
      </c>
      <c r="N1066">
        <v>0</v>
      </c>
      <c r="O1066">
        <v>0</v>
      </c>
      <c r="P1066">
        <v>0.22222222222222221</v>
      </c>
      <c r="Q1066">
        <v>0.28888888888888886</v>
      </c>
      <c r="R1066">
        <v>0.30000000000000004</v>
      </c>
    </row>
    <row r="1067" spans="1:24">
      <c r="A1067" t="s">
        <v>22</v>
      </c>
      <c r="B1067">
        <v>5</v>
      </c>
      <c r="C1067" t="s">
        <v>2500</v>
      </c>
      <c r="D1067">
        <v>18</v>
      </c>
      <c r="E1067">
        <v>4.4611111111111121</v>
      </c>
      <c r="F1067">
        <v>5.3277777777777784</v>
      </c>
      <c r="G1067">
        <v>-0.8666666666666667</v>
      </c>
      <c r="H1067">
        <v>0.98888888888888915</v>
      </c>
      <c r="I1067">
        <v>1.416176385749867</v>
      </c>
      <c r="J1067">
        <v>1.4611111111111108</v>
      </c>
      <c r="K1067">
        <v>1.4611111111111108</v>
      </c>
      <c r="L1067">
        <v>1.0499999999999998</v>
      </c>
      <c r="M1067">
        <v>1</v>
      </c>
      <c r="N1067">
        <v>0</v>
      </c>
      <c r="O1067">
        <v>5.5555555555555552E-2</v>
      </c>
      <c r="P1067">
        <v>0.27777777777777779</v>
      </c>
      <c r="Q1067">
        <v>0.2</v>
      </c>
      <c r="R1067">
        <v>0.23529411764705882</v>
      </c>
    </row>
    <row r="1068" spans="1:24">
      <c r="A1068" t="s">
        <v>22</v>
      </c>
      <c r="B1068">
        <v>6</v>
      </c>
      <c r="C1068" t="s">
        <v>2503</v>
      </c>
      <c r="D1068">
        <v>17</v>
      </c>
      <c r="E1068">
        <v>4.2176470588235295</v>
      </c>
      <c r="F1068">
        <v>5.2117647058823531</v>
      </c>
      <c r="G1068">
        <v>-0.99411764705882388</v>
      </c>
      <c r="H1068">
        <v>1.1000000000000001</v>
      </c>
      <c r="I1068">
        <v>1.5857824196127732</v>
      </c>
      <c r="J1068">
        <v>1.2176470588235293</v>
      </c>
      <c r="K1068">
        <v>1.2176470588235293</v>
      </c>
      <c r="L1068">
        <v>1</v>
      </c>
      <c r="M1068">
        <v>1</v>
      </c>
      <c r="N1068">
        <v>0</v>
      </c>
      <c r="O1068">
        <v>5.8823529411764705E-2</v>
      </c>
      <c r="P1068">
        <v>0.35294117647058826</v>
      </c>
      <c r="Q1068">
        <v>0.31764705882352934</v>
      </c>
      <c r="R1068">
        <v>0.34117647058823536</v>
      </c>
    </row>
    <row r="1069" spans="1:24">
      <c r="A1069" t="s">
        <v>22</v>
      </c>
      <c r="B1069">
        <v>7</v>
      </c>
      <c r="C1069" t="s">
        <v>2502</v>
      </c>
      <c r="D1069">
        <v>17</v>
      </c>
      <c r="E1069">
        <v>3.9000000000000008</v>
      </c>
      <c r="F1069">
        <v>5.2117647058823531</v>
      </c>
      <c r="G1069">
        <v>-1.3117647058823525</v>
      </c>
      <c r="H1069">
        <v>1.3823529411764703</v>
      </c>
      <c r="I1069">
        <v>1.9513193123688213</v>
      </c>
      <c r="J1069">
        <v>0.89999999999999991</v>
      </c>
      <c r="K1069">
        <v>0.89999999999999991</v>
      </c>
      <c r="L1069">
        <v>0.70000000000000018</v>
      </c>
      <c r="M1069">
        <v>1</v>
      </c>
      <c r="N1069">
        <v>0</v>
      </c>
      <c r="O1069">
        <v>0.17647058823529413</v>
      </c>
      <c r="P1069">
        <v>0.41176470588235292</v>
      </c>
      <c r="Q1069">
        <v>0.19999999999999998</v>
      </c>
      <c r="R1069">
        <v>0.21249999999999994</v>
      </c>
    </row>
    <row r="1070" spans="1:24">
      <c r="A1070" t="s">
        <v>22</v>
      </c>
      <c r="B1070">
        <v>8</v>
      </c>
      <c r="C1070" t="s">
        <v>2505</v>
      </c>
      <c r="D1070">
        <v>16</v>
      </c>
      <c r="E1070">
        <v>3.7</v>
      </c>
      <c r="F1070">
        <v>5.05</v>
      </c>
      <c r="G1070">
        <v>-1.3499999999999999</v>
      </c>
      <c r="H1070">
        <v>1.3749999999999998</v>
      </c>
      <c r="I1070">
        <v>1.984313483298443</v>
      </c>
      <c r="J1070">
        <v>0.69999999999999984</v>
      </c>
      <c r="K1070">
        <v>0.69999999999999984</v>
      </c>
      <c r="L1070">
        <v>0.5</v>
      </c>
      <c r="M1070">
        <v>1</v>
      </c>
      <c r="N1070">
        <v>0</v>
      </c>
      <c r="O1070">
        <v>0.25</v>
      </c>
      <c r="P1070">
        <v>0.5625</v>
      </c>
      <c r="Q1070">
        <v>0.27500000000000008</v>
      </c>
      <c r="R1070">
        <v>0.27500000000000008</v>
      </c>
    </row>
    <row r="1071" spans="1:24">
      <c r="A1071" t="s">
        <v>22</v>
      </c>
      <c r="B1071">
        <v>9</v>
      </c>
      <c r="C1071" t="s">
        <v>2504</v>
      </c>
      <c r="D1071">
        <v>16</v>
      </c>
      <c r="E1071">
        <v>3.4250000000000003</v>
      </c>
      <c r="F1071">
        <v>5.05</v>
      </c>
      <c r="G1071">
        <v>-1.625</v>
      </c>
      <c r="H1071">
        <v>1.625</v>
      </c>
      <c r="I1071">
        <v>2.2516660498395407</v>
      </c>
      <c r="J1071">
        <v>0.42500000000000004</v>
      </c>
      <c r="K1071">
        <v>0.42500000000000004</v>
      </c>
      <c r="L1071">
        <v>0.34999999999999987</v>
      </c>
      <c r="M1071">
        <v>0.9375</v>
      </c>
      <c r="N1071">
        <v>0</v>
      </c>
      <c r="O1071">
        <v>0.375</v>
      </c>
      <c r="P1071">
        <v>0.75</v>
      </c>
      <c r="Q1071">
        <v>6.6666666666666666E-2</v>
      </c>
      <c r="R1071">
        <v>8.0000000000000016E-2</v>
      </c>
    </row>
    <row r="1072" spans="1:24">
      <c r="A1072" t="s">
        <v>22</v>
      </c>
      <c r="B1072">
        <v>10</v>
      </c>
      <c r="C1072" t="s">
        <v>2507</v>
      </c>
      <c r="D1072">
        <v>15</v>
      </c>
      <c r="E1072">
        <v>3.373333333333334</v>
      </c>
      <c r="F1072">
        <v>4.8199999999999994</v>
      </c>
      <c r="G1072">
        <v>-1.4466666666666668</v>
      </c>
      <c r="H1072">
        <v>1.4466666666666668</v>
      </c>
      <c r="I1072">
        <v>1.9101483362992173</v>
      </c>
      <c r="J1072">
        <v>0.37333333333333341</v>
      </c>
      <c r="K1072">
        <v>0.37333333333333341</v>
      </c>
      <c r="L1072">
        <v>0.39999999999999991</v>
      </c>
      <c r="M1072">
        <v>0.93333333333333335</v>
      </c>
      <c r="N1072">
        <v>0</v>
      </c>
      <c r="O1072">
        <v>0.4</v>
      </c>
      <c r="P1072">
        <v>0.8</v>
      </c>
      <c r="Q1072">
        <v>0.11999999999999993</v>
      </c>
      <c r="R1072">
        <v>0.13333333333333328</v>
      </c>
    </row>
    <row r="1073" spans="1:18">
      <c r="A1073" t="s">
        <v>22</v>
      </c>
      <c r="B1073">
        <v>11</v>
      </c>
      <c r="C1073" t="s">
        <v>2506</v>
      </c>
      <c r="D1073">
        <v>15</v>
      </c>
      <c r="E1073">
        <v>3.2533333333333334</v>
      </c>
      <c r="F1073">
        <v>4.8199999999999994</v>
      </c>
      <c r="G1073">
        <v>-1.5666666666666664</v>
      </c>
      <c r="H1073">
        <v>1.5666666666666664</v>
      </c>
      <c r="I1073">
        <v>1.9938237969623427</v>
      </c>
      <c r="J1073">
        <v>0.25333333333333341</v>
      </c>
      <c r="K1073">
        <v>0.25333333333333341</v>
      </c>
      <c r="L1073">
        <v>0.20000000000000018</v>
      </c>
      <c r="M1073">
        <v>0.8666666666666667</v>
      </c>
      <c r="N1073">
        <v>0</v>
      </c>
      <c r="O1073">
        <v>0.73333333333333328</v>
      </c>
      <c r="P1073">
        <v>0.8666666666666667</v>
      </c>
      <c r="Q1073">
        <v>2.8571428571428598E-2</v>
      </c>
      <c r="R1073">
        <v>4.285714285714283E-2</v>
      </c>
    </row>
    <row r="1074" spans="1:18">
      <c r="A1074" t="s">
        <v>22</v>
      </c>
      <c r="B1074">
        <v>12</v>
      </c>
      <c r="C1074" t="s">
        <v>2509</v>
      </c>
      <c r="D1074">
        <v>14</v>
      </c>
      <c r="E1074">
        <v>3.2142857142857144</v>
      </c>
      <c r="F1074">
        <v>4.5928571428571434</v>
      </c>
      <c r="G1074">
        <v>-1.3785714285714286</v>
      </c>
      <c r="H1074">
        <v>1.3785714285714286</v>
      </c>
      <c r="I1074">
        <v>1.6611097839353408</v>
      </c>
      <c r="J1074">
        <v>0.21428571428571436</v>
      </c>
      <c r="K1074">
        <v>0.21428571428571436</v>
      </c>
      <c r="L1074">
        <v>0.20000000000000018</v>
      </c>
      <c r="M1074">
        <v>0.8571428571428571</v>
      </c>
      <c r="N1074">
        <v>0</v>
      </c>
      <c r="O1074">
        <v>0.7142857142857143</v>
      </c>
      <c r="P1074">
        <v>0.9285714285714286</v>
      </c>
      <c r="Q1074">
        <v>7.8571428571428584E-2</v>
      </c>
      <c r="R1074">
        <v>7.8571428571428584E-2</v>
      </c>
    </row>
    <row r="1075" spans="1:18">
      <c r="A1075" t="s">
        <v>22</v>
      </c>
      <c r="B1075">
        <v>13</v>
      </c>
      <c r="C1075" t="s">
        <v>2508</v>
      </c>
      <c r="D1075">
        <v>14</v>
      </c>
      <c r="E1075">
        <v>3.1357142857142861</v>
      </c>
      <c r="F1075">
        <v>4.5928571428571434</v>
      </c>
      <c r="G1075">
        <v>-1.4571428571428571</v>
      </c>
      <c r="H1075">
        <v>1.4571428571428571</v>
      </c>
      <c r="I1075">
        <v>1.7394580436774802</v>
      </c>
      <c r="J1075">
        <v>0.13571428571428576</v>
      </c>
      <c r="K1075">
        <v>0.13571428571428576</v>
      </c>
      <c r="L1075">
        <v>0.10000000000000009</v>
      </c>
      <c r="M1075">
        <v>0.7857142857142857</v>
      </c>
      <c r="N1075">
        <v>0</v>
      </c>
      <c r="O1075">
        <v>0.8571428571428571</v>
      </c>
      <c r="P1075">
        <v>1</v>
      </c>
      <c r="Q1075">
        <v>1.5384615384615365E-2</v>
      </c>
      <c r="R1075">
        <v>3.0769230769230764E-2</v>
      </c>
    </row>
    <row r="1076" spans="1:18">
      <c r="A1076" t="s">
        <v>22</v>
      </c>
      <c r="B1076">
        <v>14</v>
      </c>
      <c r="C1076" t="s">
        <v>2511</v>
      </c>
      <c r="D1076">
        <v>13</v>
      </c>
      <c r="E1076">
        <v>3.1230769230769235</v>
      </c>
      <c r="F1076">
        <v>4.3692307692307697</v>
      </c>
      <c r="G1076">
        <v>-1.2461538461538462</v>
      </c>
      <c r="H1076">
        <v>1.2461538461538462</v>
      </c>
      <c r="I1076">
        <v>1.3564659966250534</v>
      </c>
      <c r="J1076">
        <v>0.12307692307692315</v>
      </c>
      <c r="K1076">
        <v>0.12307692307692315</v>
      </c>
      <c r="L1076">
        <v>0.10000000000000009</v>
      </c>
      <c r="M1076">
        <v>0.84615384615384615</v>
      </c>
      <c r="N1076">
        <v>0</v>
      </c>
      <c r="O1076">
        <v>0.92307692307692313</v>
      </c>
      <c r="P1076">
        <v>1</v>
      </c>
      <c r="Q1076">
        <v>3.8461538461538464E-2</v>
      </c>
      <c r="R1076">
        <v>3.8461538461538464E-2</v>
      </c>
    </row>
    <row r="1077" spans="1:18">
      <c r="A1077" t="s">
        <v>22</v>
      </c>
      <c r="B1077">
        <v>15</v>
      </c>
      <c r="C1077" t="s">
        <v>2510</v>
      </c>
      <c r="D1077">
        <v>13</v>
      </c>
      <c r="E1077">
        <v>3.0846153846153852</v>
      </c>
      <c r="F1077">
        <v>4.3692307692307697</v>
      </c>
      <c r="G1077">
        <v>-1.2846153846153845</v>
      </c>
      <c r="H1077">
        <v>1.2846153846153845</v>
      </c>
      <c r="I1077">
        <v>1.4035668847618199</v>
      </c>
      <c r="J1077">
        <v>8.4615384615384689E-2</v>
      </c>
      <c r="K1077">
        <v>8.4615384615384689E-2</v>
      </c>
      <c r="L1077">
        <v>0.10000000000000009</v>
      </c>
      <c r="M1077">
        <v>0.84615384615384615</v>
      </c>
      <c r="N1077">
        <v>0</v>
      </c>
      <c r="O1077">
        <v>1</v>
      </c>
      <c r="P1077">
        <v>1</v>
      </c>
      <c r="Q1077">
        <v>8.3333333333333402E-3</v>
      </c>
      <c r="R1077">
        <v>2.5000000000000022E-2</v>
      </c>
    </row>
    <row r="1078" spans="1:18">
      <c r="A1078" t="s">
        <v>22</v>
      </c>
      <c r="B1078">
        <v>16</v>
      </c>
      <c r="C1078" t="s">
        <v>2512</v>
      </c>
      <c r="D1078">
        <v>12</v>
      </c>
      <c r="E1078">
        <v>3.0750000000000006</v>
      </c>
      <c r="F1078">
        <v>4.2583333333333337</v>
      </c>
      <c r="G1078">
        <v>-1.1833333333333333</v>
      </c>
      <c r="H1078">
        <v>1.1833333333333333</v>
      </c>
      <c r="I1078">
        <v>1.2649110640673515</v>
      </c>
      <c r="J1078">
        <v>7.5000000000000067E-2</v>
      </c>
      <c r="K1078">
        <v>7.5000000000000067E-2</v>
      </c>
      <c r="L1078">
        <v>0.10000000000000009</v>
      </c>
      <c r="M1078">
        <v>0.75</v>
      </c>
      <c r="N1078">
        <v>0</v>
      </c>
      <c r="O1078">
        <v>1</v>
      </c>
      <c r="P1078">
        <v>1</v>
      </c>
    </row>
    <row r="1079" spans="1:18">
      <c r="A1079" t="s">
        <v>134</v>
      </c>
      <c r="B1079">
        <v>0</v>
      </c>
      <c r="C1079" t="s">
        <v>2497</v>
      </c>
      <c r="D1079">
        <v>20</v>
      </c>
      <c r="E1079">
        <v>5.4649999999999999</v>
      </c>
      <c r="F1079">
        <v>5.46</v>
      </c>
      <c r="G1079">
        <v>5.0000000000000044E-3</v>
      </c>
      <c r="H1079">
        <v>1.5000000000000013E-2</v>
      </c>
      <c r="I1079">
        <v>3.8729833462074204E-2</v>
      </c>
      <c r="J1079">
        <v>2.4650000000000007</v>
      </c>
      <c r="K1079">
        <v>2.4650000000000007</v>
      </c>
      <c r="L1079">
        <v>1.75</v>
      </c>
      <c r="M1079">
        <v>1</v>
      </c>
      <c r="N1079">
        <v>0</v>
      </c>
      <c r="O1079">
        <v>0</v>
      </c>
      <c r="P1079">
        <v>0</v>
      </c>
      <c r="Q1079">
        <v>7.0000000000000021E-2</v>
      </c>
      <c r="R1079">
        <v>0.10000000000000005</v>
      </c>
    </row>
    <row r="1080" spans="1:18">
      <c r="A1080" t="s">
        <v>134</v>
      </c>
      <c r="B1080">
        <v>1</v>
      </c>
      <c r="C1080" t="s">
        <v>2495</v>
      </c>
      <c r="D1080">
        <v>20</v>
      </c>
      <c r="E1080">
        <v>5.3949999999999996</v>
      </c>
      <c r="F1080">
        <v>5.46</v>
      </c>
      <c r="G1080">
        <v>-6.5000000000000016E-2</v>
      </c>
      <c r="H1080">
        <v>8.5000000000000034E-2</v>
      </c>
      <c r="I1080">
        <v>0.10246950765959602</v>
      </c>
      <c r="J1080">
        <v>2.3950000000000005</v>
      </c>
      <c r="K1080">
        <v>2.3950000000000005</v>
      </c>
      <c r="L1080">
        <v>1.65</v>
      </c>
      <c r="M1080">
        <v>1</v>
      </c>
      <c r="N1080">
        <v>0</v>
      </c>
      <c r="O1080">
        <v>0</v>
      </c>
      <c r="P1080">
        <v>0</v>
      </c>
      <c r="Q1080">
        <v>0.15263157894736848</v>
      </c>
      <c r="R1080">
        <v>0.19473684210526318</v>
      </c>
    </row>
    <row r="1081" spans="1:18">
      <c r="A1081" t="s">
        <v>134</v>
      </c>
      <c r="B1081">
        <v>2</v>
      </c>
      <c r="C1081" t="s">
        <v>2499</v>
      </c>
      <c r="D1081">
        <v>19</v>
      </c>
      <c r="E1081">
        <v>5.2789473684210515</v>
      </c>
      <c r="F1081">
        <v>5.4947368421052625</v>
      </c>
      <c r="G1081">
        <v>-0.21578947368421064</v>
      </c>
      <c r="H1081">
        <v>0.25789473684210529</v>
      </c>
      <c r="I1081">
        <v>0.33482124060145102</v>
      </c>
      <c r="J1081">
        <v>2.2789473684210524</v>
      </c>
      <c r="K1081">
        <v>2.2789473684210524</v>
      </c>
      <c r="L1081">
        <v>1.7000000000000002</v>
      </c>
      <c r="M1081">
        <v>1</v>
      </c>
      <c r="N1081">
        <v>0</v>
      </c>
      <c r="O1081">
        <v>0</v>
      </c>
      <c r="P1081">
        <v>0.10526315789473684</v>
      </c>
      <c r="Q1081">
        <v>0.23684210526315794</v>
      </c>
      <c r="R1081">
        <v>0.24736842105263163</v>
      </c>
    </row>
    <row r="1082" spans="1:18">
      <c r="A1082" t="s">
        <v>134</v>
      </c>
      <c r="B1082">
        <v>3</v>
      </c>
      <c r="C1082" t="s">
        <v>2498</v>
      </c>
      <c r="D1082">
        <v>19</v>
      </c>
      <c r="E1082">
        <v>5.0421052631578949</v>
      </c>
      <c r="F1082">
        <v>5.4947368421052625</v>
      </c>
      <c r="G1082">
        <v>-0.4526315789473685</v>
      </c>
      <c r="H1082">
        <v>0.47368421052631576</v>
      </c>
      <c r="I1082">
        <v>0.61899749170480667</v>
      </c>
      <c r="J1082">
        <v>2.0421052631578949</v>
      </c>
      <c r="K1082">
        <v>2.0421052631578949</v>
      </c>
      <c r="L1082">
        <v>1.5</v>
      </c>
      <c r="M1082">
        <v>1</v>
      </c>
      <c r="N1082">
        <v>0</v>
      </c>
      <c r="O1082">
        <v>0</v>
      </c>
      <c r="P1082">
        <v>0.10526315789473684</v>
      </c>
      <c r="Q1082">
        <v>0.24444444444444435</v>
      </c>
      <c r="R1082">
        <v>0.24444444444444435</v>
      </c>
    </row>
    <row r="1083" spans="1:18">
      <c r="A1083" t="s">
        <v>134</v>
      </c>
      <c r="B1083">
        <v>4</v>
      </c>
      <c r="C1083" t="s">
        <v>2501</v>
      </c>
      <c r="D1083">
        <v>18</v>
      </c>
      <c r="E1083">
        <v>4.8000000000000007</v>
      </c>
      <c r="F1083">
        <v>5.4888888888888889</v>
      </c>
      <c r="G1083">
        <v>-0.68888888888888888</v>
      </c>
      <c r="H1083">
        <v>0.71111111111111103</v>
      </c>
      <c r="I1083">
        <v>0.9116529554118229</v>
      </c>
      <c r="J1083">
        <v>1.7999999999999998</v>
      </c>
      <c r="K1083">
        <v>1.7999999999999998</v>
      </c>
      <c r="L1083">
        <v>1.2999999999999998</v>
      </c>
      <c r="M1083">
        <v>1</v>
      </c>
      <c r="N1083">
        <v>0</v>
      </c>
      <c r="O1083">
        <v>0</v>
      </c>
      <c r="P1083">
        <v>0.22222222222222221</v>
      </c>
      <c r="Q1083">
        <v>0.26666666666666661</v>
      </c>
      <c r="R1083">
        <v>0.27777777777777768</v>
      </c>
    </row>
    <row r="1084" spans="1:18">
      <c r="A1084" t="s">
        <v>134</v>
      </c>
      <c r="B1084">
        <v>5</v>
      </c>
      <c r="C1084" t="s">
        <v>2500</v>
      </c>
      <c r="D1084">
        <v>18</v>
      </c>
      <c r="E1084">
        <v>4.5333333333333341</v>
      </c>
      <c r="F1084">
        <v>5.4888888888888889</v>
      </c>
      <c r="G1084">
        <v>-0.95555555555555571</v>
      </c>
      <c r="H1084">
        <v>0.96666666666666656</v>
      </c>
      <c r="I1084">
        <v>1.2714820748507103</v>
      </c>
      <c r="J1084">
        <v>1.533333333333333</v>
      </c>
      <c r="K1084">
        <v>1.533333333333333</v>
      </c>
      <c r="L1084">
        <v>1.05</v>
      </c>
      <c r="M1084">
        <v>1</v>
      </c>
      <c r="N1084">
        <v>0</v>
      </c>
      <c r="O1084">
        <v>0</v>
      </c>
      <c r="P1084">
        <v>0.27777777777777779</v>
      </c>
      <c r="Q1084">
        <v>0.22352941176470587</v>
      </c>
      <c r="R1084">
        <v>0.22352941176470587</v>
      </c>
    </row>
    <row r="1085" spans="1:18">
      <c r="A1085" t="s">
        <v>134</v>
      </c>
      <c r="B1085">
        <v>6</v>
      </c>
      <c r="C1085" t="s">
        <v>2503</v>
      </c>
      <c r="D1085">
        <v>17</v>
      </c>
      <c r="E1085">
        <v>4.276470588235294</v>
      </c>
      <c r="F1085">
        <v>5.4294117647058826</v>
      </c>
      <c r="G1085">
        <v>-1.1529411764705888</v>
      </c>
      <c r="H1085">
        <v>1.1529411764705888</v>
      </c>
      <c r="I1085">
        <v>1.5285517944234979</v>
      </c>
      <c r="J1085">
        <v>1.2764705882352938</v>
      </c>
      <c r="K1085">
        <v>1.2764705882352938</v>
      </c>
      <c r="L1085">
        <v>0.89999999999999991</v>
      </c>
      <c r="M1085">
        <v>1</v>
      </c>
      <c r="N1085">
        <v>0</v>
      </c>
      <c r="O1085">
        <v>5.8823529411764705E-2</v>
      </c>
      <c r="P1085">
        <v>0.35294117647058826</v>
      </c>
      <c r="Q1085">
        <v>0.311764705882353</v>
      </c>
      <c r="R1085">
        <v>0.311764705882353</v>
      </c>
    </row>
    <row r="1086" spans="1:18">
      <c r="A1086" t="s">
        <v>134</v>
      </c>
      <c r="B1086">
        <v>7</v>
      </c>
      <c r="C1086" t="s">
        <v>2502</v>
      </c>
      <c r="D1086">
        <v>17</v>
      </c>
      <c r="E1086">
        <v>3.9647058823529409</v>
      </c>
      <c r="F1086">
        <v>5.4294117647058826</v>
      </c>
      <c r="G1086">
        <v>-1.4647058823529415</v>
      </c>
      <c r="H1086">
        <v>1.4647058823529415</v>
      </c>
      <c r="I1086">
        <v>1.9343641606177349</v>
      </c>
      <c r="J1086">
        <v>0.96470588235294108</v>
      </c>
      <c r="K1086">
        <v>0.96470588235294108</v>
      </c>
      <c r="L1086">
        <v>0.60000000000000009</v>
      </c>
      <c r="M1086">
        <v>1</v>
      </c>
      <c r="N1086">
        <v>0</v>
      </c>
      <c r="O1086">
        <v>0.11764705882352941</v>
      </c>
      <c r="P1086">
        <v>0.47058823529411764</v>
      </c>
      <c r="Q1086">
        <v>0.21249999999999999</v>
      </c>
      <c r="R1086">
        <v>0.21249999999999999</v>
      </c>
    </row>
    <row r="1087" spans="1:18">
      <c r="A1087" t="s">
        <v>134</v>
      </c>
      <c r="B1087">
        <v>8</v>
      </c>
      <c r="C1087" t="s">
        <v>2505</v>
      </c>
      <c r="D1087">
        <v>16</v>
      </c>
      <c r="E1087">
        <v>3.7250000000000001</v>
      </c>
      <c r="F1087">
        <v>5.3125000000000009</v>
      </c>
      <c r="G1087">
        <v>-1.5875000000000004</v>
      </c>
      <c r="H1087">
        <v>1.5875000000000004</v>
      </c>
      <c r="I1087">
        <v>2.1008926674154491</v>
      </c>
      <c r="J1087">
        <v>0.72499999999999976</v>
      </c>
      <c r="K1087">
        <v>0.72499999999999976</v>
      </c>
      <c r="L1087">
        <v>0.5</v>
      </c>
      <c r="M1087">
        <v>1</v>
      </c>
      <c r="N1087">
        <v>0</v>
      </c>
      <c r="O1087">
        <v>0.25</v>
      </c>
      <c r="P1087">
        <v>0.5625</v>
      </c>
      <c r="Q1087">
        <v>0.29999999999999993</v>
      </c>
      <c r="R1087">
        <v>0.29999999999999993</v>
      </c>
    </row>
    <row r="1088" spans="1:18">
      <c r="A1088" t="s">
        <v>134</v>
      </c>
      <c r="B1088">
        <v>9</v>
      </c>
      <c r="C1088" t="s">
        <v>2504</v>
      </c>
      <c r="D1088">
        <v>16</v>
      </c>
      <c r="E1088">
        <v>3.4250000000000003</v>
      </c>
      <c r="F1088">
        <v>5.3125000000000009</v>
      </c>
      <c r="G1088">
        <v>-1.8875000000000002</v>
      </c>
      <c r="H1088">
        <v>1.8875000000000002</v>
      </c>
      <c r="I1088">
        <v>2.4715885579926122</v>
      </c>
      <c r="J1088">
        <v>0.42499999999999999</v>
      </c>
      <c r="K1088">
        <v>0.42499999999999999</v>
      </c>
      <c r="L1088">
        <v>0.29999999999999982</v>
      </c>
      <c r="M1088">
        <v>0.875</v>
      </c>
      <c r="N1088">
        <v>0</v>
      </c>
      <c r="O1088">
        <v>0.375</v>
      </c>
      <c r="P1088">
        <v>0.6875</v>
      </c>
      <c r="Q1088">
        <v>7.9999999999999946E-2</v>
      </c>
      <c r="R1088">
        <v>7.9999999999999946E-2</v>
      </c>
    </row>
    <row r="1089" spans="1:18">
      <c r="A1089" t="s">
        <v>134</v>
      </c>
      <c r="B1089">
        <v>10</v>
      </c>
      <c r="C1089" t="s">
        <v>2507</v>
      </c>
      <c r="D1089">
        <v>15</v>
      </c>
      <c r="E1089">
        <v>3.3333333333333339</v>
      </c>
      <c r="F1089">
        <v>5.1333333333333346</v>
      </c>
      <c r="G1089">
        <v>-1.8000000000000003</v>
      </c>
      <c r="H1089">
        <v>1.8000000000000003</v>
      </c>
      <c r="I1089">
        <v>2.3582479372053595</v>
      </c>
      <c r="J1089">
        <v>0.33333333333333326</v>
      </c>
      <c r="K1089">
        <v>0.33333333333333326</v>
      </c>
      <c r="L1089">
        <v>0.29999999999999982</v>
      </c>
      <c r="M1089">
        <v>0.8666666666666667</v>
      </c>
      <c r="N1089">
        <v>0</v>
      </c>
      <c r="O1089">
        <v>0.46666666666666667</v>
      </c>
      <c r="P1089">
        <v>0.8666666666666667</v>
      </c>
      <c r="Q1089">
        <v>0.15999999999999998</v>
      </c>
      <c r="R1089">
        <v>0.17333333333333331</v>
      </c>
    </row>
    <row r="1090" spans="1:18">
      <c r="A1090" t="s">
        <v>134</v>
      </c>
      <c r="B1090">
        <v>11</v>
      </c>
      <c r="C1090" t="s">
        <v>2506</v>
      </c>
      <c r="D1090">
        <v>15</v>
      </c>
      <c r="E1090">
        <v>3.1733333333333338</v>
      </c>
      <c r="F1090">
        <v>5.1333333333333346</v>
      </c>
      <c r="G1090">
        <v>-1.9600000000000004</v>
      </c>
      <c r="H1090">
        <v>1.9600000000000004</v>
      </c>
      <c r="I1090">
        <v>2.5366644765649764</v>
      </c>
      <c r="J1090">
        <v>0.17333333333333337</v>
      </c>
      <c r="K1090">
        <v>0.1866666666666667</v>
      </c>
      <c r="L1090">
        <v>0.20000000000000018</v>
      </c>
      <c r="M1090">
        <v>0.66666666666666663</v>
      </c>
      <c r="N1090">
        <v>6.6666666666666666E-2</v>
      </c>
      <c r="O1090">
        <v>0.73333333333333328</v>
      </c>
      <c r="P1090">
        <v>0.93333333333333335</v>
      </c>
      <c r="Q1090">
        <v>3.5714285714285685E-2</v>
      </c>
      <c r="R1090">
        <v>4.9999999999999982E-2</v>
      </c>
    </row>
    <row r="1091" spans="1:18">
      <c r="A1091" t="s">
        <v>134</v>
      </c>
      <c r="B1091">
        <v>12</v>
      </c>
      <c r="C1091" t="s">
        <v>2509</v>
      </c>
      <c r="D1091">
        <v>14</v>
      </c>
      <c r="E1091">
        <v>3.128571428571429</v>
      </c>
      <c r="F1091">
        <v>4.9000000000000004</v>
      </c>
      <c r="G1091">
        <v>-1.7714285714285716</v>
      </c>
      <c r="H1091">
        <v>1.7714285714285716</v>
      </c>
      <c r="I1091">
        <v>2.2580016449443581</v>
      </c>
      <c r="J1091">
        <v>0.12857142857142864</v>
      </c>
      <c r="K1091">
        <v>0.14285714285714296</v>
      </c>
      <c r="L1091">
        <v>0.10000000000000009</v>
      </c>
      <c r="M1091">
        <v>0.7142857142857143</v>
      </c>
      <c r="N1091">
        <v>7.1428571428571425E-2</v>
      </c>
      <c r="O1091">
        <v>0.9285714285714286</v>
      </c>
      <c r="P1091">
        <v>0.9285714285714286</v>
      </c>
      <c r="Q1091">
        <v>9.2857142857142846E-2</v>
      </c>
      <c r="R1091">
        <v>9.2857142857142846E-2</v>
      </c>
    </row>
    <row r="1092" spans="1:18">
      <c r="A1092" t="s">
        <v>134</v>
      </c>
      <c r="B1092">
        <v>13</v>
      </c>
      <c r="C1092" t="s">
        <v>2508</v>
      </c>
      <c r="D1092">
        <v>14</v>
      </c>
      <c r="E1092">
        <v>3.0357142857142856</v>
      </c>
      <c r="F1092">
        <v>4.9000000000000004</v>
      </c>
      <c r="G1092">
        <v>-1.8642857142857145</v>
      </c>
      <c r="H1092">
        <v>1.8642857142857145</v>
      </c>
      <c r="I1092">
        <v>2.3556921942999502</v>
      </c>
      <c r="J1092">
        <v>3.5714285714285809E-2</v>
      </c>
      <c r="K1092">
        <v>0.12142857142857147</v>
      </c>
      <c r="L1092">
        <v>0.10000000000000009</v>
      </c>
      <c r="M1092">
        <v>0.6428571428571429</v>
      </c>
      <c r="N1092">
        <v>0.14285714285714285</v>
      </c>
      <c r="O1092">
        <v>0.8571428571428571</v>
      </c>
      <c r="P1092">
        <v>1</v>
      </c>
      <c r="Q1092">
        <v>-1.538461538461533E-2</v>
      </c>
      <c r="R1092">
        <v>4.6153846153846129E-2</v>
      </c>
    </row>
    <row r="1093" spans="1:18">
      <c r="A1093" t="s">
        <v>134</v>
      </c>
      <c r="B1093">
        <v>14</v>
      </c>
      <c r="C1093" t="s">
        <v>2511</v>
      </c>
      <c r="D1093">
        <v>13</v>
      </c>
      <c r="E1093">
        <v>3.0461538461538464</v>
      </c>
      <c r="F1093">
        <v>4.6384615384615389</v>
      </c>
      <c r="G1093">
        <v>-1.5923076923076922</v>
      </c>
      <c r="H1093">
        <v>1.5923076923076922</v>
      </c>
      <c r="I1093">
        <v>1.9269345923193457</v>
      </c>
      <c r="J1093">
        <v>4.6153846153846198E-2</v>
      </c>
      <c r="K1093">
        <v>9.2307692307692396E-2</v>
      </c>
      <c r="L1093">
        <v>0.10000000000000009</v>
      </c>
      <c r="M1093">
        <v>0.61538461538461542</v>
      </c>
      <c r="N1093">
        <v>0.15384615384615385</v>
      </c>
      <c r="O1093">
        <v>1</v>
      </c>
      <c r="P1093">
        <v>1</v>
      </c>
      <c r="Q1093">
        <v>6.1538461538461528E-2</v>
      </c>
      <c r="R1093">
        <v>7.6923076923076927E-2</v>
      </c>
    </row>
    <row r="1094" spans="1:18">
      <c r="A1094" t="s">
        <v>134</v>
      </c>
      <c r="B1094">
        <v>15</v>
      </c>
      <c r="C1094" t="s">
        <v>2510</v>
      </c>
      <c r="D1094">
        <v>13</v>
      </c>
      <c r="E1094">
        <v>2.9846153846153851</v>
      </c>
      <c r="F1094">
        <v>4.6384615384615389</v>
      </c>
      <c r="G1094">
        <v>-1.6538461538461535</v>
      </c>
      <c r="H1094">
        <v>1.6538461538461535</v>
      </c>
      <c r="I1094">
        <v>1.9901681413310861</v>
      </c>
      <c r="J1094">
        <v>-1.538461538461533E-2</v>
      </c>
      <c r="K1094">
        <v>9.2307692307692327E-2</v>
      </c>
      <c r="L1094">
        <v>0.10000000000000009</v>
      </c>
      <c r="M1094">
        <v>0.38461538461538464</v>
      </c>
      <c r="N1094">
        <v>0.15384615384615385</v>
      </c>
      <c r="O1094">
        <v>0.84615384615384615</v>
      </c>
      <c r="P1094">
        <v>1</v>
      </c>
      <c r="Q1094">
        <v>-2.4999999999999984E-2</v>
      </c>
      <c r="R1094">
        <v>4.1666666666666664E-2</v>
      </c>
    </row>
    <row r="1095" spans="1:18">
      <c r="A1095" t="s">
        <v>134</v>
      </c>
      <c r="B1095">
        <v>16</v>
      </c>
      <c r="C1095" t="s">
        <v>2512</v>
      </c>
      <c r="D1095">
        <v>12</v>
      </c>
      <c r="E1095">
        <v>3.0083333333333342</v>
      </c>
      <c r="F1095">
        <v>4.416666666666667</v>
      </c>
      <c r="G1095">
        <v>-1.4083333333333332</v>
      </c>
      <c r="H1095">
        <v>1.4083333333333332</v>
      </c>
      <c r="I1095">
        <v>1.6127099346545037</v>
      </c>
      <c r="J1095">
        <v>8.3333333333333783E-3</v>
      </c>
      <c r="K1095">
        <v>9.1666666666666716E-2</v>
      </c>
      <c r="L1095">
        <v>0.10000000000000009</v>
      </c>
      <c r="M1095">
        <v>0.5</v>
      </c>
      <c r="N1095">
        <v>0.16666666666666666</v>
      </c>
      <c r="O1095">
        <v>0.91666666666666663</v>
      </c>
      <c r="P1095">
        <v>1</v>
      </c>
    </row>
    <row r="1096" spans="1:18">
      <c r="A1096" t="s">
        <v>210</v>
      </c>
      <c r="B1096">
        <v>0</v>
      </c>
      <c r="C1096" t="s">
        <v>2497</v>
      </c>
      <c r="D1096">
        <v>19</v>
      </c>
      <c r="E1096">
        <v>5.2368421052631575</v>
      </c>
      <c r="F1096">
        <v>5.2947368421052632</v>
      </c>
      <c r="G1096">
        <v>-5.7894736842105152E-2</v>
      </c>
      <c r="H1096">
        <v>0.36315789473684207</v>
      </c>
      <c r="I1096">
        <v>0.44544478067610005</v>
      </c>
      <c r="J1096">
        <v>2.236842105263158</v>
      </c>
      <c r="K1096">
        <v>2.2473684210526317</v>
      </c>
      <c r="L1096">
        <v>1.9000000000000004</v>
      </c>
      <c r="M1096">
        <v>0.94736842105263153</v>
      </c>
      <c r="N1096">
        <v>5.2631578947368418E-2</v>
      </c>
      <c r="O1096">
        <v>0.10526315789473684</v>
      </c>
      <c r="P1096">
        <v>0.21052631578947367</v>
      </c>
      <c r="Q1096">
        <v>0.23333333333333345</v>
      </c>
      <c r="R1096">
        <v>0.48888888888888893</v>
      </c>
    </row>
    <row r="1097" spans="1:18">
      <c r="A1097" t="s">
        <v>210</v>
      </c>
      <c r="B1097">
        <v>1</v>
      </c>
      <c r="C1097" t="s">
        <v>2495</v>
      </c>
      <c r="D1097">
        <v>18</v>
      </c>
      <c r="E1097">
        <v>4.9055555555555541</v>
      </c>
      <c r="F1097">
        <v>5.1388888888888884</v>
      </c>
      <c r="G1097">
        <v>-0.23333333333333328</v>
      </c>
      <c r="H1097">
        <v>0.59999999999999976</v>
      </c>
      <c r="I1097">
        <v>0.82798282322494798</v>
      </c>
      <c r="J1097">
        <v>1.9055555555555559</v>
      </c>
      <c r="K1097">
        <v>1.9500000000000004</v>
      </c>
      <c r="L1097">
        <v>1.5999999999999996</v>
      </c>
      <c r="M1097">
        <v>0.88888888888888884</v>
      </c>
      <c r="N1097">
        <v>0.1111111111111111</v>
      </c>
      <c r="O1097">
        <v>0.1111111111111111</v>
      </c>
      <c r="P1097">
        <v>0.22222222222222221</v>
      </c>
      <c r="Q1097">
        <v>0.47777777777777786</v>
      </c>
      <c r="R1097">
        <v>0.8222222222222223</v>
      </c>
    </row>
    <row r="1098" spans="1:18">
      <c r="A1098" t="s">
        <v>210</v>
      </c>
      <c r="B1098">
        <v>2</v>
      </c>
      <c r="C1098" t="s">
        <v>2499</v>
      </c>
      <c r="D1098">
        <v>18</v>
      </c>
      <c r="E1098">
        <v>4.4277777777777771</v>
      </c>
      <c r="F1098">
        <v>5.1388888888888884</v>
      </c>
      <c r="G1098">
        <v>-0.71111111111111092</v>
      </c>
      <c r="H1098">
        <v>1.1777777777777778</v>
      </c>
      <c r="I1098">
        <v>1.5588457268119897</v>
      </c>
      <c r="J1098">
        <v>1.427777777777778</v>
      </c>
      <c r="K1098">
        <v>1.4944444444444445</v>
      </c>
      <c r="L1098">
        <v>1.1499999999999999</v>
      </c>
      <c r="M1098">
        <v>0.77777777777777779</v>
      </c>
      <c r="N1098">
        <v>0.1111111111111111</v>
      </c>
      <c r="O1098">
        <v>0.22222222222222221</v>
      </c>
      <c r="P1098">
        <v>0.33333333333333331</v>
      </c>
      <c r="Q1098">
        <v>0.6117647058823531</v>
      </c>
      <c r="R1098">
        <v>0.6352941176470589</v>
      </c>
    </row>
    <row r="1099" spans="1:18">
      <c r="A1099" t="s">
        <v>210</v>
      </c>
      <c r="B1099">
        <v>3</v>
      </c>
      <c r="C1099" t="s">
        <v>2498</v>
      </c>
      <c r="D1099">
        <v>17</v>
      </c>
      <c r="E1099">
        <v>3.8352941176470581</v>
      </c>
      <c r="F1099">
        <v>5.0058823529411756</v>
      </c>
      <c r="G1099">
        <v>-1.1705882352941175</v>
      </c>
      <c r="H1099">
        <v>1.4294117647058826</v>
      </c>
      <c r="I1099">
        <v>2.2892331107368942</v>
      </c>
      <c r="J1099">
        <v>0.83529411764705852</v>
      </c>
      <c r="K1099">
        <v>0.95294117647058818</v>
      </c>
      <c r="L1099">
        <v>0.60000000000000009</v>
      </c>
      <c r="M1099">
        <v>0.70588235294117652</v>
      </c>
      <c r="N1099">
        <v>0.29411764705882354</v>
      </c>
      <c r="O1099">
        <v>0.23529411764705882</v>
      </c>
      <c r="P1099">
        <v>0.47058823529411764</v>
      </c>
      <c r="Q1099">
        <v>0.32941176470588229</v>
      </c>
      <c r="R1099">
        <v>0.55294117647058838</v>
      </c>
    </row>
    <row r="1100" spans="1:18">
      <c r="A1100" t="s">
        <v>210</v>
      </c>
      <c r="B1100">
        <v>4</v>
      </c>
      <c r="C1100" t="s">
        <v>2501</v>
      </c>
      <c r="D1100">
        <v>17</v>
      </c>
      <c r="E1100">
        <v>3.5058823529411769</v>
      </c>
      <c r="F1100">
        <v>5.0058823529411756</v>
      </c>
      <c r="G1100">
        <v>-1.4999999999999998</v>
      </c>
      <c r="H1100">
        <v>1.664705882352941</v>
      </c>
      <c r="I1100">
        <v>2.5597564222356142</v>
      </c>
      <c r="J1100">
        <v>0.50588235294117634</v>
      </c>
      <c r="K1100">
        <v>0.69411764705882362</v>
      </c>
      <c r="L1100">
        <v>0.60000000000000009</v>
      </c>
      <c r="M1100">
        <v>0.76470588235294112</v>
      </c>
      <c r="N1100">
        <v>0.17647058823529413</v>
      </c>
      <c r="O1100">
        <v>0.35294117647058826</v>
      </c>
      <c r="P1100">
        <v>0.41176470588235292</v>
      </c>
      <c r="Q1100">
        <v>0.14999999999999997</v>
      </c>
      <c r="R1100">
        <v>0.30000000000000004</v>
      </c>
    </row>
    <row r="1101" spans="1:18">
      <c r="A1101" t="s">
        <v>210</v>
      </c>
      <c r="B1101">
        <v>5</v>
      </c>
      <c r="C1101" t="s">
        <v>2500</v>
      </c>
      <c r="D1101">
        <v>16</v>
      </c>
      <c r="E1101">
        <v>3.3937500000000003</v>
      </c>
      <c r="F1101">
        <v>4.6437499999999989</v>
      </c>
      <c r="G1101">
        <v>-1.2500000000000002</v>
      </c>
      <c r="H1101">
        <v>1.4125000000000001</v>
      </c>
      <c r="I1101">
        <v>1.9199609371026272</v>
      </c>
      <c r="J1101">
        <v>0.39375000000000004</v>
      </c>
      <c r="K1101">
        <v>0.59375</v>
      </c>
      <c r="L1101">
        <v>0.55000000000000004</v>
      </c>
      <c r="M1101">
        <v>0.6875</v>
      </c>
      <c r="N1101">
        <v>0.25</v>
      </c>
      <c r="O1101">
        <v>0.25</v>
      </c>
      <c r="P1101">
        <v>0.5</v>
      </c>
      <c r="Q1101">
        <v>4.3750000000000067E-2</v>
      </c>
      <c r="R1101">
        <v>0.16875000000000007</v>
      </c>
    </row>
    <row r="1102" spans="1:18">
      <c r="A1102" t="s">
        <v>210</v>
      </c>
      <c r="B1102">
        <v>6</v>
      </c>
      <c r="C1102" t="s">
        <v>2503</v>
      </c>
      <c r="D1102">
        <v>16</v>
      </c>
      <c r="E1102">
        <v>3.3499999999999996</v>
      </c>
      <c r="F1102">
        <v>4.6437499999999989</v>
      </c>
      <c r="G1102">
        <v>-1.2937500000000002</v>
      </c>
      <c r="H1102">
        <v>1.3937499999999998</v>
      </c>
      <c r="I1102">
        <v>1.9301878146957614</v>
      </c>
      <c r="J1102">
        <v>0.35</v>
      </c>
      <c r="K1102">
        <v>0.46250000000000002</v>
      </c>
      <c r="L1102">
        <v>0.29999999999999982</v>
      </c>
      <c r="M1102">
        <v>0.6875</v>
      </c>
      <c r="N1102">
        <v>0.1875</v>
      </c>
      <c r="O1102">
        <v>0.4375</v>
      </c>
      <c r="P1102">
        <v>0.6875</v>
      </c>
      <c r="Q1102">
        <v>2.6666666666666689E-2</v>
      </c>
      <c r="R1102">
        <v>0.25333333333333324</v>
      </c>
    </row>
    <row r="1103" spans="1:18">
      <c r="A1103" t="s">
        <v>210</v>
      </c>
      <c r="B1103">
        <v>7</v>
      </c>
      <c r="C1103" t="s">
        <v>2502</v>
      </c>
      <c r="D1103">
        <v>15</v>
      </c>
      <c r="E1103">
        <v>3.3333333333333335</v>
      </c>
      <c r="F1103">
        <v>4.3733333333333331</v>
      </c>
      <c r="G1103">
        <v>-1.04</v>
      </c>
      <c r="H1103">
        <v>1.1599999999999999</v>
      </c>
      <c r="I1103">
        <v>1.4085453489327209</v>
      </c>
      <c r="J1103">
        <v>0.3333333333333332</v>
      </c>
      <c r="K1103">
        <v>0.54666666666666663</v>
      </c>
      <c r="L1103">
        <v>0.39999999999999991</v>
      </c>
      <c r="M1103">
        <v>0.66666666666666663</v>
      </c>
      <c r="N1103">
        <v>0.26666666666666666</v>
      </c>
      <c r="O1103">
        <v>0.26666666666666666</v>
      </c>
      <c r="P1103">
        <v>0.66666666666666663</v>
      </c>
      <c r="Q1103">
        <v>3.9999999999999973E-2</v>
      </c>
      <c r="R1103">
        <v>0.13333333333333328</v>
      </c>
    </row>
    <row r="1104" spans="1:18">
      <c r="A1104" t="s">
        <v>210</v>
      </c>
      <c r="B1104">
        <v>8</v>
      </c>
      <c r="C1104" t="s">
        <v>2505</v>
      </c>
      <c r="D1104">
        <v>15</v>
      </c>
      <c r="E1104">
        <v>3.2933333333333339</v>
      </c>
      <c r="F1104">
        <v>4.3733333333333331</v>
      </c>
      <c r="G1104">
        <v>-1.0800000000000003</v>
      </c>
      <c r="H1104">
        <v>1.2133333333333334</v>
      </c>
      <c r="I1104">
        <v>1.476030713320921</v>
      </c>
      <c r="J1104">
        <v>0.29333333333333328</v>
      </c>
      <c r="K1104">
        <v>0.49333333333333318</v>
      </c>
      <c r="L1104">
        <v>0.39999999999999991</v>
      </c>
      <c r="M1104">
        <v>0.6</v>
      </c>
      <c r="N1104">
        <v>0.26666666666666666</v>
      </c>
      <c r="O1104">
        <v>0.26666666666666666</v>
      </c>
      <c r="P1104">
        <v>0.6</v>
      </c>
      <c r="Q1104">
        <v>0.15714285714285706</v>
      </c>
      <c r="R1104">
        <v>0.24285714285714272</v>
      </c>
    </row>
    <row r="1105" spans="1:18">
      <c r="A1105" t="s">
        <v>210</v>
      </c>
      <c r="B1105">
        <v>9</v>
      </c>
      <c r="C1105" t="s">
        <v>2504</v>
      </c>
      <c r="D1105">
        <v>14</v>
      </c>
      <c r="E1105">
        <v>3.092857142857143</v>
      </c>
      <c r="F1105">
        <v>4.242857142857142</v>
      </c>
      <c r="G1105">
        <v>-1.1499999999999999</v>
      </c>
      <c r="H1105">
        <v>1.3071428571428572</v>
      </c>
      <c r="I1105">
        <v>1.5526475085202969</v>
      </c>
      <c r="J1105">
        <v>9.2857142857142902E-2</v>
      </c>
      <c r="K1105">
        <v>0.49285714285714277</v>
      </c>
      <c r="L1105">
        <v>0.39999999999999991</v>
      </c>
      <c r="M1105">
        <v>0.6428571428571429</v>
      </c>
      <c r="N1105">
        <v>0.35714285714285715</v>
      </c>
      <c r="O1105">
        <v>0.35714285714285715</v>
      </c>
      <c r="P1105">
        <v>0.5714285714285714</v>
      </c>
      <c r="Q1105">
        <v>2.857142857142863E-2</v>
      </c>
      <c r="R1105">
        <v>0.37142857142857139</v>
      </c>
    </row>
    <row r="1106" spans="1:18">
      <c r="A1106" t="s">
        <v>210</v>
      </c>
      <c r="B1106">
        <v>10</v>
      </c>
      <c r="C1106" t="s">
        <v>2507</v>
      </c>
      <c r="D1106">
        <v>14</v>
      </c>
      <c r="E1106">
        <v>3.0642857142857145</v>
      </c>
      <c r="F1106">
        <v>4.242857142857142</v>
      </c>
      <c r="G1106">
        <v>-1.1785714285714286</v>
      </c>
      <c r="H1106">
        <v>1.2785714285714287</v>
      </c>
      <c r="I1106">
        <v>1.4665313790418142</v>
      </c>
      <c r="J1106">
        <v>6.4285714285714279E-2</v>
      </c>
      <c r="K1106">
        <v>0.39285714285714274</v>
      </c>
      <c r="L1106">
        <v>0.34999999999999987</v>
      </c>
      <c r="M1106">
        <v>0.6428571428571429</v>
      </c>
      <c r="N1106">
        <v>0.35714285714285715</v>
      </c>
      <c r="O1106">
        <v>0.2857142857142857</v>
      </c>
      <c r="P1106">
        <v>0.8571428571428571</v>
      </c>
      <c r="Q1106">
        <v>2.3076923076923064E-2</v>
      </c>
      <c r="R1106">
        <v>9.9999999999999922E-2</v>
      </c>
    </row>
    <row r="1107" spans="1:18">
      <c r="A1107" t="s">
        <v>210</v>
      </c>
      <c r="B1107">
        <v>11</v>
      </c>
      <c r="C1107" t="s">
        <v>2506</v>
      </c>
      <c r="D1107">
        <v>13</v>
      </c>
      <c r="E1107">
        <v>3.0384615384615379</v>
      </c>
      <c r="F1107">
        <v>4.1923076923076925</v>
      </c>
      <c r="G1107">
        <v>-1.1538461538461535</v>
      </c>
      <c r="H1107">
        <v>1.2461538461538462</v>
      </c>
      <c r="I1107">
        <v>1.4400854675491153</v>
      </c>
      <c r="J1107">
        <v>3.8461538461538464E-2</v>
      </c>
      <c r="K1107">
        <v>0.36153846153846164</v>
      </c>
      <c r="L1107">
        <v>0.29999999999999982</v>
      </c>
      <c r="M1107">
        <v>0.53846153846153844</v>
      </c>
      <c r="N1107">
        <v>0.38461538461538464</v>
      </c>
      <c r="O1107">
        <v>0.38461538461538464</v>
      </c>
      <c r="P1107">
        <v>0.76923076923076927</v>
      </c>
      <c r="Q1107">
        <v>3.8461538461538464E-2</v>
      </c>
      <c r="R1107">
        <v>0.23846153846153845</v>
      </c>
    </row>
    <row r="1108" spans="1:18">
      <c r="A1108" t="s">
        <v>210</v>
      </c>
      <c r="B1108">
        <v>12</v>
      </c>
      <c r="C1108" t="s">
        <v>2509</v>
      </c>
      <c r="D1108">
        <v>13</v>
      </c>
      <c r="E1108">
        <v>3</v>
      </c>
      <c r="F1108">
        <v>4.1923076923076925</v>
      </c>
      <c r="G1108">
        <v>-1.1923076923076921</v>
      </c>
      <c r="H1108">
        <v>1.223076923076923</v>
      </c>
      <c r="I1108">
        <v>1.4350020101835288</v>
      </c>
      <c r="J1108">
        <v>0</v>
      </c>
      <c r="K1108">
        <v>0.27692307692307694</v>
      </c>
      <c r="L1108">
        <v>0.20000000000000018</v>
      </c>
      <c r="M1108">
        <v>0.46153846153846156</v>
      </c>
      <c r="N1108">
        <v>0.38461538461538464</v>
      </c>
      <c r="O1108">
        <v>0.61538461538461542</v>
      </c>
      <c r="P1108">
        <v>0.76923076923076927</v>
      </c>
      <c r="Q1108">
        <v>2.4999999999999949E-2</v>
      </c>
      <c r="R1108">
        <v>0.10833333333333335</v>
      </c>
    </row>
    <row r="1109" spans="1:18">
      <c r="A1109" t="s">
        <v>210</v>
      </c>
      <c r="B1109">
        <v>13</v>
      </c>
      <c r="C1109" t="s">
        <v>2508</v>
      </c>
      <c r="D1109">
        <v>12</v>
      </c>
      <c r="E1109">
        <v>3.0250000000000004</v>
      </c>
      <c r="F1109">
        <v>4.2416666666666663</v>
      </c>
      <c r="G1109">
        <v>-1.2166666666666666</v>
      </c>
      <c r="H1109">
        <v>1.2666666666666666</v>
      </c>
      <c r="I1109">
        <v>1.5016657417681205</v>
      </c>
      <c r="J1109">
        <v>2.500000000000006E-2</v>
      </c>
      <c r="K1109">
        <v>0.27500000000000008</v>
      </c>
      <c r="L1109">
        <v>0.20000000000000018</v>
      </c>
      <c r="M1109">
        <v>0.5</v>
      </c>
      <c r="N1109">
        <v>0.33333333333333331</v>
      </c>
      <c r="O1109">
        <v>0.75</v>
      </c>
      <c r="P1109">
        <v>0.83333333333333337</v>
      </c>
      <c r="Q1109">
        <v>-4.1666666666666595E-2</v>
      </c>
      <c r="R1109">
        <v>0.14166666666666669</v>
      </c>
    </row>
    <row r="1110" spans="1:18">
      <c r="A1110" t="s">
        <v>210</v>
      </c>
      <c r="B1110">
        <v>14</v>
      </c>
      <c r="C1110" t="s">
        <v>2511</v>
      </c>
      <c r="D1110">
        <v>12</v>
      </c>
      <c r="E1110">
        <v>3.0666666666666669</v>
      </c>
      <c r="F1110">
        <v>4.2416666666666663</v>
      </c>
      <c r="G1110">
        <v>-1.1749999999999998</v>
      </c>
      <c r="H1110">
        <v>1.2249999999999999</v>
      </c>
      <c r="I1110">
        <v>1.4986104675109317</v>
      </c>
      <c r="J1110">
        <v>6.6666666666666652E-2</v>
      </c>
      <c r="K1110">
        <v>0.25000000000000006</v>
      </c>
      <c r="L1110">
        <v>0.15000000000000013</v>
      </c>
      <c r="M1110">
        <v>0.58333333333333337</v>
      </c>
      <c r="N1110">
        <v>0.25</v>
      </c>
      <c r="O1110">
        <v>0.75</v>
      </c>
      <c r="P1110">
        <v>0.83333333333333337</v>
      </c>
      <c r="Q1110">
        <v>-4.5454545454545373E-2</v>
      </c>
      <c r="R1110">
        <v>0.15454545454545457</v>
      </c>
    </row>
    <row r="1111" spans="1:18">
      <c r="A1111" t="s">
        <v>210</v>
      </c>
      <c r="B1111">
        <v>15</v>
      </c>
      <c r="C1111" t="s">
        <v>2510</v>
      </c>
      <c r="D1111">
        <v>11</v>
      </c>
      <c r="E1111">
        <v>3.1181818181818186</v>
      </c>
      <c r="F1111">
        <v>4.2727272727272725</v>
      </c>
      <c r="G1111">
        <v>-1.1545454545454545</v>
      </c>
      <c r="H1111">
        <v>1.3</v>
      </c>
      <c r="I1111">
        <v>1.5588457268119895</v>
      </c>
      <c r="J1111">
        <v>0.11818181818181808</v>
      </c>
      <c r="K1111">
        <v>0.35454545454545455</v>
      </c>
      <c r="L1111">
        <v>0.29999999999999982</v>
      </c>
      <c r="M1111">
        <v>0.54545454545454541</v>
      </c>
      <c r="N1111">
        <v>0.45454545454545453</v>
      </c>
      <c r="O1111">
        <v>0.45454545454545453</v>
      </c>
      <c r="P1111">
        <v>0.81818181818181823</v>
      </c>
      <c r="Q1111">
        <v>5.4545454545454557E-2</v>
      </c>
      <c r="R1111">
        <v>0.10909090909090914</v>
      </c>
    </row>
    <row r="1112" spans="1:18">
      <c r="A1112" t="s">
        <v>210</v>
      </c>
      <c r="B1112">
        <v>16</v>
      </c>
      <c r="C1112" t="s">
        <v>2512</v>
      </c>
      <c r="D1112">
        <v>11</v>
      </c>
      <c r="E1112">
        <v>3.063636363636363</v>
      </c>
      <c r="F1112">
        <v>4.2727272727272725</v>
      </c>
      <c r="G1112">
        <v>-1.2090909090909092</v>
      </c>
      <c r="H1112">
        <v>1.3181818181818181</v>
      </c>
      <c r="I1112">
        <v>1.6053886530285202</v>
      </c>
      <c r="J1112">
        <v>6.3636363636363533E-2</v>
      </c>
      <c r="K1112">
        <v>0.2818181818181818</v>
      </c>
      <c r="L1112">
        <v>0.29999999999999982</v>
      </c>
      <c r="M1112">
        <v>0.54545454545454541</v>
      </c>
      <c r="N1112">
        <v>0.45454545454545453</v>
      </c>
      <c r="O1112">
        <v>0.45454545454545453</v>
      </c>
      <c r="P1112">
        <v>0.90909090909090906</v>
      </c>
    </row>
    <row r="1113" spans="1:18">
      <c r="A1113" t="s">
        <v>212</v>
      </c>
      <c r="B1113">
        <v>0</v>
      </c>
      <c r="C1113" t="s">
        <v>2497</v>
      </c>
      <c r="D1113">
        <v>19</v>
      </c>
      <c r="E1113">
        <v>5.2578947368421058</v>
      </c>
      <c r="F1113">
        <v>5.3789473684210529</v>
      </c>
      <c r="G1113">
        <v>-0.12105263157894766</v>
      </c>
      <c r="H1113">
        <v>0.20526315789473698</v>
      </c>
      <c r="I1113">
        <v>0.24815105756055345</v>
      </c>
      <c r="J1113">
        <v>2.2578947368421054</v>
      </c>
      <c r="K1113">
        <v>2.2578947368421054</v>
      </c>
      <c r="L1113">
        <v>1.5999999999999996</v>
      </c>
      <c r="M1113">
        <v>1</v>
      </c>
      <c r="N1113">
        <v>0</v>
      </c>
      <c r="O1113">
        <v>0</v>
      </c>
      <c r="P1113">
        <v>0.10526315789473684</v>
      </c>
      <c r="Q1113">
        <v>0.25555555555555554</v>
      </c>
      <c r="R1113">
        <v>0.31111111111111112</v>
      </c>
    </row>
    <row r="1114" spans="1:18">
      <c r="A1114" t="s">
        <v>212</v>
      </c>
      <c r="B1114">
        <v>1</v>
      </c>
      <c r="C1114" t="s">
        <v>2495</v>
      </c>
      <c r="D1114">
        <v>18</v>
      </c>
      <c r="E1114">
        <v>4.9444444444444438</v>
      </c>
      <c r="F1114">
        <v>5.3166666666666664</v>
      </c>
      <c r="G1114">
        <v>-0.37222222222222245</v>
      </c>
      <c r="H1114">
        <v>0.47222222222222243</v>
      </c>
      <c r="I1114">
        <v>0.56911236929879605</v>
      </c>
      <c r="J1114">
        <v>1.9444444444444449</v>
      </c>
      <c r="K1114">
        <v>1.9444444444444449</v>
      </c>
      <c r="L1114">
        <v>1.1499999999999999</v>
      </c>
      <c r="M1114">
        <v>1</v>
      </c>
      <c r="N1114">
        <v>0</v>
      </c>
      <c r="O1114">
        <v>5.5555555555555552E-2</v>
      </c>
      <c r="P1114">
        <v>0.16666666666666666</v>
      </c>
      <c r="Q1114">
        <v>0.52222222222222192</v>
      </c>
      <c r="R1114">
        <v>0.55555555555555536</v>
      </c>
    </row>
    <row r="1115" spans="1:18">
      <c r="A1115" t="s">
        <v>212</v>
      </c>
      <c r="B1115">
        <v>2</v>
      </c>
      <c r="C1115" t="s">
        <v>2499</v>
      </c>
      <c r="D1115">
        <v>18</v>
      </c>
      <c r="E1115">
        <v>4.4222222222222216</v>
      </c>
      <c r="F1115">
        <v>5.3166666666666664</v>
      </c>
      <c r="G1115">
        <v>-0.89444444444444449</v>
      </c>
      <c r="H1115">
        <v>0.95000000000000007</v>
      </c>
      <c r="I1115">
        <v>1.2924997313560869</v>
      </c>
      <c r="J1115">
        <v>1.4222222222222225</v>
      </c>
      <c r="K1115">
        <v>1.4222222222222225</v>
      </c>
      <c r="L1115">
        <v>0.95000000000000018</v>
      </c>
      <c r="M1115">
        <v>0.94444444444444442</v>
      </c>
      <c r="N1115">
        <v>0</v>
      </c>
      <c r="O1115">
        <v>0.16666666666666666</v>
      </c>
      <c r="P1115">
        <v>0.33333333333333331</v>
      </c>
      <c r="Q1115">
        <v>0.51176470588235301</v>
      </c>
      <c r="R1115">
        <v>0.51176470588235301</v>
      </c>
    </row>
    <row r="1116" spans="1:18">
      <c r="A1116" t="s">
        <v>212</v>
      </c>
      <c r="B1116">
        <v>3</v>
      </c>
      <c r="C1116" t="s">
        <v>2498</v>
      </c>
      <c r="D1116">
        <v>17</v>
      </c>
      <c r="E1116">
        <v>3.8058823529411767</v>
      </c>
      <c r="F1116">
        <v>5.1764705882352953</v>
      </c>
      <c r="G1116">
        <v>-1.3705882352941174</v>
      </c>
      <c r="H1116">
        <v>1.4176470588235295</v>
      </c>
      <c r="I1116">
        <v>1.9936664420993151</v>
      </c>
      <c r="J1116">
        <v>0.80588235294117638</v>
      </c>
      <c r="K1116">
        <v>0.88823529411764712</v>
      </c>
      <c r="L1116">
        <v>0.5</v>
      </c>
      <c r="M1116">
        <v>0.82352941176470584</v>
      </c>
      <c r="N1116">
        <v>0.11764705882352941</v>
      </c>
      <c r="O1116">
        <v>0.11764705882352941</v>
      </c>
      <c r="P1116">
        <v>0.52941176470588236</v>
      </c>
      <c r="Q1116">
        <v>0.22352941176470587</v>
      </c>
      <c r="R1116">
        <v>0.32941176470588224</v>
      </c>
    </row>
    <row r="1117" spans="1:18">
      <c r="A1117" t="s">
        <v>212</v>
      </c>
      <c r="B1117">
        <v>4</v>
      </c>
      <c r="C1117" t="s">
        <v>2501</v>
      </c>
      <c r="D1117">
        <v>17</v>
      </c>
      <c r="E1117">
        <v>3.5823529411764712</v>
      </c>
      <c r="F1117">
        <v>5.1764705882352953</v>
      </c>
      <c r="G1117">
        <v>-1.5941176470588239</v>
      </c>
      <c r="H1117">
        <v>1.5941176470588239</v>
      </c>
      <c r="I1117">
        <v>2.1840329667841556</v>
      </c>
      <c r="J1117">
        <v>0.58235294117647063</v>
      </c>
      <c r="K1117">
        <v>0.67647058823529405</v>
      </c>
      <c r="L1117">
        <v>0.5</v>
      </c>
      <c r="M1117">
        <v>0.82352941176470584</v>
      </c>
      <c r="N1117">
        <v>0.17647058823529413</v>
      </c>
      <c r="O1117">
        <v>0.29411764705882354</v>
      </c>
      <c r="P1117">
        <v>0.52941176470588236</v>
      </c>
      <c r="Q1117">
        <v>0.14999999999999997</v>
      </c>
      <c r="R1117">
        <v>0.29999999999999993</v>
      </c>
    </row>
    <row r="1118" spans="1:18">
      <c r="A1118" t="s">
        <v>212</v>
      </c>
      <c r="B1118">
        <v>5</v>
      </c>
      <c r="C1118" t="s">
        <v>2500</v>
      </c>
      <c r="D1118">
        <v>16</v>
      </c>
      <c r="E1118">
        <v>3.4000000000000008</v>
      </c>
      <c r="F1118">
        <v>4.95</v>
      </c>
      <c r="G1118">
        <v>-1.55</v>
      </c>
      <c r="H1118">
        <v>1.55</v>
      </c>
      <c r="I1118">
        <v>2.173131381210073</v>
      </c>
      <c r="J1118">
        <v>0.40000000000000013</v>
      </c>
      <c r="K1118">
        <v>0.45000000000000007</v>
      </c>
      <c r="L1118">
        <v>0.20000000000000018</v>
      </c>
      <c r="M1118">
        <v>0.75</v>
      </c>
      <c r="N1118">
        <v>0.125</v>
      </c>
      <c r="O1118">
        <v>0.5625</v>
      </c>
      <c r="P1118">
        <v>0.6875</v>
      </c>
      <c r="Q1118">
        <v>5.6250000000000105E-2</v>
      </c>
      <c r="R1118">
        <v>0.14374999999999996</v>
      </c>
    </row>
    <row r="1119" spans="1:18">
      <c r="A1119" t="s">
        <v>212</v>
      </c>
      <c r="B1119">
        <v>6</v>
      </c>
      <c r="C1119" t="s">
        <v>2503</v>
      </c>
      <c r="D1119">
        <v>16</v>
      </c>
      <c r="E1119">
        <v>3.34375</v>
      </c>
      <c r="F1119">
        <v>4.95</v>
      </c>
      <c r="G1119">
        <v>-1.6062500000000004</v>
      </c>
      <c r="H1119">
        <v>1.6062500000000004</v>
      </c>
      <c r="I1119">
        <v>2.2490275676389566</v>
      </c>
      <c r="J1119">
        <v>0.34375</v>
      </c>
      <c r="K1119">
        <v>0.38124999999999998</v>
      </c>
      <c r="L1119">
        <v>0.29999999999999982</v>
      </c>
      <c r="M1119">
        <v>0.8125</v>
      </c>
      <c r="N1119">
        <v>6.25E-2</v>
      </c>
      <c r="O1119">
        <v>0.3125</v>
      </c>
      <c r="P1119">
        <v>0.75</v>
      </c>
      <c r="Q1119">
        <v>0.19333333333333327</v>
      </c>
      <c r="R1119">
        <v>0.24666666666666665</v>
      </c>
    </row>
    <row r="1120" spans="1:18">
      <c r="A1120" t="s">
        <v>212</v>
      </c>
      <c r="B1120">
        <v>7</v>
      </c>
      <c r="C1120" t="s">
        <v>2502</v>
      </c>
      <c r="D1120">
        <v>15</v>
      </c>
      <c r="E1120">
        <v>3.1666666666666665</v>
      </c>
      <c r="F1120">
        <v>4.6866666666666665</v>
      </c>
      <c r="G1120">
        <v>-1.5200000000000002</v>
      </c>
      <c r="H1120">
        <v>1.5200000000000002</v>
      </c>
      <c r="I1120">
        <v>2.0066555924389884</v>
      </c>
      <c r="J1120">
        <v>0.16666666666666669</v>
      </c>
      <c r="K1120">
        <v>0.2466666666666667</v>
      </c>
      <c r="L1120">
        <v>0.20000000000000018</v>
      </c>
      <c r="M1120">
        <v>0.6</v>
      </c>
      <c r="N1120">
        <v>0.2</v>
      </c>
      <c r="O1120">
        <v>0.6</v>
      </c>
      <c r="P1120">
        <v>0.93333333333333335</v>
      </c>
      <c r="Q1120">
        <v>4.0000000000000008E-2</v>
      </c>
      <c r="R1120">
        <v>9.3333333333333268E-2</v>
      </c>
    </row>
    <row r="1121" spans="1:18">
      <c r="A1121" t="s">
        <v>212</v>
      </c>
      <c r="B1121">
        <v>8</v>
      </c>
      <c r="C1121" t="s">
        <v>2505</v>
      </c>
      <c r="D1121">
        <v>15</v>
      </c>
      <c r="E1121">
        <v>3.1266666666666669</v>
      </c>
      <c r="F1121">
        <v>4.6866666666666665</v>
      </c>
      <c r="G1121">
        <v>-1.5600000000000003</v>
      </c>
      <c r="H1121">
        <v>1.5600000000000003</v>
      </c>
      <c r="I1121">
        <v>2.0487394498406415</v>
      </c>
      <c r="J1121">
        <v>0.12666666666666668</v>
      </c>
      <c r="K1121">
        <v>0.22000000000000006</v>
      </c>
      <c r="L1121">
        <v>0.20000000000000018</v>
      </c>
      <c r="M1121">
        <v>0.66666666666666663</v>
      </c>
      <c r="N1121">
        <v>0.2</v>
      </c>
      <c r="O1121">
        <v>0.73333333333333328</v>
      </c>
      <c r="P1121">
        <v>0.93333333333333335</v>
      </c>
      <c r="Q1121">
        <v>7.1428571428571425E-2</v>
      </c>
      <c r="R1121">
        <v>0.20000000000000004</v>
      </c>
    </row>
    <row r="1122" spans="1:18">
      <c r="A1122" t="s">
        <v>212</v>
      </c>
      <c r="B1122">
        <v>9</v>
      </c>
      <c r="C1122" t="s">
        <v>2504</v>
      </c>
      <c r="D1122">
        <v>14</v>
      </c>
      <c r="E1122">
        <v>3.0499999999999994</v>
      </c>
      <c r="F1122">
        <v>4.4285714285714288</v>
      </c>
      <c r="G1122">
        <v>-1.3785714285714288</v>
      </c>
      <c r="H1122">
        <v>1.3785714285714288</v>
      </c>
      <c r="I1122">
        <v>1.7123500977144999</v>
      </c>
      <c r="J1122">
        <v>5.000000000000001E-2</v>
      </c>
      <c r="K1122">
        <v>0.17857142857142858</v>
      </c>
      <c r="L1122">
        <v>0.15000000000000013</v>
      </c>
      <c r="M1122">
        <v>0.42857142857142855</v>
      </c>
      <c r="N1122">
        <v>0.35714285714285715</v>
      </c>
      <c r="O1122">
        <v>0.6428571428571429</v>
      </c>
      <c r="P1122">
        <v>1</v>
      </c>
      <c r="Q1122">
        <v>-2.1428571428571415E-2</v>
      </c>
      <c r="R1122">
        <v>0.13571428571428568</v>
      </c>
    </row>
    <row r="1123" spans="1:18">
      <c r="A1123" t="s">
        <v>212</v>
      </c>
      <c r="B1123">
        <v>10</v>
      </c>
      <c r="C1123" t="s">
        <v>2507</v>
      </c>
      <c r="D1123">
        <v>14</v>
      </c>
      <c r="E1123">
        <v>3.0714285714285707</v>
      </c>
      <c r="F1123">
        <v>4.4285714285714288</v>
      </c>
      <c r="G1123">
        <v>-1.3571428571428574</v>
      </c>
      <c r="H1123">
        <v>1.3571428571428574</v>
      </c>
      <c r="I1123">
        <v>1.6621844491082038</v>
      </c>
      <c r="J1123">
        <v>7.1428571428571425E-2</v>
      </c>
      <c r="K1123">
        <v>0.11428571428571432</v>
      </c>
      <c r="L1123">
        <v>0.10000000000000009</v>
      </c>
      <c r="M1123">
        <v>0.42857142857142855</v>
      </c>
      <c r="N1123">
        <v>0.14285714285714285</v>
      </c>
      <c r="O1123">
        <v>0.8571428571428571</v>
      </c>
      <c r="P1123">
        <v>1</v>
      </c>
      <c r="Q1123">
        <v>5.3846153846153828E-2</v>
      </c>
      <c r="R1123">
        <v>0.14615384615384622</v>
      </c>
    </row>
    <row r="1124" spans="1:18">
      <c r="A1124" t="s">
        <v>212</v>
      </c>
      <c r="B1124">
        <v>11</v>
      </c>
      <c r="C1124" t="s">
        <v>2506</v>
      </c>
      <c r="D1124">
        <v>13</v>
      </c>
      <c r="E1124">
        <v>3.0384615384615383</v>
      </c>
      <c r="F1124">
        <v>4.2153846153846155</v>
      </c>
      <c r="G1124">
        <v>-1.1769230769230772</v>
      </c>
      <c r="H1124">
        <v>1.1769230769230772</v>
      </c>
      <c r="I1124">
        <v>1.2857203907058965</v>
      </c>
      <c r="J1124">
        <v>3.8461538461538498E-2</v>
      </c>
      <c r="K1124">
        <v>0.1615384615384616</v>
      </c>
      <c r="L1124">
        <v>0.20000000000000018</v>
      </c>
      <c r="M1124">
        <v>0.53846153846153844</v>
      </c>
      <c r="N1124">
        <v>0.23076923076923078</v>
      </c>
      <c r="O1124">
        <v>0.84615384615384615</v>
      </c>
      <c r="P1124">
        <v>1</v>
      </c>
      <c r="Q1124">
        <v>6.153846153846159E-2</v>
      </c>
      <c r="R1124">
        <v>9.2307692307692327E-2</v>
      </c>
    </row>
    <row r="1125" spans="1:18">
      <c r="A1125" t="s">
        <v>212</v>
      </c>
      <c r="B1125">
        <v>12</v>
      </c>
      <c r="C1125" t="s">
        <v>2509</v>
      </c>
      <c r="D1125">
        <v>13</v>
      </c>
      <c r="E1125">
        <v>2.9769230769230766</v>
      </c>
      <c r="F1125">
        <v>4.2153846153846155</v>
      </c>
      <c r="G1125">
        <v>-1.2384615384615385</v>
      </c>
      <c r="H1125">
        <v>1.2384615384615385</v>
      </c>
      <c r="I1125">
        <v>1.3482181973598739</v>
      </c>
      <c r="J1125">
        <v>-2.3076923076923099E-2</v>
      </c>
      <c r="K1125">
        <v>0.17692307692307702</v>
      </c>
      <c r="L1125">
        <v>0.20000000000000018</v>
      </c>
      <c r="M1125">
        <v>0.38461538461538464</v>
      </c>
      <c r="N1125">
        <v>0.46153846153846156</v>
      </c>
      <c r="O1125">
        <v>0.84615384615384615</v>
      </c>
      <c r="P1125">
        <v>1</v>
      </c>
      <c r="Q1125">
        <v>3.3333333333333291E-2</v>
      </c>
      <c r="R1125">
        <v>8.3333333333333329E-2</v>
      </c>
    </row>
    <row r="1126" spans="1:18">
      <c r="A1126" t="s">
        <v>212</v>
      </c>
      <c r="B1126">
        <v>13</v>
      </c>
      <c r="C1126" t="s">
        <v>2508</v>
      </c>
      <c r="D1126">
        <v>12</v>
      </c>
      <c r="E1126">
        <v>2.9749999999999996</v>
      </c>
      <c r="F1126">
        <v>4.1583333333333341</v>
      </c>
      <c r="G1126">
        <v>-1.1833333333333331</v>
      </c>
      <c r="H1126">
        <v>1.1833333333333331</v>
      </c>
      <c r="I1126">
        <v>1.2773670837573148</v>
      </c>
      <c r="J1126">
        <v>-2.4999999999999984E-2</v>
      </c>
      <c r="K1126">
        <v>0.2083333333333334</v>
      </c>
      <c r="L1126">
        <v>0.20000000000000018</v>
      </c>
      <c r="M1126">
        <v>0.41666666666666669</v>
      </c>
      <c r="N1126">
        <v>0.5</v>
      </c>
      <c r="O1126">
        <v>0.75</v>
      </c>
      <c r="P1126">
        <v>1</v>
      </c>
      <c r="Q1126">
        <v>-1.6666666666666646E-2</v>
      </c>
      <c r="R1126">
        <v>5.000000000000001E-2</v>
      </c>
    </row>
    <row r="1127" spans="1:18">
      <c r="A1127" t="s">
        <v>212</v>
      </c>
      <c r="B1127">
        <v>14</v>
      </c>
      <c r="C1127" t="s">
        <v>2511</v>
      </c>
      <c r="D1127">
        <v>12</v>
      </c>
      <c r="E1127">
        <v>2.9916666666666667</v>
      </c>
      <c r="F1127">
        <v>4.1583333333333341</v>
      </c>
      <c r="G1127">
        <v>-1.166666666666667</v>
      </c>
      <c r="H1127">
        <v>1.166666666666667</v>
      </c>
      <c r="I1127">
        <v>1.2629330940315091</v>
      </c>
      <c r="J1127">
        <v>-8.3333333333333402E-3</v>
      </c>
      <c r="K1127">
        <v>0.22500000000000006</v>
      </c>
      <c r="L1127">
        <v>0.20000000000000018</v>
      </c>
      <c r="M1127">
        <v>0.5</v>
      </c>
      <c r="N1127">
        <v>0.41666666666666669</v>
      </c>
      <c r="O1127">
        <v>0.66666666666666663</v>
      </c>
      <c r="P1127">
        <v>1</v>
      </c>
      <c r="Q1127">
        <v>9.0909090909090953E-2</v>
      </c>
      <c r="R1127">
        <v>0.12727272727272718</v>
      </c>
    </row>
    <row r="1128" spans="1:18">
      <c r="A1128" t="s">
        <v>212</v>
      </c>
      <c r="B1128">
        <v>15</v>
      </c>
      <c r="C1128" t="s">
        <v>2510</v>
      </c>
      <c r="D1128">
        <v>11</v>
      </c>
      <c r="E1128">
        <v>2.9454545454545453</v>
      </c>
      <c r="F1128">
        <v>4.1363636363636367</v>
      </c>
      <c r="G1128">
        <v>-1.1909090909090911</v>
      </c>
      <c r="H1128">
        <v>1.1909090909090911</v>
      </c>
      <c r="I1128">
        <v>1.2852307893208059</v>
      </c>
      <c r="J1128">
        <v>-5.4545454545454591E-2</v>
      </c>
      <c r="K1128">
        <v>0.21818181818181823</v>
      </c>
      <c r="L1128">
        <v>0.20000000000000018</v>
      </c>
      <c r="M1128">
        <v>0.36363636363636365</v>
      </c>
      <c r="N1128">
        <v>0.54545454545454541</v>
      </c>
      <c r="O1128">
        <v>0.63636363636363635</v>
      </c>
      <c r="P1128">
        <v>1</v>
      </c>
      <c r="Q1128">
        <v>1.8181818181818118E-2</v>
      </c>
      <c r="R1128">
        <v>5.4545454545454432E-2</v>
      </c>
    </row>
    <row r="1129" spans="1:18">
      <c r="A1129" t="s">
        <v>212</v>
      </c>
      <c r="B1129">
        <v>16</v>
      </c>
      <c r="C1129" t="s">
        <v>2512</v>
      </c>
      <c r="D1129">
        <v>11</v>
      </c>
      <c r="E1129">
        <v>2.9272727272727277</v>
      </c>
      <c r="F1129">
        <v>4.1363636363636367</v>
      </c>
      <c r="G1129">
        <v>-1.2090909090909088</v>
      </c>
      <c r="H1129">
        <v>1.2090909090909088</v>
      </c>
      <c r="I1129">
        <v>1.3034918139715757</v>
      </c>
      <c r="J1129">
        <v>-7.272727272727271E-2</v>
      </c>
      <c r="K1129">
        <v>0.21818181818181814</v>
      </c>
      <c r="L1129">
        <v>0.29999999999999982</v>
      </c>
      <c r="M1129">
        <v>0.27272727272727271</v>
      </c>
      <c r="N1129">
        <v>0.54545454545454541</v>
      </c>
      <c r="O1129">
        <v>0.45454545454545453</v>
      </c>
      <c r="P1129">
        <v>1</v>
      </c>
    </row>
    <row r="1132" spans="1:18">
      <c r="A1132" t="s">
        <v>125</v>
      </c>
      <c r="B1132" t="s">
        <v>2494</v>
      </c>
      <c r="C1132" t="s">
        <v>2514</v>
      </c>
      <c r="D1132" t="s">
        <v>2515</v>
      </c>
      <c r="E1132" t="s">
        <v>2467</v>
      </c>
      <c r="F1132" t="s">
        <v>2516</v>
      </c>
      <c r="G1132" t="s">
        <v>2517</v>
      </c>
    </row>
    <row r="1133" spans="1:18">
      <c r="A1133" t="s">
        <v>22</v>
      </c>
      <c r="B1133" t="s">
        <v>2496</v>
      </c>
      <c r="C1133">
        <v>0</v>
      </c>
      <c r="D1133" t="s">
        <v>2497</v>
      </c>
      <c r="E1133">
        <v>16</v>
      </c>
      <c r="F1133">
        <v>5.8874999999999993</v>
      </c>
      <c r="G1133">
        <v>5.8624999999999998</v>
      </c>
    </row>
    <row r="1134" spans="1:18">
      <c r="A1134" t="s">
        <v>22</v>
      </c>
      <c r="B1134" t="s">
        <v>2496</v>
      </c>
      <c r="C1134">
        <v>1</v>
      </c>
      <c r="D1134" t="s">
        <v>2495</v>
      </c>
      <c r="E1134">
        <v>16</v>
      </c>
      <c r="F1134">
        <v>5.8500000000000014</v>
      </c>
      <c r="G1134">
        <v>5.8624999999999998</v>
      </c>
    </row>
    <row r="1135" spans="1:18">
      <c r="A1135" t="s">
        <v>22</v>
      </c>
      <c r="B1135" t="s">
        <v>2496</v>
      </c>
      <c r="C1135">
        <v>2</v>
      </c>
      <c r="D1135" t="s">
        <v>2499</v>
      </c>
      <c r="E1135">
        <v>15</v>
      </c>
      <c r="F1135">
        <v>5.6466666666666665</v>
      </c>
      <c r="G1135">
        <v>5.8666666666666663</v>
      </c>
    </row>
    <row r="1136" spans="1:18">
      <c r="A1136" t="s">
        <v>22</v>
      </c>
      <c r="B1136" t="s">
        <v>2496</v>
      </c>
      <c r="C1136">
        <v>3</v>
      </c>
      <c r="D1136" t="s">
        <v>2498</v>
      </c>
      <c r="E1136">
        <v>15</v>
      </c>
      <c r="F1136">
        <v>5.3800000000000008</v>
      </c>
      <c r="G1136">
        <v>5.8666666666666663</v>
      </c>
    </row>
    <row r="1137" spans="1:7">
      <c r="A1137" t="s">
        <v>22</v>
      </c>
      <c r="B1137" t="s">
        <v>2496</v>
      </c>
      <c r="C1137">
        <v>4</v>
      </c>
      <c r="D1137" t="s">
        <v>2501</v>
      </c>
      <c r="E1137">
        <v>14</v>
      </c>
      <c r="F1137">
        <v>5.1000000000000005</v>
      </c>
      <c r="G1137">
        <v>5.7857142857142856</v>
      </c>
    </row>
    <row r="1138" spans="1:7">
      <c r="A1138" t="s">
        <v>22</v>
      </c>
      <c r="B1138" t="s">
        <v>2496</v>
      </c>
      <c r="C1138">
        <v>5</v>
      </c>
      <c r="D1138" t="s">
        <v>2500</v>
      </c>
      <c r="E1138">
        <v>14</v>
      </c>
      <c r="F1138">
        <v>4.7642857142857142</v>
      </c>
      <c r="G1138">
        <v>5.7857142857142856</v>
      </c>
    </row>
    <row r="1139" spans="1:7">
      <c r="A1139" t="s">
        <v>22</v>
      </c>
      <c r="B1139" t="s">
        <v>2496</v>
      </c>
      <c r="C1139">
        <v>6</v>
      </c>
      <c r="D1139" t="s">
        <v>2503</v>
      </c>
      <c r="E1139">
        <v>13</v>
      </c>
      <c r="F1139">
        <v>4.4923076923076923</v>
      </c>
      <c r="G1139">
        <v>5.6692307692307695</v>
      </c>
    </row>
    <row r="1140" spans="1:7">
      <c r="A1140" t="s">
        <v>22</v>
      </c>
      <c r="B1140" t="s">
        <v>2496</v>
      </c>
      <c r="C1140">
        <v>7</v>
      </c>
      <c r="D1140" t="s">
        <v>2502</v>
      </c>
      <c r="E1140">
        <v>13</v>
      </c>
      <c r="F1140">
        <v>4.1000000000000005</v>
      </c>
      <c r="G1140">
        <v>5.6692307692307695</v>
      </c>
    </row>
    <row r="1141" spans="1:7">
      <c r="A1141" t="s">
        <v>22</v>
      </c>
      <c r="B1141" t="s">
        <v>2496</v>
      </c>
      <c r="C1141">
        <v>8</v>
      </c>
      <c r="D1141" t="s">
        <v>2505</v>
      </c>
      <c r="E1141">
        <v>12</v>
      </c>
      <c r="F1141">
        <v>3.875</v>
      </c>
      <c r="G1141">
        <v>5.4916666666666663</v>
      </c>
    </row>
    <row r="1142" spans="1:7">
      <c r="A1142" t="s">
        <v>22</v>
      </c>
      <c r="B1142" t="s">
        <v>2496</v>
      </c>
      <c r="C1142">
        <v>9</v>
      </c>
      <c r="D1142" t="s">
        <v>2504</v>
      </c>
      <c r="E1142">
        <v>12</v>
      </c>
      <c r="F1142">
        <v>3.5333333333333332</v>
      </c>
      <c r="G1142">
        <v>5.4916666666666663</v>
      </c>
    </row>
    <row r="1143" spans="1:7">
      <c r="A1143" t="s">
        <v>22</v>
      </c>
      <c r="B1143" t="s">
        <v>2496</v>
      </c>
      <c r="C1143">
        <v>10</v>
      </c>
      <c r="D1143" t="s">
        <v>2507</v>
      </c>
      <c r="E1143">
        <v>11</v>
      </c>
      <c r="F1143">
        <v>3.4727272727272731</v>
      </c>
      <c r="G1143">
        <v>5.2181818181818178</v>
      </c>
    </row>
    <row r="1144" spans="1:7">
      <c r="A1144" t="s">
        <v>22</v>
      </c>
      <c r="B1144" t="s">
        <v>2496</v>
      </c>
      <c r="C1144">
        <v>11</v>
      </c>
      <c r="D1144" t="s">
        <v>2506</v>
      </c>
      <c r="E1144">
        <v>11</v>
      </c>
      <c r="F1144">
        <v>3.3</v>
      </c>
      <c r="G1144">
        <v>5.2181818181818178</v>
      </c>
    </row>
    <row r="1145" spans="1:7">
      <c r="A1145" t="s">
        <v>22</v>
      </c>
      <c r="B1145" t="s">
        <v>2496</v>
      </c>
      <c r="C1145">
        <v>12</v>
      </c>
      <c r="D1145" t="s">
        <v>2509</v>
      </c>
      <c r="E1145">
        <v>10</v>
      </c>
      <c r="F1145">
        <v>3.2599999999999993</v>
      </c>
      <c r="G1145">
        <v>4.9399999999999995</v>
      </c>
    </row>
    <row r="1146" spans="1:7">
      <c r="A1146" t="s">
        <v>22</v>
      </c>
      <c r="B1146" t="s">
        <v>2496</v>
      </c>
      <c r="C1146">
        <v>13</v>
      </c>
      <c r="D1146" t="s">
        <v>2508</v>
      </c>
      <c r="E1146">
        <v>10</v>
      </c>
      <c r="F1146">
        <v>3.1700000000000004</v>
      </c>
      <c r="G1146">
        <v>4.9399999999999995</v>
      </c>
    </row>
    <row r="1147" spans="1:7">
      <c r="A1147" t="s">
        <v>22</v>
      </c>
      <c r="B1147" t="s">
        <v>2496</v>
      </c>
      <c r="C1147">
        <v>14</v>
      </c>
      <c r="D1147" t="s">
        <v>2511</v>
      </c>
      <c r="E1147">
        <v>9</v>
      </c>
      <c r="F1147">
        <v>3.1444444444444448</v>
      </c>
      <c r="G1147">
        <v>4.6555555555555559</v>
      </c>
    </row>
    <row r="1148" spans="1:7">
      <c r="A1148" t="s">
        <v>22</v>
      </c>
      <c r="B1148" t="s">
        <v>2496</v>
      </c>
      <c r="C1148">
        <v>15</v>
      </c>
      <c r="D1148" t="s">
        <v>2510</v>
      </c>
      <c r="E1148">
        <v>9</v>
      </c>
      <c r="F1148">
        <v>3.0888888888888895</v>
      </c>
      <c r="G1148">
        <v>4.6555555555555559</v>
      </c>
    </row>
    <row r="1149" spans="1:7">
      <c r="A1149" t="s">
        <v>22</v>
      </c>
      <c r="B1149" t="s">
        <v>2496</v>
      </c>
      <c r="C1149">
        <v>16</v>
      </c>
      <c r="D1149" t="s">
        <v>2512</v>
      </c>
      <c r="E1149">
        <v>8</v>
      </c>
      <c r="F1149">
        <v>3.0750000000000002</v>
      </c>
      <c r="G1149">
        <v>4.5250000000000004</v>
      </c>
    </row>
    <row r="1150" spans="1:7">
      <c r="A1150" t="s">
        <v>22</v>
      </c>
      <c r="B1150" t="s">
        <v>2513</v>
      </c>
      <c r="C1150">
        <v>0</v>
      </c>
      <c r="D1150" t="s">
        <v>2497</v>
      </c>
      <c r="E1150">
        <v>4</v>
      </c>
      <c r="F1150">
        <v>3.75</v>
      </c>
      <c r="G1150">
        <v>3.7250000000000001</v>
      </c>
    </row>
    <row r="1151" spans="1:7">
      <c r="A1151" t="s">
        <v>22</v>
      </c>
      <c r="B1151" t="s">
        <v>2513</v>
      </c>
      <c r="C1151">
        <v>1</v>
      </c>
      <c r="D1151" t="s">
        <v>2495</v>
      </c>
      <c r="E1151">
        <v>4</v>
      </c>
      <c r="F1151">
        <v>3.7749999999999999</v>
      </c>
      <c r="G1151">
        <v>3.7250000000000001</v>
      </c>
    </row>
    <row r="1152" spans="1:7">
      <c r="A1152" t="s">
        <v>22</v>
      </c>
      <c r="B1152" t="s">
        <v>2513</v>
      </c>
      <c r="C1152">
        <v>2</v>
      </c>
      <c r="D1152" t="s">
        <v>2499</v>
      </c>
      <c r="E1152">
        <v>4</v>
      </c>
      <c r="F1152">
        <v>3.875</v>
      </c>
      <c r="G1152">
        <v>3.7250000000000001</v>
      </c>
    </row>
    <row r="1153" spans="1:7">
      <c r="A1153" t="s">
        <v>22</v>
      </c>
      <c r="B1153" t="s">
        <v>2513</v>
      </c>
      <c r="C1153">
        <v>3</v>
      </c>
      <c r="D1153" t="s">
        <v>2498</v>
      </c>
      <c r="E1153">
        <v>4</v>
      </c>
      <c r="F1153">
        <v>3.7250000000000005</v>
      </c>
      <c r="G1153">
        <v>3.7250000000000001</v>
      </c>
    </row>
    <row r="1154" spans="1:7">
      <c r="A1154" t="s">
        <v>22</v>
      </c>
      <c r="B1154" t="s">
        <v>2513</v>
      </c>
      <c r="C1154">
        <v>4</v>
      </c>
      <c r="D1154" t="s">
        <v>2501</v>
      </c>
      <c r="E1154">
        <v>4</v>
      </c>
      <c r="F1154">
        <v>3.5250000000000004</v>
      </c>
      <c r="G1154">
        <v>3.7250000000000001</v>
      </c>
    </row>
    <row r="1155" spans="1:7">
      <c r="A1155" t="s">
        <v>22</v>
      </c>
      <c r="B1155" t="s">
        <v>2513</v>
      </c>
      <c r="C1155">
        <v>5</v>
      </c>
      <c r="D1155" t="s">
        <v>2500</v>
      </c>
      <c r="E1155">
        <v>4</v>
      </c>
      <c r="F1155">
        <v>3.3999999999999995</v>
      </c>
      <c r="G1155">
        <v>3.7250000000000001</v>
      </c>
    </row>
    <row r="1156" spans="1:7">
      <c r="A1156" t="s">
        <v>22</v>
      </c>
      <c r="B1156" t="s">
        <v>2513</v>
      </c>
      <c r="C1156">
        <v>6</v>
      </c>
      <c r="D1156" t="s">
        <v>2503</v>
      </c>
      <c r="E1156">
        <v>4</v>
      </c>
      <c r="F1156">
        <v>3.3249999999999997</v>
      </c>
      <c r="G1156">
        <v>3.7250000000000001</v>
      </c>
    </row>
    <row r="1157" spans="1:7">
      <c r="A1157" t="s">
        <v>22</v>
      </c>
      <c r="B1157" t="s">
        <v>2513</v>
      </c>
      <c r="C1157">
        <v>7</v>
      </c>
      <c r="D1157" t="s">
        <v>2502</v>
      </c>
      <c r="E1157">
        <v>4</v>
      </c>
      <c r="F1157">
        <v>3.2499999999999996</v>
      </c>
      <c r="G1157">
        <v>3.7250000000000001</v>
      </c>
    </row>
    <row r="1158" spans="1:7">
      <c r="A1158" t="s">
        <v>22</v>
      </c>
      <c r="B1158" t="s">
        <v>2513</v>
      </c>
      <c r="C1158">
        <v>8</v>
      </c>
      <c r="D1158" t="s">
        <v>2505</v>
      </c>
      <c r="E1158">
        <v>4</v>
      </c>
      <c r="F1158">
        <v>3.1750000000000003</v>
      </c>
      <c r="G1158">
        <v>3.7250000000000001</v>
      </c>
    </row>
    <row r="1159" spans="1:7">
      <c r="A1159" t="s">
        <v>22</v>
      </c>
      <c r="B1159" t="s">
        <v>2513</v>
      </c>
      <c r="C1159">
        <v>9</v>
      </c>
      <c r="D1159" t="s">
        <v>2504</v>
      </c>
      <c r="E1159">
        <v>4</v>
      </c>
      <c r="F1159">
        <v>3.1</v>
      </c>
      <c r="G1159">
        <v>3.7250000000000001</v>
      </c>
    </row>
    <row r="1160" spans="1:7">
      <c r="A1160" t="s">
        <v>22</v>
      </c>
      <c r="B1160" t="s">
        <v>2513</v>
      </c>
      <c r="C1160">
        <v>10</v>
      </c>
      <c r="D1160" t="s">
        <v>2507</v>
      </c>
      <c r="E1160">
        <v>4</v>
      </c>
      <c r="F1160">
        <v>3.1</v>
      </c>
      <c r="G1160">
        <v>3.7250000000000001</v>
      </c>
    </row>
    <row r="1161" spans="1:7">
      <c r="A1161" t="s">
        <v>22</v>
      </c>
      <c r="B1161" t="s">
        <v>2513</v>
      </c>
      <c r="C1161">
        <v>11</v>
      </c>
      <c r="D1161" t="s">
        <v>2506</v>
      </c>
      <c r="E1161">
        <v>4</v>
      </c>
      <c r="F1161">
        <v>3.125</v>
      </c>
      <c r="G1161">
        <v>3.7250000000000001</v>
      </c>
    </row>
    <row r="1162" spans="1:7">
      <c r="A1162" t="s">
        <v>22</v>
      </c>
      <c r="B1162" t="s">
        <v>2513</v>
      </c>
      <c r="C1162">
        <v>12</v>
      </c>
      <c r="D1162" t="s">
        <v>2509</v>
      </c>
      <c r="E1162">
        <v>4</v>
      </c>
      <c r="F1162">
        <v>3.1</v>
      </c>
      <c r="G1162">
        <v>3.7250000000000001</v>
      </c>
    </row>
    <row r="1163" spans="1:7">
      <c r="A1163" t="s">
        <v>22</v>
      </c>
      <c r="B1163" t="s">
        <v>2513</v>
      </c>
      <c r="C1163">
        <v>13</v>
      </c>
      <c r="D1163" t="s">
        <v>2508</v>
      </c>
      <c r="E1163">
        <v>4</v>
      </c>
      <c r="F1163">
        <v>3.05</v>
      </c>
      <c r="G1163">
        <v>3.7250000000000001</v>
      </c>
    </row>
    <row r="1164" spans="1:7">
      <c r="A1164" t="s">
        <v>22</v>
      </c>
      <c r="B1164" t="s">
        <v>2513</v>
      </c>
      <c r="C1164">
        <v>14</v>
      </c>
      <c r="D1164" t="s">
        <v>2511</v>
      </c>
      <c r="E1164">
        <v>4</v>
      </c>
      <c r="F1164">
        <v>3.0750000000000002</v>
      </c>
      <c r="G1164">
        <v>3.7250000000000001</v>
      </c>
    </row>
    <row r="1165" spans="1:7">
      <c r="A1165" t="s">
        <v>22</v>
      </c>
      <c r="B1165" t="s">
        <v>2513</v>
      </c>
      <c r="C1165">
        <v>15</v>
      </c>
      <c r="D1165" t="s">
        <v>2510</v>
      </c>
      <c r="E1165">
        <v>4</v>
      </c>
      <c r="F1165">
        <v>3.0750000000000002</v>
      </c>
      <c r="G1165">
        <v>3.7250000000000001</v>
      </c>
    </row>
    <row r="1166" spans="1:7">
      <c r="A1166" t="s">
        <v>22</v>
      </c>
      <c r="B1166" t="s">
        <v>2513</v>
      </c>
      <c r="C1166">
        <v>16</v>
      </c>
      <c r="D1166" t="s">
        <v>2512</v>
      </c>
      <c r="E1166">
        <v>4</v>
      </c>
      <c r="F1166">
        <v>3.0750000000000002</v>
      </c>
      <c r="G1166">
        <v>3.7250000000000001</v>
      </c>
    </row>
    <row r="1167" spans="1:7">
      <c r="A1167" t="s">
        <v>134</v>
      </c>
      <c r="B1167" t="s">
        <v>2496</v>
      </c>
      <c r="C1167">
        <v>0</v>
      </c>
      <c r="D1167" t="s">
        <v>2497</v>
      </c>
      <c r="E1167">
        <v>17</v>
      </c>
      <c r="F1167">
        <v>5.7705882352941185</v>
      </c>
      <c r="G1167">
        <v>5.7588235294117647</v>
      </c>
    </row>
    <row r="1168" spans="1:7">
      <c r="A1168" t="s">
        <v>134</v>
      </c>
      <c r="B1168" t="s">
        <v>2496</v>
      </c>
      <c r="C1168">
        <v>1</v>
      </c>
      <c r="D1168" t="s">
        <v>2495</v>
      </c>
      <c r="E1168">
        <v>17</v>
      </c>
      <c r="F1168">
        <v>5.6823529411764699</v>
      </c>
      <c r="G1168">
        <v>5.7588235294117647</v>
      </c>
    </row>
    <row r="1169" spans="1:7">
      <c r="A1169" t="s">
        <v>134</v>
      </c>
      <c r="B1169" t="s">
        <v>2496</v>
      </c>
      <c r="C1169">
        <v>2</v>
      </c>
      <c r="D1169" t="s">
        <v>2499</v>
      </c>
      <c r="E1169">
        <v>16</v>
      </c>
      <c r="F1169">
        <v>5.5562499999999995</v>
      </c>
      <c r="G1169">
        <v>5.8187499999999996</v>
      </c>
    </row>
    <row r="1170" spans="1:7">
      <c r="A1170" t="s">
        <v>134</v>
      </c>
      <c r="B1170" t="s">
        <v>2496</v>
      </c>
      <c r="C1170">
        <v>3</v>
      </c>
      <c r="D1170" t="s">
        <v>2498</v>
      </c>
      <c r="E1170">
        <v>16</v>
      </c>
      <c r="F1170">
        <v>5.2749999999999995</v>
      </c>
      <c r="G1170">
        <v>5.8187499999999996</v>
      </c>
    </row>
    <row r="1171" spans="1:7">
      <c r="A1171" t="s">
        <v>134</v>
      </c>
      <c r="B1171" t="s">
        <v>2496</v>
      </c>
      <c r="C1171">
        <v>4</v>
      </c>
      <c r="D1171" t="s">
        <v>2501</v>
      </c>
      <c r="E1171">
        <v>15</v>
      </c>
      <c r="F1171">
        <v>5.0133333333333336</v>
      </c>
      <c r="G1171">
        <v>5.833333333333333</v>
      </c>
    </row>
    <row r="1172" spans="1:7">
      <c r="A1172" t="s">
        <v>134</v>
      </c>
      <c r="B1172" t="s">
        <v>2496</v>
      </c>
      <c r="C1172">
        <v>5</v>
      </c>
      <c r="D1172" t="s">
        <v>2500</v>
      </c>
      <c r="E1172">
        <v>15</v>
      </c>
      <c r="F1172">
        <v>4.6999999999999993</v>
      </c>
      <c r="G1172">
        <v>5.833333333333333</v>
      </c>
    </row>
    <row r="1173" spans="1:7">
      <c r="A1173" t="s">
        <v>134</v>
      </c>
      <c r="B1173" t="s">
        <v>2496</v>
      </c>
      <c r="C1173">
        <v>6</v>
      </c>
      <c r="D1173" t="s">
        <v>2503</v>
      </c>
      <c r="E1173">
        <v>14</v>
      </c>
      <c r="F1173">
        <v>4.4214285714285708</v>
      </c>
      <c r="G1173">
        <v>5.7857142857142856</v>
      </c>
    </row>
    <row r="1174" spans="1:7">
      <c r="A1174" t="s">
        <v>134</v>
      </c>
      <c r="B1174" t="s">
        <v>2496</v>
      </c>
      <c r="C1174">
        <v>7</v>
      </c>
      <c r="D1174" t="s">
        <v>2502</v>
      </c>
      <c r="E1174">
        <v>14</v>
      </c>
      <c r="F1174">
        <v>4.0642857142857141</v>
      </c>
      <c r="G1174">
        <v>5.7857142857142856</v>
      </c>
    </row>
    <row r="1175" spans="1:7">
      <c r="A1175" t="s">
        <v>134</v>
      </c>
      <c r="B1175" t="s">
        <v>2496</v>
      </c>
      <c r="C1175">
        <v>8</v>
      </c>
      <c r="D1175" t="s">
        <v>2505</v>
      </c>
      <c r="E1175">
        <v>13</v>
      </c>
      <c r="F1175">
        <v>3.8</v>
      </c>
      <c r="G1175">
        <v>5.6692307692307704</v>
      </c>
    </row>
    <row r="1176" spans="1:7">
      <c r="A1176" t="s">
        <v>134</v>
      </c>
      <c r="B1176" t="s">
        <v>2496</v>
      </c>
      <c r="C1176">
        <v>9</v>
      </c>
      <c r="D1176" t="s">
        <v>2504</v>
      </c>
      <c r="E1176">
        <v>13</v>
      </c>
      <c r="F1176">
        <v>3.4692307692307693</v>
      </c>
      <c r="G1176">
        <v>5.6692307692307704</v>
      </c>
    </row>
    <row r="1177" spans="1:7">
      <c r="A1177" t="s">
        <v>134</v>
      </c>
      <c r="B1177" t="s">
        <v>2496</v>
      </c>
      <c r="C1177">
        <v>10</v>
      </c>
      <c r="D1177" t="s">
        <v>2507</v>
      </c>
      <c r="E1177">
        <v>12</v>
      </c>
      <c r="F1177">
        <v>3.3583333333333338</v>
      </c>
      <c r="G1177">
        <v>5.4750000000000005</v>
      </c>
    </row>
    <row r="1178" spans="1:7">
      <c r="A1178" t="s">
        <v>134</v>
      </c>
      <c r="B1178" t="s">
        <v>2496</v>
      </c>
      <c r="C1178">
        <v>11</v>
      </c>
      <c r="D1178" t="s">
        <v>2506</v>
      </c>
      <c r="E1178">
        <v>12</v>
      </c>
      <c r="F1178">
        <v>3.1750000000000003</v>
      </c>
      <c r="G1178">
        <v>5.4750000000000005</v>
      </c>
    </row>
    <row r="1179" spans="1:7">
      <c r="A1179" t="s">
        <v>134</v>
      </c>
      <c r="B1179" t="s">
        <v>2496</v>
      </c>
      <c r="C1179">
        <v>12</v>
      </c>
      <c r="D1179" t="s">
        <v>2509</v>
      </c>
      <c r="E1179">
        <v>11</v>
      </c>
      <c r="F1179">
        <v>3.1181818181818186</v>
      </c>
      <c r="G1179">
        <v>5.2090909090909099</v>
      </c>
    </row>
    <row r="1180" spans="1:7">
      <c r="A1180" t="s">
        <v>134</v>
      </c>
      <c r="B1180" t="s">
        <v>2496</v>
      </c>
      <c r="C1180">
        <v>13</v>
      </c>
      <c r="D1180" t="s">
        <v>2508</v>
      </c>
      <c r="E1180">
        <v>11</v>
      </c>
      <c r="F1180">
        <v>3.0090909090909093</v>
      </c>
      <c r="G1180">
        <v>5.2090909090909099</v>
      </c>
    </row>
    <row r="1181" spans="1:7">
      <c r="A1181" t="s">
        <v>134</v>
      </c>
      <c r="B1181" t="s">
        <v>2496</v>
      </c>
      <c r="C1181">
        <v>14</v>
      </c>
      <c r="D1181" t="s">
        <v>2511</v>
      </c>
      <c r="E1181">
        <v>10</v>
      </c>
      <c r="F1181">
        <v>3.04</v>
      </c>
      <c r="G1181">
        <v>4.9000000000000004</v>
      </c>
    </row>
    <row r="1182" spans="1:7">
      <c r="A1182" t="s">
        <v>134</v>
      </c>
      <c r="B1182" t="s">
        <v>2496</v>
      </c>
      <c r="C1182">
        <v>15</v>
      </c>
      <c r="D1182" t="s">
        <v>2510</v>
      </c>
      <c r="E1182">
        <v>10</v>
      </c>
      <c r="F1182">
        <v>2.9600000000000004</v>
      </c>
      <c r="G1182">
        <v>4.9000000000000004</v>
      </c>
    </row>
    <row r="1183" spans="1:7">
      <c r="A1183" t="s">
        <v>134</v>
      </c>
      <c r="B1183" t="s">
        <v>2496</v>
      </c>
      <c r="C1183">
        <v>16</v>
      </c>
      <c r="D1183" t="s">
        <v>2512</v>
      </c>
      <c r="E1183">
        <v>9</v>
      </c>
      <c r="F1183">
        <v>3.0000000000000004</v>
      </c>
      <c r="G1183">
        <v>4.6333333333333337</v>
      </c>
    </row>
    <row r="1184" spans="1:7">
      <c r="A1184" t="s">
        <v>134</v>
      </c>
      <c r="B1184" t="s">
        <v>2513</v>
      </c>
      <c r="C1184">
        <v>0</v>
      </c>
      <c r="D1184" t="s">
        <v>2497</v>
      </c>
      <c r="E1184">
        <v>3</v>
      </c>
      <c r="F1184">
        <v>3.7333333333333329</v>
      </c>
      <c r="G1184">
        <v>3.7666666666666671</v>
      </c>
    </row>
    <row r="1185" spans="1:7">
      <c r="A1185" t="s">
        <v>134</v>
      </c>
      <c r="B1185" t="s">
        <v>2513</v>
      </c>
      <c r="C1185">
        <v>1</v>
      </c>
      <c r="D1185" t="s">
        <v>2495</v>
      </c>
      <c r="E1185">
        <v>3</v>
      </c>
      <c r="F1185">
        <v>3.7666666666666671</v>
      </c>
      <c r="G1185">
        <v>3.7666666666666671</v>
      </c>
    </row>
    <row r="1186" spans="1:7">
      <c r="A1186" t="s">
        <v>134</v>
      </c>
      <c r="B1186" t="s">
        <v>2513</v>
      </c>
      <c r="C1186">
        <v>2</v>
      </c>
      <c r="D1186" t="s">
        <v>2499</v>
      </c>
      <c r="E1186">
        <v>3</v>
      </c>
      <c r="F1186">
        <v>3.7999999999999994</v>
      </c>
      <c r="G1186">
        <v>3.7666666666666671</v>
      </c>
    </row>
    <row r="1187" spans="1:7">
      <c r="A1187" t="s">
        <v>134</v>
      </c>
      <c r="B1187" t="s">
        <v>2513</v>
      </c>
      <c r="C1187">
        <v>3</v>
      </c>
      <c r="D1187" t="s">
        <v>2498</v>
      </c>
      <c r="E1187">
        <v>3</v>
      </c>
      <c r="F1187">
        <v>3.8000000000000003</v>
      </c>
      <c r="G1187">
        <v>3.7666666666666671</v>
      </c>
    </row>
    <row r="1188" spans="1:7">
      <c r="A1188" t="s">
        <v>134</v>
      </c>
      <c r="B1188" t="s">
        <v>2513</v>
      </c>
      <c r="C1188">
        <v>4</v>
      </c>
      <c r="D1188" t="s">
        <v>2501</v>
      </c>
      <c r="E1188">
        <v>3</v>
      </c>
      <c r="F1188">
        <v>3.7333333333333329</v>
      </c>
      <c r="G1188">
        <v>3.7666666666666671</v>
      </c>
    </row>
    <row r="1189" spans="1:7">
      <c r="A1189" t="s">
        <v>134</v>
      </c>
      <c r="B1189" t="s">
        <v>2513</v>
      </c>
      <c r="C1189">
        <v>5</v>
      </c>
      <c r="D1189" t="s">
        <v>2500</v>
      </c>
      <c r="E1189">
        <v>3</v>
      </c>
      <c r="F1189">
        <v>3.6999999999999997</v>
      </c>
      <c r="G1189">
        <v>3.7666666666666671</v>
      </c>
    </row>
    <row r="1190" spans="1:7">
      <c r="A1190" t="s">
        <v>134</v>
      </c>
      <c r="B1190" t="s">
        <v>2513</v>
      </c>
      <c r="C1190">
        <v>6</v>
      </c>
      <c r="D1190" t="s">
        <v>2503</v>
      </c>
      <c r="E1190">
        <v>3</v>
      </c>
      <c r="F1190">
        <v>3.6</v>
      </c>
      <c r="G1190">
        <v>3.7666666666666671</v>
      </c>
    </row>
    <row r="1191" spans="1:7">
      <c r="A1191" t="s">
        <v>134</v>
      </c>
      <c r="B1191" t="s">
        <v>2513</v>
      </c>
      <c r="C1191">
        <v>7</v>
      </c>
      <c r="D1191" t="s">
        <v>2502</v>
      </c>
      <c r="E1191">
        <v>3</v>
      </c>
      <c r="F1191">
        <v>3.5</v>
      </c>
      <c r="G1191">
        <v>3.7666666666666671</v>
      </c>
    </row>
    <row r="1192" spans="1:7">
      <c r="A1192" t="s">
        <v>134</v>
      </c>
      <c r="B1192" t="s">
        <v>2513</v>
      </c>
      <c r="C1192">
        <v>8</v>
      </c>
      <c r="D1192" t="s">
        <v>2505</v>
      </c>
      <c r="E1192">
        <v>3</v>
      </c>
      <c r="F1192">
        <v>3.4</v>
      </c>
      <c r="G1192">
        <v>3.7666666666666671</v>
      </c>
    </row>
    <row r="1193" spans="1:7">
      <c r="A1193" t="s">
        <v>134</v>
      </c>
      <c r="B1193" t="s">
        <v>2513</v>
      </c>
      <c r="C1193">
        <v>9</v>
      </c>
      <c r="D1193" t="s">
        <v>2504</v>
      </c>
      <c r="E1193">
        <v>3</v>
      </c>
      <c r="F1193">
        <v>3.2333333333333329</v>
      </c>
      <c r="G1193">
        <v>3.7666666666666671</v>
      </c>
    </row>
    <row r="1194" spans="1:7">
      <c r="A1194" t="s">
        <v>134</v>
      </c>
      <c r="B1194" t="s">
        <v>2513</v>
      </c>
      <c r="C1194">
        <v>10</v>
      </c>
      <c r="D1194" t="s">
        <v>2507</v>
      </c>
      <c r="E1194">
        <v>3</v>
      </c>
      <c r="F1194">
        <v>3.2333333333333329</v>
      </c>
      <c r="G1194">
        <v>3.7666666666666671</v>
      </c>
    </row>
    <row r="1195" spans="1:7">
      <c r="A1195" t="s">
        <v>134</v>
      </c>
      <c r="B1195" t="s">
        <v>2513</v>
      </c>
      <c r="C1195">
        <v>11</v>
      </c>
      <c r="D1195" t="s">
        <v>2506</v>
      </c>
      <c r="E1195">
        <v>3</v>
      </c>
      <c r="F1195">
        <v>3.1666666666666665</v>
      </c>
      <c r="G1195">
        <v>3.7666666666666671</v>
      </c>
    </row>
    <row r="1196" spans="1:7">
      <c r="A1196" t="s">
        <v>134</v>
      </c>
      <c r="B1196" t="s">
        <v>2513</v>
      </c>
      <c r="C1196">
        <v>12</v>
      </c>
      <c r="D1196" t="s">
        <v>2509</v>
      </c>
      <c r="E1196">
        <v>3</v>
      </c>
      <c r="F1196">
        <v>3.1666666666666665</v>
      </c>
      <c r="G1196">
        <v>3.7666666666666671</v>
      </c>
    </row>
    <row r="1197" spans="1:7">
      <c r="A1197" t="s">
        <v>134</v>
      </c>
      <c r="B1197" t="s">
        <v>2513</v>
      </c>
      <c r="C1197">
        <v>13</v>
      </c>
      <c r="D1197" t="s">
        <v>2508</v>
      </c>
      <c r="E1197">
        <v>3</v>
      </c>
      <c r="F1197">
        <v>3.1333333333333333</v>
      </c>
      <c r="G1197">
        <v>3.7666666666666671</v>
      </c>
    </row>
    <row r="1198" spans="1:7">
      <c r="A1198" t="s">
        <v>134</v>
      </c>
      <c r="B1198" t="s">
        <v>2513</v>
      </c>
      <c r="C1198">
        <v>14</v>
      </c>
      <c r="D1198" t="s">
        <v>2511</v>
      </c>
      <c r="E1198">
        <v>3</v>
      </c>
      <c r="F1198">
        <v>3.0666666666666664</v>
      </c>
      <c r="G1198">
        <v>3.7666666666666671</v>
      </c>
    </row>
    <row r="1199" spans="1:7">
      <c r="A1199" t="s">
        <v>134</v>
      </c>
      <c r="B1199" t="s">
        <v>2513</v>
      </c>
      <c r="C1199">
        <v>15</v>
      </c>
      <c r="D1199" t="s">
        <v>2510</v>
      </c>
      <c r="E1199">
        <v>3</v>
      </c>
      <c r="F1199">
        <v>3.0666666666666664</v>
      </c>
      <c r="G1199">
        <v>3.7666666666666671</v>
      </c>
    </row>
    <row r="1200" spans="1:7">
      <c r="A1200" t="s">
        <v>134</v>
      </c>
      <c r="B1200" t="s">
        <v>2513</v>
      </c>
      <c r="C1200">
        <v>16</v>
      </c>
      <c r="D1200" t="s">
        <v>2512</v>
      </c>
      <c r="E1200">
        <v>3</v>
      </c>
      <c r="F1200">
        <v>3.0333333333333332</v>
      </c>
      <c r="G1200">
        <v>3.7666666666666671</v>
      </c>
    </row>
    <row r="1201" spans="1:7">
      <c r="A1201" t="s">
        <v>210</v>
      </c>
      <c r="B1201" t="s">
        <v>2496</v>
      </c>
      <c r="C1201">
        <v>0</v>
      </c>
      <c r="D1201" t="s">
        <v>2497</v>
      </c>
      <c r="E1201">
        <v>12</v>
      </c>
      <c r="F1201">
        <v>6.216666666666665</v>
      </c>
      <c r="G1201">
        <v>6.3416666666666659</v>
      </c>
    </row>
    <row r="1202" spans="1:7">
      <c r="A1202" t="s">
        <v>210</v>
      </c>
      <c r="B1202" t="s">
        <v>2496</v>
      </c>
      <c r="C1202">
        <v>1</v>
      </c>
      <c r="D1202" t="s">
        <v>2495</v>
      </c>
      <c r="E1202">
        <v>11</v>
      </c>
      <c r="F1202">
        <v>5.7727272727272734</v>
      </c>
      <c r="G1202">
        <v>6.1818181818181808</v>
      </c>
    </row>
    <row r="1203" spans="1:7">
      <c r="A1203" t="s">
        <v>210</v>
      </c>
      <c r="B1203" t="s">
        <v>2496</v>
      </c>
      <c r="C1203">
        <v>2</v>
      </c>
      <c r="D1203" t="s">
        <v>2499</v>
      </c>
      <c r="E1203">
        <v>11</v>
      </c>
      <c r="F1203">
        <v>4.9454545454545453</v>
      </c>
      <c r="G1203">
        <v>6.1818181818181808</v>
      </c>
    </row>
    <row r="1204" spans="1:7">
      <c r="A1204" t="s">
        <v>210</v>
      </c>
      <c r="B1204" t="s">
        <v>2496</v>
      </c>
      <c r="C1204">
        <v>3</v>
      </c>
      <c r="D1204" t="s">
        <v>2498</v>
      </c>
      <c r="E1204">
        <v>10</v>
      </c>
      <c r="F1204">
        <v>4.1100000000000003</v>
      </c>
      <c r="G1204">
        <v>6.06</v>
      </c>
    </row>
    <row r="1205" spans="1:7">
      <c r="A1205" t="s">
        <v>210</v>
      </c>
      <c r="B1205" t="s">
        <v>2496</v>
      </c>
      <c r="C1205">
        <v>4</v>
      </c>
      <c r="D1205" t="s">
        <v>2501</v>
      </c>
      <c r="E1205">
        <v>10</v>
      </c>
      <c r="F1205">
        <v>3.580000000000001</v>
      </c>
      <c r="G1205">
        <v>6.06</v>
      </c>
    </row>
    <row r="1206" spans="1:7">
      <c r="A1206" t="s">
        <v>210</v>
      </c>
      <c r="B1206" t="s">
        <v>2496</v>
      </c>
      <c r="C1206">
        <v>5</v>
      </c>
      <c r="D1206" t="s">
        <v>2500</v>
      </c>
      <c r="E1206">
        <v>9</v>
      </c>
      <c r="F1206">
        <v>3.3777777777777782</v>
      </c>
      <c r="G1206">
        <v>5.5333333333333332</v>
      </c>
    </row>
    <row r="1207" spans="1:7">
      <c r="A1207" t="s">
        <v>210</v>
      </c>
      <c r="B1207" t="s">
        <v>2496</v>
      </c>
      <c r="C1207">
        <v>6</v>
      </c>
      <c r="D1207" t="s">
        <v>2503</v>
      </c>
      <c r="E1207">
        <v>9</v>
      </c>
      <c r="F1207">
        <v>3.3555555555555556</v>
      </c>
      <c r="G1207">
        <v>5.5333333333333332</v>
      </c>
    </row>
    <row r="1208" spans="1:7">
      <c r="A1208" t="s">
        <v>210</v>
      </c>
      <c r="B1208" t="s">
        <v>2496</v>
      </c>
      <c r="C1208">
        <v>7</v>
      </c>
      <c r="D1208" t="s">
        <v>2502</v>
      </c>
      <c r="E1208">
        <v>8</v>
      </c>
      <c r="F1208">
        <v>3.45</v>
      </c>
      <c r="G1208">
        <v>5.1375000000000002</v>
      </c>
    </row>
    <row r="1209" spans="1:7">
      <c r="A1209" t="s">
        <v>210</v>
      </c>
      <c r="B1209" t="s">
        <v>2496</v>
      </c>
      <c r="C1209">
        <v>8</v>
      </c>
      <c r="D1209" t="s">
        <v>2505</v>
      </c>
      <c r="E1209">
        <v>8</v>
      </c>
      <c r="F1209">
        <v>3.35</v>
      </c>
      <c r="G1209">
        <v>5.1375000000000002</v>
      </c>
    </row>
    <row r="1210" spans="1:7">
      <c r="A1210" t="s">
        <v>210</v>
      </c>
      <c r="B1210" t="s">
        <v>2496</v>
      </c>
      <c r="C1210">
        <v>9</v>
      </c>
      <c r="D1210" t="s">
        <v>2504</v>
      </c>
      <c r="E1210">
        <v>7</v>
      </c>
      <c r="F1210">
        <v>3.1142857142857139</v>
      </c>
      <c r="G1210">
        <v>4.9857142857142858</v>
      </c>
    </row>
    <row r="1211" spans="1:7">
      <c r="A1211" t="s">
        <v>210</v>
      </c>
      <c r="B1211" t="s">
        <v>2496</v>
      </c>
      <c r="C1211">
        <v>10</v>
      </c>
      <c r="D1211" t="s">
        <v>2507</v>
      </c>
      <c r="E1211">
        <v>7</v>
      </c>
      <c r="F1211">
        <v>3.157142857142857</v>
      </c>
      <c r="G1211">
        <v>4.9857142857142858</v>
      </c>
    </row>
    <row r="1212" spans="1:7">
      <c r="A1212" t="s">
        <v>210</v>
      </c>
      <c r="B1212" t="s">
        <v>2496</v>
      </c>
      <c r="C1212">
        <v>11</v>
      </c>
      <c r="D1212" t="s">
        <v>2506</v>
      </c>
      <c r="E1212">
        <v>6</v>
      </c>
      <c r="F1212">
        <v>3.1500000000000004</v>
      </c>
      <c r="G1212">
        <v>5</v>
      </c>
    </row>
    <row r="1213" spans="1:7">
      <c r="A1213" t="s">
        <v>210</v>
      </c>
      <c r="B1213" t="s">
        <v>2496</v>
      </c>
      <c r="C1213">
        <v>12</v>
      </c>
      <c r="D1213" t="s">
        <v>2509</v>
      </c>
      <c r="E1213">
        <v>6</v>
      </c>
      <c r="F1213">
        <v>3.1333333333333333</v>
      </c>
      <c r="G1213">
        <v>5</v>
      </c>
    </row>
    <row r="1214" spans="1:7">
      <c r="A1214" t="s">
        <v>210</v>
      </c>
      <c r="B1214" t="s">
        <v>2496</v>
      </c>
      <c r="C1214">
        <v>13</v>
      </c>
      <c r="D1214" t="s">
        <v>2508</v>
      </c>
      <c r="E1214">
        <v>6</v>
      </c>
      <c r="F1214">
        <v>3.0833333333333335</v>
      </c>
      <c r="G1214">
        <v>5</v>
      </c>
    </row>
    <row r="1215" spans="1:7">
      <c r="A1215" t="s">
        <v>210</v>
      </c>
      <c r="B1215" t="s">
        <v>2496</v>
      </c>
      <c r="C1215">
        <v>14</v>
      </c>
      <c r="D1215" t="s">
        <v>2511</v>
      </c>
      <c r="E1215">
        <v>6</v>
      </c>
      <c r="F1215">
        <v>3.1333333333333333</v>
      </c>
      <c r="G1215">
        <v>5</v>
      </c>
    </row>
    <row r="1216" spans="1:7">
      <c r="A1216" t="s">
        <v>210</v>
      </c>
      <c r="B1216" t="s">
        <v>2496</v>
      </c>
      <c r="C1216">
        <v>15</v>
      </c>
      <c r="D1216" t="s">
        <v>2510</v>
      </c>
      <c r="E1216">
        <v>6</v>
      </c>
      <c r="F1216">
        <v>3.1166666666666671</v>
      </c>
      <c r="G1216">
        <v>5</v>
      </c>
    </row>
    <row r="1217" spans="1:7">
      <c r="A1217" t="s">
        <v>210</v>
      </c>
      <c r="B1217" t="s">
        <v>2496</v>
      </c>
      <c r="C1217">
        <v>16</v>
      </c>
      <c r="D1217" t="s">
        <v>2512</v>
      </c>
      <c r="E1217">
        <v>6</v>
      </c>
      <c r="F1217">
        <v>3.0333333333333332</v>
      </c>
      <c r="G1217">
        <v>5</v>
      </c>
    </row>
    <row r="1218" spans="1:7">
      <c r="A1218" t="s">
        <v>210</v>
      </c>
      <c r="B1218" t="s">
        <v>2513</v>
      </c>
      <c r="C1218">
        <v>0</v>
      </c>
      <c r="D1218" t="s">
        <v>2497</v>
      </c>
      <c r="E1218">
        <v>7</v>
      </c>
      <c r="F1218">
        <v>3.5571428571428569</v>
      </c>
      <c r="G1218">
        <v>3.5</v>
      </c>
    </row>
    <row r="1219" spans="1:7">
      <c r="A1219" t="s">
        <v>210</v>
      </c>
      <c r="B1219" t="s">
        <v>2513</v>
      </c>
      <c r="C1219">
        <v>1</v>
      </c>
      <c r="D1219" t="s">
        <v>2495</v>
      </c>
      <c r="E1219">
        <v>7</v>
      </c>
      <c r="F1219">
        <v>3.5428571428571431</v>
      </c>
      <c r="G1219">
        <v>3.5</v>
      </c>
    </row>
    <row r="1220" spans="1:7">
      <c r="A1220" t="s">
        <v>210</v>
      </c>
      <c r="B1220" t="s">
        <v>2513</v>
      </c>
      <c r="C1220">
        <v>2</v>
      </c>
      <c r="D1220" t="s">
        <v>2499</v>
      </c>
      <c r="E1220">
        <v>7</v>
      </c>
      <c r="F1220">
        <v>3.6142857142857148</v>
      </c>
      <c r="G1220">
        <v>3.5</v>
      </c>
    </row>
    <row r="1221" spans="1:7">
      <c r="A1221" t="s">
        <v>210</v>
      </c>
      <c r="B1221" t="s">
        <v>2513</v>
      </c>
      <c r="C1221">
        <v>3</v>
      </c>
      <c r="D1221" t="s">
        <v>2498</v>
      </c>
      <c r="E1221">
        <v>7</v>
      </c>
      <c r="F1221">
        <v>3.4428571428571426</v>
      </c>
      <c r="G1221">
        <v>3.5</v>
      </c>
    </row>
    <row r="1222" spans="1:7">
      <c r="A1222" t="s">
        <v>210</v>
      </c>
      <c r="B1222" t="s">
        <v>2513</v>
      </c>
      <c r="C1222">
        <v>4</v>
      </c>
      <c r="D1222" t="s">
        <v>2501</v>
      </c>
      <c r="E1222">
        <v>7</v>
      </c>
      <c r="F1222">
        <v>3.4</v>
      </c>
      <c r="G1222">
        <v>3.5</v>
      </c>
    </row>
    <row r="1223" spans="1:7">
      <c r="A1223" t="s">
        <v>210</v>
      </c>
      <c r="B1223" t="s">
        <v>2513</v>
      </c>
      <c r="C1223">
        <v>5</v>
      </c>
      <c r="D1223" t="s">
        <v>2500</v>
      </c>
      <c r="E1223">
        <v>7</v>
      </c>
      <c r="F1223">
        <v>3.4142857142857146</v>
      </c>
      <c r="G1223">
        <v>3.5</v>
      </c>
    </row>
    <row r="1224" spans="1:7">
      <c r="A1224" t="s">
        <v>210</v>
      </c>
      <c r="B1224" t="s">
        <v>2513</v>
      </c>
      <c r="C1224">
        <v>6</v>
      </c>
      <c r="D1224" t="s">
        <v>2503</v>
      </c>
      <c r="E1224">
        <v>7</v>
      </c>
      <c r="F1224">
        <v>3.342857142857143</v>
      </c>
      <c r="G1224">
        <v>3.5</v>
      </c>
    </row>
    <row r="1225" spans="1:7">
      <c r="A1225" t="s">
        <v>210</v>
      </c>
      <c r="B1225" t="s">
        <v>2513</v>
      </c>
      <c r="C1225">
        <v>7</v>
      </c>
      <c r="D1225" t="s">
        <v>2502</v>
      </c>
      <c r="E1225">
        <v>7</v>
      </c>
      <c r="F1225">
        <v>3.2</v>
      </c>
      <c r="G1225">
        <v>3.5</v>
      </c>
    </row>
    <row r="1226" spans="1:7">
      <c r="A1226" t="s">
        <v>210</v>
      </c>
      <c r="B1226" t="s">
        <v>2513</v>
      </c>
      <c r="C1226">
        <v>8</v>
      </c>
      <c r="D1226" t="s">
        <v>2505</v>
      </c>
      <c r="E1226">
        <v>7</v>
      </c>
      <c r="F1226">
        <v>3.2285714285714286</v>
      </c>
      <c r="G1226">
        <v>3.5</v>
      </c>
    </row>
    <row r="1227" spans="1:7">
      <c r="A1227" t="s">
        <v>210</v>
      </c>
      <c r="B1227" t="s">
        <v>2513</v>
      </c>
      <c r="C1227">
        <v>9</v>
      </c>
      <c r="D1227" t="s">
        <v>2504</v>
      </c>
      <c r="E1227">
        <v>7</v>
      </c>
      <c r="F1227">
        <v>3.0714285714285716</v>
      </c>
      <c r="G1227">
        <v>3.5</v>
      </c>
    </row>
    <row r="1228" spans="1:7">
      <c r="A1228" t="s">
        <v>210</v>
      </c>
      <c r="B1228" t="s">
        <v>2513</v>
      </c>
      <c r="C1228">
        <v>10</v>
      </c>
      <c r="D1228" t="s">
        <v>2507</v>
      </c>
      <c r="E1228">
        <v>7</v>
      </c>
      <c r="F1228">
        <v>2.9714285714285715</v>
      </c>
      <c r="G1228">
        <v>3.5</v>
      </c>
    </row>
    <row r="1229" spans="1:7">
      <c r="A1229" t="s">
        <v>210</v>
      </c>
      <c r="B1229" t="s">
        <v>2513</v>
      </c>
      <c r="C1229">
        <v>11</v>
      </c>
      <c r="D1229" t="s">
        <v>2506</v>
      </c>
      <c r="E1229">
        <v>7</v>
      </c>
      <c r="F1229">
        <v>2.9428571428571431</v>
      </c>
      <c r="G1229">
        <v>3.5</v>
      </c>
    </row>
    <row r="1230" spans="1:7">
      <c r="A1230" t="s">
        <v>210</v>
      </c>
      <c r="B1230" t="s">
        <v>2513</v>
      </c>
      <c r="C1230">
        <v>12</v>
      </c>
      <c r="D1230" t="s">
        <v>2509</v>
      </c>
      <c r="E1230">
        <v>7</v>
      </c>
      <c r="F1230">
        <v>2.8857142857142857</v>
      </c>
      <c r="G1230">
        <v>3.5</v>
      </c>
    </row>
    <row r="1231" spans="1:7">
      <c r="A1231" t="s">
        <v>210</v>
      </c>
      <c r="B1231" t="s">
        <v>2513</v>
      </c>
      <c r="C1231">
        <v>13</v>
      </c>
      <c r="D1231" t="s">
        <v>2508</v>
      </c>
      <c r="E1231">
        <v>6</v>
      </c>
      <c r="F1231">
        <v>2.9666666666666668</v>
      </c>
      <c r="G1231">
        <v>3.4833333333333329</v>
      </c>
    </row>
    <row r="1232" spans="1:7">
      <c r="A1232" t="s">
        <v>210</v>
      </c>
      <c r="B1232" t="s">
        <v>2513</v>
      </c>
      <c r="C1232">
        <v>14</v>
      </c>
      <c r="D1232" t="s">
        <v>2511</v>
      </c>
      <c r="E1232">
        <v>6</v>
      </c>
      <c r="F1232">
        <v>3</v>
      </c>
      <c r="G1232">
        <v>3.4833333333333329</v>
      </c>
    </row>
    <row r="1233" spans="1:7">
      <c r="A1233" t="s">
        <v>210</v>
      </c>
      <c r="B1233" t="s">
        <v>2513</v>
      </c>
      <c r="C1233">
        <v>15</v>
      </c>
      <c r="D1233" t="s">
        <v>2510</v>
      </c>
      <c r="E1233">
        <v>5</v>
      </c>
      <c r="F1233">
        <v>3.12</v>
      </c>
      <c r="G1233">
        <v>3.4</v>
      </c>
    </row>
    <row r="1234" spans="1:7">
      <c r="A1234" t="s">
        <v>210</v>
      </c>
      <c r="B1234" t="s">
        <v>2513</v>
      </c>
      <c r="C1234">
        <v>16</v>
      </c>
      <c r="D1234" t="s">
        <v>2512</v>
      </c>
      <c r="E1234">
        <v>5</v>
      </c>
      <c r="F1234">
        <v>3.1</v>
      </c>
      <c r="G1234">
        <v>3.4</v>
      </c>
    </row>
    <row r="1235" spans="1:7">
      <c r="A1235" t="s">
        <v>212</v>
      </c>
      <c r="B1235" t="s">
        <v>2496</v>
      </c>
      <c r="C1235">
        <v>0</v>
      </c>
      <c r="D1235" t="s">
        <v>2497</v>
      </c>
      <c r="E1235">
        <v>14</v>
      </c>
      <c r="F1235">
        <v>5.8428571428571425</v>
      </c>
      <c r="G1235">
        <v>5.9857142857142867</v>
      </c>
    </row>
    <row r="1236" spans="1:7">
      <c r="A1236" t="s">
        <v>212</v>
      </c>
      <c r="B1236" t="s">
        <v>2496</v>
      </c>
      <c r="C1236">
        <v>1</v>
      </c>
      <c r="D1236" t="s">
        <v>2495</v>
      </c>
      <c r="E1236">
        <v>13</v>
      </c>
      <c r="F1236">
        <v>5.5</v>
      </c>
      <c r="G1236">
        <v>5.9461538461538463</v>
      </c>
    </row>
    <row r="1237" spans="1:7">
      <c r="A1237" t="s">
        <v>212</v>
      </c>
      <c r="B1237" t="s">
        <v>2496</v>
      </c>
      <c r="C1237">
        <v>2</v>
      </c>
      <c r="D1237" t="s">
        <v>2499</v>
      </c>
      <c r="E1237">
        <v>13</v>
      </c>
      <c r="F1237">
        <v>4.8076923076923075</v>
      </c>
      <c r="G1237">
        <v>5.9461538461538463</v>
      </c>
    </row>
    <row r="1238" spans="1:7">
      <c r="A1238" t="s">
        <v>212</v>
      </c>
      <c r="B1238" t="s">
        <v>2496</v>
      </c>
      <c r="C1238">
        <v>3</v>
      </c>
      <c r="D1238" t="s">
        <v>2498</v>
      </c>
      <c r="E1238">
        <v>12</v>
      </c>
      <c r="F1238">
        <v>4.0166666666666666</v>
      </c>
      <c r="G1238">
        <v>5.8</v>
      </c>
    </row>
    <row r="1239" spans="1:7">
      <c r="A1239" t="s">
        <v>212</v>
      </c>
      <c r="B1239" t="s">
        <v>2496</v>
      </c>
      <c r="C1239">
        <v>4</v>
      </c>
      <c r="D1239" t="s">
        <v>2501</v>
      </c>
      <c r="E1239">
        <v>12</v>
      </c>
      <c r="F1239">
        <v>3.8000000000000007</v>
      </c>
      <c r="G1239">
        <v>5.8</v>
      </c>
    </row>
    <row r="1240" spans="1:7">
      <c r="A1240" t="s">
        <v>212</v>
      </c>
      <c r="B1240" t="s">
        <v>2496</v>
      </c>
      <c r="C1240">
        <v>5</v>
      </c>
      <c r="D1240" t="s">
        <v>2500</v>
      </c>
      <c r="E1240">
        <v>11</v>
      </c>
      <c r="F1240">
        <v>3.5272727272727282</v>
      </c>
      <c r="G1240">
        <v>5.5272727272727273</v>
      </c>
    </row>
    <row r="1241" spans="1:7">
      <c r="A1241" t="s">
        <v>212</v>
      </c>
      <c r="B1241" t="s">
        <v>2496</v>
      </c>
      <c r="C1241">
        <v>6</v>
      </c>
      <c r="D1241" t="s">
        <v>2503</v>
      </c>
      <c r="E1241">
        <v>11</v>
      </c>
      <c r="F1241">
        <v>3.4272727272727268</v>
      </c>
      <c r="G1241">
        <v>5.5272727272727273</v>
      </c>
    </row>
    <row r="1242" spans="1:7">
      <c r="A1242" t="s">
        <v>212</v>
      </c>
      <c r="B1242" t="s">
        <v>2496</v>
      </c>
      <c r="C1242">
        <v>7</v>
      </c>
      <c r="D1242" t="s">
        <v>2502</v>
      </c>
      <c r="E1242">
        <v>10</v>
      </c>
      <c r="F1242">
        <v>3.2099999999999995</v>
      </c>
      <c r="G1242">
        <v>5.1899999999999995</v>
      </c>
    </row>
    <row r="1243" spans="1:7">
      <c r="A1243" t="s">
        <v>212</v>
      </c>
      <c r="B1243" t="s">
        <v>2496</v>
      </c>
      <c r="C1243">
        <v>8</v>
      </c>
      <c r="D1243" t="s">
        <v>2505</v>
      </c>
      <c r="E1243">
        <v>10</v>
      </c>
      <c r="F1243">
        <v>3.14</v>
      </c>
      <c r="G1243">
        <v>5.1899999999999995</v>
      </c>
    </row>
    <row r="1244" spans="1:7">
      <c r="A1244" t="s">
        <v>212</v>
      </c>
      <c r="B1244" t="s">
        <v>2496</v>
      </c>
      <c r="C1244">
        <v>9</v>
      </c>
      <c r="D1244" t="s">
        <v>2504</v>
      </c>
      <c r="E1244">
        <v>9</v>
      </c>
      <c r="F1244">
        <v>3.0222222222222221</v>
      </c>
      <c r="G1244">
        <v>4.844444444444445</v>
      </c>
    </row>
    <row r="1245" spans="1:7">
      <c r="A1245" t="s">
        <v>212</v>
      </c>
      <c r="B1245" t="s">
        <v>2496</v>
      </c>
      <c r="C1245">
        <v>10</v>
      </c>
      <c r="D1245" t="s">
        <v>2507</v>
      </c>
      <c r="E1245">
        <v>9</v>
      </c>
      <c r="F1245">
        <v>3.0777777777777775</v>
      </c>
      <c r="G1245">
        <v>4.844444444444445</v>
      </c>
    </row>
    <row r="1246" spans="1:7">
      <c r="A1246" t="s">
        <v>212</v>
      </c>
      <c r="B1246" t="s">
        <v>2496</v>
      </c>
      <c r="C1246">
        <v>11</v>
      </c>
      <c r="D1246" t="s">
        <v>2506</v>
      </c>
      <c r="E1246">
        <v>8</v>
      </c>
      <c r="F1246">
        <v>3.0625</v>
      </c>
      <c r="G1246">
        <v>4.55</v>
      </c>
    </row>
    <row r="1247" spans="1:7">
      <c r="A1247" t="s">
        <v>212</v>
      </c>
      <c r="B1247" t="s">
        <v>2496</v>
      </c>
      <c r="C1247">
        <v>12</v>
      </c>
      <c r="D1247" t="s">
        <v>2509</v>
      </c>
      <c r="E1247">
        <v>8</v>
      </c>
      <c r="F1247">
        <v>2.9874999999999998</v>
      </c>
      <c r="G1247">
        <v>4.55</v>
      </c>
    </row>
    <row r="1248" spans="1:7">
      <c r="A1248" t="s">
        <v>212</v>
      </c>
      <c r="B1248" t="s">
        <v>2496</v>
      </c>
      <c r="C1248">
        <v>13</v>
      </c>
      <c r="D1248" t="s">
        <v>2508</v>
      </c>
      <c r="E1248">
        <v>7</v>
      </c>
      <c r="F1248">
        <v>3.0285714285714285</v>
      </c>
      <c r="G1248">
        <v>4.5</v>
      </c>
    </row>
    <row r="1249" spans="1:7">
      <c r="A1249" t="s">
        <v>212</v>
      </c>
      <c r="B1249" t="s">
        <v>2496</v>
      </c>
      <c r="C1249">
        <v>14</v>
      </c>
      <c r="D1249" t="s">
        <v>2511</v>
      </c>
      <c r="E1249">
        <v>7</v>
      </c>
      <c r="F1249">
        <v>3.0285714285714285</v>
      </c>
      <c r="G1249">
        <v>4.5</v>
      </c>
    </row>
    <row r="1250" spans="1:7">
      <c r="A1250" t="s">
        <v>212</v>
      </c>
      <c r="B1250" t="s">
        <v>2496</v>
      </c>
      <c r="C1250">
        <v>15</v>
      </c>
      <c r="D1250" t="s">
        <v>2510</v>
      </c>
      <c r="E1250">
        <v>6</v>
      </c>
      <c r="F1250">
        <v>2.9833333333333338</v>
      </c>
      <c r="G1250">
        <v>4.5166666666666666</v>
      </c>
    </row>
    <row r="1251" spans="1:7">
      <c r="A1251" t="s">
        <v>212</v>
      </c>
      <c r="B1251" t="s">
        <v>2496</v>
      </c>
      <c r="C1251">
        <v>16</v>
      </c>
      <c r="D1251" t="s">
        <v>2512</v>
      </c>
      <c r="E1251">
        <v>6</v>
      </c>
      <c r="F1251">
        <v>2.9499999999999997</v>
      </c>
      <c r="G1251">
        <v>4.5166666666666666</v>
      </c>
    </row>
    <row r="1252" spans="1:7">
      <c r="A1252" t="s">
        <v>212</v>
      </c>
      <c r="B1252" t="s">
        <v>2513</v>
      </c>
      <c r="C1252">
        <v>0</v>
      </c>
      <c r="D1252" t="s">
        <v>2497</v>
      </c>
      <c r="E1252">
        <v>5</v>
      </c>
      <c r="F1252">
        <v>3.62</v>
      </c>
      <c r="G1252">
        <v>3.6799999999999997</v>
      </c>
    </row>
    <row r="1253" spans="1:7">
      <c r="A1253" t="s">
        <v>212</v>
      </c>
      <c r="B1253" t="s">
        <v>2513</v>
      </c>
      <c r="C1253">
        <v>1</v>
      </c>
      <c r="D1253" t="s">
        <v>2495</v>
      </c>
      <c r="E1253">
        <v>5</v>
      </c>
      <c r="F1253">
        <v>3.5</v>
      </c>
      <c r="G1253">
        <v>3.6799999999999997</v>
      </c>
    </row>
    <row r="1254" spans="1:7">
      <c r="A1254" t="s">
        <v>212</v>
      </c>
      <c r="B1254" t="s">
        <v>2513</v>
      </c>
      <c r="C1254">
        <v>2</v>
      </c>
      <c r="D1254" t="s">
        <v>2499</v>
      </c>
      <c r="E1254">
        <v>5</v>
      </c>
      <c r="F1254">
        <v>3.4200000000000004</v>
      </c>
      <c r="G1254">
        <v>3.6799999999999997</v>
      </c>
    </row>
    <row r="1255" spans="1:7">
      <c r="A1255" t="s">
        <v>212</v>
      </c>
      <c r="B1255" t="s">
        <v>2513</v>
      </c>
      <c r="C1255">
        <v>3</v>
      </c>
      <c r="D1255" t="s">
        <v>2498</v>
      </c>
      <c r="E1255">
        <v>5</v>
      </c>
      <c r="F1255">
        <v>3.3</v>
      </c>
      <c r="G1255">
        <v>3.6799999999999997</v>
      </c>
    </row>
    <row r="1256" spans="1:7">
      <c r="A1256" t="s">
        <v>212</v>
      </c>
      <c r="B1256" t="s">
        <v>2513</v>
      </c>
      <c r="C1256">
        <v>4</v>
      </c>
      <c r="D1256" t="s">
        <v>2501</v>
      </c>
      <c r="E1256">
        <v>5</v>
      </c>
      <c r="F1256">
        <v>3.06</v>
      </c>
      <c r="G1256">
        <v>3.6799999999999997</v>
      </c>
    </row>
    <row r="1257" spans="1:7">
      <c r="A1257" t="s">
        <v>212</v>
      </c>
      <c r="B1257" t="s">
        <v>2513</v>
      </c>
      <c r="C1257">
        <v>5</v>
      </c>
      <c r="D1257" t="s">
        <v>2500</v>
      </c>
      <c r="E1257">
        <v>5</v>
      </c>
      <c r="F1257">
        <v>3.12</v>
      </c>
      <c r="G1257">
        <v>3.6799999999999997</v>
      </c>
    </row>
    <row r="1258" spans="1:7">
      <c r="A1258" t="s">
        <v>212</v>
      </c>
      <c r="B1258" t="s">
        <v>2513</v>
      </c>
      <c r="C1258">
        <v>6</v>
      </c>
      <c r="D1258" t="s">
        <v>2503</v>
      </c>
      <c r="E1258">
        <v>5</v>
      </c>
      <c r="F1258">
        <v>3.1599999999999997</v>
      </c>
      <c r="G1258">
        <v>3.6799999999999997</v>
      </c>
    </row>
    <row r="1259" spans="1:7">
      <c r="A1259" t="s">
        <v>212</v>
      </c>
      <c r="B1259" t="s">
        <v>2513</v>
      </c>
      <c r="C1259">
        <v>7</v>
      </c>
      <c r="D1259" t="s">
        <v>2502</v>
      </c>
      <c r="E1259">
        <v>5</v>
      </c>
      <c r="F1259">
        <v>3.08</v>
      </c>
      <c r="G1259">
        <v>3.6799999999999997</v>
      </c>
    </row>
    <row r="1260" spans="1:7">
      <c r="A1260" t="s">
        <v>212</v>
      </c>
      <c r="B1260" t="s">
        <v>2513</v>
      </c>
      <c r="C1260">
        <v>8</v>
      </c>
      <c r="D1260" t="s">
        <v>2505</v>
      </c>
      <c r="E1260">
        <v>5</v>
      </c>
      <c r="F1260">
        <v>3.1</v>
      </c>
      <c r="G1260">
        <v>3.6799999999999997</v>
      </c>
    </row>
    <row r="1261" spans="1:7">
      <c r="A1261" t="s">
        <v>212</v>
      </c>
      <c r="B1261" t="s">
        <v>2513</v>
      </c>
      <c r="C1261">
        <v>9</v>
      </c>
      <c r="D1261" t="s">
        <v>2504</v>
      </c>
      <c r="E1261">
        <v>5</v>
      </c>
      <c r="F1261">
        <v>3.1</v>
      </c>
      <c r="G1261">
        <v>3.6799999999999997</v>
      </c>
    </row>
    <row r="1262" spans="1:7">
      <c r="A1262" t="s">
        <v>212</v>
      </c>
      <c r="B1262" t="s">
        <v>2513</v>
      </c>
      <c r="C1262">
        <v>10</v>
      </c>
      <c r="D1262" t="s">
        <v>2507</v>
      </c>
      <c r="E1262">
        <v>5</v>
      </c>
      <c r="F1262">
        <v>3.06</v>
      </c>
      <c r="G1262">
        <v>3.6799999999999997</v>
      </c>
    </row>
    <row r="1263" spans="1:7">
      <c r="A1263" t="s">
        <v>212</v>
      </c>
      <c r="B1263" t="s">
        <v>2513</v>
      </c>
      <c r="C1263">
        <v>11</v>
      </c>
      <c r="D1263" t="s">
        <v>2506</v>
      </c>
      <c r="E1263">
        <v>5</v>
      </c>
      <c r="F1263">
        <v>3</v>
      </c>
      <c r="G1263">
        <v>3.6799999999999997</v>
      </c>
    </row>
    <row r="1264" spans="1:7">
      <c r="A1264" t="s">
        <v>212</v>
      </c>
      <c r="B1264" t="s">
        <v>2513</v>
      </c>
      <c r="C1264">
        <v>12</v>
      </c>
      <c r="D1264" t="s">
        <v>2509</v>
      </c>
      <c r="E1264">
        <v>5</v>
      </c>
      <c r="F1264">
        <v>2.9599999999999995</v>
      </c>
      <c r="G1264">
        <v>3.6799999999999997</v>
      </c>
    </row>
    <row r="1265" spans="1:16">
      <c r="A1265" t="s">
        <v>212</v>
      </c>
      <c r="B1265" t="s">
        <v>2513</v>
      </c>
      <c r="C1265">
        <v>13</v>
      </c>
      <c r="D1265" t="s">
        <v>2508</v>
      </c>
      <c r="E1265">
        <v>5</v>
      </c>
      <c r="F1265">
        <v>2.9</v>
      </c>
      <c r="G1265">
        <v>3.6799999999999997</v>
      </c>
    </row>
    <row r="1266" spans="1:16">
      <c r="A1266" t="s">
        <v>212</v>
      </c>
      <c r="B1266" t="s">
        <v>2513</v>
      </c>
      <c r="C1266">
        <v>14</v>
      </c>
      <c r="D1266" t="s">
        <v>2511</v>
      </c>
      <c r="E1266">
        <v>5</v>
      </c>
      <c r="F1266">
        <v>2.94</v>
      </c>
      <c r="G1266">
        <v>3.6799999999999997</v>
      </c>
    </row>
    <row r="1267" spans="1:16">
      <c r="A1267" t="s">
        <v>212</v>
      </c>
      <c r="B1267" t="s">
        <v>2513</v>
      </c>
      <c r="C1267">
        <v>15</v>
      </c>
      <c r="D1267" t="s">
        <v>2510</v>
      </c>
      <c r="E1267">
        <v>5</v>
      </c>
      <c r="F1267">
        <v>2.9</v>
      </c>
      <c r="G1267">
        <v>3.6799999999999997</v>
      </c>
    </row>
    <row r="1268" spans="1:16">
      <c r="A1268" t="s">
        <v>212</v>
      </c>
      <c r="B1268" t="s">
        <v>2513</v>
      </c>
      <c r="C1268">
        <v>16</v>
      </c>
      <c r="D1268" t="s">
        <v>2512</v>
      </c>
      <c r="E1268">
        <v>5</v>
      </c>
      <c r="F1268">
        <v>2.9</v>
      </c>
      <c r="G1268">
        <v>3.6799999999999997</v>
      </c>
    </row>
    <row r="1271" spans="1:16">
      <c r="A1271" t="s">
        <v>125</v>
      </c>
      <c r="B1271" t="s">
        <v>2530</v>
      </c>
      <c r="C1271" t="s">
        <v>2467</v>
      </c>
      <c r="D1271" t="s">
        <v>2531</v>
      </c>
      <c r="E1271" t="s">
        <v>2532</v>
      </c>
      <c r="F1271" t="s">
        <v>2533</v>
      </c>
      <c r="G1271" t="s">
        <v>2534</v>
      </c>
      <c r="H1271" t="s">
        <v>2535</v>
      </c>
      <c r="I1271" t="s">
        <v>2536</v>
      </c>
      <c r="J1271" t="s">
        <v>2537</v>
      </c>
      <c r="K1271" t="s">
        <v>2538</v>
      </c>
      <c r="L1271" t="s">
        <v>2539</v>
      </c>
      <c r="M1271" t="s">
        <v>2540</v>
      </c>
      <c r="N1271" t="s">
        <v>2541</v>
      </c>
      <c r="O1271" t="s">
        <v>2542</v>
      </c>
      <c r="P1271" t="s">
        <v>2543</v>
      </c>
    </row>
    <row r="1272" spans="1:16">
      <c r="A1272" t="s">
        <v>22</v>
      </c>
      <c r="B1272" t="s">
        <v>2544</v>
      </c>
      <c r="C1272">
        <v>276</v>
      </c>
      <c r="D1272">
        <v>2.4068374515503912</v>
      </c>
      <c r="E1272">
        <v>-0.17708938953488407</v>
      </c>
      <c r="H1272">
        <v>0.11162038727802399</v>
      </c>
      <c r="I1272">
        <v>1.2792763465404462E-2</v>
      </c>
      <c r="L1272">
        <v>21.562704719483207</v>
      </c>
      <c r="M1272">
        <v>-13.842934719600487</v>
      </c>
      <c r="P1272">
        <v>0.41154595162857888</v>
      </c>
    </row>
    <row r="1273" spans="1:16">
      <c r="A1273" t="s">
        <v>22</v>
      </c>
      <c r="B1273" t="s">
        <v>2545</v>
      </c>
      <c r="C1273">
        <v>276</v>
      </c>
      <c r="D1273">
        <v>-9.0941229373129318E-3</v>
      </c>
      <c r="E1273">
        <v>0.91740189815357343</v>
      </c>
      <c r="F1273">
        <v>-1.4180038955482699E-2</v>
      </c>
      <c r="G1273">
        <v>-6.3751974769343522E-2</v>
      </c>
      <c r="H1273">
        <v>0.12563764665185484</v>
      </c>
      <c r="I1273">
        <v>4.0402002834450092E-2</v>
      </c>
      <c r="J1273">
        <v>1.6159710130545707E-2</v>
      </c>
      <c r="K1273">
        <v>4.8286649391741255E-3</v>
      </c>
      <c r="L1273">
        <v>-7.2383741495198342E-2</v>
      </c>
      <c r="M1273">
        <v>22.706842081881163</v>
      </c>
      <c r="N1273">
        <v>-0.87749339814450278</v>
      </c>
      <c r="O1273">
        <v>-13.202816010722705</v>
      </c>
      <c r="P1273">
        <v>0.81643213097494938</v>
      </c>
    </row>
    <row r="1274" spans="1:16">
      <c r="A1274" t="s">
        <v>134</v>
      </c>
      <c r="B1274" t="s">
        <v>2544</v>
      </c>
      <c r="C1274">
        <v>276</v>
      </c>
      <c r="D1274">
        <v>2.4295138888888959</v>
      </c>
      <c r="E1274">
        <v>-0.17951388888888956</v>
      </c>
      <c r="H1274">
        <v>0.11100764837210519</v>
      </c>
      <c r="I1274">
        <v>1.2722537729043725E-2</v>
      </c>
      <c r="L1274">
        <v>21.886004473718781</v>
      </c>
      <c r="M1274">
        <v>-14.109912087671404</v>
      </c>
      <c r="P1274">
        <v>0.42082855145158082</v>
      </c>
    </row>
    <row r="1275" spans="1:16">
      <c r="A1275" t="s">
        <v>134</v>
      </c>
      <c r="B1275" t="s">
        <v>2545</v>
      </c>
      <c r="C1275">
        <v>276</v>
      </c>
      <c r="D1275">
        <v>0.31376476760571581</v>
      </c>
      <c r="E1275">
        <v>0.83981996610308207</v>
      </c>
      <c r="F1275">
        <v>-3.0338878055387153E-2</v>
      </c>
      <c r="G1275">
        <v>-6.1266617012642743E-2</v>
      </c>
      <c r="H1275">
        <v>0.13403450971765898</v>
      </c>
      <c r="I1275">
        <v>4.3917379983779758E-2</v>
      </c>
      <c r="J1275">
        <v>1.7003638902467189E-2</v>
      </c>
      <c r="K1275">
        <v>5.1776991662725912E-3</v>
      </c>
      <c r="L1275">
        <v>2.3409252457941991</v>
      </c>
      <c r="M1275">
        <v>19.122724680143882</v>
      </c>
      <c r="N1275">
        <v>-1.7842579596879731</v>
      </c>
      <c r="O1275">
        <v>-11.832788086981187</v>
      </c>
      <c r="P1275">
        <v>0.7772208143791699</v>
      </c>
    </row>
    <row r="1276" spans="1:16">
      <c r="A1276" t="s">
        <v>210</v>
      </c>
      <c r="B1276" t="s">
        <v>2544</v>
      </c>
      <c r="C1276">
        <v>251</v>
      </c>
      <c r="D1276">
        <v>1.5692595458185679</v>
      </c>
      <c r="E1276">
        <v>-0.1079180410202111</v>
      </c>
      <c r="H1276">
        <v>0.10643320299844319</v>
      </c>
      <c r="I1276">
        <v>1.2286258593854077E-2</v>
      </c>
      <c r="L1276">
        <v>14.744078930345839</v>
      </c>
      <c r="M1276">
        <v>-8.7836374430695017</v>
      </c>
      <c r="P1276">
        <v>0.23655295354361927</v>
      </c>
    </row>
    <row r="1277" spans="1:16">
      <c r="A1277" t="s">
        <v>210</v>
      </c>
      <c r="B1277" t="s">
        <v>2545</v>
      </c>
      <c r="C1277">
        <v>251</v>
      </c>
      <c r="D1277">
        <v>0.34514818546608206</v>
      </c>
      <c r="E1277">
        <v>0.46580770185909265</v>
      </c>
      <c r="F1277">
        <v>-2.8878272484523515E-2</v>
      </c>
      <c r="G1277">
        <v>-3.7921230977546259E-2</v>
      </c>
      <c r="H1277">
        <v>0.16011752391064188</v>
      </c>
      <c r="I1277">
        <v>4.9806532524959271E-2</v>
      </c>
      <c r="J1277">
        <v>2.0158461492336029E-2</v>
      </c>
      <c r="K1277">
        <v>5.8303899481538194E-3</v>
      </c>
      <c r="L1277">
        <v>2.1555928235481696</v>
      </c>
      <c r="M1277">
        <v>9.3523415151549649</v>
      </c>
      <c r="N1277">
        <v>-1.432563318163077</v>
      </c>
      <c r="O1277">
        <v>-6.5040642761045406</v>
      </c>
      <c r="P1277">
        <v>0.45588426341139743</v>
      </c>
    </row>
    <row r="1278" spans="1:16">
      <c r="A1278" t="s">
        <v>212</v>
      </c>
      <c r="B1278" t="s">
        <v>2544</v>
      </c>
      <c r="C1278">
        <v>251</v>
      </c>
      <c r="D1278">
        <v>1.5025689891544793</v>
      </c>
      <c r="E1278">
        <v>-0.1154350422825802</v>
      </c>
      <c r="H1278">
        <v>0.101391185734624</v>
      </c>
      <c r="I1278">
        <v>1.1704226613299425E-2</v>
      </c>
      <c r="L1278">
        <v>14.819522804351308</v>
      </c>
      <c r="M1278">
        <v>-9.8626800468313061</v>
      </c>
      <c r="P1278">
        <v>0.28091306582837516</v>
      </c>
    </row>
    <row r="1279" spans="1:16">
      <c r="A1279" t="s">
        <v>212</v>
      </c>
      <c r="B1279" t="s">
        <v>2545</v>
      </c>
      <c r="C1279">
        <v>251</v>
      </c>
      <c r="D1279">
        <v>-8.8288408540780683E-2</v>
      </c>
      <c r="E1279">
        <v>0.6203678779984898</v>
      </c>
      <c r="F1279">
        <v>2.780419086484659E-3</v>
      </c>
      <c r="G1279">
        <v>-5.1079923151011709E-2</v>
      </c>
      <c r="H1279">
        <v>0.12921573483844706</v>
      </c>
      <c r="I1279">
        <v>4.0392142422474596E-2</v>
      </c>
      <c r="J1279">
        <v>1.6058964198173334E-2</v>
      </c>
      <c r="K1279">
        <v>4.6507901043642873E-3</v>
      </c>
      <c r="L1279">
        <v>-0.68326360292857469</v>
      </c>
      <c r="M1279">
        <v>15.358627713030415</v>
      </c>
      <c r="N1279">
        <v>0.17313813345451784</v>
      </c>
      <c r="O1279">
        <v>-10.983063523567418</v>
      </c>
      <c r="P1279">
        <v>0.66533050196860821</v>
      </c>
    </row>
    <row r="1282" spans="1:14">
      <c r="A1282" t="s">
        <v>125</v>
      </c>
      <c r="B1282" t="s">
        <v>2546</v>
      </c>
      <c r="C1282" t="s">
        <v>2547</v>
      </c>
      <c r="D1282" t="s">
        <v>2548</v>
      </c>
      <c r="E1282" t="s">
        <v>2549</v>
      </c>
      <c r="F1282" t="s">
        <v>2550</v>
      </c>
      <c r="G1282" t="s">
        <v>2551</v>
      </c>
      <c r="H1282" t="s">
        <v>2552</v>
      </c>
      <c r="I1282" t="s">
        <v>2553</v>
      </c>
      <c r="J1282" t="s">
        <v>2554</v>
      </c>
      <c r="K1282" t="s">
        <v>2555</v>
      </c>
      <c r="L1282" t="s">
        <v>2556</v>
      </c>
      <c r="M1282" t="s">
        <v>2557</v>
      </c>
      <c r="N1282" t="s">
        <v>2558</v>
      </c>
    </row>
    <row r="1283" spans="1:14">
      <c r="A1283" t="s">
        <v>22</v>
      </c>
      <c r="B1283">
        <v>22</v>
      </c>
      <c r="C1283">
        <v>5.3954545454545446</v>
      </c>
      <c r="D1283">
        <v>4.6999999999999993</v>
      </c>
      <c r="E1283">
        <v>5.33</v>
      </c>
      <c r="F1283">
        <v>19</v>
      </c>
      <c r="G1283">
        <v>5.2736842105263149</v>
      </c>
      <c r="H1283">
        <v>4.5</v>
      </c>
      <c r="I1283">
        <v>16</v>
      </c>
      <c r="J1283">
        <v>3.7</v>
      </c>
      <c r="K1283">
        <v>3.5</v>
      </c>
      <c r="L1283">
        <v>12</v>
      </c>
      <c r="M1283">
        <v>3.0750000000000006</v>
      </c>
      <c r="N1283">
        <v>3.1</v>
      </c>
    </row>
    <row r="1284" spans="1:14">
      <c r="A1284" t="s">
        <v>134</v>
      </c>
      <c r="B1284">
        <v>22</v>
      </c>
      <c r="C1284">
        <v>5.3409090909090908</v>
      </c>
      <c r="D1284">
        <v>4.5999999999999996</v>
      </c>
      <c r="E1284">
        <v>5.2750000000000004</v>
      </c>
      <c r="F1284">
        <v>19</v>
      </c>
      <c r="G1284">
        <v>5.2789473684210515</v>
      </c>
      <c r="H1284">
        <v>4.7</v>
      </c>
      <c r="I1284">
        <v>16</v>
      </c>
      <c r="J1284">
        <v>3.7250000000000001</v>
      </c>
      <c r="K1284">
        <v>3.5</v>
      </c>
      <c r="L1284">
        <v>12</v>
      </c>
      <c r="M1284">
        <v>3.0083333333333342</v>
      </c>
      <c r="N1284">
        <v>3.05</v>
      </c>
    </row>
    <row r="1285" spans="1:14">
      <c r="A1285" t="s">
        <v>210</v>
      </c>
      <c r="B1285">
        <v>22</v>
      </c>
      <c r="C1285">
        <v>5.5090909090909088</v>
      </c>
      <c r="D1285">
        <v>5.3</v>
      </c>
      <c r="E1285">
        <v>5.38</v>
      </c>
      <c r="F1285">
        <v>18</v>
      </c>
      <c r="G1285">
        <v>4.4277777777777771</v>
      </c>
      <c r="H1285">
        <v>4.1500000000000004</v>
      </c>
      <c r="I1285">
        <v>15</v>
      </c>
      <c r="J1285">
        <v>3.2933333333333339</v>
      </c>
      <c r="K1285">
        <v>3.3</v>
      </c>
      <c r="L1285">
        <v>11</v>
      </c>
      <c r="M1285">
        <v>3.063636363636363</v>
      </c>
      <c r="N1285">
        <v>3.2</v>
      </c>
    </row>
    <row r="1286" spans="1:14">
      <c r="A1286" t="s">
        <v>212</v>
      </c>
      <c r="B1286">
        <v>22</v>
      </c>
      <c r="C1286">
        <v>5.3454545454545448</v>
      </c>
      <c r="D1286">
        <v>4.5999999999999996</v>
      </c>
      <c r="E1286">
        <v>5.26</v>
      </c>
      <c r="F1286">
        <v>18</v>
      </c>
      <c r="G1286">
        <v>4.4222222222222216</v>
      </c>
      <c r="H1286">
        <v>3.95</v>
      </c>
      <c r="I1286">
        <v>15</v>
      </c>
      <c r="J1286">
        <v>3.1266666666666669</v>
      </c>
      <c r="K1286">
        <v>3.1</v>
      </c>
      <c r="L1286">
        <v>11</v>
      </c>
      <c r="M1286">
        <v>2.9272727272727277</v>
      </c>
      <c r="N1286">
        <v>2.8</v>
      </c>
    </row>
  </sheetData>
  <mergeCells count="1">
    <mergeCell ref="A1:X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61226-85CF-4C04-B127-806741EF9F53}">
  <dimension ref="A1:AB137"/>
  <sheetViews>
    <sheetView showGridLines="0" topLeftCell="A71" zoomScale="55" zoomScaleNormal="55" workbookViewId="0">
      <selection activeCell="V107" sqref="V107:W112"/>
    </sheetView>
  </sheetViews>
  <sheetFormatPr defaultRowHeight="13.8"/>
  <cols>
    <col min="2" max="2" width="15.3984375" customWidth="1"/>
    <col min="3" max="3" width="17.3984375" customWidth="1"/>
    <col min="4" max="4" width="11.8984375" customWidth="1"/>
    <col min="9" max="9" width="11.59765625" customWidth="1"/>
    <col min="10" max="10" width="12.296875" customWidth="1"/>
  </cols>
  <sheetData>
    <row r="1" spans="1:18" ht="21.6" thickBot="1">
      <c r="A1" s="69" t="s">
        <v>2559</v>
      </c>
      <c r="B1" s="70"/>
      <c r="C1" s="69"/>
      <c r="D1" s="69"/>
      <c r="E1" s="69"/>
      <c r="F1" s="69"/>
      <c r="G1" s="69"/>
      <c r="H1" s="69"/>
      <c r="I1" s="69"/>
      <c r="J1" s="69"/>
    </row>
    <row r="2" spans="1:18" ht="16.8" thickTop="1" thickBot="1">
      <c r="A2" t="s">
        <v>2560</v>
      </c>
      <c r="B2" s="45" t="s">
        <v>22</v>
      </c>
    </row>
    <row r="4" spans="1:18" ht="14.4">
      <c r="A4" s="46" t="s">
        <v>2561</v>
      </c>
      <c r="B4" s="46"/>
      <c r="C4" s="46" t="s">
        <v>2562</v>
      </c>
      <c r="D4" s="46"/>
      <c r="E4" s="46" t="s">
        <v>2563</v>
      </c>
      <c r="F4" s="46"/>
      <c r="G4" s="46" t="s">
        <v>2564</v>
      </c>
      <c r="H4" s="46"/>
      <c r="I4" s="46" t="s">
        <v>2565</v>
      </c>
      <c r="J4" s="46"/>
    </row>
    <row r="5" spans="1:18" ht="18.600000000000001" thickBot="1">
      <c r="A5" s="47">
        <v>3</v>
      </c>
      <c r="B5" s="47"/>
      <c r="C5" s="47">
        <f>IFERROR(_xlfn.XLOOKUP($B$2,Calc_Anclaje!$A$1283:$A$1286,Calc_Anclaje!$C$1283:$C$1286),"")</f>
        <v>5.3954545454545446</v>
      </c>
      <c r="D5" s="47"/>
      <c r="E5" s="47">
        <f>IFERROR(_xlfn.XLOOKUP($B$2,Calc_Anclaje!$A$1283:$A$1286,Calc_Anclaje!$D$1283:$D$1286),"")</f>
        <v>4.6999999999999993</v>
      </c>
      <c r="F5" s="47"/>
      <c r="G5" s="47">
        <f>IFERROR(_xlfn.XLOOKUP($B$2,Calc_Anclaje!$A$1283:$A$1286,Calc_Anclaje!$J$1283:$J$1286),"")</f>
        <v>3.7</v>
      </c>
      <c r="H5" s="47"/>
      <c r="I5" s="47">
        <f>IFERROR(_xlfn.XLOOKUP($B$2,Calc_Anclaje!$A$1283:$A$1286,Calc_Anclaje!$M$1283:$M$1286),"")</f>
        <v>3.0750000000000006</v>
      </c>
      <c r="J5" s="47"/>
    </row>
    <row r="7" spans="1:18">
      <c r="A7" t="s">
        <v>2566</v>
      </c>
      <c r="C7" t="s">
        <v>2567</v>
      </c>
      <c r="G7" t="s">
        <v>2568</v>
      </c>
    </row>
    <row r="8" spans="1:18">
      <c r="A8">
        <f>IFERROR(_xlfn.XLOOKUP($B$2,Calc_Anclaje!$A$1283:$A$1286,Calc_Anclaje!$G$1283:$G$1286),"")</f>
        <v>5.2736842105263149</v>
      </c>
      <c r="C8">
        <f>IFERROR(SUMIFS(Calc_Anclaje!$G$1062:$G$1129,Calc_Anclaje!$A$1062:$A$1129,$B$2,Calc_Anclaje!$B$1062:$B$1129,8),"")</f>
        <v>-1.3499999999999999</v>
      </c>
      <c r="G8">
        <f>IFERROR(SUMIFS(Calc_Anclaje!$G$1062:$G$1129,Calc_Anclaje!$A$1062:$A$1129,$B$2,Calc_Anclaje!$B$1062:$B$1129,16),"")</f>
        <v>-1.1833333333333333</v>
      </c>
    </row>
    <row r="12" spans="1:18">
      <c r="A12" s="48" t="s">
        <v>2569</v>
      </c>
      <c r="B12" s="48" t="s">
        <v>2588</v>
      </c>
      <c r="C12" s="48" t="s">
        <v>2570</v>
      </c>
      <c r="D12" s="48" t="s">
        <v>2571</v>
      </c>
      <c r="E12" s="48" t="s">
        <v>2572</v>
      </c>
      <c r="F12" s="48" t="s">
        <v>2573</v>
      </c>
      <c r="G12" s="48" t="s">
        <v>2574</v>
      </c>
      <c r="H12" s="48"/>
      <c r="I12" s="48" t="s">
        <v>2589</v>
      </c>
      <c r="J12" s="48" t="s">
        <v>2590</v>
      </c>
      <c r="K12" s="48"/>
      <c r="L12" s="48" t="s">
        <v>2572</v>
      </c>
      <c r="N12" t="s">
        <v>2569</v>
      </c>
      <c r="O12" t="s">
        <v>2570</v>
      </c>
      <c r="P12" t="s">
        <v>2591</v>
      </c>
      <c r="Q12" t="s">
        <v>2572</v>
      </c>
      <c r="R12" t="s">
        <v>2571</v>
      </c>
    </row>
    <row r="13" spans="1:18">
      <c r="A13" t="s">
        <v>2512</v>
      </c>
      <c r="B13">
        <v>16</v>
      </c>
      <c r="C13" s="26">
        <f>IFERROR(SUMIFS(Calc_Anclaje!$E$1062:$E$1129,Calc_Anclaje!$A$1062:$A$1129,$B$2,Calc_Anclaje!$B$1062:$B$1129,$B13),NA())</f>
        <v>3.0750000000000006</v>
      </c>
      <c r="D13" s="26">
        <f>IFERROR(SUMIFS(Calc_Anclaje!$F$1062:$F$1129,Calc_Anclaje!$A$1062:$A$1129,$B$2,Calc_Anclaje!$B$1062:$B$1129,$B13),NA())</f>
        <v>4.2583333333333337</v>
      </c>
      <c r="E13" s="26">
        <f>3</f>
        <v>3</v>
      </c>
      <c r="F13" s="26">
        <f>IFERROR(SUMIFS(Calc_Anclaje!$K$1062:$K$1129,Calc_Anclaje!$A$1062:$A$1129,$B$2,Calc_Anclaje!$B$1062:$B$1129,$B13),NA())</f>
        <v>7.5000000000000067E-2</v>
      </c>
      <c r="G13" s="26">
        <f>IFERROR(SUMIFS(Calc_Anclaje!$G$1062:$G$1129,Calc_Anclaje!$A$1062:$A$1129,$B$2,Calc_Anclaje!$B$1062:$B$1129,$B13),NA())</f>
        <v>-1.1833333333333333</v>
      </c>
      <c r="H13" s="26"/>
      <c r="I13" s="26">
        <f>IF(COUNTIFS(Calc_Anclaje!$A$1133:$A$1268,$B$2,Calc_Anclaje!$B$1133:$B$1268,"="&amp;"&gt;4%",Calc_Anclaje!$C$1133:$C$1268,$B13)=0,NA(),SUMIFS(Calc_Anclaje!$F$1133:$F$1268,Calc_Anclaje!$A$1133:$A$1268,$B$2,Calc_Anclaje!$B$1133:$B$1268,"="&amp;"&gt;4%",Calc_Anclaje!$C$1133:$C$1268,$B13))</f>
        <v>3.0750000000000002</v>
      </c>
      <c r="J13" s="26">
        <f>IF(COUNTIFS(Calc_Anclaje!$A$1133:$A$1268,$B$2,Calc_Anclaje!$B$1133:$B$1268,"2%-4%",Calc_Anclaje!$C$1133:$C$1268,$B13)=0,NA(),SUMIFS(Calc_Anclaje!$F$1133:$F$1268,Calc_Anclaje!$A$1133:$A$1268,$B$2,Calc_Anclaje!$B$1133:$B$1268,"2%-4%",Calc_Anclaje!$C$1133:$C$1268,$B13))</f>
        <v>3.0750000000000002</v>
      </c>
      <c r="K13" s="26"/>
      <c r="L13" s="26">
        <f>3</f>
        <v>3</v>
      </c>
      <c r="M13" s="26"/>
      <c r="N13" s="26" t="s">
        <v>2512</v>
      </c>
      <c r="O13" s="26">
        <f>IFERROR(SUMIFS(Calc_Anclaje!$E$1062:$E$1129,Calc_Anclaje!$A$1062:$A$1129,$B$2,Calc_Anclaje!$B$1062:$B$1129,$B13),NA())</f>
        <v>3.0750000000000006</v>
      </c>
      <c r="P13" s="26">
        <f>IFERROR(SUMIFS(Calc_Anclaje!$D$1062:$D$1129,Calc_Anclaje!$A$1062:$A$1129,$B$2,Calc_Anclaje!$B$1062:$B$1129,VALUE(SUBSTITUTE(N13,"d-",""))),NA())</f>
        <v>12</v>
      </c>
      <c r="Q13" s="26">
        <f>3</f>
        <v>3</v>
      </c>
      <c r="R13">
        <f>IFERROR(SUMIFS(Calc_Anclaje!$F$1062:$F$1129,Calc_Anclaje!$A$1062:$A$1129,$B$2,Calc_Anclaje!$B$1062:$B$1129,VALUE(SUBSTITUTE(N13,"d-",""))),NA())</f>
        <v>4.2583333333333337</v>
      </c>
    </row>
    <row r="14" spans="1:18">
      <c r="A14" t="s">
        <v>2510</v>
      </c>
      <c r="B14">
        <v>15</v>
      </c>
      <c r="C14" s="26">
        <f>IFERROR(SUMIFS(Calc_Anclaje!$E$1062:$E$1129,Calc_Anclaje!$A$1062:$A$1129,$B$2,Calc_Anclaje!$B$1062:$B$1129,$B14),NA())</f>
        <v>3.0846153846153852</v>
      </c>
      <c r="D14" s="26">
        <f>IFERROR(SUMIFS(Calc_Anclaje!$F$1062:$F$1129,Calc_Anclaje!$A$1062:$A$1129,$B$2,Calc_Anclaje!$B$1062:$B$1129,$B14),NA())</f>
        <v>4.3692307692307697</v>
      </c>
      <c r="E14" s="26">
        <f>3</f>
        <v>3</v>
      </c>
      <c r="F14" s="26">
        <f>IFERROR(SUMIFS(Calc_Anclaje!$K$1062:$K$1129,Calc_Anclaje!$A$1062:$A$1129,$B$2,Calc_Anclaje!$B$1062:$B$1129,$B14),NA())</f>
        <v>8.4615384615384689E-2</v>
      </c>
      <c r="G14" s="26">
        <f>IFERROR(SUMIFS(Calc_Anclaje!$G$1062:$G$1129,Calc_Anclaje!$A$1062:$A$1129,$B$2,Calc_Anclaje!$B$1062:$B$1129,$B14),NA())</f>
        <v>-1.2846153846153845</v>
      </c>
      <c r="H14" s="26"/>
      <c r="I14" s="26">
        <f>IF(COUNTIFS(Calc_Anclaje!$A$1133:$A$1268,$B$2,Calc_Anclaje!$B$1133:$B$1268,"="&amp;"&gt;4%",Calc_Anclaje!$C$1133:$C$1268,$B14)=0,NA(),SUMIFS(Calc_Anclaje!$F$1133:$F$1268,Calc_Anclaje!$A$1133:$A$1268,$B$2,Calc_Anclaje!$B$1133:$B$1268,"="&amp;"&gt;4%",Calc_Anclaje!$C$1133:$C$1268,$B14))</f>
        <v>3.0888888888888895</v>
      </c>
      <c r="J14" s="26">
        <f>IF(COUNTIFS(Calc_Anclaje!$A$1133:$A$1268,$B$2,Calc_Anclaje!$B$1133:$B$1268,"2%-4%",Calc_Anclaje!$C$1133:$C$1268,$B14)=0,NA(),SUMIFS(Calc_Anclaje!$F$1133:$F$1268,Calc_Anclaje!$A$1133:$A$1268,$B$2,Calc_Anclaje!$B$1133:$B$1268,"2%-4%",Calc_Anclaje!$C$1133:$C$1268,$B14))</f>
        <v>3.0750000000000002</v>
      </c>
      <c r="K14" s="26"/>
      <c r="L14" s="26">
        <f>3</f>
        <v>3</v>
      </c>
      <c r="M14" s="26"/>
      <c r="N14" s="26" t="s">
        <v>2510</v>
      </c>
      <c r="O14" s="26">
        <f>IFERROR(SUMIFS(Calc_Anclaje!$E$1062:$E$1129,Calc_Anclaje!$A$1062:$A$1129,$B$2,Calc_Anclaje!$B$1062:$B$1129,$B14),NA())</f>
        <v>3.0846153846153852</v>
      </c>
      <c r="P14" s="26">
        <f>IFERROR(SUMIFS(Calc_Anclaje!$D$1062:$D$1129,Calc_Anclaje!$A$1062:$A$1129,$B$2,Calc_Anclaje!$B$1062:$B$1129,VALUE(SUBSTITUTE(N14,"d-",""))),NA())</f>
        <v>13</v>
      </c>
      <c r="Q14" s="26">
        <f>3</f>
        <v>3</v>
      </c>
      <c r="R14">
        <f>IFERROR(SUMIFS(Calc_Anclaje!$F$1062:$F$1129,Calc_Anclaje!$A$1062:$A$1129,$B$2,Calc_Anclaje!$B$1062:$B$1129,VALUE(SUBSTITUTE(N14,"d-",""))),NA())</f>
        <v>4.3692307692307697</v>
      </c>
    </row>
    <row r="15" spans="1:18">
      <c r="A15" t="s">
        <v>2511</v>
      </c>
      <c r="B15">
        <v>14</v>
      </c>
      <c r="C15" s="26">
        <f>IFERROR(SUMIFS(Calc_Anclaje!$E$1062:$E$1129,Calc_Anclaje!$A$1062:$A$1129,$B$2,Calc_Anclaje!$B$1062:$B$1129,$B15),NA())</f>
        <v>3.1230769230769235</v>
      </c>
      <c r="D15" s="26">
        <f>IFERROR(SUMIFS(Calc_Anclaje!$F$1062:$F$1129,Calc_Anclaje!$A$1062:$A$1129,$B$2,Calc_Anclaje!$B$1062:$B$1129,$B15),NA())</f>
        <v>4.3692307692307697</v>
      </c>
      <c r="E15" s="26">
        <f>3</f>
        <v>3</v>
      </c>
      <c r="F15" s="26">
        <f>IFERROR(SUMIFS(Calc_Anclaje!$K$1062:$K$1129,Calc_Anclaje!$A$1062:$A$1129,$B$2,Calc_Anclaje!$B$1062:$B$1129,$B15),NA())</f>
        <v>0.12307692307692315</v>
      </c>
      <c r="G15" s="26">
        <f>IFERROR(SUMIFS(Calc_Anclaje!$G$1062:$G$1129,Calc_Anclaje!$A$1062:$A$1129,$B$2,Calc_Anclaje!$B$1062:$B$1129,$B15),NA())</f>
        <v>-1.2461538461538462</v>
      </c>
      <c r="H15" s="26"/>
      <c r="I15" s="26">
        <f>IF(COUNTIFS(Calc_Anclaje!$A$1133:$A$1268,$B$2,Calc_Anclaje!$B$1133:$B$1268,"="&amp;"&gt;4%",Calc_Anclaje!$C$1133:$C$1268,$B15)=0,NA(),SUMIFS(Calc_Anclaje!$F$1133:$F$1268,Calc_Anclaje!$A$1133:$A$1268,$B$2,Calc_Anclaje!$B$1133:$B$1268,"="&amp;"&gt;4%",Calc_Anclaje!$C$1133:$C$1268,$B15))</f>
        <v>3.1444444444444448</v>
      </c>
      <c r="J15" s="26">
        <f>IF(COUNTIFS(Calc_Anclaje!$A$1133:$A$1268,$B$2,Calc_Anclaje!$B$1133:$B$1268,"2%-4%",Calc_Anclaje!$C$1133:$C$1268,$B15)=0,NA(),SUMIFS(Calc_Anclaje!$F$1133:$F$1268,Calc_Anclaje!$A$1133:$A$1268,$B$2,Calc_Anclaje!$B$1133:$B$1268,"2%-4%",Calc_Anclaje!$C$1133:$C$1268,$B15))</f>
        <v>3.0750000000000002</v>
      </c>
      <c r="K15" s="26"/>
      <c r="L15" s="26">
        <f>3</f>
        <v>3</v>
      </c>
      <c r="M15" s="26"/>
      <c r="N15" s="26" t="s">
        <v>2511</v>
      </c>
      <c r="O15" s="26">
        <f>IFERROR(SUMIFS(Calc_Anclaje!$E$1062:$E$1129,Calc_Anclaje!$A$1062:$A$1129,$B$2,Calc_Anclaje!$B$1062:$B$1129,$B15),NA())</f>
        <v>3.1230769230769235</v>
      </c>
      <c r="P15" s="26">
        <f>IFERROR(SUMIFS(Calc_Anclaje!$D$1062:$D$1129,Calc_Anclaje!$A$1062:$A$1129,$B$2,Calc_Anclaje!$B$1062:$B$1129,VALUE(SUBSTITUTE(N15,"d-",""))),NA())</f>
        <v>13</v>
      </c>
      <c r="Q15" s="26">
        <f>3</f>
        <v>3</v>
      </c>
      <c r="R15">
        <f>IFERROR(SUMIFS(Calc_Anclaje!$F$1062:$F$1129,Calc_Anclaje!$A$1062:$A$1129,$B$2,Calc_Anclaje!$B$1062:$B$1129,VALUE(SUBSTITUTE(N15,"d-",""))),NA())</f>
        <v>4.3692307692307697</v>
      </c>
    </row>
    <row r="16" spans="1:18">
      <c r="A16" t="s">
        <v>2508</v>
      </c>
      <c r="B16">
        <v>13</v>
      </c>
      <c r="C16" s="26">
        <f>IFERROR(SUMIFS(Calc_Anclaje!$E$1062:$E$1129,Calc_Anclaje!$A$1062:$A$1129,$B$2,Calc_Anclaje!$B$1062:$B$1129,$B16),NA())</f>
        <v>3.1357142857142861</v>
      </c>
      <c r="D16" s="26">
        <f>IFERROR(SUMIFS(Calc_Anclaje!$F$1062:$F$1129,Calc_Anclaje!$A$1062:$A$1129,$B$2,Calc_Anclaje!$B$1062:$B$1129,$B16),NA())</f>
        <v>4.5928571428571434</v>
      </c>
      <c r="E16" s="26">
        <f>3</f>
        <v>3</v>
      </c>
      <c r="F16" s="26">
        <f>IFERROR(SUMIFS(Calc_Anclaje!$K$1062:$K$1129,Calc_Anclaje!$A$1062:$A$1129,$B$2,Calc_Anclaje!$B$1062:$B$1129,$B16),NA())</f>
        <v>0.13571428571428576</v>
      </c>
      <c r="G16" s="26">
        <f>IFERROR(SUMIFS(Calc_Anclaje!$G$1062:$G$1129,Calc_Anclaje!$A$1062:$A$1129,$B$2,Calc_Anclaje!$B$1062:$B$1129,$B16),NA())</f>
        <v>-1.4571428571428571</v>
      </c>
      <c r="H16" s="26"/>
      <c r="I16" s="26">
        <f>IF(COUNTIFS(Calc_Anclaje!$A$1133:$A$1268,$B$2,Calc_Anclaje!$B$1133:$B$1268,"="&amp;"&gt;4%",Calc_Anclaje!$C$1133:$C$1268,$B16)=0,NA(),SUMIFS(Calc_Anclaje!$F$1133:$F$1268,Calc_Anclaje!$A$1133:$A$1268,$B$2,Calc_Anclaje!$B$1133:$B$1268,"="&amp;"&gt;4%",Calc_Anclaje!$C$1133:$C$1268,$B16))</f>
        <v>3.1700000000000004</v>
      </c>
      <c r="J16" s="26">
        <f>IF(COUNTIFS(Calc_Anclaje!$A$1133:$A$1268,$B$2,Calc_Anclaje!$B$1133:$B$1268,"2%-4%",Calc_Anclaje!$C$1133:$C$1268,$B16)=0,NA(),SUMIFS(Calc_Anclaje!$F$1133:$F$1268,Calc_Anclaje!$A$1133:$A$1268,$B$2,Calc_Anclaje!$B$1133:$B$1268,"2%-4%",Calc_Anclaje!$C$1133:$C$1268,$B16))</f>
        <v>3.05</v>
      </c>
      <c r="K16" s="26"/>
      <c r="L16" s="26">
        <f>3</f>
        <v>3</v>
      </c>
      <c r="M16" s="26"/>
      <c r="N16" s="26" t="s">
        <v>2508</v>
      </c>
      <c r="O16" s="26">
        <f>IFERROR(SUMIFS(Calc_Anclaje!$E$1062:$E$1129,Calc_Anclaje!$A$1062:$A$1129,$B$2,Calc_Anclaje!$B$1062:$B$1129,$B16),NA())</f>
        <v>3.1357142857142861</v>
      </c>
      <c r="P16" s="26">
        <f>IFERROR(SUMIFS(Calc_Anclaje!$D$1062:$D$1129,Calc_Anclaje!$A$1062:$A$1129,$B$2,Calc_Anclaje!$B$1062:$B$1129,VALUE(SUBSTITUTE(N16,"d-",""))),NA())</f>
        <v>14</v>
      </c>
      <c r="Q16" s="26">
        <f>3</f>
        <v>3</v>
      </c>
      <c r="R16">
        <f>IFERROR(SUMIFS(Calc_Anclaje!$F$1062:$F$1129,Calc_Anclaje!$A$1062:$A$1129,$B$2,Calc_Anclaje!$B$1062:$B$1129,VALUE(SUBSTITUTE(N16,"d-",""))),NA())</f>
        <v>4.5928571428571434</v>
      </c>
    </row>
    <row r="17" spans="1:18">
      <c r="A17" t="s">
        <v>2509</v>
      </c>
      <c r="B17">
        <v>12</v>
      </c>
      <c r="C17" s="26">
        <f>IFERROR(SUMIFS(Calc_Anclaje!$E$1062:$E$1129,Calc_Anclaje!$A$1062:$A$1129,$B$2,Calc_Anclaje!$B$1062:$B$1129,$B17),NA())</f>
        <v>3.2142857142857144</v>
      </c>
      <c r="D17" s="26">
        <f>IFERROR(SUMIFS(Calc_Anclaje!$F$1062:$F$1129,Calc_Anclaje!$A$1062:$A$1129,$B$2,Calc_Anclaje!$B$1062:$B$1129,$B17),NA())</f>
        <v>4.5928571428571434</v>
      </c>
      <c r="E17" s="26">
        <f>3</f>
        <v>3</v>
      </c>
      <c r="F17" s="26">
        <f>IFERROR(SUMIFS(Calc_Anclaje!$K$1062:$K$1129,Calc_Anclaje!$A$1062:$A$1129,$B$2,Calc_Anclaje!$B$1062:$B$1129,$B17),NA())</f>
        <v>0.21428571428571436</v>
      </c>
      <c r="G17" s="26">
        <f>IFERROR(SUMIFS(Calc_Anclaje!$G$1062:$G$1129,Calc_Anclaje!$A$1062:$A$1129,$B$2,Calc_Anclaje!$B$1062:$B$1129,$B17),NA())</f>
        <v>-1.3785714285714286</v>
      </c>
      <c r="H17" s="26"/>
      <c r="I17" s="26">
        <f>IF(COUNTIFS(Calc_Anclaje!$A$1133:$A$1268,$B$2,Calc_Anclaje!$B$1133:$B$1268,"="&amp;"&gt;4%",Calc_Anclaje!$C$1133:$C$1268,$B17)=0,NA(),SUMIFS(Calc_Anclaje!$F$1133:$F$1268,Calc_Anclaje!$A$1133:$A$1268,$B$2,Calc_Anclaje!$B$1133:$B$1268,"="&amp;"&gt;4%",Calc_Anclaje!$C$1133:$C$1268,$B17))</f>
        <v>3.2599999999999993</v>
      </c>
      <c r="J17" s="26">
        <f>IF(COUNTIFS(Calc_Anclaje!$A$1133:$A$1268,$B$2,Calc_Anclaje!$B$1133:$B$1268,"2%-4%",Calc_Anclaje!$C$1133:$C$1268,$B17)=0,NA(),SUMIFS(Calc_Anclaje!$F$1133:$F$1268,Calc_Anclaje!$A$1133:$A$1268,$B$2,Calc_Anclaje!$B$1133:$B$1268,"2%-4%",Calc_Anclaje!$C$1133:$C$1268,$B17))</f>
        <v>3.1</v>
      </c>
      <c r="K17" s="26"/>
      <c r="L17" s="26">
        <f>3</f>
        <v>3</v>
      </c>
      <c r="M17" s="26"/>
      <c r="N17" s="26" t="s">
        <v>2509</v>
      </c>
      <c r="O17" s="26">
        <f>IFERROR(SUMIFS(Calc_Anclaje!$E$1062:$E$1129,Calc_Anclaje!$A$1062:$A$1129,$B$2,Calc_Anclaje!$B$1062:$B$1129,$B17),NA())</f>
        <v>3.2142857142857144</v>
      </c>
      <c r="P17" s="26">
        <f>IFERROR(SUMIFS(Calc_Anclaje!$D$1062:$D$1129,Calc_Anclaje!$A$1062:$A$1129,$B$2,Calc_Anclaje!$B$1062:$B$1129,VALUE(SUBSTITUTE(N17,"d-",""))),NA())</f>
        <v>14</v>
      </c>
      <c r="Q17" s="26">
        <f>3</f>
        <v>3</v>
      </c>
      <c r="R17">
        <f>IFERROR(SUMIFS(Calc_Anclaje!$F$1062:$F$1129,Calc_Anclaje!$A$1062:$A$1129,$B$2,Calc_Anclaje!$B$1062:$B$1129,VALUE(SUBSTITUTE(N17,"d-",""))),NA())</f>
        <v>4.5928571428571434</v>
      </c>
    </row>
    <row r="18" spans="1:18">
      <c r="A18" t="s">
        <v>2506</v>
      </c>
      <c r="B18">
        <v>11</v>
      </c>
      <c r="C18" s="26">
        <f>IFERROR(SUMIFS(Calc_Anclaje!$E$1062:$E$1129,Calc_Anclaje!$A$1062:$A$1129,$B$2,Calc_Anclaje!$B$1062:$B$1129,$B18),NA())</f>
        <v>3.2533333333333334</v>
      </c>
      <c r="D18" s="26">
        <f>IFERROR(SUMIFS(Calc_Anclaje!$F$1062:$F$1129,Calc_Anclaje!$A$1062:$A$1129,$B$2,Calc_Anclaje!$B$1062:$B$1129,$B18),NA())</f>
        <v>4.8199999999999994</v>
      </c>
      <c r="E18" s="26">
        <f>3</f>
        <v>3</v>
      </c>
      <c r="F18" s="26">
        <f>IFERROR(SUMIFS(Calc_Anclaje!$K$1062:$K$1129,Calc_Anclaje!$A$1062:$A$1129,$B$2,Calc_Anclaje!$B$1062:$B$1129,$B18),NA())</f>
        <v>0.25333333333333341</v>
      </c>
      <c r="G18" s="26">
        <f>IFERROR(SUMIFS(Calc_Anclaje!$G$1062:$G$1129,Calc_Anclaje!$A$1062:$A$1129,$B$2,Calc_Anclaje!$B$1062:$B$1129,$B18),NA())</f>
        <v>-1.5666666666666664</v>
      </c>
      <c r="H18" s="26"/>
      <c r="I18" s="26">
        <f>IF(COUNTIFS(Calc_Anclaje!$A$1133:$A$1268,$B$2,Calc_Anclaje!$B$1133:$B$1268,"="&amp;"&gt;4%",Calc_Anclaje!$C$1133:$C$1268,$B18)=0,NA(),SUMIFS(Calc_Anclaje!$F$1133:$F$1268,Calc_Anclaje!$A$1133:$A$1268,$B$2,Calc_Anclaje!$B$1133:$B$1268,"="&amp;"&gt;4%",Calc_Anclaje!$C$1133:$C$1268,$B18))</f>
        <v>3.3</v>
      </c>
      <c r="J18" s="26">
        <f>IF(COUNTIFS(Calc_Anclaje!$A$1133:$A$1268,$B$2,Calc_Anclaje!$B$1133:$B$1268,"2%-4%",Calc_Anclaje!$C$1133:$C$1268,$B18)=0,NA(),SUMIFS(Calc_Anclaje!$F$1133:$F$1268,Calc_Anclaje!$A$1133:$A$1268,$B$2,Calc_Anclaje!$B$1133:$B$1268,"2%-4%",Calc_Anclaje!$C$1133:$C$1268,$B18))</f>
        <v>3.125</v>
      </c>
      <c r="K18" s="26"/>
      <c r="L18" s="26">
        <f>3</f>
        <v>3</v>
      </c>
      <c r="M18" s="26"/>
      <c r="N18" s="26" t="s">
        <v>2506</v>
      </c>
      <c r="O18" s="26">
        <f>IFERROR(SUMIFS(Calc_Anclaje!$E$1062:$E$1129,Calc_Anclaje!$A$1062:$A$1129,$B$2,Calc_Anclaje!$B$1062:$B$1129,$B18),NA())</f>
        <v>3.2533333333333334</v>
      </c>
      <c r="P18" s="26">
        <f>IFERROR(SUMIFS(Calc_Anclaje!$D$1062:$D$1129,Calc_Anclaje!$A$1062:$A$1129,$B$2,Calc_Anclaje!$B$1062:$B$1129,VALUE(SUBSTITUTE(N18,"d-",""))),NA())</f>
        <v>15</v>
      </c>
      <c r="Q18" s="26">
        <f>3</f>
        <v>3</v>
      </c>
      <c r="R18">
        <f>IFERROR(SUMIFS(Calc_Anclaje!$F$1062:$F$1129,Calc_Anclaje!$A$1062:$A$1129,$B$2,Calc_Anclaje!$B$1062:$B$1129,VALUE(SUBSTITUTE(N18,"d-",""))),NA())</f>
        <v>4.8199999999999994</v>
      </c>
    </row>
    <row r="19" spans="1:18">
      <c r="A19" t="s">
        <v>2507</v>
      </c>
      <c r="B19">
        <v>10</v>
      </c>
      <c r="C19" s="26">
        <f>IFERROR(SUMIFS(Calc_Anclaje!$E$1062:$E$1129,Calc_Anclaje!$A$1062:$A$1129,$B$2,Calc_Anclaje!$B$1062:$B$1129,$B19),NA())</f>
        <v>3.373333333333334</v>
      </c>
      <c r="D19" s="26">
        <f>IFERROR(SUMIFS(Calc_Anclaje!$F$1062:$F$1129,Calc_Anclaje!$A$1062:$A$1129,$B$2,Calc_Anclaje!$B$1062:$B$1129,$B19),NA())</f>
        <v>4.8199999999999994</v>
      </c>
      <c r="E19" s="26">
        <f>3</f>
        <v>3</v>
      </c>
      <c r="F19" s="26">
        <f>IFERROR(SUMIFS(Calc_Anclaje!$K$1062:$K$1129,Calc_Anclaje!$A$1062:$A$1129,$B$2,Calc_Anclaje!$B$1062:$B$1129,$B19),NA())</f>
        <v>0.37333333333333341</v>
      </c>
      <c r="G19" s="26">
        <f>IFERROR(SUMIFS(Calc_Anclaje!$G$1062:$G$1129,Calc_Anclaje!$A$1062:$A$1129,$B$2,Calc_Anclaje!$B$1062:$B$1129,$B19),NA())</f>
        <v>-1.4466666666666668</v>
      </c>
      <c r="H19" s="26"/>
      <c r="I19" s="26">
        <f>IF(COUNTIFS(Calc_Anclaje!$A$1133:$A$1268,$B$2,Calc_Anclaje!$B$1133:$B$1268,"="&amp;"&gt;4%",Calc_Anclaje!$C$1133:$C$1268,$B19)=0,NA(),SUMIFS(Calc_Anclaje!$F$1133:$F$1268,Calc_Anclaje!$A$1133:$A$1268,$B$2,Calc_Anclaje!$B$1133:$B$1268,"="&amp;"&gt;4%",Calc_Anclaje!$C$1133:$C$1268,$B19))</f>
        <v>3.4727272727272731</v>
      </c>
      <c r="J19" s="26">
        <f>IF(COUNTIFS(Calc_Anclaje!$A$1133:$A$1268,$B$2,Calc_Anclaje!$B$1133:$B$1268,"2%-4%",Calc_Anclaje!$C$1133:$C$1268,$B19)=0,NA(),SUMIFS(Calc_Anclaje!$F$1133:$F$1268,Calc_Anclaje!$A$1133:$A$1268,$B$2,Calc_Anclaje!$B$1133:$B$1268,"2%-4%",Calc_Anclaje!$C$1133:$C$1268,$B19))</f>
        <v>3.1</v>
      </c>
      <c r="K19" s="26"/>
      <c r="L19" s="26">
        <f>3</f>
        <v>3</v>
      </c>
      <c r="M19" s="26"/>
      <c r="N19" s="26" t="s">
        <v>2507</v>
      </c>
      <c r="O19" s="26">
        <f>IFERROR(SUMIFS(Calc_Anclaje!$E$1062:$E$1129,Calc_Anclaje!$A$1062:$A$1129,$B$2,Calc_Anclaje!$B$1062:$B$1129,$B19),NA())</f>
        <v>3.373333333333334</v>
      </c>
      <c r="P19" s="26">
        <f>IFERROR(SUMIFS(Calc_Anclaje!$D$1062:$D$1129,Calc_Anclaje!$A$1062:$A$1129,$B$2,Calc_Anclaje!$B$1062:$B$1129,VALUE(SUBSTITUTE(N19,"d-",""))),NA())</f>
        <v>15</v>
      </c>
      <c r="Q19" s="26">
        <f>3</f>
        <v>3</v>
      </c>
      <c r="R19">
        <f>IFERROR(SUMIFS(Calc_Anclaje!$F$1062:$F$1129,Calc_Anclaje!$A$1062:$A$1129,$B$2,Calc_Anclaje!$B$1062:$B$1129,VALUE(SUBSTITUTE(N19,"d-",""))),NA())</f>
        <v>4.8199999999999994</v>
      </c>
    </row>
    <row r="20" spans="1:18">
      <c r="A20" t="s">
        <v>2504</v>
      </c>
      <c r="B20">
        <v>9</v>
      </c>
      <c r="C20" s="26">
        <f>IFERROR(SUMIFS(Calc_Anclaje!$E$1062:$E$1129,Calc_Anclaje!$A$1062:$A$1129,$B$2,Calc_Anclaje!$B$1062:$B$1129,$B20),NA())</f>
        <v>3.4250000000000003</v>
      </c>
      <c r="D20" s="26">
        <f>IFERROR(SUMIFS(Calc_Anclaje!$F$1062:$F$1129,Calc_Anclaje!$A$1062:$A$1129,$B$2,Calc_Anclaje!$B$1062:$B$1129,$B20),NA())</f>
        <v>5.05</v>
      </c>
      <c r="E20" s="26">
        <f>3</f>
        <v>3</v>
      </c>
      <c r="F20" s="26">
        <f>IFERROR(SUMIFS(Calc_Anclaje!$K$1062:$K$1129,Calc_Anclaje!$A$1062:$A$1129,$B$2,Calc_Anclaje!$B$1062:$B$1129,$B20),NA())</f>
        <v>0.42500000000000004</v>
      </c>
      <c r="G20" s="26">
        <f>IFERROR(SUMIFS(Calc_Anclaje!$G$1062:$G$1129,Calc_Anclaje!$A$1062:$A$1129,$B$2,Calc_Anclaje!$B$1062:$B$1129,$B20),NA())</f>
        <v>-1.625</v>
      </c>
      <c r="H20" s="26"/>
      <c r="I20" s="26">
        <f>IF(COUNTIFS(Calc_Anclaje!$A$1133:$A$1268,$B$2,Calc_Anclaje!$B$1133:$B$1268,"="&amp;"&gt;4%",Calc_Anclaje!$C$1133:$C$1268,$B20)=0,NA(),SUMIFS(Calc_Anclaje!$F$1133:$F$1268,Calc_Anclaje!$A$1133:$A$1268,$B$2,Calc_Anclaje!$B$1133:$B$1268,"="&amp;"&gt;4%",Calc_Anclaje!$C$1133:$C$1268,$B20))</f>
        <v>3.5333333333333332</v>
      </c>
      <c r="J20" s="26">
        <f>IF(COUNTIFS(Calc_Anclaje!$A$1133:$A$1268,$B$2,Calc_Anclaje!$B$1133:$B$1268,"2%-4%",Calc_Anclaje!$C$1133:$C$1268,$B20)=0,NA(),SUMIFS(Calc_Anclaje!$F$1133:$F$1268,Calc_Anclaje!$A$1133:$A$1268,$B$2,Calc_Anclaje!$B$1133:$B$1268,"2%-4%",Calc_Anclaje!$C$1133:$C$1268,$B20))</f>
        <v>3.1</v>
      </c>
      <c r="K20" s="26"/>
      <c r="L20" s="26">
        <f>3</f>
        <v>3</v>
      </c>
      <c r="M20" s="26"/>
      <c r="N20" s="26" t="s">
        <v>2504</v>
      </c>
      <c r="O20" s="26">
        <f>IFERROR(SUMIFS(Calc_Anclaje!$E$1062:$E$1129,Calc_Anclaje!$A$1062:$A$1129,$B$2,Calc_Anclaje!$B$1062:$B$1129,$B20),NA())</f>
        <v>3.4250000000000003</v>
      </c>
      <c r="P20" s="26">
        <f>IFERROR(SUMIFS(Calc_Anclaje!$D$1062:$D$1129,Calc_Anclaje!$A$1062:$A$1129,$B$2,Calc_Anclaje!$B$1062:$B$1129,VALUE(SUBSTITUTE(N20,"d-",""))),NA())</f>
        <v>16</v>
      </c>
      <c r="Q20" s="26">
        <f>3</f>
        <v>3</v>
      </c>
      <c r="R20">
        <f>IFERROR(SUMIFS(Calc_Anclaje!$F$1062:$F$1129,Calc_Anclaje!$A$1062:$A$1129,$B$2,Calc_Anclaje!$B$1062:$B$1129,VALUE(SUBSTITUTE(N20,"d-",""))),NA())</f>
        <v>5.05</v>
      </c>
    </row>
    <row r="21" spans="1:18">
      <c r="A21" t="s">
        <v>2505</v>
      </c>
      <c r="B21">
        <v>8</v>
      </c>
      <c r="C21" s="26">
        <f>IFERROR(SUMIFS(Calc_Anclaje!$E$1062:$E$1129,Calc_Anclaje!$A$1062:$A$1129,$B$2,Calc_Anclaje!$B$1062:$B$1129,$B21),NA())</f>
        <v>3.7</v>
      </c>
      <c r="D21" s="26">
        <f>IFERROR(SUMIFS(Calc_Anclaje!$F$1062:$F$1129,Calc_Anclaje!$A$1062:$A$1129,$B$2,Calc_Anclaje!$B$1062:$B$1129,$B21),NA())</f>
        <v>5.05</v>
      </c>
      <c r="E21" s="26">
        <f>3</f>
        <v>3</v>
      </c>
      <c r="F21" s="26">
        <f>IFERROR(SUMIFS(Calc_Anclaje!$K$1062:$K$1129,Calc_Anclaje!$A$1062:$A$1129,$B$2,Calc_Anclaje!$B$1062:$B$1129,$B21),NA())</f>
        <v>0.69999999999999984</v>
      </c>
      <c r="G21" s="26">
        <f>IFERROR(SUMIFS(Calc_Anclaje!$G$1062:$G$1129,Calc_Anclaje!$A$1062:$A$1129,$B$2,Calc_Anclaje!$B$1062:$B$1129,$B21),NA())</f>
        <v>-1.3499999999999999</v>
      </c>
      <c r="H21" s="26"/>
      <c r="I21" s="26">
        <f>IF(COUNTIFS(Calc_Anclaje!$A$1133:$A$1268,$B$2,Calc_Anclaje!$B$1133:$B$1268,"="&amp;"&gt;4%",Calc_Anclaje!$C$1133:$C$1268,$B21)=0,NA(),SUMIFS(Calc_Anclaje!$F$1133:$F$1268,Calc_Anclaje!$A$1133:$A$1268,$B$2,Calc_Anclaje!$B$1133:$B$1268,"="&amp;"&gt;4%",Calc_Anclaje!$C$1133:$C$1268,$B21))</f>
        <v>3.875</v>
      </c>
      <c r="J21" s="26">
        <f>IF(COUNTIFS(Calc_Anclaje!$A$1133:$A$1268,$B$2,Calc_Anclaje!$B$1133:$B$1268,"2%-4%",Calc_Anclaje!$C$1133:$C$1268,$B21)=0,NA(),SUMIFS(Calc_Anclaje!$F$1133:$F$1268,Calc_Anclaje!$A$1133:$A$1268,$B$2,Calc_Anclaje!$B$1133:$B$1268,"2%-4%",Calc_Anclaje!$C$1133:$C$1268,$B21))</f>
        <v>3.1750000000000003</v>
      </c>
      <c r="K21" s="26"/>
      <c r="L21" s="26">
        <f>3</f>
        <v>3</v>
      </c>
      <c r="M21" s="26"/>
      <c r="N21" s="26" t="s">
        <v>2505</v>
      </c>
      <c r="O21" s="26">
        <f>IFERROR(SUMIFS(Calc_Anclaje!$E$1062:$E$1129,Calc_Anclaje!$A$1062:$A$1129,$B$2,Calc_Anclaje!$B$1062:$B$1129,$B21),NA())</f>
        <v>3.7</v>
      </c>
      <c r="P21" s="26">
        <f>IFERROR(SUMIFS(Calc_Anclaje!$D$1062:$D$1129,Calc_Anclaje!$A$1062:$A$1129,$B$2,Calc_Anclaje!$B$1062:$B$1129,VALUE(SUBSTITUTE(N21,"d-",""))),NA())</f>
        <v>16</v>
      </c>
      <c r="Q21" s="26">
        <f>3</f>
        <v>3</v>
      </c>
      <c r="R21">
        <f>IFERROR(SUMIFS(Calc_Anclaje!$F$1062:$F$1129,Calc_Anclaje!$A$1062:$A$1129,$B$2,Calc_Anclaje!$B$1062:$B$1129,VALUE(SUBSTITUTE(N21,"d-",""))),NA())</f>
        <v>5.05</v>
      </c>
    </row>
    <row r="22" spans="1:18">
      <c r="A22" t="s">
        <v>2502</v>
      </c>
      <c r="B22">
        <v>7</v>
      </c>
      <c r="C22" s="26">
        <f>IFERROR(SUMIFS(Calc_Anclaje!$E$1062:$E$1129,Calc_Anclaje!$A$1062:$A$1129,$B$2,Calc_Anclaje!$B$1062:$B$1129,$B22),NA())</f>
        <v>3.9000000000000008</v>
      </c>
      <c r="D22" s="26">
        <f>IFERROR(SUMIFS(Calc_Anclaje!$F$1062:$F$1129,Calc_Anclaje!$A$1062:$A$1129,$B$2,Calc_Anclaje!$B$1062:$B$1129,$B22),NA())</f>
        <v>5.2117647058823531</v>
      </c>
      <c r="E22" s="26">
        <f>3</f>
        <v>3</v>
      </c>
      <c r="F22" s="26">
        <f>IFERROR(SUMIFS(Calc_Anclaje!$K$1062:$K$1129,Calc_Anclaje!$A$1062:$A$1129,$B$2,Calc_Anclaje!$B$1062:$B$1129,$B22),NA())</f>
        <v>0.89999999999999991</v>
      </c>
      <c r="G22" s="26">
        <f>IFERROR(SUMIFS(Calc_Anclaje!$G$1062:$G$1129,Calc_Anclaje!$A$1062:$A$1129,$B$2,Calc_Anclaje!$B$1062:$B$1129,$B22),NA())</f>
        <v>-1.3117647058823525</v>
      </c>
      <c r="H22" s="26"/>
      <c r="I22" s="26">
        <f>IF(COUNTIFS(Calc_Anclaje!$A$1133:$A$1268,$B$2,Calc_Anclaje!$B$1133:$B$1268,"="&amp;"&gt;4%",Calc_Anclaje!$C$1133:$C$1268,$B22)=0,NA(),SUMIFS(Calc_Anclaje!$F$1133:$F$1268,Calc_Anclaje!$A$1133:$A$1268,$B$2,Calc_Anclaje!$B$1133:$B$1268,"="&amp;"&gt;4%",Calc_Anclaje!$C$1133:$C$1268,$B22))</f>
        <v>4.1000000000000005</v>
      </c>
      <c r="J22" s="26">
        <f>IF(COUNTIFS(Calc_Anclaje!$A$1133:$A$1268,$B$2,Calc_Anclaje!$B$1133:$B$1268,"2%-4%",Calc_Anclaje!$C$1133:$C$1268,$B22)=0,NA(),SUMIFS(Calc_Anclaje!$F$1133:$F$1268,Calc_Anclaje!$A$1133:$A$1268,$B$2,Calc_Anclaje!$B$1133:$B$1268,"2%-4%",Calc_Anclaje!$C$1133:$C$1268,$B22))</f>
        <v>3.2499999999999996</v>
      </c>
      <c r="K22" s="26"/>
      <c r="L22" s="26">
        <f>3</f>
        <v>3</v>
      </c>
      <c r="M22" s="26"/>
      <c r="N22" s="26" t="s">
        <v>2502</v>
      </c>
      <c r="O22" s="26">
        <f>IFERROR(SUMIFS(Calc_Anclaje!$E$1062:$E$1129,Calc_Anclaje!$A$1062:$A$1129,$B$2,Calc_Anclaje!$B$1062:$B$1129,$B22),NA())</f>
        <v>3.9000000000000008</v>
      </c>
      <c r="P22" s="26">
        <f>IFERROR(SUMIFS(Calc_Anclaje!$D$1062:$D$1129,Calc_Anclaje!$A$1062:$A$1129,$B$2,Calc_Anclaje!$B$1062:$B$1129,VALUE(SUBSTITUTE(N22,"d-",""))),NA())</f>
        <v>17</v>
      </c>
      <c r="Q22" s="26">
        <f>3</f>
        <v>3</v>
      </c>
      <c r="R22">
        <f>IFERROR(SUMIFS(Calc_Anclaje!$F$1062:$F$1129,Calc_Anclaje!$A$1062:$A$1129,$B$2,Calc_Anclaje!$B$1062:$B$1129,VALUE(SUBSTITUTE(N22,"d-",""))),NA())</f>
        <v>5.2117647058823531</v>
      </c>
    </row>
    <row r="23" spans="1:18">
      <c r="A23" t="s">
        <v>2503</v>
      </c>
      <c r="B23">
        <v>6</v>
      </c>
      <c r="C23" s="26">
        <f>IFERROR(SUMIFS(Calc_Anclaje!$E$1062:$E$1129,Calc_Anclaje!$A$1062:$A$1129,$B$2,Calc_Anclaje!$B$1062:$B$1129,$B23),NA())</f>
        <v>4.2176470588235295</v>
      </c>
      <c r="D23" s="26">
        <f>IFERROR(SUMIFS(Calc_Anclaje!$F$1062:$F$1129,Calc_Anclaje!$A$1062:$A$1129,$B$2,Calc_Anclaje!$B$1062:$B$1129,$B23),NA())</f>
        <v>5.2117647058823531</v>
      </c>
      <c r="E23" s="26">
        <f>3</f>
        <v>3</v>
      </c>
      <c r="F23" s="26">
        <f>IFERROR(SUMIFS(Calc_Anclaje!$K$1062:$K$1129,Calc_Anclaje!$A$1062:$A$1129,$B$2,Calc_Anclaje!$B$1062:$B$1129,$B23),NA())</f>
        <v>1.2176470588235293</v>
      </c>
      <c r="G23" s="26">
        <f>IFERROR(SUMIFS(Calc_Anclaje!$G$1062:$G$1129,Calc_Anclaje!$A$1062:$A$1129,$B$2,Calc_Anclaje!$B$1062:$B$1129,$B23),NA())</f>
        <v>-0.99411764705882388</v>
      </c>
      <c r="H23" s="26"/>
      <c r="I23" s="26">
        <f>IF(COUNTIFS(Calc_Anclaje!$A$1133:$A$1268,$B$2,Calc_Anclaje!$B$1133:$B$1268,"="&amp;"&gt;4%",Calc_Anclaje!$C$1133:$C$1268,$B23)=0,NA(),SUMIFS(Calc_Anclaje!$F$1133:$F$1268,Calc_Anclaje!$A$1133:$A$1268,$B$2,Calc_Anclaje!$B$1133:$B$1268,"="&amp;"&gt;4%",Calc_Anclaje!$C$1133:$C$1268,$B23))</f>
        <v>4.4923076923076923</v>
      </c>
      <c r="J23" s="26">
        <f>IF(COUNTIFS(Calc_Anclaje!$A$1133:$A$1268,$B$2,Calc_Anclaje!$B$1133:$B$1268,"2%-4%",Calc_Anclaje!$C$1133:$C$1268,$B23)=0,NA(),SUMIFS(Calc_Anclaje!$F$1133:$F$1268,Calc_Anclaje!$A$1133:$A$1268,$B$2,Calc_Anclaje!$B$1133:$B$1268,"2%-4%",Calc_Anclaje!$C$1133:$C$1268,$B23))</f>
        <v>3.3249999999999997</v>
      </c>
      <c r="K23" s="26"/>
      <c r="L23" s="26">
        <f>3</f>
        <v>3</v>
      </c>
      <c r="M23" s="26"/>
      <c r="N23" s="26" t="s">
        <v>2503</v>
      </c>
      <c r="O23" s="26">
        <f>IFERROR(SUMIFS(Calc_Anclaje!$E$1062:$E$1129,Calc_Anclaje!$A$1062:$A$1129,$B$2,Calc_Anclaje!$B$1062:$B$1129,$B23),NA())</f>
        <v>4.2176470588235295</v>
      </c>
      <c r="P23" s="26">
        <f>IFERROR(SUMIFS(Calc_Anclaje!$D$1062:$D$1129,Calc_Anclaje!$A$1062:$A$1129,$B$2,Calc_Anclaje!$B$1062:$B$1129,VALUE(SUBSTITUTE(N23,"d-",""))),NA())</f>
        <v>17</v>
      </c>
      <c r="Q23" s="26">
        <f>3</f>
        <v>3</v>
      </c>
      <c r="R23">
        <f>IFERROR(SUMIFS(Calc_Anclaje!$F$1062:$F$1129,Calc_Anclaje!$A$1062:$A$1129,$B$2,Calc_Anclaje!$B$1062:$B$1129,VALUE(SUBSTITUTE(N23,"d-",""))),NA())</f>
        <v>5.2117647058823531</v>
      </c>
    </row>
    <row r="24" spans="1:18">
      <c r="A24" t="s">
        <v>2500</v>
      </c>
      <c r="B24">
        <v>5</v>
      </c>
      <c r="C24" s="26">
        <f>IFERROR(SUMIFS(Calc_Anclaje!$E$1062:$E$1129,Calc_Anclaje!$A$1062:$A$1129,$B$2,Calc_Anclaje!$B$1062:$B$1129,$B24),NA())</f>
        <v>4.4611111111111121</v>
      </c>
      <c r="D24" s="26">
        <f>IFERROR(SUMIFS(Calc_Anclaje!$F$1062:$F$1129,Calc_Anclaje!$A$1062:$A$1129,$B$2,Calc_Anclaje!$B$1062:$B$1129,$B24),NA())</f>
        <v>5.3277777777777784</v>
      </c>
      <c r="E24" s="26">
        <f>3</f>
        <v>3</v>
      </c>
      <c r="F24" s="26">
        <f>IFERROR(SUMIFS(Calc_Anclaje!$K$1062:$K$1129,Calc_Anclaje!$A$1062:$A$1129,$B$2,Calc_Anclaje!$B$1062:$B$1129,$B24),NA())</f>
        <v>1.4611111111111108</v>
      </c>
      <c r="G24" s="26">
        <f>IFERROR(SUMIFS(Calc_Anclaje!$G$1062:$G$1129,Calc_Anclaje!$A$1062:$A$1129,$B$2,Calc_Anclaje!$B$1062:$B$1129,$B24),NA())</f>
        <v>-0.8666666666666667</v>
      </c>
      <c r="H24" s="26"/>
      <c r="I24" s="26">
        <f>IF(COUNTIFS(Calc_Anclaje!$A$1133:$A$1268,$B$2,Calc_Anclaje!$B$1133:$B$1268,"="&amp;"&gt;4%",Calc_Anclaje!$C$1133:$C$1268,$B24)=0,NA(),SUMIFS(Calc_Anclaje!$F$1133:$F$1268,Calc_Anclaje!$A$1133:$A$1268,$B$2,Calc_Anclaje!$B$1133:$B$1268,"="&amp;"&gt;4%",Calc_Anclaje!$C$1133:$C$1268,$B24))</f>
        <v>4.7642857142857142</v>
      </c>
      <c r="J24" s="26">
        <f>IF(COUNTIFS(Calc_Anclaje!$A$1133:$A$1268,$B$2,Calc_Anclaje!$B$1133:$B$1268,"2%-4%",Calc_Anclaje!$C$1133:$C$1268,$B24)=0,NA(),SUMIFS(Calc_Anclaje!$F$1133:$F$1268,Calc_Anclaje!$A$1133:$A$1268,$B$2,Calc_Anclaje!$B$1133:$B$1268,"2%-4%",Calc_Anclaje!$C$1133:$C$1268,$B24))</f>
        <v>3.3999999999999995</v>
      </c>
      <c r="K24" s="26"/>
      <c r="L24" s="26">
        <f>3</f>
        <v>3</v>
      </c>
      <c r="M24" s="26"/>
      <c r="N24" s="26" t="s">
        <v>2500</v>
      </c>
      <c r="O24" s="26">
        <f>IFERROR(SUMIFS(Calc_Anclaje!$E$1062:$E$1129,Calc_Anclaje!$A$1062:$A$1129,$B$2,Calc_Anclaje!$B$1062:$B$1129,$B24),NA())</f>
        <v>4.4611111111111121</v>
      </c>
      <c r="P24" s="26">
        <f>IFERROR(SUMIFS(Calc_Anclaje!$D$1062:$D$1129,Calc_Anclaje!$A$1062:$A$1129,$B$2,Calc_Anclaje!$B$1062:$B$1129,VALUE(SUBSTITUTE(N24,"d-",""))),NA())</f>
        <v>18</v>
      </c>
      <c r="Q24" s="26">
        <f>3</f>
        <v>3</v>
      </c>
      <c r="R24">
        <f>IFERROR(SUMIFS(Calc_Anclaje!$F$1062:$F$1129,Calc_Anclaje!$A$1062:$A$1129,$B$2,Calc_Anclaje!$B$1062:$B$1129,VALUE(SUBSTITUTE(N24,"d-",""))),NA())</f>
        <v>5.3277777777777784</v>
      </c>
    </row>
    <row r="25" spans="1:18">
      <c r="A25" t="s">
        <v>2501</v>
      </c>
      <c r="B25">
        <v>4</v>
      </c>
      <c r="C25" s="26">
        <f>IFERROR(SUMIFS(Calc_Anclaje!$E$1062:$E$1129,Calc_Anclaje!$A$1062:$A$1129,$B$2,Calc_Anclaje!$B$1062:$B$1129,$B25),NA())</f>
        <v>4.7500000000000009</v>
      </c>
      <c r="D25" s="26">
        <f>IFERROR(SUMIFS(Calc_Anclaje!$F$1062:$F$1129,Calc_Anclaje!$A$1062:$A$1129,$B$2,Calc_Anclaje!$B$1062:$B$1129,$B25),NA())</f>
        <v>5.3277777777777784</v>
      </c>
      <c r="E25" s="26">
        <f>3</f>
        <v>3</v>
      </c>
      <c r="F25" s="26">
        <f>IFERROR(SUMIFS(Calc_Anclaje!$K$1062:$K$1129,Calc_Anclaje!$A$1062:$A$1129,$B$2,Calc_Anclaje!$B$1062:$B$1129,$B25),NA())</f>
        <v>1.7499999999999998</v>
      </c>
      <c r="G25" s="26">
        <f>IFERROR(SUMIFS(Calc_Anclaje!$G$1062:$G$1129,Calc_Anclaje!$A$1062:$A$1129,$B$2,Calc_Anclaje!$B$1062:$B$1129,$B25),NA())</f>
        <v>-0.57777777777777761</v>
      </c>
      <c r="H25" s="26"/>
      <c r="I25" s="26">
        <f>IF(COUNTIFS(Calc_Anclaje!$A$1133:$A$1268,$B$2,Calc_Anclaje!$B$1133:$B$1268,"="&amp;"&gt;4%",Calc_Anclaje!$C$1133:$C$1268,$B25)=0,NA(),SUMIFS(Calc_Anclaje!$F$1133:$F$1268,Calc_Anclaje!$A$1133:$A$1268,$B$2,Calc_Anclaje!$B$1133:$B$1268,"="&amp;"&gt;4%",Calc_Anclaje!$C$1133:$C$1268,$B25))</f>
        <v>5.1000000000000005</v>
      </c>
      <c r="J25" s="26">
        <f>IF(COUNTIFS(Calc_Anclaje!$A$1133:$A$1268,$B$2,Calc_Anclaje!$B$1133:$B$1268,"2%-4%",Calc_Anclaje!$C$1133:$C$1268,$B25)=0,NA(),SUMIFS(Calc_Anclaje!$F$1133:$F$1268,Calc_Anclaje!$A$1133:$A$1268,$B$2,Calc_Anclaje!$B$1133:$B$1268,"2%-4%",Calc_Anclaje!$C$1133:$C$1268,$B25))</f>
        <v>3.5250000000000004</v>
      </c>
      <c r="K25" s="26"/>
      <c r="L25" s="26">
        <f>3</f>
        <v>3</v>
      </c>
      <c r="M25" s="26"/>
      <c r="N25" s="26" t="s">
        <v>2501</v>
      </c>
      <c r="O25" s="26">
        <f>IFERROR(SUMIFS(Calc_Anclaje!$E$1062:$E$1129,Calc_Anclaje!$A$1062:$A$1129,$B$2,Calc_Anclaje!$B$1062:$B$1129,$B25),NA())</f>
        <v>4.7500000000000009</v>
      </c>
      <c r="P25" s="26">
        <f>IFERROR(SUMIFS(Calc_Anclaje!$D$1062:$D$1129,Calc_Anclaje!$A$1062:$A$1129,$B$2,Calc_Anclaje!$B$1062:$B$1129,VALUE(SUBSTITUTE(N25,"d-",""))),NA())</f>
        <v>18</v>
      </c>
      <c r="Q25" s="26">
        <f>3</f>
        <v>3</v>
      </c>
      <c r="R25">
        <f>IFERROR(SUMIFS(Calc_Anclaje!$F$1062:$F$1129,Calc_Anclaje!$A$1062:$A$1129,$B$2,Calc_Anclaje!$B$1062:$B$1129,VALUE(SUBSTITUTE(N25,"d-",""))),NA())</f>
        <v>5.3277777777777784</v>
      </c>
    </row>
    <row r="26" spans="1:18">
      <c r="A26" t="s">
        <v>2498</v>
      </c>
      <c r="B26">
        <v>3</v>
      </c>
      <c r="C26" s="26">
        <f>IFERROR(SUMIFS(Calc_Anclaje!$E$1062:$E$1129,Calc_Anclaje!$A$1062:$A$1129,$B$2,Calc_Anclaje!$B$1062:$B$1129,$B26),NA())</f>
        <v>5.0315789473684225</v>
      </c>
      <c r="D26" s="26">
        <f>IFERROR(SUMIFS(Calc_Anclaje!$F$1062:$F$1129,Calc_Anclaje!$A$1062:$A$1129,$B$2,Calc_Anclaje!$B$1062:$B$1129,$B26),NA())</f>
        <v>5.4157894736842112</v>
      </c>
      <c r="E26" s="26">
        <f>3</f>
        <v>3</v>
      </c>
      <c r="F26" s="26">
        <f>IFERROR(SUMIFS(Calc_Anclaje!$K$1062:$K$1129,Calc_Anclaje!$A$1062:$A$1129,$B$2,Calc_Anclaje!$B$1062:$B$1129,$B26),NA())</f>
        <v>2.0315789473684207</v>
      </c>
      <c r="G26" s="26">
        <f>IFERROR(SUMIFS(Calc_Anclaje!$G$1062:$G$1129,Calc_Anclaje!$A$1062:$A$1129,$B$2,Calc_Anclaje!$B$1062:$B$1129,$B26),NA())</f>
        <v>-0.38421052631578939</v>
      </c>
      <c r="H26" s="26"/>
      <c r="I26" s="26">
        <f>IF(COUNTIFS(Calc_Anclaje!$A$1133:$A$1268,$B$2,Calc_Anclaje!$B$1133:$B$1268,"="&amp;"&gt;4%",Calc_Anclaje!$C$1133:$C$1268,$B26)=0,NA(),SUMIFS(Calc_Anclaje!$F$1133:$F$1268,Calc_Anclaje!$A$1133:$A$1268,$B$2,Calc_Anclaje!$B$1133:$B$1268,"="&amp;"&gt;4%",Calc_Anclaje!$C$1133:$C$1268,$B26))</f>
        <v>5.3800000000000008</v>
      </c>
      <c r="J26" s="26">
        <f>IF(COUNTIFS(Calc_Anclaje!$A$1133:$A$1268,$B$2,Calc_Anclaje!$B$1133:$B$1268,"2%-4%",Calc_Anclaje!$C$1133:$C$1268,$B26)=0,NA(),SUMIFS(Calc_Anclaje!$F$1133:$F$1268,Calc_Anclaje!$A$1133:$A$1268,$B$2,Calc_Anclaje!$B$1133:$B$1268,"2%-4%",Calc_Anclaje!$C$1133:$C$1268,$B26))</f>
        <v>3.7250000000000005</v>
      </c>
      <c r="K26" s="26"/>
      <c r="L26" s="26">
        <f>3</f>
        <v>3</v>
      </c>
      <c r="M26" s="26"/>
      <c r="N26" s="26" t="s">
        <v>2498</v>
      </c>
      <c r="O26" s="26">
        <f>IFERROR(SUMIFS(Calc_Anclaje!$E$1062:$E$1129,Calc_Anclaje!$A$1062:$A$1129,$B$2,Calc_Anclaje!$B$1062:$B$1129,$B26),NA())</f>
        <v>5.0315789473684225</v>
      </c>
      <c r="P26" s="26">
        <f>IFERROR(SUMIFS(Calc_Anclaje!$D$1062:$D$1129,Calc_Anclaje!$A$1062:$A$1129,$B$2,Calc_Anclaje!$B$1062:$B$1129,VALUE(SUBSTITUTE(N26,"d-",""))),NA())</f>
        <v>19</v>
      </c>
      <c r="Q26" s="26">
        <f>3</f>
        <v>3</v>
      </c>
      <c r="R26">
        <f>IFERROR(SUMIFS(Calc_Anclaje!$F$1062:$F$1129,Calc_Anclaje!$A$1062:$A$1129,$B$2,Calc_Anclaje!$B$1062:$B$1129,VALUE(SUBSTITUTE(N26,"d-",""))),NA())</f>
        <v>5.4157894736842112</v>
      </c>
    </row>
    <row r="27" spans="1:18">
      <c r="A27" t="s">
        <v>2499</v>
      </c>
      <c r="B27">
        <v>2</v>
      </c>
      <c r="C27" s="26">
        <f>IFERROR(SUMIFS(Calc_Anclaje!$E$1062:$E$1129,Calc_Anclaje!$A$1062:$A$1129,$B$2,Calc_Anclaje!$B$1062:$B$1129,$B27),NA())</f>
        <v>5.2736842105263149</v>
      </c>
      <c r="D27" s="26">
        <f>IFERROR(SUMIFS(Calc_Anclaje!$F$1062:$F$1129,Calc_Anclaje!$A$1062:$A$1129,$B$2,Calc_Anclaje!$B$1062:$B$1129,$B27),NA())</f>
        <v>5.4157894736842112</v>
      </c>
      <c r="E27" s="26">
        <f>3</f>
        <v>3</v>
      </c>
      <c r="F27" s="26">
        <f>IFERROR(SUMIFS(Calc_Anclaje!$K$1062:$K$1129,Calc_Anclaje!$A$1062:$A$1129,$B$2,Calc_Anclaje!$B$1062:$B$1129,$B27),NA())</f>
        <v>2.2736842105263158</v>
      </c>
      <c r="G27" s="26">
        <f>IFERROR(SUMIFS(Calc_Anclaje!$G$1062:$G$1129,Calc_Anclaje!$A$1062:$A$1129,$B$2,Calc_Anclaje!$B$1062:$B$1129,$B27),NA())</f>
        <v>-0.14210526315789473</v>
      </c>
      <c r="H27" s="26"/>
      <c r="I27" s="26">
        <f>IF(COUNTIFS(Calc_Anclaje!$A$1133:$A$1268,$B$2,Calc_Anclaje!$B$1133:$B$1268,"="&amp;"&gt;4%",Calc_Anclaje!$C$1133:$C$1268,$B27)=0,NA(),SUMIFS(Calc_Anclaje!$F$1133:$F$1268,Calc_Anclaje!$A$1133:$A$1268,$B$2,Calc_Anclaje!$B$1133:$B$1268,"="&amp;"&gt;4%",Calc_Anclaje!$C$1133:$C$1268,$B27))</f>
        <v>5.6466666666666665</v>
      </c>
      <c r="J27" s="26">
        <f>IF(COUNTIFS(Calc_Anclaje!$A$1133:$A$1268,$B$2,Calc_Anclaje!$B$1133:$B$1268,"2%-4%",Calc_Anclaje!$C$1133:$C$1268,$B27)=0,NA(),SUMIFS(Calc_Anclaje!$F$1133:$F$1268,Calc_Anclaje!$A$1133:$A$1268,$B$2,Calc_Anclaje!$B$1133:$B$1268,"2%-4%",Calc_Anclaje!$C$1133:$C$1268,$B27))</f>
        <v>3.875</v>
      </c>
      <c r="K27" s="26"/>
      <c r="L27" s="26">
        <f>3</f>
        <v>3</v>
      </c>
      <c r="M27" s="26"/>
      <c r="N27" s="26" t="s">
        <v>2499</v>
      </c>
      <c r="O27" s="26">
        <f>IFERROR(SUMIFS(Calc_Anclaje!$E$1062:$E$1129,Calc_Anclaje!$A$1062:$A$1129,$B$2,Calc_Anclaje!$B$1062:$B$1129,$B27),NA())</f>
        <v>5.2736842105263149</v>
      </c>
      <c r="P27" s="26">
        <f>IFERROR(SUMIFS(Calc_Anclaje!$D$1062:$D$1129,Calc_Anclaje!$A$1062:$A$1129,$B$2,Calc_Anclaje!$B$1062:$B$1129,VALUE(SUBSTITUTE(N27,"d-",""))),NA())</f>
        <v>19</v>
      </c>
      <c r="Q27" s="26">
        <f>3</f>
        <v>3</v>
      </c>
      <c r="R27">
        <f>IFERROR(SUMIFS(Calc_Anclaje!$F$1062:$F$1129,Calc_Anclaje!$A$1062:$A$1129,$B$2,Calc_Anclaje!$B$1062:$B$1129,VALUE(SUBSTITUTE(N27,"d-",""))),NA())</f>
        <v>5.4157894736842112</v>
      </c>
    </row>
    <row r="28" spans="1:18">
      <c r="A28" t="s">
        <v>2495</v>
      </c>
      <c r="B28">
        <v>1</v>
      </c>
      <c r="C28" s="26">
        <f>IFERROR(SUMIFS(Calc_Anclaje!$E$1062:$E$1129,Calc_Anclaje!$A$1062:$A$1129,$B$2,Calc_Anclaje!$B$1062:$B$1129,$B28),NA())</f>
        <v>5.4350000000000005</v>
      </c>
      <c r="D28" s="26">
        <f>IFERROR(SUMIFS(Calc_Anclaje!$F$1062:$F$1129,Calc_Anclaje!$A$1062:$A$1129,$B$2,Calc_Anclaje!$B$1062:$B$1129,$B28),NA())</f>
        <v>5.4350000000000005</v>
      </c>
      <c r="E28" s="26">
        <f>3</f>
        <v>3</v>
      </c>
      <c r="F28" s="26">
        <f>IFERROR(SUMIFS(Calc_Anclaje!$K$1062:$K$1129,Calc_Anclaje!$A$1062:$A$1129,$B$2,Calc_Anclaje!$B$1062:$B$1129,$B28),NA())</f>
        <v>2.4350000000000005</v>
      </c>
      <c r="G28" s="26">
        <f>IFERROR(SUMIFS(Calc_Anclaje!$G$1062:$G$1129,Calc_Anclaje!$A$1062:$A$1129,$B$2,Calc_Anclaje!$B$1062:$B$1129,$B28),NA())</f>
        <v>6.661338147750939E-17</v>
      </c>
      <c r="H28" s="26"/>
      <c r="I28" s="26">
        <f>IF(COUNTIFS(Calc_Anclaje!$A$1133:$A$1268,$B$2,Calc_Anclaje!$B$1133:$B$1268,"="&amp;"&gt;4%",Calc_Anclaje!$C$1133:$C$1268,$B28)=0,NA(),SUMIFS(Calc_Anclaje!$F$1133:$F$1268,Calc_Anclaje!$A$1133:$A$1268,$B$2,Calc_Anclaje!$B$1133:$B$1268,"="&amp;"&gt;4%",Calc_Anclaje!$C$1133:$C$1268,$B28))</f>
        <v>5.8500000000000014</v>
      </c>
      <c r="J28" s="26">
        <f>IF(COUNTIFS(Calc_Anclaje!$A$1133:$A$1268,$B$2,Calc_Anclaje!$B$1133:$B$1268,"2%-4%",Calc_Anclaje!$C$1133:$C$1268,$B28)=0,NA(),SUMIFS(Calc_Anclaje!$F$1133:$F$1268,Calc_Anclaje!$A$1133:$A$1268,$B$2,Calc_Anclaje!$B$1133:$B$1268,"2%-4%",Calc_Anclaje!$C$1133:$C$1268,$B28))</f>
        <v>3.7749999999999999</v>
      </c>
      <c r="K28" s="26"/>
      <c r="L28" s="26">
        <f>3</f>
        <v>3</v>
      </c>
      <c r="M28" s="26"/>
      <c r="N28" s="26" t="s">
        <v>2495</v>
      </c>
      <c r="O28" s="26">
        <f>IFERROR(SUMIFS(Calc_Anclaje!$E$1062:$E$1129,Calc_Anclaje!$A$1062:$A$1129,$B$2,Calc_Anclaje!$B$1062:$B$1129,$B28),NA())</f>
        <v>5.4350000000000005</v>
      </c>
      <c r="P28" s="26">
        <f>IFERROR(SUMIFS(Calc_Anclaje!$D$1062:$D$1129,Calc_Anclaje!$A$1062:$A$1129,$B$2,Calc_Anclaje!$B$1062:$B$1129,VALUE(SUBSTITUTE(N28,"d-",""))),NA())</f>
        <v>20</v>
      </c>
      <c r="Q28" s="26">
        <f>3</f>
        <v>3</v>
      </c>
      <c r="R28">
        <f>IFERROR(SUMIFS(Calc_Anclaje!$F$1062:$F$1129,Calc_Anclaje!$A$1062:$A$1129,$B$2,Calc_Anclaje!$B$1062:$B$1129,VALUE(SUBSTITUTE(N28,"d-",""))),NA())</f>
        <v>5.4350000000000005</v>
      </c>
    </row>
    <row r="29" spans="1:18">
      <c r="A29" t="s">
        <v>2497</v>
      </c>
      <c r="B29">
        <v>0</v>
      </c>
      <c r="C29" s="26">
        <f>IFERROR(SUMIFS(Calc_Anclaje!$E$1062:$E$1129,Calc_Anclaje!$A$1062:$A$1129,$B$2,Calc_Anclaje!$B$1062:$B$1129,$B29),NA())</f>
        <v>5.4599999999999991</v>
      </c>
      <c r="D29" s="26">
        <f>IFERROR(SUMIFS(Calc_Anclaje!$F$1062:$F$1129,Calc_Anclaje!$A$1062:$A$1129,$B$2,Calc_Anclaje!$B$1062:$B$1129,$B29),NA())</f>
        <v>5.4350000000000005</v>
      </c>
      <c r="E29" s="26">
        <f>3</f>
        <v>3</v>
      </c>
      <c r="F29" s="26">
        <f>IFERROR(SUMIFS(Calc_Anclaje!$K$1062:$K$1129,Calc_Anclaje!$A$1062:$A$1129,$B$2,Calc_Anclaje!$B$1062:$B$1129,$B29),NA())</f>
        <v>2.4600000000000009</v>
      </c>
      <c r="G29" s="26">
        <f>IFERROR(SUMIFS(Calc_Anclaje!$G$1062:$G$1129,Calc_Anclaje!$A$1062:$A$1129,$B$2,Calc_Anclaje!$B$1062:$B$1129,$B29),NA())</f>
        <v>2.4999999999999932E-2</v>
      </c>
      <c r="H29" s="26"/>
      <c r="I29" s="26">
        <f>IF(COUNTIFS(Calc_Anclaje!$A$1133:$A$1268,$B$2,Calc_Anclaje!$B$1133:$B$1268,"="&amp;"&gt;4%",Calc_Anclaje!$C$1133:$C$1268,$B29)=0,NA(),SUMIFS(Calc_Anclaje!$F$1133:$F$1268,Calc_Anclaje!$A$1133:$A$1268,$B$2,Calc_Anclaje!$B$1133:$B$1268,"="&amp;"&gt;4%",Calc_Anclaje!$C$1133:$C$1268,$B29))</f>
        <v>5.8874999999999993</v>
      </c>
      <c r="J29" s="26">
        <f>IF(COUNTIFS(Calc_Anclaje!$A$1133:$A$1268,$B$2,Calc_Anclaje!$B$1133:$B$1268,"2%-4%",Calc_Anclaje!$C$1133:$C$1268,$B29)=0,NA(),SUMIFS(Calc_Anclaje!$F$1133:$F$1268,Calc_Anclaje!$A$1133:$A$1268,$B$2,Calc_Anclaje!$B$1133:$B$1268,"2%-4%",Calc_Anclaje!$C$1133:$C$1268,$B29))</f>
        <v>3.75</v>
      </c>
      <c r="K29" s="26"/>
      <c r="L29" s="26">
        <f>3</f>
        <v>3</v>
      </c>
      <c r="M29" s="26"/>
      <c r="N29" s="26" t="s">
        <v>2497</v>
      </c>
      <c r="O29" s="26">
        <f>IFERROR(SUMIFS(Calc_Anclaje!$E$1062:$E$1129,Calc_Anclaje!$A$1062:$A$1129,$B$2,Calc_Anclaje!$B$1062:$B$1129,$B29),NA())</f>
        <v>5.4599999999999991</v>
      </c>
      <c r="P29" s="26">
        <f>IFERROR(SUMIFS(Calc_Anclaje!$D$1062:$D$1129,Calc_Anclaje!$A$1062:$A$1129,$B$2,Calc_Anclaje!$B$1062:$B$1129,VALUE(SUBSTITUTE(N29,"d-",""))),NA())</f>
        <v>20</v>
      </c>
      <c r="Q29" s="26">
        <f>3</f>
        <v>3</v>
      </c>
      <c r="R29">
        <f>IFERROR(SUMIFS(Calc_Anclaje!$F$1062:$F$1129,Calc_Anclaje!$A$1062:$A$1129,$B$2,Calc_Anclaje!$B$1062:$B$1129,VALUE(SUBSTITUTE(N29,"d-",""))),NA())</f>
        <v>5.4350000000000005</v>
      </c>
    </row>
    <row r="32" spans="1:18">
      <c r="A32" t="s">
        <v>2575</v>
      </c>
      <c r="N32" t="s">
        <v>2569</v>
      </c>
      <c r="O32" t="s">
        <v>2573</v>
      </c>
      <c r="Q32" t="s">
        <v>2569</v>
      </c>
      <c r="R32" t="s">
        <v>2574</v>
      </c>
    </row>
    <row r="33" spans="1:18">
      <c r="A33" t="s">
        <v>2512</v>
      </c>
      <c r="B33" t="s">
        <v>2576</v>
      </c>
      <c r="N33" t="s">
        <v>2512</v>
      </c>
      <c r="O33">
        <f>IFERROR(SUMIFS(Calc_Anclaje!$K$1062:$K$1129,Calc_Anclaje!$A$1062:$A$1129,$B$2,Calc_Anclaje!$B$1062:$B$1129,VALUE(SUBSTITUTE(N33,"d-",""))),NA())</f>
        <v>7.5000000000000067E-2</v>
      </c>
      <c r="Q33" t="s">
        <v>2512</v>
      </c>
      <c r="R33">
        <f>IFERROR(SUMIFS(Calc_Anclaje!$G$1062:$G$1129,Calc_Anclaje!$A$1062:$A$1129,$B$2,Calc_Anclaje!$B$1062:$B$1129,VALUE(SUBSTITUTE(Q33,"d-",""))),NA())</f>
        <v>-1.1833333333333333</v>
      </c>
    </row>
    <row r="34" spans="1:18">
      <c r="A34" t="s">
        <v>2505</v>
      </c>
      <c r="B34" t="s">
        <v>2577</v>
      </c>
      <c r="N34" t="s">
        <v>2510</v>
      </c>
      <c r="O34">
        <f>IFERROR(SUMIFS(Calc_Anclaje!$K$1062:$K$1129,Calc_Anclaje!$A$1062:$A$1129,$B$2,Calc_Anclaje!$B$1062:$B$1129,VALUE(SUBSTITUTE(N34,"d-",""))),NA())</f>
        <v>8.4615384615384689E-2</v>
      </c>
      <c r="Q34" t="s">
        <v>2510</v>
      </c>
      <c r="R34">
        <f>IFERROR(SUMIFS(Calc_Anclaje!$G$1062:$G$1129,Calc_Anclaje!$A$1062:$A$1129,$B$2,Calc_Anclaje!$B$1062:$B$1129,VALUE(SUBSTITUTE(Q34,"d-",""))),NA())</f>
        <v>-1.2846153846153845</v>
      </c>
    </row>
    <row r="35" spans="1:18">
      <c r="A35" t="s">
        <v>2578</v>
      </c>
      <c r="B35" t="s">
        <v>2579</v>
      </c>
      <c r="N35" t="s">
        <v>2511</v>
      </c>
      <c r="O35">
        <f>IFERROR(SUMIFS(Calc_Anclaje!$K$1062:$K$1129,Calc_Anclaje!$A$1062:$A$1129,$B$2,Calc_Anclaje!$B$1062:$B$1129,VALUE(SUBSTITUTE(N35,"d-",""))),NA())</f>
        <v>0.12307692307692315</v>
      </c>
      <c r="Q35" t="s">
        <v>2511</v>
      </c>
      <c r="R35">
        <f>IFERROR(SUMIFS(Calc_Anclaje!$G$1062:$G$1129,Calc_Anclaje!$A$1062:$A$1129,$B$2,Calc_Anclaje!$B$1062:$B$1129,VALUE(SUBSTITUTE(Q35,"d-",""))),NA())</f>
        <v>-1.2461538461538462</v>
      </c>
    </row>
    <row r="36" spans="1:18">
      <c r="N36" t="s">
        <v>2508</v>
      </c>
      <c r="O36">
        <f>IFERROR(SUMIFS(Calc_Anclaje!$K$1062:$K$1129,Calc_Anclaje!$A$1062:$A$1129,$B$2,Calc_Anclaje!$B$1062:$B$1129,VALUE(SUBSTITUTE(N36,"d-",""))),NA())</f>
        <v>0.13571428571428576</v>
      </c>
      <c r="Q36" t="s">
        <v>2508</v>
      </c>
      <c r="R36">
        <f>IFERROR(SUMIFS(Calc_Anclaje!$G$1062:$G$1129,Calc_Anclaje!$A$1062:$A$1129,$B$2,Calc_Anclaje!$B$1062:$B$1129,VALUE(SUBSTITUTE(Q36,"d-",""))),NA())</f>
        <v>-1.4571428571428571</v>
      </c>
    </row>
    <row r="37" spans="1:18">
      <c r="N37" t="s">
        <v>2509</v>
      </c>
      <c r="O37">
        <f>IFERROR(SUMIFS(Calc_Anclaje!$K$1062:$K$1129,Calc_Anclaje!$A$1062:$A$1129,$B$2,Calc_Anclaje!$B$1062:$B$1129,VALUE(SUBSTITUTE(N37,"d-",""))),NA())</f>
        <v>0.21428571428571436</v>
      </c>
      <c r="Q37" t="s">
        <v>2509</v>
      </c>
      <c r="R37">
        <f>IFERROR(SUMIFS(Calc_Anclaje!$G$1062:$G$1129,Calc_Anclaje!$A$1062:$A$1129,$B$2,Calc_Anclaje!$B$1062:$B$1129,VALUE(SUBSTITUTE(Q37,"d-",""))),NA())</f>
        <v>-1.3785714285714286</v>
      </c>
    </row>
    <row r="38" spans="1:18">
      <c r="N38" t="s">
        <v>2506</v>
      </c>
      <c r="O38">
        <f>IFERROR(SUMIFS(Calc_Anclaje!$K$1062:$K$1129,Calc_Anclaje!$A$1062:$A$1129,$B$2,Calc_Anclaje!$B$1062:$B$1129,VALUE(SUBSTITUTE(N38,"d-",""))),NA())</f>
        <v>0.25333333333333341</v>
      </c>
      <c r="Q38" t="s">
        <v>2506</v>
      </c>
      <c r="R38">
        <f>IFERROR(SUMIFS(Calc_Anclaje!$G$1062:$G$1129,Calc_Anclaje!$A$1062:$A$1129,$B$2,Calc_Anclaje!$B$1062:$B$1129,VALUE(SUBSTITUTE(Q38,"d-",""))),NA())</f>
        <v>-1.5666666666666664</v>
      </c>
    </row>
    <row r="39" spans="1:18">
      <c r="N39" t="s">
        <v>2507</v>
      </c>
      <c r="O39">
        <f>IFERROR(SUMIFS(Calc_Anclaje!$K$1062:$K$1129,Calc_Anclaje!$A$1062:$A$1129,$B$2,Calc_Anclaje!$B$1062:$B$1129,VALUE(SUBSTITUTE(N39,"d-",""))),NA())</f>
        <v>0.37333333333333341</v>
      </c>
      <c r="Q39" t="s">
        <v>2507</v>
      </c>
      <c r="R39">
        <f>IFERROR(SUMIFS(Calc_Anclaje!$G$1062:$G$1129,Calc_Anclaje!$A$1062:$A$1129,$B$2,Calc_Anclaje!$B$1062:$B$1129,VALUE(SUBSTITUTE(Q39,"d-",""))),NA())</f>
        <v>-1.4466666666666668</v>
      </c>
    </row>
    <row r="40" spans="1:18">
      <c r="N40" t="s">
        <v>2504</v>
      </c>
      <c r="O40">
        <f>IFERROR(SUMIFS(Calc_Anclaje!$K$1062:$K$1129,Calc_Anclaje!$A$1062:$A$1129,$B$2,Calc_Anclaje!$B$1062:$B$1129,VALUE(SUBSTITUTE(N40,"d-",""))),NA())</f>
        <v>0.42500000000000004</v>
      </c>
      <c r="Q40" t="s">
        <v>2504</v>
      </c>
      <c r="R40">
        <f>IFERROR(SUMIFS(Calc_Anclaje!$G$1062:$G$1129,Calc_Anclaje!$A$1062:$A$1129,$B$2,Calc_Anclaje!$B$1062:$B$1129,VALUE(SUBSTITUTE(Q40,"d-",""))),NA())</f>
        <v>-1.625</v>
      </c>
    </row>
    <row r="41" spans="1:18">
      <c r="N41" t="s">
        <v>2505</v>
      </c>
      <c r="O41">
        <f>IFERROR(SUMIFS(Calc_Anclaje!$K$1062:$K$1129,Calc_Anclaje!$A$1062:$A$1129,$B$2,Calc_Anclaje!$B$1062:$B$1129,VALUE(SUBSTITUTE(N41,"d-",""))),NA())</f>
        <v>0.69999999999999984</v>
      </c>
      <c r="Q41" t="s">
        <v>2505</v>
      </c>
      <c r="R41">
        <f>IFERROR(SUMIFS(Calc_Anclaje!$G$1062:$G$1129,Calc_Anclaje!$A$1062:$A$1129,$B$2,Calc_Anclaje!$B$1062:$B$1129,VALUE(SUBSTITUTE(Q41,"d-",""))),NA())</f>
        <v>-1.3499999999999999</v>
      </c>
    </row>
    <row r="42" spans="1:18">
      <c r="N42" t="s">
        <v>2502</v>
      </c>
      <c r="O42">
        <f>IFERROR(SUMIFS(Calc_Anclaje!$K$1062:$K$1129,Calc_Anclaje!$A$1062:$A$1129,$B$2,Calc_Anclaje!$B$1062:$B$1129,VALUE(SUBSTITUTE(N42,"d-",""))),NA())</f>
        <v>0.89999999999999991</v>
      </c>
      <c r="Q42" t="s">
        <v>2502</v>
      </c>
      <c r="R42">
        <f>IFERROR(SUMIFS(Calc_Anclaje!$G$1062:$G$1129,Calc_Anclaje!$A$1062:$A$1129,$B$2,Calc_Anclaje!$B$1062:$B$1129,VALUE(SUBSTITUTE(Q42,"d-",""))),NA())</f>
        <v>-1.3117647058823525</v>
      </c>
    </row>
    <row r="43" spans="1:18">
      <c r="N43" t="s">
        <v>2503</v>
      </c>
      <c r="O43">
        <f>IFERROR(SUMIFS(Calc_Anclaje!$K$1062:$K$1129,Calc_Anclaje!$A$1062:$A$1129,$B$2,Calc_Anclaje!$B$1062:$B$1129,VALUE(SUBSTITUTE(N43,"d-",""))),NA())</f>
        <v>1.2176470588235293</v>
      </c>
      <c r="Q43" t="s">
        <v>2503</v>
      </c>
      <c r="R43">
        <f>IFERROR(SUMIFS(Calc_Anclaje!$G$1062:$G$1129,Calc_Anclaje!$A$1062:$A$1129,$B$2,Calc_Anclaje!$B$1062:$B$1129,VALUE(SUBSTITUTE(Q43,"d-",""))),NA())</f>
        <v>-0.99411764705882388</v>
      </c>
    </row>
    <row r="44" spans="1:18">
      <c r="N44" t="s">
        <v>2500</v>
      </c>
      <c r="O44">
        <f>IFERROR(SUMIFS(Calc_Anclaje!$K$1062:$K$1129,Calc_Anclaje!$A$1062:$A$1129,$B$2,Calc_Anclaje!$B$1062:$B$1129,VALUE(SUBSTITUTE(N44,"d-",""))),NA())</f>
        <v>1.4611111111111108</v>
      </c>
      <c r="Q44" t="s">
        <v>2500</v>
      </c>
      <c r="R44">
        <f>IFERROR(SUMIFS(Calc_Anclaje!$G$1062:$G$1129,Calc_Anclaje!$A$1062:$A$1129,$B$2,Calc_Anclaje!$B$1062:$B$1129,VALUE(SUBSTITUTE(Q44,"d-",""))),NA())</f>
        <v>-0.8666666666666667</v>
      </c>
    </row>
    <row r="45" spans="1:18">
      <c r="N45" t="s">
        <v>2501</v>
      </c>
      <c r="O45">
        <f>IFERROR(SUMIFS(Calc_Anclaje!$K$1062:$K$1129,Calc_Anclaje!$A$1062:$A$1129,$B$2,Calc_Anclaje!$B$1062:$B$1129,VALUE(SUBSTITUTE(N45,"d-",""))),NA())</f>
        <v>1.7499999999999998</v>
      </c>
      <c r="Q45" t="s">
        <v>2501</v>
      </c>
      <c r="R45">
        <f>IFERROR(SUMIFS(Calc_Anclaje!$G$1062:$G$1129,Calc_Anclaje!$A$1062:$A$1129,$B$2,Calc_Anclaje!$B$1062:$B$1129,VALUE(SUBSTITUTE(Q45,"d-",""))),NA())</f>
        <v>-0.57777777777777761</v>
      </c>
    </row>
    <row r="46" spans="1:18">
      <c r="N46" t="s">
        <v>2498</v>
      </c>
      <c r="O46">
        <f>IFERROR(SUMIFS(Calc_Anclaje!$K$1062:$K$1129,Calc_Anclaje!$A$1062:$A$1129,$B$2,Calc_Anclaje!$B$1062:$B$1129,VALUE(SUBSTITUTE(N46,"d-",""))),NA())</f>
        <v>2.0315789473684207</v>
      </c>
      <c r="Q46" t="s">
        <v>2498</v>
      </c>
      <c r="R46">
        <f>IFERROR(SUMIFS(Calc_Anclaje!$G$1062:$G$1129,Calc_Anclaje!$A$1062:$A$1129,$B$2,Calc_Anclaje!$B$1062:$B$1129,VALUE(SUBSTITUTE(Q46,"d-",""))),NA())</f>
        <v>-0.38421052631578939</v>
      </c>
    </row>
    <row r="47" spans="1:18">
      <c r="N47" t="s">
        <v>2499</v>
      </c>
      <c r="O47">
        <f>IFERROR(SUMIFS(Calc_Anclaje!$K$1062:$K$1129,Calc_Anclaje!$A$1062:$A$1129,$B$2,Calc_Anclaje!$B$1062:$B$1129,VALUE(SUBSTITUTE(N47,"d-",""))),NA())</f>
        <v>2.2736842105263158</v>
      </c>
      <c r="Q47" t="s">
        <v>2499</v>
      </c>
      <c r="R47">
        <f>IFERROR(SUMIFS(Calc_Anclaje!$G$1062:$G$1129,Calc_Anclaje!$A$1062:$A$1129,$B$2,Calc_Anclaje!$B$1062:$B$1129,VALUE(SUBSTITUTE(Q47,"d-",""))),NA())</f>
        <v>-0.14210526315789473</v>
      </c>
    </row>
    <row r="48" spans="1:18">
      <c r="N48" t="s">
        <v>2495</v>
      </c>
      <c r="O48">
        <f>IFERROR(SUMIFS(Calc_Anclaje!$K$1062:$K$1129,Calc_Anclaje!$A$1062:$A$1129,$B$2,Calc_Anclaje!$B$1062:$B$1129,VALUE(SUBSTITUTE(N48,"d-",""))),NA())</f>
        <v>2.4350000000000005</v>
      </c>
      <c r="Q48" t="s">
        <v>2495</v>
      </c>
      <c r="R48">
        <f>IFERROR(SUMIFS(Calc_Anclaje!$G$1062:$G$1129,Calc_Anclaje!$A$1062:$A$1129,$B$2,Calc_Anclaje!$B$1062:$B$1129,VALUE(SUBSTITUTE(Q48,"d-",""))),NA())</f>
        <v>6.661338147750939E-17</v>
      </c>
    </row>
    <row r="49" spans="14:19">
      <c r="N49" t="s">
        <v>2497</v>
      </c>
      <c r="O49">
        <f>IFERROR(SUMIFS(Calc_Anclaje!$K$1062:$K$1129,Calc_Anclaje!$A$1062:$A$1129,$B$2,Calc_Anclaje!$B$1062:$B$1129,VALUE(SUBSTITUTE(N49,"d-",""))),NA())</f>
        <v>2.4600000000000009</v>
      </c>
      <c r="Q49" t="s">
        <v>2497</v>
      </c>
      <c r="R49">
        <f>IFERROR(SUMIFS(Calc_Anclaje!$G$1062:$G$1129,Calc_Anclaje!$A$1062:$A$1129,$B$2,Calc_Anclaje!$B$1062:$B$1129,VALUE(SUBSTITUTE(Q49,"d-",""))),NA())</f>
        <v>2.4999999999999932E-2</v>
      </c>
    </row>
    <row r="52" spans="14:19">
      <c r="N52" t="s">
        <v>2569</v>
      </c>
      <c r="O52" t="s">
        <v>2496</v>
      </c>
      <c r="P52" t="s">
        <v>2513</v>
      </c>
      <c r="R52" t="s">
        <v>2572</v>
      </c>
      <c r="S52" t="s">
        <v>2592</v>
      </c>
    </row>
    <row r="53" spans="14:19">
      <c r="N53" t="s">
        <v>2512</v>
      </c>
      <c r="O53">
        <f>IF(COUNTIFS(Calc_Anclaje!$A$1133:$A$1268,$B$2,Calc_Anclaje!$B$1133:$B$1268,"="&amp;"&gt;4%",Calc_Anclaje!$C$1133:$C$1268,VALUE(SUBSTITUTE(N53,"d-","")))=0,NA(),SUMIFS(Calc_Anclaje!$F$1133:$F$1268,Calc_Anclaje!$A$1133:$A$1268,$B$2,Calc_Anclaje!$B$1133:$B$1268,"="&amp;"&gt;4%",Calc_Anclaje!$C$1133:$C$1268,VALUE(SUBSTITUTE(N53,"d-",""))))</f>
        <v>3.0750000000000002</v>
      </c>
      <c r="P53">
        <f>IF(COUNTIFS(Calc_Anclaje!$A$1133:$A$1268,$B$2,Calc_Anclaje!$B$1133:$B$1268,"2%-4%",Calc_Anclaje!$C$1133:$C$1268,VALUE(SUBSTITUTE(N53,"d-","")))=0,NA(),SUMIFS(Calc_Anclaje!$F$1133:$F$1268,Calc_Anclaje!$A$1133:$A$1268,$B$2,Calc_Anclaje!$B$1133:$B$1268,"2%-4%",Calc_Anclaje!$C$1133:$C$1268,VALUE(SUBSTITUTE(N53,"d-",""))))</f>
        <v>3.0750000000000002</v>
      </c>
      <c r="R53">
        <f>3</f>
        <v>3</v>
      </c>
      <c r="S53">
        <f>IFERROR(SUMIFS(Calc_Anclaje!$E$1062:$E$1129,Calc_Anclaje!$A$1062:$A$1129,$B$2,Calc_Anclaje!$B$1062:$B$1129,VALUE(SUBSTITUTE(N53,"d-",""))),NA())</f>
        <v>3.0750000000000006</v>
      </c>
    </row>
    <row r="54" spans="14:19">
      <c r="N54" t="s">
        <v>2510</v>
      </c>
      <c r="O54">
        <f>IF(COUNTIFS(Calc_Anclaje!$A$1133:$A$1268,$B$2,Calc_Anclaje!$B$1133:$B$1268,"="&amp;"&gt;4%",Calc_Anclaje!$C$1133:$C$1268,VALUE(SUBSTITUTE(N54,"d-","")))=0,NA(),SUMIFS(Calc_Anclaje!$F$1133:$F$1268,Calc_Anclaje!$A$1133:$A$1268,$B$2,Calc_Anclaje!$B$1133:$B$1268,"="&amp;"&gt;4%",Calc_Anclaje!$C$1133:$C$1268,VALUE(SUBSTITUTE(N54,"d-",""))))</f>
        <v>3.0888888888888895</v>
      </c>
      <c r="P54">
        <f>IF(COUNTIFS(Calc_Anclaje!$A$1133:$A$1268,$B$2,Calc_Anclaje!$B$1133:$B$1268,"2%-4%",Calc_Anclaje!$C$1133:$C$1268,VALUE(SUBSTITUTE(N54,"d-","")))=0,NA(),SUMIFS(Calc_Anclaje!$F$1133:$F$1268,Calc_Anclaje!$A$1133:$A$1268,$B$2,Calc_Anclaje!$B$1133:$B$1268,"2%-4%",Calc_Anclaje!$C$1133:$C$1268,VALUE(SUBSTITUTE(N54,"d-",""))))</f>
        <v>3.0750000000000002</v>
      </c>
      <c r="R54">
        <f>3</f>
        <v>3</v>
      </c>
      <c r="S54">
        <f>IFERROR(SUMIFS(Calc_Anclaje!$E$1062:$E$1129,Calc_Anclaje!$A$1062:$A$1129,$B$2,Calc_Anclaje!$B$1062:$B$1129,VALUE(SUBSTITUTE(N54,"d-",""))),NA())</f>
        <v>3.0846153846153852</v>
      </c>
    </row>
    <row r="55" spans="14:19">
      <c r="N55" t="s">
        <v>2511</v>
      </c>
      <c r="O55">
        <f>IF(COUNTIFS(Calc_Anclaje!$A$1133:$A$1268,$B$2,Calc_Anclaje!$B$1133:$B$1268,"="&amp;"&gt;4%",Calc_Anclaje!$C$1133:$C$1268,VALUE(SUBSTITUTE(N55,"d-","")))=0,NA(),SUMIFS(Calc_Anclaje!$F$1133:$F$1268,Calc_Anclaje!$A$1133:$A$1268,$B$2,Calc_Anclaje!$B$1133:$B$1268,"="&amp;"&gt;4%",Calc_Anclaje!$C$1133:$C$1268,VALUE(SUBSTITUTE(N55,"d-",""))))</f>
        <v>3.1444444444444448</v>
      </c>
      <c r="P55">
        <f>IF(COUNTIFS(Calc_Anclaje!$A$1133:$A$1268,$B$2,Calc_Anclaje!$B$1133:$B$1268,"2%-4%",Calc_Anclaje!$C$1133:$C$1268,VALUE(SUBSTITUTE(N55,"d-","")))=0,NA(),SUMIFS(Calc_Anclaje!$F$1133:$F$1268,Calc_Anclaje!$A$1133:$A$1268,$B$2,Calc_Anclaje!$B$1133:$B$1268,"2%-4%",Calc_Anclaje!$C$1133:$C$1268,VALUE(SUBSTITUTE(N55,"d-",""))))</f>
        <v>3.0750000000000002</v>
      </c>
      <c r="R55">
        <f>3</f>
        <v>3</v>
      </c>
      <c r="S55">
        <f>IFERROR(SUMIFS(Calc_Anclaje!$E$1062:$E$1129,Calc_Anclaje!$A$1062:$A$1129,$B$2,Calc_Anclaje!$B$1062:$B$1129,VALUE(SUBSTITUTE(N55,"d-",""))),NA())</f>
        <v>3.1230769230769235</v>
      </c>
    </row>
    <row r="56" spans="14:19">
      <c r="N56" t="s">
        <v>2508</v>
      </c>
      <c r="O56">
        <f>IF(COUNTIFS(Calc_Anclaje!$A$1133:$A$1268,$B$2,Calc_Anclaje!$B$1133:$B$1268,"="&amp;"&gt;4%",Calc_Anclaje!$C$1133:$C$1268,VALUE(SUBSTITUTE(N56,"d-","")))=0,NA(),SUMIFS(Calc_Anclaje!$F$1133:$F$1268,Calc_Anclaje!$A$1133:$A$1268,$B$2,Calc_Anclaje!$B$1133:$B$1268,"="&amp;"&gt;4%",Calc_Anclaje!$C$1133:$C$1268,VALUE(SUBSTITUTE(N56,"d-",""))))</f>
        <v>3.1700000000000004</v>
      </c>
      <c r="P56">
        <f>IF(COUNTIFS(Calc_Anclaje!$A$1133:$A$1268,$B$2,Calc_Anclaje!$B$1133:$B$1268,"2%-4%",Calc_Anclaje!$C$1133:$C$1268,VALUE(SUBSTITUTE(N56,"d-","")))=0,NA(),SUMIFS(Calc_Anclaje!$F$1133:$F$1268,Calc_Anclaje!$A$1133:$A$1268,$B$2,Calc_Anclaje!$B$1133:$B$1268,"2%-4%",Calc_Anclaje!$C$1133:$C$1268,VALUE(SUBSTITUTE(N56,"d-",""))))</f>
        <v>3.05</v>
      </c>
      <c r="R56">
        <f>3</f>
        <v>3</v>
      </c>
      <c r="S56">
        <f>IFERROR(SUMIFS(Calc_Anclaje!$E$1062:$E$1129,Calc_Anclaje!$A$1062:$A$1129,$B$2,Calc_Anclaje!$B$1062:$B$1129,VALUE(SUBSTITUTE(N56,"d-",""))),NA())</f>
        <v>3.1357142857142861</v>
      </c>
    </row>
    <row r="57" spans="14:19">
      <c r="N57" t="s">
        <v>2509</v>
      </c>
      <c r="O57">
        <f>IF(COUNTIFS(Calc_Anclaje!$A$1133:$A$1268,$B$2,Calc_Anclaje!$B$1133:$B$1268,"="&amp;"&gt;4%",Calc_Anclaje!$C$1133:$C$1268,VALUE(SUBSTITUTE(N57,"d-","")))=0,NA(),SUMIFS(Calc_Anclaje!$F$1133:$F$1268,Calc_Anclaje!$A$1133:$A$1268,$B$2,Calc_Anclaje!$B$1133:$B$1268,"="&amp;"&gt;4%",Calc_Anclaje!$C$1133:$C$1268,VALUE(SUBSTITUTE(N57,"d-",""))))</f>
        <v>3.2599999999999993</v>
      </c>
      <c r="P57">
        <f>IF(COUNTIFS(Calc_Anclaje!$A$1133:$A$1268,$B$2,Calc_Anclaje!$B$1133:$B$1268,"2%-4%",Calc_Anclaje!$C$1133:$C$1268,VALUE(SUBSTITUTE(N57,"d-","")))=0,NA(),SUMIFS(Calc_Anclaje!$F$1133:$F$1268,Calc_Anclaje!$A$1133:$A$1268,$B$2,Calc_Anclaje!$B$1133:$B$1268,"2%-4%",Calc_Anclaje!$C$1133:$C$1268,VALUE(SUBSTITUTE(N57,"d-",""))))</f>
        <v>3.1</v>
      </c>
      <c r="R57">
        <f>3</f>
        <v>3</v>
      </c>
      <c r="S57">
        <f>IFERROR(SUMIFS(Calc_Anclaje!$E$1062:$E$1129,Calc_Anclaje!$A$1062:$A$1129,$B$2,Calc_Anclaje!$B$1062:$B$1129,VALUE(SUBSTITUTE(N57,"d-",""))),NA())</f>
        <v>3.2142857142857144</v>
      </c>
    </row>
    <row r="58" spans="14:19">
      <c r="N58" t="s">
        <v>2506</v>
      </c>
      <c r="O58">
        <f>IF(COUNTIFS(Calc_Anclaje!$A$1133:$A$1268,$B$2,Calc_Anclaje!$B$1133:$B$1268,"="&amp;"&gt;4%",Calc_Anclaje!$C$1133:$C$1268,VALUE(SUBSTITUTE(N58,"d-","")))=0,NA(),SUMIFS(Calc_Anclaje!$F$1133:$F$1268,Calc_Anclaje!$A$1133:$A$1268,$B$2,Calc_Anclaje!$B$1133:$B$1268,"="&amp;"&gt;4%",Calc_Anclaje!$C$1133:$C$1268,VALUE(SUBSTITUTE(N58,"d-",""))))</f>
        <v>3.3</v>
      </c>
      <c r="P58">
        <f>IF(COUNTIFS(Calc_Anclaje!$A$1133:$A$1268,$B$2,Calc_Anclaje!$B$1133:$B$1268,"2%-4%",Calc_Anclaje!$C$1133:$C$1268,VALUE(SUBSTITUTE(N58,"d-","")))=0,NA(),SUMIFS(Calc_Anclaje!$F$1133:$F$1268,Calc_Anclaje!$A$1133:$A$1268,$B$2,Calc_Anclaje!$B$1133:$B$1268,"2%-4%",Calc_Anclaje!$C$1133:$C$1268,VALUE(SUBSTITUTE(N58,"d-",""))))</f>
        <v>3.125</v>
      </c>
      <c r="R58">
        <f>3</f>
        <v>3</v>
      </c>
      <c r="S58">
        <f>IFERROR(SUMIFS(Calc_Anclaje!$E$1062:$E$1129,Calc_Anclaje!$A$1062:$A$1129,$B$2,Calc_Anclaje!$B$1062:$B$1129,VALUE(SUBSTITUTE(N58,"d-",""))),NA())</f>
        <v>3.2533333333333334</v>
      </c>
    </row>
    <row r="59" spans="14:19">
      <c r="N59" t="s">
        <v>2507</v>
      </c>
      <c r="O59">
        <f>IF(COUNTIFS(Calc_Anclaje!$A$1133:$A$1268,$B$2,Calc_Anclaje!$B$1133:$B$1268,"="&amp;"&gt;4%",Calc_Anclaje!$C$1133:$C$1268,VALUE(SUBSTITUTE(N59,"d-","")))=0,NA(),SUMIFS(Calc_Anclaje!$F$1133:$F$1268,Calc_Anclaje!$A$1133:$A$1268,$B$2,Calc_Anclaje!$B$1133:$B$1268,"="&amp;"&gt;4%",Calc_Anclaje!$C$1133:$C$1268,VALUE(SUBSTITUTE(N59,"d-",""))))</f>
        <v>3.4727272727272731</v>
      </c>
      <c r="P59">
        <f>IF(COUNTIFS(Calc_Anclaje!$A$1133:$A$1268,$B$2,Calc_Anclaje!$B$1133:$B$1268,"2%-4%",Calc_Anclaje!$C$1133:$C$1268,VALUE(SUBSTITUTE(N59,"d-","")))=0,NA(),SUMIFS(Calc_Anclaje!$F$1133:$F$1268,Calc_Anclaje!$A$1133:$A$1268,$B$2,Calc_Anclaje!$B$1133:$B$1268,"2%-4%",Calc_Anclaje!$C$1133:$C$1268,VALUE(SUBSTITUTE(N59,"d-",""))))</f>
        <v>3.1</v>
      </c>
      <c r="R59">
        <f>3</f>
        <v>3</v>
      </c>
      <c r="S59">
        <f>IFERROR(SUMIFS(Calc_Anclaje!$E$1062:$E$1129,Calc_Anclaje!$A$1062:$A$1129,$B$2,Calc_Anclaje!$B$1062:$B$1129,VALUE(SUBSTITUTE(N59,"d-",""))),NA())</f>
        <v>3.373333333333334</v>
      </c>
    </row>
    <row r="60" spans="14:19">
      <c r="N60" t="s">
        <v>2504</v>
      </c>
      <c r="O60">
        <f>IF(COUNTIFS(Calc_Anclaje!$A$1133:$A$1268,$B$2,Calc_Anclaje!$B$1133:$B$1268,"="&amp;"&gt;4%",Calc_Anclaje!$C$1133:$C$1268,VALUE(SUBSTITUTE(N60,"d-","")))=0,NA(),SUMIFS(Calc_Anclaje!$F$1133:$F$1268,Calc_Anclaje!$A$1133:$A$1268,$B$2,Calc_Anclaje!$B$1133:$B$1268,"="&amp;"&gt;4%",Calc_Anclaje!$C$1133:$C$1268,VALUE(SUBSTITUTE(N60,"d-",""))))</f>
        <v>3.5333333333333332</v>
      </c>
      <c r="P60">
        <f>IF(COUNTIFS(Calc_Anclaje!$A$1133:$A$1268,$B$2,Calc_Anclaje!$B$1133:$B$1268,"2%-4%",Calc_Anclaje!$C$1133:$C$1268,VALUE(SUBSTITUTE(N60,"d-","")))=0,NA(),SUMIFS(Calc_Anclaje!$F$1133:$F$1268,Calc_Anclaje!$A$1133:$A$1268,$B$2,Calc_Anclaje!$B$1133:$B$1268,"2%-4%",Calc_Anclaje!$C$1133:$C$1268,VALUE(SUBSTITUTE(N60,"d-",""))))</f>
        <v>3.1</v>
      </c>
      <c r="R60">
        <f>3</f>
        <v>3</v>
      </c>
      <c r="S60">
        <f>IFERROR(SUMIFS(Calc_Anclaje!$E$1062:$E$1129,Calc_Anclaje!$A$1062:$A$1129,$B$2,Calc_Anclaje!$B$1062:$B$1129,VALUE(SUBSTITUTE(N60,"d-",""))),NA())</f>
        <v>3.4250000000000003</v>
      </c>
    </row>
    <row r="61" spans="14:19">
      <c r="N61" t="s">
        <v>2505</v>
      </c>
      <c r="O61">
        <f>IF(COUNTIFS(Calc_Anclaje!$A$1133:$A$1268,$B$2,Calc_Anclaje!$B$1133:$B$1268,"="&amp;"&gt;4%",Calc_Anclaje!$C$1133:$C$1268,VALUE(SUBSTITUTE(N61,"d-","")))=0,NA(),SUMIFS(Calc_Anclaje!$F$1133:$F$1268,Calc_Anclaje!$A$1133:$A$1268,$B$2,Calc_Anclaje!$B$1133:$B$1268,"="&amp;"&gt;4%",Calc_Anclaje!$C$1133:$C$1268,VALUE(SUBSTITUTE(N61,"d-",""))))</f>
        <v>3.875</v>
      </c>
      <c r="P61">
        <f>IF(COUNTIFS(Calc_Anclaje!$A$1133:$A$1268,$B$2,Calc_Anclaje!$B$1133:$B$1268,"2%-4%",Calc_Anclaje!$C$1133:$C$1268,VALUE(SUBSTITUTE(N61,"d-","")))=0,NA(),SUMIFS(Calc_Anclaje!$F$1133:$F$1268,Calc_Anclaje!$A$1133:$A$1268,$B$2,Calc_Anclaje!$B$1133:$B$1268,"2%-4%",Calc_Anclaje!$C$1133:$C$1268,VALUE(SUBSTITUTE(N61,"d-",""))))</f>
        <v>3.1750000000000003</v>
      </c>
      <c r="R61">
        <f>3</f>
        <v>3</v>
      </c>
      <c r="S61">
        <f>IFERROR(SUMIFS(Calc_Anclaje!$E$1062:$E$1129,Calc_Anclaje!$A$1062:$A$1129,$B$2,Calc_Anclaje!$B$1062:$B$1129,VALUE(SUBSTITUTE(N61,"d-",""))),NA())</f>
        <v>3.7</v>
      </c>
    </row>
    <row r="62" spans="14:19">
      <c r="N62" t="s">
        <v>2502</v>
      </c>
      <c r="O62">
        <f>IF(COUNTIFS(Calc_Anclaje!$A$1133:$A$1268,$B$2,Calc_Anclaje!$B$1133:$B$1268,"="&amp;"&gt;4%",Calc_Anclaje!$C$1133:$C$1268,VALUE(SUBSTITUTE(N62,"d-","")))=0,NA(),SUMIFS(Calc_Anclaje!$F$1133:$F$1268,Calc_Anclaje!$A$1133:$A$1268,$B$2,Calc_Anclaje!$B$1133:$B$1268,"="&amp;"&gt;4%",Calc_Anclaje!$C$1133:$C$1268,VALUE(SUBSTITUTE(N62,"d-",""))))</f>
        <v>4.1000000000000005</v>
      </c>
      <c r="P62">
        <f>IF(COUNTIFS(Calc_Anclaje!$A$1133:$A$1268,$B$2,Calc_Anclaje!$B$1133:$B$1268,"2%-4%",Calc_Anclaje!$C$1133:$C$1268,VALUE(SUBSTITUTE(N62,"d-","")))=0,NA(),SUMIFS(Calc_Anclaje!$F$1133:$F$1268,Calc_Anclaje!$A$1133:$A$1268,$B$2,Calc_Anclaje!$B$1133:$B$1268,"2%-4%",Calc_Anclaje!$C$1133:$C$1268,VALUE(SUBSTITUTE(N62,"d-",""))))</f>
        <v>3.2499999999999996</v>
      </c>
      <c r="R62">
        <f>3</f>
        <v>3</v>
      </c>
      <c r="S62">
        <f>IFERROR(SUMIFS(Calc_Anclaje!$E$1062:$E$1129,Calc_Anclaje!$A$1062:$A$1129,$B$2,Calc_Anclaje!$B$1062:$B$1129,VALUE(SUBSTITUTE(N62,"d-",""))),NA())</f>
        <v>3.9000000000000008</v>
      </c>
    </row>
    <row r="63" spans="14:19">
      <c r="N63" t="s">
        <v>2503</v>
      </c>
      <c r="O63">
        <f>IF(COUNTIFS(Calc_Anclaje!$A$1133:$A$1268,$B$2,Calc_Anclaje!$B$1133:$B$1268,"="&amp;"&gt;4%",Calc_Anclaje!$C$1133:$C$1268,VALUE(SUBSTITUTE(N63,"d-","")))=0,NA(),SUMIFS(Calc_Anclaje!$F$1133:$F$1268,Calc_Anclaje!$A$1133:$A$1268,$B$2,Calc_Anclaje!$B$1133:$B$1268,"="&amp;"&gt;4%",Calc_Anclaje!$C$1133:$C$1268,VALUE(SUBSTITUTE(N63,"d-",""))))</f>
        <v>4.4923076923076923</v>
      </c>
      <c r="P63">
        <f>IF(COUNTIFS(Calc_Anclaje!$A$1133:$A$1268,$B$2,Calc_Anclaje!$B$1133:$B$1268,"2%-4%",Calc_Anclaje!$C$1133:$C$1268,VALUE(SUBSTITUTE(N63,"d-","")))=0,NA(),SUMIFS(Calc_Anclaje!$F$1133:$F$1268,Calc_Anclaje!$A$1133:$A$1268,$B$2,Calc_Anclaje!$B$1133:$B$1268,"2%-4%",Calc_Anclaje!$C$1133:$C$1268,VALUE(SUBSTITUTE(N63,"d-",""))))</f>
        <v>3.3249999999999997</v>
      </c>
      <c r="R63">
        <f>3</f>
        <v>3</v>
      </c>
      <c r="S63">
        <f>IFERROR(SUMIFS(Calc_Anclaje!$E$1062:$E$1129,Calc_Anclaje!$A$1062:$A$1129,$B$2,Calc_Anclaje!$B$1062:$B$1129,VALUE(SUBSTITUTE(N63,"d-",""))),NA())</f>
        <v>4.2176470588235295</v>
      </c>
    </row>
    <row r="64" spans="14:19">
      <c r="N64" t="s">
        <v>2500</v>
      </c>
      <c r="O64">
        <f>IF(COUNTIFS(Calc_Anclaje!$A$1133:$A$1268,$B$2,Calc_Anclaje!$B$1133:$B$1268,"="&amp;"&gt;4%",Calc_Anclaje!$C$1133:$C$1268,VALUE(SUBSTITUTE(N64,"d-","")))=0,NA(),SUMIFS(Calc_Anclaje!$F$1133:$F$1268,Calc_Anclaje!$A$1133:$A$1268,$B$2,Calc_Anclaje!$B$1133:$B$1268,"="&amp;"&gt;4%",Calc_Anclaje!$C$1133:$C$1268,VALUE(SUBSTITUTE(N64,"d-",""))))</f>
        <v>4.7642857142857142</v>
      </c>
      <c r="P64">
        <f>IF(COUNTIFS(Calc_Anclaje!$A$1133:$A$1268,$B$2,Calc_Anclaje!$B$1133:$B$1268,"2%-4%",Calc_Anclaje!$C$1133:$C$1268,VALUE(SUBSTITUTE(N64,"d-","")))=0,NA(),SUMIFS(Calc_Anclaje!$F$1133:$F$1268,Calc_Anclaje!$A$1133:$A$1268,$B$2,Calc_Anclaje!$B$1133:$B$1268,"2%-4%",Calc_Anclaje!$C$1133:$C$1268,VALUE(SUBSTITUTE(N64,"d-",""))))</f>
        <v>3.3999999999999995</v>
      </c>
      <c r="R64">
        <f>3</f>
        <v>3</v>
      </c>
      <c r="S64">
        <f>IFERROR(SUMIFS(Calc_Anclaje!$E$1062:$E$1129,Calc_Anclaje!$A$1062:$A$1129,$B$2,Calc_Anclaje!$B$1062:$B$1129,VALUE(SUBSTITUTE(N64,"d-",""))),NA())</f>
        <v>4.4611111111111121</v>
      </c>
    </row>
    <row r="65" spans="14:22">
      <c r="N65" t="s">
        <v>2501</v>
      </c>
      <c r="O65">
        <f>IF(COUNTIFS(Calc_Anclaje!$A$1133:$A$1268,$B$2,Calc_Anclaje!$B$1133:$B$1268,"="&amp;"&gt;4%",Calc_Anclaje!$C$1133:$C$1268,VALUE(SUBSTITUTE(N65,"d-","")))=0,NA(),SUMIFS(Calc_Anclaje!$F$1133:$F$1268,Calc_Anclaje!$A$1133:$A$1268,$B$2,Calc_Anclaje!$B$1133:$B$1268,"="&amp;"&gt;4%",Calc_Anclaje!$C$1133:$C$1268,VALUE(SUBSTITUTE(N65,"d-",""))))</f>
        <v>5.1000000000000005</v>
      </c>
      <c r="P65">
        <f>IF(COUNTIFS(Calc_Anclaje!$A$1133:$A$1268,$B$2,Calc_Anclaje!$B$1133:$B$1268,"2%-4%",Calc_Anclaje!$C$1133:$C$1268,VALUE(SUBSTITUTE(N65,"d-","")))=0,NA(),SUMIFS(Calc_Anclaje!$F$1133:$F$1268,Calc_Anclaje!$A$1133:$A$1268,$B$2,Calc_Anclaje!$B$1133:$B$1268,"2%-4%",Calc_Anclaje!$C$1133:$C$1268,VALUE(SUBSTITUTE(N65,"d-",""))))</f>
        <v>3.5250000000000004</v>
      </c>
      <c r="R65">
        <f>3</f>
        <v>3</v>
      </c>
      <c r="S65">
        <f>IFERROR(SUMIFS(Calc_Anclaje!$E$1062:$E$1129,Calc_Anclaje!$A$1062:$A$1129,$B$2,Calc_Anclaje!$B$1062:$B$1129,VALUE(SUBSTITUTE(N65,"d-",""))),NA())</f>
        <v>4.7500000000000009</v>
      </c>
    </row>
    <row r="66" spans="14:22">
      <c r="N66" t="s">
        <v>2498</v>
      </c>
      <c r="O66">
        <f>IF(COUNTIFS(Calc_Anclaje!$A$1133:$A$1268,$B$2,Calc_Anclaje!$B$1133:$B$1268,"="&amp;"&gt;4%",Calc_Anclaje!$C$1133:$C$1268,VALUE(SUBSTITUTE(N66,"d-","")))=0,NA(),SUMIFS(Calc_Anclaje!$F$1133:$F$1268,Calc_Anclaje!$A$1133:$A$1268,$B$2,Calc_Anclaje!$B$1133:$B$1268,"="&amp;"&gt;4%",Calc_Anclaje!$C$1133:$C$1268,VALUE(SUBSTITUTE(N66,"d-",""))))</f>
        <v>5.3800000000000008</v>
      </c>
      <c r="P66">
        <f>IF(COUNTIFS(Calc_Anclaje!$A$1133:$A$1268,$B$2,Calc_Anclaje!$B$1133:$B$1268,"2%-4%",Calc_Anclaje!$C$1133:$C$1268,VALUE(SUBSTITUTE(N66,"d-","")))=0,NA(),SUMIFS(Calc_Anclaje!$F$1133:$F$1268,Calc_Anclaje!$A$1133:$A$1268,$B$2,Calc_Anclaje!$B$1133:$B$1268,"2%-4%",Calc_Anclaje!$C$1133:$C$1268,VALUE(SUBSTITUTE(N66,"d-",""))))</f>
        <v>3.7250000000000005</v>
      </c>
      <c r="R66">
        <f>3</f>
        <v>3</v>
      </c>
      <c r="S66">
        <f>IFERROR(SUMIFS(Calc_Anclaje!$E$1062:$E$1129,Calc_Anclaje!$A$1062:$A$1129,$B$2,Calc_Anclaje!$B$1062:$B$1129,VALUE(SUBSTITUTE(N66,"d-",""))),NA())</f>
        <v>5.0315789473684225</v>
      </c>
    </row>
    <row r="67" spans="14:22">
      <c r="N67" t="s">
        <v>2499</v>
      </c>
      <c r="O67">
        <f>IF(COUNTIFS(Calc_Anclaje!$A$1133:$A$1268,$B$2,Calc_Anclaje!$B$1133:$B$1268,"="&amp;"&gt;4%",Calc_Anclaje!$C$1133:$C$1268,VALUE(SUBSTITUTE(N67,"d-","")))=0,NA(),SUMIFS(Calc_Anclaje!$F$1133:$F$1268,Calc_Anclaje!$A$1133:$A$1268,$B$2,Calc_Anclaje!$B$1133:$B$1268,"="&amp;"&gt;4%",Calc_Anclaje!$C$1133:$C$1268,VALUE(SUBSTITUTE(N67,"d-",""))))</f>
        <v>5.6466666666666665</v>
      </c>
      <c r="P67">
        <f>IF(COUNTIFS(Calc_Anclaje!$A$1133:$A$1268,$B$2,Calc_Anclaje!$B$1133:$B$1268,"2%-4%",Calc_Anclaje!$C$1133:$C$1268,VALUE(SUBSTITUTE(N67,"d-","")))=0,NA(),SUMIFS(Calc_Anclaje!$F$1133:$F$1268,Calc_Anclaje!$A$1133:$A$1268,$B$2,Calc_Anclaje!$B$1133:$B$1268,"2%-4%",Calc_Anclaje!$C$1133:$C$1268,VALUE(SUBSTITUTE(N67,"d-",""))))</f>
        <v>3.875</v>
      </c>
      <c r="R67">
        <f>3</f>
        <v>3</v>
      </c>
      <c r="S67">
        <f>IFERROR(SUMIFS(Calc_Anclaje!$E$1062:$E$1129,Calc_Anclaje!$A$1062:$A$1129,$B$2,Calc_Anclaje!$B$1062:$B$1129,VALUE(SUBSTITUTE(N67,"d-",""))),NA())</f>
        <v>5.2736842105263149</v>
      </c>
    </row>
    <row r="68" spans="14:22">
      <c r="N68" t="s">
        <v>2495</v>
      </c>
      <c r="O68">
        <f>IF(COUNTIFS(Calc_Anclaje!$A$1133:$A$1268,$B$2,Calc_Anclaje!$B$1133:$B$1268,"="&amp;"&gt;4%",Calc_Anclaje!$C$1133:$C$1268,VALUE(SUBSTITUTE(N68,"d-","")))=0,NA(),SUMIFS(Calc_Anclaje!$F$1133:$F$1268,Calc_Anclaje!$A$1133:$A$1268,$B$2,Calc_Anclaje!$B$1133:$B$1268,"="&amp;"&gt;4%",Calc_Anclaje!$C$1133:$C$1268,VALUE(SUBSTITUTE(N68,"d-",""))))</f>
        <v>5.8500000000000014</v>
      </c>
      <c r="P68">
        <f>IF(COUNTIFS(Calc_Anclaje!$A$1133:$A$1268,$B$2,Calc_Anclaje!$B$1133:$B$1268,"2%-4%",Calc_Anclaje!$C$1133:$C$1268,VALUE(SUBSTITUTE(N68,"d-","")))=0,NA(),SUMIFS(Calc_Anclaje!$F$1133:$F$1268,Calc_Anclaje!$A$1133:$A$1268,$B$2,Calc_Anclaje!$B$1133:$B$1268,"2%-4%",Calc_Anclaje!$C$1133:$C$1268,VALUE(SUBSTITUTE(N68,"d-",""))))</f>
        <v>3.7749999999999999</v>
      </c>
      <c r="R68">
        <f>3</f>
        <v>3</v>
      </c>
      <c r="S68">
        <f>IFERROR(SUMIFS(Calc_Anclaje!$E$1062:$E$1129,Calc_Anclaje!$A$1062:$A$1129,$B$2,Calc_Anclaje!$B$1062:$B$1129,VALUE(SUBSTITUTE(N68,"d-",""))),NA())</f>
        <v>5.4350000000000005</v>
      </c>
    </row>
    <row r="69" spans="14:22">
      <c r="N69" t="s">
        <v>2497</v>
      </c>
      <c r="O69">
        <f>IF(COUNTIFS(Calc_Anclaje!$A$1133:$A$1268,$B$2,Calc_Anclaje!$B$1133:$B$1268,"="&amp;"&gt;4%",Calc_Anclaje!$C$1133:$C$1268,VALUE(SUBSTITUTE(N69,"d-","")))=0,NA(),SUMIFS(Calc_Anclaje!$F$1133:$F$1268,Calc_Anclaje!$A$1133:$A$1268,$B$2,Calc_Anclaje!$B$1133:$B$1268,"="&amp;"&gt;4%",Calc_Anclaje!$C$1133:$C$1268,VALUE(SUBSTITUTE(N69,"d-",""))))</f>
        <v>5.8874999999999993</v>
      </c>
      <c r="P69">
        <f>IF(COUNTIFS(Calc_Anclaje!$A$1133:$A$1268,$B$2,Calc_Anclaje!$B$1133:$B$1268,"2%-4%",Calc_Anclaje!$C$1133:$C$1268,VALUE(SUBSTITUTE(N69,"d-","")))=0,NA(),SUMIFS(Calc_Anclaje!$F$1133:$F$1268,Calc_Anclaje!$A$1133:$A$1268,$B$2,Calc_Anclaje!$B$1133:$B$1268,"2%-4%",Calc_Anclaje!$C$1133:$C$1268,VALUE(SUBSTITUTE(N69,"d-",""))))</f>
        <v>3.75</v>
      </c>
      <c r="R69">
        <f>3</f>
        <v>3</v>
      </c>
      <c r="S69">
        <f>IFERROR(SUMIFS(Calc_Anclaje!$E$1062:$E$1129,Calc_Anclaje!$A$1062:$A$1129,$B$2,Calc_Anclaje!$B$1062:$B$1129,VALUE(SUBSTITUTE(N69,"d-",""))),NA())</f>
        <v>5.4599999999999991</v>
      </c>
    </row>
    <row r="72" spans="14:22">
      <c r="N72" t="s">
        <v>2560</v>
      </c>
      <c r="O72" t="s">
        <v>2580</v>
      </c>
      <c r="P72" t="s">
        <v>2581</v>
      </c>
      <c r="Q72" t="s">
        <v>2582</v>
      </c>
      <c r="R72" t="s">
        <v>2583</v>
      </c>
      <c r="S72" t="s">
        <v>2584</v>
      </c>
      <c r="T72" t="s">
        <v>2585</v>
      </c>
      <c r="U72" t="s">
        <v>2586</v>
      </c>
      <c r="V72" t="s">
        <v>2587</v>
      </c>
    </row>
    <row r="73" spans="14:22">
      <c r="N73" t="s">
        <v>22</v>
      </c>
      <c r="O73">
        <f>SUMIFS(Calc_Anclaje!$E$1272:$E$1279,Calc_Anclaje!$A$1272:$A$1279,$N73,Calc_Anclaje!$B$1272:$B$1279,"DistanciaMeta")</f>
        <v>-0.17708938953488407</v>
      </c>
      <c r="P73">
        <f>SUMIFS(Calc_Anclaje!$M$1272:$M$1279,Calc_Anclaje!$A$1272:$A$1279,$N73,Calc_Anclaje!$B$1272:$B$1279,"DistanciaMeta")</f>
        <v>-13.842934719600487</v>
      </c>
      <c r="Q73">
        <f>SUMIFS(Calc_Anclaje!$P$1272:$P$1279,Calc_Anclaje!$A$1272:$A$1279,$N73,Calc_Anclaje!$B$1272:$B$1279,"DistanciaMeta")</f>
        <v>0.41154595162857888</v>
      </c>
      <c r="R73">
        <f>SUMIFS(Calc_Anclaje!$E$1272:$E$1279,Calc_Anclaje!$A$1272:$A$1279,$N73,Calc_Anclaje!$B$1272:$B$1279,"RespuestaContemporanea")</f>
        <v>0.91740189815357343</v>
      </c>
      <c r="S73">
        <f>SUMIFS(Calc_Anclaje!$F$1272:$F$1279,Calc_Anclaje!$A$1272:$A$1279,$N73,Calc_Anclaje!$B$1272:$B$1279,"RespuestaContemporanea")</f>
        <v>-1.4180038955482699E-2</v>
      </c>
      <c r="T73">
        <f>SUMIFS(Calc_Anclaje!$G$1272:$G$1279,Calc_Anclaje!$A$1272:$A$1279,$N73,Calc_Anclaje!$B$1272:$B$1279,"RespuestaContemporanea")</f>
        <v>-6.3751974769343522E-2</v>
      </c>
      <c r="U73">
        <f>SUMIFS(Calc_Anclaje!$O$1272:$O$1279,Calc_Anclaje!$A$1272:$A$1279,$N73,Calc_Anclaje!$B$1272:$B$1279,"RespuestaContemporanea")</f>
        <v>-13.202816010722705</v>
      </c>
      <c r="V73">
        <f>SUMIFS(Calc_Anclaje!$P$1272:$P$1279,Calc_Anclaje!$A$1272:$A$1279,$N73,Calc_Anclaje!$B$1272:$B$1279,"RespuestaContemporanea")</f>
        <v>0.81643213097494938</v>
      </c>
    </row>
    <row r="74" spans="14:22">
      <c r="N74" t="s">
        <v>134</v>
      </c>
      <c r="O74">
        <f>SUMIFS(Calc_Anclaje!$E$1272:$E$1279,Calc_Anclaje!$A$1272:$A$1279,$N74,Calc_Anclaje!$B$1272:$B$1279,"DistanciaMeta")</f>
        <v>-0.17951388888888956</v>
      </c>
      <c r="P74">
        <f>SUMIFS(Calc_Anclaje!$M$1272:$M$1279,Calc_Anclaje!$A$1272:$A$1279,$N74,Calc_Anclaje!$B$1272:$B$1279,"DistanciaMeta")</f>
        <v>-14.109912087671404</v>
      </c>
      <c r="Q74">
        <f>SUMIFS(Calc_Anclaje!$P$1272:$P$1279,Calc_Anclaje!$A$1272:$A$1279,$N74,Calc_Anclaje!$B$1272:$B$1279,"DistanciaMeta")</f>
        <v>0.42082855145158082</v>
      </c>
      <c r="R74">
        <f>SUMIFS(Calc_Anclaje!$E$1272:$E$1279,Calc_Anclaje!$A$1272:$A$1279,$N74,Calc_Anclaje!$B$1272:$B$1279,"RespuestaContemporanea")</f>
        <v>0.83981996610308207</v>
      </c>
      <c r="S74">
        <f>SUMIFS(Calc_Anclaje!$F$1272:$F$1279,Calc_Anclaje!$A$1272:$A$1279,$N74,Calc_Anclaje!$B$1272:$B$1279,"RespuestaContemporanea")</f>
        <v>-3.0338878055387153E-2</v>
      </c>
      <c r="T74">
        <f>SUMIFS(Calc_Anclaje!$G$1272:$G$1279,Calc_Anclaje!$A$1272:$A$1279,$N74,Calc_Anclaje!$B$1272:$B$1279,"RespuestaContemporanea")</f>
        <v>-6.1266617012642743E-2</v>
      </c>
      <c r="U74">
        <f>SUMIFS(Calc_Anclaje!$O$1272:$O$1279,Calc_Anclaje!$A$1272:$A$1279,$N74,Calc_Anclaje!$B$1272:$B$1279,"RespuestaContemporanea")</f>
        <v>-11.832788086981187</v>
      </c>
      <c r="V74">
        <f>SUMIFS(Calc_Anclaje!$P$1272:$P$1279,Calc_Anclaje!$A$1272:$A$1279,$N74,Calc_Anclaje!$B$1272:$B$1279,"RespuestaContemporanea")</f>
        <v>0.7772208143791699</v>
      </c>
    </row>
    <row r="75" spans="14:22">
      <c r="N75" t="s">
        <v>210</v>
      </c>
      <c r="O75">
        <f>SUMIFS(Calc_Anclaje!$E$1272:$E$1279,Calc_Anclaje!$A$1272:$A$1279,$N75,Calc_Anclaje!$B$1272:$B$1279,"DistanciaMeta")</f>
        <v>-0.1079180410202111</v>
      </c>
      <c r="P75">
        <f>SUMIFS(Calc_Anclaje!$M$1272:$M$1279,Calc_Anclaje!$A$1272:$A$1279,$N75,Calc_Anclaje!$B$1272:$B$1279,"DistanciaMeta")</f>
        <v>-8.7836374430695017</v>
      </c>
      <c r="Q75">
        <f>SUMIFS(Calc_Anclaje!$P$1272:$P$1279,Calc_Anclaje!$A$1272:$A$1279,$N75,Calc_Anclaje!$B$1272:$B$1279,"DistanciaMeta")</f>
        <v>0.23655295354361927</v>
      </c>
      <c r="R75">
        <f>SUMIFS(Calc_Anclaje!$E$1272:$E$1279,Calc_Anclaje!$A$1272:$A$1279,$N75,Calc_Anclaje!$B$1272:$B$1279,"RespuestaContemporanea")</f>
        <v>0.46580770185909265</v>
      </c>
      <c r="S75">
        <f>SUMIFS(Calc_Anclaje!$F$1272:$F$1279,Calc_Anclaje!$A$1272:$A$1279,$N75,Calc_Anclaje!$B$1272:$B$1279,"RespuestaContemporanea")</f>
        <v>-2.8878272484523515E-2</v>
      </c>
      <c r="T75">
        <f>SUMIFS(Calc_Anclaje!$G$1272:$G$1279,Calc_Anclaje!$A$1272:$A$1279,$N75,Calc_Anclaje!$B$1272:$B$1279,"RespuestaContemporanea")</f>
        <v>-3.7921230977546259E-2</v>
      </c>
      <c r="U75">
        <f>SUMIFS(Calc_Anclaje!$O$1272:$O$1279,Calc_Anclaje!$A$1272:$A$1279,$N75,Calc_Anclaje!$B$1272:$B$1279,"RespuestaContemporanea")</f>
        <v>-6.5040642761045406</v>
      </c>
      <c r="V75">
        <f>SUMIFS(Calc_Anclaje!$P$1272:$P$1279,Calc_Anclaje!$A$1272:$A$1279,$N75,Calc_Anclaje!$B$1272:$B$1279,"RespuestaContemporanea")</f>
        <v>0.45588426341139743</v>
      </c>
    </row>
    <row r="76" spans="14:22">
      <c r="N76" t="s">
        <v>212</v>
      </c>
      <c r="O76">
        <f>SUMIFS(Calc_Anclaje!$E$1272:$E$1279,Calc_Anclaje!$A$1272:$A$1279,$N76,Calc_Anclaje!$B$1272:$B$1279,"DistanciaMeta")</f>
        <v>-0.1154350422825802</v>
      </c>
      <c r="P76">
        <f>SUMIFS(Calc_Anclaje!$M$1272:$M$1279,Calc_Anclaje!$A$1272:$A$1279,$N76,Calc_Anclaje!$B$1272:$B$1279,"DistanciaMeta")</f>
        <v>-9.8626800468313061</v>
      </c>
      <c r="Q76">
        <f>SUMIFS(Calc_Anclaje!$P$1272:$P$1279,Calc_Anclaje!$A$1272:$A$1279,$N76,Calc_Anclaje!$B$1272:$B$1279,"DistanciaMeta")</f>
        <v>0.28091306582837516</v>
      </c>
      <c r="R76">
        <f>SUMIFS(Calc_Anclaje!$E$1272:$E$1279,Calc_Anclaje!$A$1272:$A$1279,$N76,Calc_Anclaje!$B$1272:$B$1279,"RespuestaContemporanea")</f>
        <v>0.6203678779984898</v>
      </c>
      <c r="S76">
        <f>SUMIFS(Calc_Anclaje!$F$1272:$F$1279,Calc_Anclaje!$A$1272:$A$1279,$N76,Calc_Anclaje!$B$1272:$B$1279,"RespuestaContemporanea")</f>
        <v>2.780419086484659E-3</v>
      </c>
      <c r="T76">
        <f>SUMIFS(Calc_Anclaje!$G$1272:$G$1279,Calc_Anclaje!$A$1272:$A$1279,$N76,Calc_Anclaje!$B$1272:$B$1279,"RespuestaContemporanea")</f>
        <v>-5.1079923151011709E-2</v>
      </c>
      <c r="U76">
        <f>SUMIFS(Calc_Anclaje!$O$1272:$O$1279,Calc_Anclaje!$A$1272:$A$1279,$N76,Calc_Anclaje!$B$1272:$B$1279,"RespuestaContemporanea")</f>
        <v>-10.983063523567418</v>
      </c>
      <c r="V76">
        <f>SUMIFS(Calc_Anclaje!$P$1272:$P$1279,Calc_Anclaje!$A$1272:$A$1279,$N76,Calc_Anclaje!$B$1272:$B$1279,"RespuestaContemporanea")</f>
        <v>0.66533050196860821</v>
      </c>
    </row>
    <row r="100" spans="14:28" ht="14.4">
      <c r="N100" t="s">
        <v>2569</v>
      </c>
      <c r="O100" t="s">
        <v>2593</v>
      </c>
      <c r="P100" t="s">
        <v>2594</v>
      </c>
      <c r="Q100" t="s">
        <v>2572</v>
      </c>
      <c r="R100" s="49" t="s">
        <v>2591</v>
      </c>
      <c r="S100" t="s">
        <v>2569</v>
      </c>
      <c r="T100" t="s">
        <v>2595</v>
      </c>
      <c r="U100" t="s">
        <v>2596</v>
      </c>
      <c r="V100" t="s">
        <v>2572</v>
      </c>
      <c r="W100" s="49" t="s">
        <v>2591</v>
      </c>
      <c r="X100" t="s">
        <v>2569</v>
      </c>
      <c r="Y100" t="s">
        <v>2597</v>
      </c>
      <c r="Z100" t="s">
        <v>2598</v>
      </c>
      <c r="AA100" t="s">
        <v>2572</v>
      </c>
      <c r="AB100" s="49" t="s">
        <v>2591</v>
      </c>
    </row>
    <row r="101" spans="14:28" ht="14.4">
      <c r="N101" t="s">
        <v>2512</v>
      </c>
      <c r="O101">
        <f>IF(COUNTIFS(Calc_Anclaje!$A$5:$A$1058,$B$2,Calc_Anclaje!$H$5:$H$1058,VALUE(SUBSTITUTE(N101,"d-","")),Calc_Anclaje!$K$5:$K$1058,"&gt;=2",Calc_Anclaje!$K$5:$K$1058,"&lt;=4")=0,"",AVERAGEIFS(Calc_Anclaje!$J$5:$J$1058,Calc_Anclaje!$A$5:$A$1058,$B$2,Calc_Anclaje!$H$5:$H$1058,VALUE(SUBSTITUTE(N101,"d-","")),Calc_Anclaje!$K$5:$K$1058,"&gt;=2",Calc_Anclaje!$K$5:$K$1058,"&lt;=4"))</f>
        <v>3.0750000000000002</v>
      </c>
      <c r="P101">
        <f>IF(COUNTIFS(Calc_Anclaje!$A$5:$A$1058,$B$2,Calc_Anclaje!$H$5:$H$1058,VALUE(SUBSTITUTE(N101,"d-","")),Calc_Anclaje!$K$5:$K$1058,"&gt;=2",Calc_Anclaje!$K$5:$K$1058,"&lt;=4")=0,"",AVERAGEIFS(Calc_Anclaje!$K$5:$K$1058,Calc_Anclaje!$A$5:$A$1058,$B$2,Calc_Anclaje!$H$5:$H$1058,VALUE(SUBSTITUTE(N101,"d-","")),Calc_Anclaje!$K$5:$K$1058,"&gt;=2",Calc_Anclaje!$K$5:$K$1058,"&lt;=4"))</f>
        <v>3.7250000000000001</v>
      </c>
      <c r="Q101">
        <f>3</f>
        <v>3</v>
      </c>
      <c r="R101" s="49">
        <f>COUNTIFS(Calc_Anclaje!$A$5:$A$1058,$B$2,Calc_Anclaje!$H$5:$H$1058,VALUE(SUBSTITUTE(N101,"d-","")),Calc_Anclaje!$K$5:$K$1058,"&gt;=2",Calc_Anclaje!$K$5:$K$1058,"&lt;=4")</f>
        <v>4</v>
      </c>
      <c r="S101" t="s">
        <v>2512</v>
      </c>
      <c r="T101">
        <f>IF(COUNTIFS(Calc_Anclaje!$A$5:$A$1058,$B$2,Calc_Anclaje!$H$5:$H$1058,VALUE(SUBSTITUTE(S101,"d-","")),Calc_Anclaje!$K$5:$K$1058,"&gt;4",Calc_Anclaje!$K$5:$K$1058,"&lt;=5")=0,"",AVERAGEIFS(Calc_Anclaje!$J$5:$J$1058,Calc_Anclaje!$A$5:$A$1058,$B$2,Calc_Anclaje!$H$5:$H$1058,VALUE(SUBSTITUTE(S101,"d-","")),Calc_Anclaje!$K$5:$K$1058,"&gt;4",Calc_Anclaje!$K$5:$K$1058,"&lt;=5"))</f>
        <v>3.0750000000000002</v>
      </c>
      <c r="U101">
        <f>IF(COUNTIFS(Calc_Anclaje!$A$5:$A$1058,$B$2,Calc_Anclaje!$H$5:$H$1058,VALUE(SUBSTITUTE(S101,"d-","")),Calc_Anclaje!$K$5:$K$1058,"&gt;4",Calc_Anclaje!$K$5:$K$1058,"&lt;=5")=0,"",AVERAGEIFS(Calc_Anclaje!$K$5:$K$1058,Calc_Anclaje!$A$5:$A$1058,$B$2,Calc_Anclaje!$H$5:$H$1058,VALUE(SUBSTITUTE(S101,"d-","")),Calc_Anclaje!$K$5:$K$1058,"&gt;4",Calc_Anclaje!$K$5:$K$1058,"&lt;=5"))</f>
        <v>4.5250000000000004</v>
      </c>
      <c r="V101">
        <f>3</f>
        <v>3</v>
      </c>
      <c r="W101" s="49">
        <f>COUNTIFS(Calc_Anclaje!$A$5:$A$1058,$B$2,Calc_Anclaje!$H$5:$H$1058,VALUE(SUBSTITUTE(S101,"d-","")),Calc_Anclaje!$K$5:$K$1058,"&gt;4",Calc_Anclaje!$K$5:$K$1058,"&lt;=5")</f>
        <v>8</v>
      </c>
      <c r="X101" t="s">
        <v>2512</v>
      </c>
      <c r="Y101" t="str">
        <f>IF(COUNTIFS(Calc_Anclaje!$A$5:$A$1058,$B$2,Calc_Anclaje!$H$5:$H$1058,VALUE(SUBSTITUTE(X101,"d-","")),Calc_Anclaje!$K$5:$K$1058,"&gt;5")=0,"",AVERAGEIFS(Calc_Anclaje!$J$5:$J$1058,Calc_Anclaje!$A$5:$A$1058,$B$2,Calc_Anclaje!$H$5:$H$1058,VALUE(SUBSTITUTE(X101,"d-","")),Calc_Anclaje!$K$5:$K$1058,"&gt;5"))</f>
        <v/>
      </c>
      <c r="Z101" t="str">
        <f>IF(COUNTIFS(Calc_Anclaje!$A$5:$A$1058,$B$2,Calc_Anclaje!$H$5:$H$1058,VALUE(SUBSTITUTE(X101,"d-","")),Calc_Anclaje!$K$5:$K$1058,"&gt;5")=0,"",AVERAGEIFS(Calc_Anclaje!$K$5:$K$1058,Calc_Anclaje!$A$5:$A$1058,$B$2,Calc_Anclaje!$H$5:$H$1058,VALUE(SUBSTITUTE(X101,"d-","")),Calc_Anclaje!$K$5:$K$1058,"&gt;5"))</f>
        <v/>
      </c>
      <c r="AA101">
        <f>3</f>
        <v>3</v>
      </c>
      <c r="AB101" s="49">
        <f>COUNTIFS(Calc_Anclaje!$A$5:$A$1058,$B$2,Calc_Anclaje!$H$5:$H$1058,VALUE(SUBSTITUTE(X101,"d-","")),Calc_Anclaje!$K$5:$K$1058,"&gt;5")</f>
        <v>0</v>
      </c>
    </row>
    <row r="102" spans="14:28" ht="14.4">
      <c r="N102" t="s">
        <v>2510</v>
      </c>
      <c r="O102">
        <f>IF(COUNTIFS(Calc_Anclaje!$A$5:$A$1058,$B$2,Calc_Anclaje!$H$5:$H$1058,VALUE(SUBSTITUTE(N102,"d-","")),Calc_Anclaje!$K$5:$K$1058,"&gt;=2",Calc_Anclaje!$K$5:$K$1058,"&lt;=4")=0,"",AVERAGEIFS(Calc_Anclaje!$J$5:$J$1058,Calc_Anclaje!$A$5:$A$1058,$B$2,Calc_Anclaje!$H$5:$H$1058,VALUE(SUBSTITUTE(N102,"d-","")),Calc_Anclaje!$K$5:$K$1058,"&gt;=2",Calc_Anclaje!$K$5:$K$1058,"&lt;=4"))</f>
        <v>3.0750000000000002</v>
      </c>
      <c r="P102">
        <f>IF(COUNTIFS(Calc_Anclaje!$A$5:$A$1058,$B$2,Calc_Anclaje!$H$5:$H$1058,VALUE(SUBSTITUTE(N102,"d-","")),Calc_Anclaje!$K$5:$K$1058,"&gt;=2",Calc_Anclaje!$K$5:$K$1058,"&lt;=4")=0,"",AVERAGEIFS(Calc_Anclaje!$K$5:$K$1058,Calc_Anclaje!$A$5:$A$1058,$B$2,Calc_Anclaje!$H$5:$H$1058,VALUE(SUBSTITUTE(N102,"d-","")),Calc_Anclaje!$K$5:$K$1058,"&gt;=2",Calc_Anclaje!$K$5:$K$1058,"&lt;=4"))</f>
        <v>3.7250000000000001</v>
      </c>
      <c r="Q102">
        <f>3</f>
        <v>3</v>
      </c>
      <c r="R102" s="49">
        <f>COUNTIFS(Calc_Anclaje!$A$5:$A$1058,$B$2,Calc_Anclaje!$H$5:$H$1058,VALUE(SUBSTITUTE(N102,"d-","")),Calc_Anclaje!$K$5:$K$1058,"&gt;=2",Calc_Anclaje!$K$5:$K$1058,"&lt;=4")</f>
        <v>4</v>
      </c>
      <c r="S102" t="s">
        <v>2510</v>
      </c>
      <c r="T102">
        <f>IF(COUNTIFS(Calc_Anclaje!$A$5:$A$1058,$B$2,Calc_Anclaje!$H$5:$H$1058,VALUE(SUBSTITUTE(S102,"d-","")),Calc_Anclaje!$K$5:$K$1058,"&gt;4",Calc_Anclaje!$K$5:$K$1058,"&lt;=5")=0,"",AVERAGEIFS(Calc_Anclaje!$J$5:$J$1058,Calc_Anclaje!$A$5:$A$1058,$B$2,Calc_Anclaje!$H$5:$H$1058,VALUE(SUBSTITUTE(S102,"d-","")),Calc_Anclaje!$K$5:$K$1058,"&gt;4",Calc_Anclaje!$K$5:$K$1058,"&lt;=5"))</f>
        <v>3.0875000000000004</v>
      </c>
      <c r="U102">
        <f>IF(COUNTIFS(Calc_Anclaje!$A$5:$A$1058,$B$2,Calc_Anclaje!$H$5:$H$1058,VALUE(SUBSTITUTE(S102,"d-","")),Calc_Anclaje!$K$5:$K$1058,"&gt;4",Calc_Anclaje!$K$5:$K$1058,"&lt;=5")=0,"",AVERAGEIFS(Calc_Anclaje!$K$5:$K$1058,Calc_Anclaje!$A$5:$A$1058,$B$2,Calc_Anclaje!$H$5:$H$1058,VALUE(SUBSTITUTE(S102,"d-","")),Calc_Anclaje!$K$5:$K$1058,"&gt;4",Calc_Anclaje!$K$5:$K$1058,"&lt;=5"))</f>
        <v>4.5250000000000004</v>
      </c>
      <c r="V102">
        <f>3</f>
        <v>3</v>
      </c>
      <c r="W102" s="49">
        <f>COUNTIFS(Calc_Anclaje!$A$5:$A$1058,$B$2,Calc_Anclaje!$H$5:$H$1058,VALUE(SUBSTITUTE(S102,"d-","")),Calc_Anclaje!$K$5:$K$1058,"&gt;4",Calc_Anclaje!$K$5:$K$1058,"&lt;=5")</f>
        <v>8</v>
      </c>
      <c r="X102" t="s">
        <v>2510</v>
      </c>
      <c r="Y102">
        <f>IF(COUNTIFS(Calc_Anclaje!$A$5:$A$1058,$B$2,Calc_Anclaje!$H$5:$H$1058,VALUE(SUBSTITUTE(X102,"d-","")),Calc_Anclaje!$K$5:$K$1058,"&gt;5")=0,"",AVERAGEIFS(Calc_Anclaje!$J$5:$J$1058,Calc_Anclaje!$A$5:$A$1058,$B$2,Calc_Anclaje!$H$5:$H$1058,VALUE(SUBSTITUTE(X102,"d-","")),Calc_Anclaje!$K$5:$K$1058,"&gt;5"))</f>
        <v>3.1</v>
      </c>
      <c r="Z102">
        <f>IF(COUNTIFS(Calc_Anclaje!$A$5:$A$1058,$B$2,Calc_Anclaje!$H$5:$H$1058,VALUE(SUBSTITUTE(X102,"d-","")),Calc_Anclaje!$K$5:$K$1058,"&gt;5")=0,"",AVERAGEIFS(Calc_Anclaje!$K$5:$K$1058,Calc_Anclaje!$A$5:$A$1058,$B$2,Calc_Anclaje!$H$5:$H$1058,VALUE(SUBSTITUTE(X102,"d-","")),Calc_Anclaje!$K$5:$K$1058,"&gt;5"))</f>
        <v>5.7</v>
      </c>
      <c r="AA102">
        <f>3</f>
        <v>3</v>
      </c>
      <c r="AB102" s="49">
        <f>COUNTIFS(Calc_Anclaje!$A$5:$A$1058,$B$2,Calc_Anclaje!$H$5:$H$1058,VALUE(SUBSTITUTE(X102,"d-","")),Calc_Anclaje!$K$5:$K$1058,"&gt;5")</f>
        <v>1</v>
      </c>
    </row>
    <row r="103" spans="14:28" ht="14.4">
      <c r="N103" t="s">
        <v>2511</v>
      </c>
      <c r="O103">
        <f>IF(COUNTIFS(Calc_Anclaje!$A$5:$A$1058,$B$2,Calc_Anclaje!$H$5:$H$1058,VALUE(SUBSTITUTE(N103,"d-","")),Calc_Anclaje!$K$5:$K$1058,"&gt;=2",Calc_Anclaje!$K$5:$K$1058,"&lt;=4")=0,"",AVERAGEIFS(Calc_Anclaje!$J$5:$J$1058,Calc_Anclaje!$A$5:$A$1058,$B$2,Calc_Anclaje!$H$5:$H$1058,VALUE(SUBSTITUTE(N103,"d-","")),Calc_Anclaje!$K$5:$K$1058,"&gt;=2",Calc_Anclaje!$K$5:$K$1058,"&lt;=4"))</f>
        <v>3.0750000000000002</v>
      </c>
      <c r="P103">
        <f>IF(COUNTIFS(Calc_Anclaje!$A$5:$A$1058,$B$2,Calc_Anclaje!$H$5:$H$1058,VALUE(SUBSTITUTE(N103,"d-","")),Calc_Anclaje!$K$5:$K$1058,"&gt;=2",Calc_Anclaje!$K$5:$K$1058,"&lt;=4")=0,"",AVERAGEIFS(Calc_Anclaje!$K$5:$K$1058,Calc_Anclaje!$A$5:$A$1058,$B$2,Calc_Anclaje!$H$5:$H$1058,VALUE(SUBSTITUTE(N103,"d-","")),Calc_Anclaje!$K$5:$K$1058,"&gt;=2",Calc_Anclaje!$K$5:$K$1058,"&lt;=4"))</f>
        <v>3.7250000000000001</v>
      </c>
      <c r="Q103">
        <f>3</f>
        <v>3</v>
      </c>
      <c r="R103" s="49">
        <f>COUNTIFS(Calc_Anclaje!$A$5:$A$1058,$B$2,Calc_Anclaje!$H$5:$H$1058,VALUE(SUBSTITUTE(N103,"d-","")),Calc_Anclaje!$K$5:$K$1058,"&gt;=2",Calc_Anclaje!$K$5:$K$1058,"&lt;=4")</f>
        <v>4</v>
      </c>
      <c r="S103" t="s">
        <v>2511</v>
      </c>
      <c r="T103">
        <f>IF(COUNTIFS(Calc_Anclaje!$A$5:$A$1058,$B$2,Calc_Anclaje!$H$5:$H$1058,VALUE(SUBSTITUTE(S103,"d-","")),Calc_Anclaje!$K$5:$K$1058,"&gt;4",Calc_Anclaje!$K$5:$K$1058,"&lt;=5")=0,"",AVERAGEIFS(Calc_Anclaje!$J$5:$J$1058,Calc_Anclaje!$A$5:$A$1058,$B$2,Calc_Anclaje!$H$5:$H$1058,VALUE(SUBSTITUTE(S103,"d-","")),Calc_Anclaje!$K$5:$K$1058,"&gt;4",Calc_Anclaje!$K$5:$K$1058,"&lt;=5"))</f>
        <v>3.1375000000000002</v>
      </c>
      <c r="U103">
        <f>IF(COUNTIFS(Calc_Anclaje!$A$5:$A$1058,$B$2,Calc_Anclaje!$H$5:$H$1058,VALUE(SUBSTITUTE(S103,"d-","")),Calc_Anclaje!$K$5:$K$1058,"&gt;4",Calc_Anclaje!$K$5:$K$1058,"&lt;=5")=0,"",AVERAGEIFS(Calc_Anclaje!$K$5:$K$1058,Calc_Anclaje!$A$5:$A$1058,$B$2,Calc_Anclaje!$H$5:$H$1058,VALUE(SUBSTITUTE(S103,"d-","")),Calc_Anclaje!$K$5:$K$1058,"&gt;4",Calc_Anclaje!$K$5:$K$1058,"&lt;=5"))</f>
        <v>4.5250000000000004</v>
      </c>
      <c r="V103">
        <f>3</f>
        <v>3</v>
      </c>
      <c r="W103" s="49">
        <f>COUNTIFS(Calc_Anclaje!$A$5:$A$1058,$B$2,Calc_Anclaje!$H$5:$H$1058,VALUE(SUBSTITUTE(S103,"d-","")),Calc_Anclaje!$K$5:$K$1058,"&gt;4",Calc_Anclaje!$K$5:$K$1058,"&lt;=5")</f>
        <v>8</v>
      </c>
      <c r="X103" t="s">
        <v>2511</v>
      </c>
      <c r="Y103">
        <f>IF(COUNTIFS(Calc_Anclaje!$A$5:$A$1058,$B$2,Calc_Anclaje!$H$5:$H$1058,VALUE(SUBSTITUTE(X103,"d-","")),Calc_Anclaje!$K$5:$K$1058,"&gt;5")=0,"",AVERAGEIFS(Calc_Anclaje!$J$5:$J$1058,Calc_Anclaje!$A$5:$A$1058,$B$2,Calc_Anclaje!$H$5:$H$1058,VALUE(SUBSTITUTE(X103,"d-","")),Calc_Anclaje!$K$5:$K$1058,"&gt;5"))</f>
        <v>3.2</v>
      </c>
      <c r="Z103">
        <f>IF(COUNTIFS(Calc_Anclaje!$A$5:$A$1058,$B$2,Calc_Anclaje!$H$5:$H$1058,VALUE(SUBSTITUTE(X103,"d-","")),Calc_Anclaje!$K$5:$K$1058,"&gt;5")=0,"",AVERAGEIFS(Calc_Anclaje!$K$5:$K$1058,Calc_Anclaje!$A$5:$A$1058,$B$2,Calc_Anclaje!$H$5:$H$1058,VALUE(SUBSTITUTE(X103,"d-","")),Calc_Anclaje!$K$5:$K$1058,"&gt;5"))</f>
        <v>5.7</v>
      </c>
      <c r="AA103">
        <f>3</f>
        <v>3</v>
      </c>
      <c r="AB103" s="49">
        <f>COUNTIFS(Calc_Anclaje!$A$5:$A$1058,$B$2,Calc_Anclaje!$H$5:$H$1058,VALUE(SUBSTITUTE(X103,"d-","")),Calc_Anclaje!$K$5:$K$1058,"&gt;5")</f>
        <v>1</v>
      </c>
    </row>
    <row r="104" spans="14:28" ht="14.4">
      <c r="N104" t="s">
        <v>2508</v>
      </c>
      <c r="O104">
        <f>IF(COUNTIFS(Calc_Anclaje!$A$5:$A$1058,$B$2,Calc_Anclaje!$H$5:$H$1058,VALUE(SUBSTITUTE(N104,"d-","")),Calc_Anclaje!$K$5:$K$1058,"&gt;=2",Calc_Anclaje!$K$5:$K$1058,"&lt;=4")=0,"",AVERAGEIFS(Calc_Anclaje!$J$5:$J$1058,Calc_Anclaje!$A$5:$A$1058,$B$2,Calc_Anclaje!$H$5:$H$1058,VALUE(SUBSTITUTE(N104,"d-","")),Calc_Anclaje!$K$5:$K$1058,"&gt;=2",Calc_Anclaje!$K$5:$K$1058,"&lt;=4"))</f>
        <v>3.05</v>
      </c>
      <c r="P104">
        <f>IF(COUNTIFS(Calc_Anclaje!$A$5:$A$1058,$B$2,Calc_Anclaje!$H$5:$H$1058,VALUE(SUBSTITUTE(N104,"d-","")),Calc_Anclaje!$K$5:$K$1058,"&gt;=2",Calc_Anclaje!$K$5:$K$1058,"&lt;=4")=0,"",AVERAGEIFS(Calc_Anclaje!$K$5:$K$1058,Calc_Anclaje!$A$5:$A$1058,$B$2,Calc_Anclaje!$H$5:$H$1058,VALUE(SUBSTITUTE(N104,"d-","")),Calc_Anclaje!$K$5:$K$1058,"&gt;=2",Calc_Anclaje!$K$5:$K$1058,"&lt;=4"))</f>
        <v>3.7250000000000001</v>
      </c>
      <c r="Q104">
        <f>3</f>
        <v>3</v>
      </c>
      <c r="R104" s="49">
        <f>COUNTIFS(Calc_Anclaje!$A$5:$A$1058,$B$2,Calc_Anclaje!$H$5:$H$1058,VALUE(SUBSTITUTE(N104,"d-","")),Calc_Anclaje!$K$5:$K$1058,"&gt;=2",Calc_Anclaje!$K$5:$K$1058,"&lt;=4")</f>
        <v>4</v>
      </c>
      <c r="S104" t="s">
        <v>2508</v>
      </c>
      <c r="T104">
        <f>IF(COUNTIFS(Calc_Anclaje!$A$5:$A$1058,$B$2,Calc_Anclaje!$H$5:$H$1058,VALUE(SUBSTITUTE(S104,"d-","")),Calc_Anclaje!$K$5:$K$1058,"&gt;4",Calc_Anclaje!$K$5:$K$1058,"&lt;=5")=0,"",AVERAGEIFS(Calc_Anclaje!$J$5:$J$1058,Calc_Anclaje!$A$5:$A$1058,$B$2,Calc_Anclaje!$H$5:$H$1058,VALUE(SUBSTITUTE(S104,"d-","")),Calc_Anclaje!$K$5:$K$1058,"&gt;4",Calc_Anclaje!$K$5:$K$1058,"&lt;=5"))</f>
        <v>3.1750000000000003</v>
      </c>
      <c r="U104">
        <f>IF(COUNTIFS(Calc_Anclaje!$A$5:$A$1058,$B$2,Calc_Anclaje!$H$5:$H$1058,VALUE(SUBSTITUTE(S104,"d-","")),Calc_Anclaje!$K$5:$K$1058,"&gt;4",Calc_Anclaje!$K$5:$K$1058,"&lt;=5")=0,"",AVERAGEIFS(Calc_Anclaje!$K$5:$K$1058,Calc_Anclaje!$A$5:$A$1058,$B$2,Calc_Anclaje!$H$5:$H$1058,VALUE(SUBSTITUTE(S104,"d-","")),Calc_Anclaje!$K$5:$K$1058,"&gt;4",Calc_Anclaje!$K$5:$K$1058,"&lt;=5"))</f>
        <v>4.5250000000000004</v>
      </c>
      <c r="V104">
        <f>3</f>
        <v>3</v>
      </c>
      <c r="W104" s="49">
        <f>COUNTIFS(Calc_Anclaje!$A$5:$A$1058,$B$2,Calc_Anclaje!$H$5:$H$1058,VALUE(SUBSTITUTE(S104,"d-","")),Calc_Anclaje!$K$5:$K$1058,"&gt;4",Calc_Anclaje!$K$5:$K$1058,"&lt;=5")</f>
        <v>8</v>
      </c>
      <c r="X104" t="s">
        <v>2508</v>
      </c>
      <c r="Y104">
        <f>IF(COUNTIFS(Calc_Anclaje!$A$5:$A$1058,$B$2,Calc_Anclaje!$H$5:$H$1058,VALUE(SUBSTITUTE(X104,"d-","")),Calc_Anclaje!$K$5:$K$1058,"&gt;5")=0,"",AVERAGEIFS(Calc_Anclaje!$J$5:$J$1058,Calc_Anclaje!$A$5:$A$1058,$B$2,Calc_Anclaje!$H$5:$H$1058,VALUE(SUBSTITUTE(X104,"d-","")),Calc_Anclaje!$K$5:$K$1058,"&gt;5"))</f>
        <v>3.1500000000000004</v>
      </c>
      <c r="Z104">
        <f>IF(COUNTIFS(Calc_Anclaje!$A$5:$A$1058,$B$2,Calc_Anclaje!$H$5:$H$1058,VALUE(SUBSTITUTE(X104,"d-","")),Calc_Anclaje!$K$5:$K$1058,"&gt;5")=0,"",AVERAGEIFS(Calc_Anclaje!$K$5:$K$1058,Calc_Anclaje!$A$5:$A$1058,$B$2,Calc_Anclaje!$H$5:$H$1058,VALUE(SUBSTITUTE(X104,"d-","")),Calc_Anclaje!$K$5:$K$1058,"&gt;5"))</f>
        <v>6.6</v>
      </c>
      <c r="AA104">
        <f>3</f>
        <v>3</v>
      </c>
      <c r="AB104" s="49">
        <f>COUNTIFS(Calc_Anclaje!$A$5:$A$1058,$B$2,Calc_Anclaje!$H$5:$H$1058,VALUE(SUBSTITUTE(X104,"d-","")),Calc_Anclaje!$K$5:$K$1058,"&gt;5")</f>
        <v>2</v>
      </c>
    </row>
    <row r="105" spans="14:28" ht="14.4">
      <c r="N105" t="s">
        <v>2509</v>
      </c>
      <c r="O105">
        <f>IF(COUNTIFS(Calc_Anclaje!$A$5:$A$1058,$B$2,Calc_Anclaje!$H$5:$H$1058,VALUE(SUBSTITUTE(N105,"d-","")),Calc_Anclaje!$K$5:$K$1058,"&gt;=2",Calc_Anclaje!$K$5:$K$1058,"&lt;=4")=0,"",AVERAGEIFS(Calc_Anclaje!$J$5:$J$1058,Calc_Anclaje!$A$5:$A$1058,$B$2,Calc_Anclaje!$H$5:$H$1058,VALUE(SUBSTITUTE(N105,"d-","")),Calc_Anclaje!$K$5:$K$1058,"&gt;=2",Calc_Anclaje!$K$5:$K$1058,"&lt;=4"))</f>
        <v>3.1</v>
      </c>
      <c r="P105">
        <f>IF(COUNTIFS(Calc_Anclaje!$A$5:$A$1058,$B$2,Calc_Anclaje!$H$5:$H$1058,VALUE(SUBSTITUTE(N105,"d-","")),Calc_Anclaje!$K$5:$K$1058,"&gt;=2",Calc_Anclaje!$K$5:$K$1058,"&lt;=4")=0,"",AVERAGEIFS(Calc_Anclaje!$K$5:$K$1058,Calc_Anclaje!$A$5:$A$1058,$B$2,Calc_Anclaje!$H$5:$H$1058,VALUE(SUBSTITUTE(N105,"d-","")),Calc_Anclaje!$K$5:$K$1058,"&gt;=2",Calc_Anclaje!$K$5:$K$1058,"&lt;=4"))</f>
        <v>3.7250000000000001</v>
      </c>
      <c r="Q105">
        <f>3</f>
        <v>3</v>
      </c>
      <c r="R105" s="49">
        <f>COUNTIFS(Calc_Anclaje!$A$5:$A$1058,$B$2,Calc_Anclaje!$H$5:$H$1058,VALUE(SUBSTITUTE(N105,"d-","")),Calc_Anclaje!$K$5:$K$1058,"&gt;=2",Calc_Anclaje!$K$5:$K$1058,"&lt;=4")</f>
        <v>4</v>
      </c>
      <c r="S105" t="s">
        <v>2509</v>
      </c>
      <c r="T105">
        <f>IF(COUNTIFS(Calc_Anclaje!$A$5:$A$1058,$B$2,Calc_Anclaje!$H$5:$H$1058,VALUE(SUBSTITUTE(S105,"d-","")),Calc_Anclaje!$K$5:$K$1058,"&gt;4",Calc_Anclaje!$K$5:$K$1058,"&lt;=5")=0,"",AVERAGEIFS(Calc_Anclaje!$J$5:$J$1058,Calc_Anclaje!$A$5:$A$1058,$B$2,Calc_Anclaje!$H$5:$H$1058,VALUE(SUBSTITUTE(S105,"d-","")),Calc_Anclaje!$K$5:$K$1058,"&gt;4",Calc_Anclaje!$K$5:$K$1058,"&lt;=5"))</f>
        <v>3.2625000000000006</v>
      </c>
      <c r="U105">
        <f>IF(COUNTIFS(Calc_Anclaje!$A$5:$A$1058,$B$2,Calc_Anclaje!$H$5:$H$1058,VALUE(SUBSTITUTE(S105,"d-","")),Calc_Anclaje!$K$5:$K$1058,"&gt;4",Calc_Anclaje!$K$5:$K$1058,"&lt;=5")=0,"",AVERAGEIFS(Calc_Anclaje!$K$5:$K$1058,Calc_Anclaje!$A$5:$A$1058,$B$2,Calc_Anclaje!$H$5:$H$1058,VALUE(SUBSTITUTE(S105,"d-","")),Calc_Anclaje!$K$5:$K$1058,"&gt;4",Calc_Anclaje!$K$5:$K$1058,"&lt;=5"))</f>
        <v>4.5250000000000004</v>
      </c>
      <c r="V105">
        <f>3</f>
        <v>3</v>
      </c>
      <c r="W105" s="49">
        <f>COUNTIFS(Calc_Anclaje!$A$5:$A$1058,$B$2,Calc_Anclaje!$H$5:$H$1058,VALUE(SUBSTITUTE(S105,"d-","")),Calc_Anclaje!$K$5:$K$1058,"&gt;4",Calc_Anclaje!$K$5:$K$1058,"&lt;=5")</f>
        <v>8</v>
      </c>
      <c r="X105" t="s">
        <v>2509</v>
      </c>
      <c r="Y105">
        <f>IF(COUNTIFS(Calc_Anclaje!$A$5:$A$1058,$B$2,Calc_Anclaje!$H$5:$H$1058,VALUE(SUBSTITUTE(X105,"d-","")),Calc_Anclaje!$K$5:$K$1058,"&gt;5")=0,"",AVERAGEIFS(Calc_Anclaje!$J$5:$J$1058,Calc_Anclaje!$A$5:$A$1058,$B$2,Calc_Anclaje!$H$5:$H$1058,VALUE(SUBSTITUTE(X105,"d-","")),Calc_Anclaje!$K$5:$K$1058,"&gt;5"))</f>
        <v>3.25</v>
      </c>
      <c r="Z105">
        <f>IF(COUNTIFS(Calc_Anclaje!$A$5:$A$1058,$B$2,Calc_Anclaje!$H$5:$H$1058,VALUE(SUBSTITUTE(X105,"d-","")),Calc_Anclaje!$K$5:$K$1058,"&gt;5")=0,"",AVERAGEIFS(Calc_Anclaje!$K$5:$K$1058,Calc_Anclaje!$A$5:$A$1058,$B$2,Calc_Anclaje!$H$5:$H$1058,VALUE(SUBSTITUTE(X105,"d-","")),Calc_Anclaje!$K$5:$K$1058,"&gt;5"))</f>
        <v>6.6</v>
      </c>
      <c r="AA105">
        <f>3</f>
        <v>3</v>
      </c>
      <c r="AB105" s="49">
        <f>COUNTIFS(Calc_Anclaje!$A$5:$A$1058,$B$2,Calc_Anclaje!$H$5:$H$1058,VALUE(SUBSTITUTE(X105,"d-","")),Calc_Anclaje!$K$5:$K$1058,"&gt;5")</f>
        <v>2</v>
      </c>
    </row>
    <row r="106" spans="14:28" ht="14.4">
      <c r="N106" t="s">
        <v>2506</v>
      </c>
      <c r="O106">
        <f>IF(COUNTIFS(Calc_Anclaje!$A$5:$A$1058,$B$2,Calc_Anclaje!$H$5:$H$1058,VALUE(SUBSTITUTE(N106,"d-","")),Calc_Anclaje!$K$5:$K$1058,"&gt;=2",Calc_Anclaje!$K$5:$K$1058,"&lt;=4")=0,"",AVERAGEIFS(Calc_Anclaje!$J$5:$J$1058,Calc_Anclaje!$A$5:$A$1058,$B$2,Calc_Anclaje!$H$5:$H$1058,VALUE(SUBSTITUTE(N106,"d-","")),Calc_Anclaje!$K$5:$K$1058,"&gt;=2",Calc_Anclaje!$K$5:$K$1058,"&lt;=4"))</f>
        <v>3.125</v>
      </c>
      <c r="P106">
        <f>IF(COUNTIFS(Calc_Anclaje!$A$5:$A$1058,$B$2,Calc_Anclaje!$H$5:$H$1058,VALUE(SUBSTITUTE(N106,"d-","")),Calc_Anclaje!$K$5:$K$1058,"&gt;=2",Calc_Anclaje!$K$5:$K$1058,"&lt;=4")=0,"",AVERAGEIFS(Calc_Anclaje!$K$5:$K$1058,Calc_Anclaje!$A$5:$A$1058,$B$2,Calc_Anclaje!$H$5:$H$1058,VALUE(SUBSTITUTE(N106,"d-","")),Calc_Anclaje!$K$5:$K$1058,"&gt;=2",Calc_Anclaje!$K$5:$K$1058,"&lt;=4"))</f>
        <v>3.7250000000000001</v>
      </c>
      <c r="Q106">
        <f>3</f>
        <v>3</v>
      </c>
      <c r="R106" s="49">
        <f>COUNTIFS(Calc_Anclaje!$A$5:$A$1058,$B$2,Calc_Anclaje!$H$5:$H$1058,VALUE(SUBSTITUTE(N106,"d-","")),Calc_Anclaje!$K$5:$K$1058,"&gt;=2",Calc_Anclaje!$K$5:$K$1058,"&lt;=4")</f>
        <v>4</v>
      </c>
      <c r="S106" t="s">
        <v>2506</v>
      </c>
      <c r="T106">
        <f>IF(COUNTIFS(Calc_Anclaje!$A$5:$A$1058,$B$2,Calc_Anclaje!$H$5:$H$1058,VALUE(SUBSTITUTE(S106,"d-","")),Calc_Anclaje!$K$5:$K$1058,"&gt;4",Calc_Anclaje!$K$5:$K$1058,"&lt;=5")=0,"",AVERAGEIFS(Calc_Anclaje!$J$5:$J$1058,Calc_Anclaje!$A$5:$A$1058,$B$2,Calc_Anclaje!$H$5:$H$1058,VALUE(SUBSTITUTE(S106,"d-","")),Calc_Anclaje!$K$5:$K$1058,"&gt;4",Calc_Anclaje!$K$5:$K$1058,"&lt;=5"))</f>
        <v>3.3125</v>
      </c>
      <c r="U106">
        <f>IF(COUNTIFS(Calc_Anclaje!$A$5:$A$1058,$B$2,Calc_Anclaje!$H$5:$H$1058,VALUE(SUBSTITUTE(S106,"d-","")),Calc_Anclaje!$K$5:$K$1058,"&gt;4",Calc_Anclaje!$K$5:$K$1058,"&lt;=5")=0,"",AVERAGEIFS(Calc_Anclaje!$K$5:$K$1058,Calc_Anclaje!$A$5:$A$1058,$B$2,Calc_Anclaje!$H$5:$H$1058,VALUE(SUBSTITUTE(S106,"d-","")),Calc_Anclaje!$K$5:$K$1058,"&gt;4",Calc_Anclaje!$K$5:$K$1058,"&lt;=5"))</f>
        <v>4.5250000000000004</v>
      </c>
      <c r="V106">
        <f>3</f>
        <v>3</v>
      </c>
      <c r="W106" s="49">
        <f>COUNTIFS(Calc_Anclaje!$A$5:$A$1058,$B$2,Calc_Anclaje!$H$5:$H$1058,VALUE(SUBSTITUTE(S106,"d-","")),Calc_Anclaje!$K$5:$K$1058,"&gt;4",Calc_Anclaje!$K$5:$K$1058,"&lt;=5")</f>
        <v>8</v>
      </c>
      <c r="X106" t="s">
        <v>2506</v>
      </c>
      <c r="Y106">
        <f>IF(COUNTIFS(Calc_Anclaje!$A$5:$A$1058,$B$2,Calc_Anclaje!$H$5:$H$1058,VALUE(SUBSTITUTE(X106,"d-","")),Calc_Anclaje!$K$5:$K$1058,"&gt;5")=0,"",AVERAGEIFS(Calc_Anclaje!$J$5:$J$1058,Calc_Anclaje!$A$5:$A$1058,$B$2,Calc_Anclaje!$H$5:$H$1058,VALUE(SUBSTITUTE(X106,"d-","")),Calc_Anclaje!$K$5:$K$1058,"&gt;5"))</f>
        <v>3.2666666666666671</v>
      </c>
      <c r="Z106">
        <f>IF(COUNTIFS(Calc_Anclaje!$A$5:$A$1058,$B$2,Calc_Anclaje!$H$5:$H$1058,VALUE(SUBSTITUTE(X106,"d-","")),Calc_Anclaje!$K$5:$K$1058,"&gt;5")=0,"",AVERAGEIFS(Calc_Anclaje!$K$5:$K$1058,Calc_Anclaje!$A$5:$A$1058,$B$2,Calc_Anclaje!$H$5:$H$1058,VALUE(SUBSTITUTE(X106,"d-","")),Calc_Anclaje!$K$5:$K$1058,"&gt;5"))</f>
        <v>7.0666666666666664</v>
      </c>
      <c r="AA106">
        <f>3</f>
        <v>3</v>
      </c>
      <c r="AB106" s="49">
        <f>COUNTIFS(Calc_Anclaje!$A$5:$A$1058,$B$2,Calc_Anclaje!$H$5:$H$1058,VALUE(SUBSTITUTE(X106,"d-","")),Calc_Anclaje!$K$5:$K$1058,"&gt;5")</f>
        <v>3</v>
      </c>
    </row>
    <row r="107" spans="14:28" ht="14.4">
      <c r="N107" t="s">
        <v>2507</v>
      </c>
      <c r="O107">
        <f>IF(COUNTIFS(Calc_Anclaje!$A$5:$A$1058,$B$2,Calc_Anclaje!$H$5:$H$1058,VALUE(SUBSTITUTE(N107,"d-","")),Calc_Anclaje!$K$5:$K$1058,"&gt;=2",Calc_Anclaje!$K$5:$K$1058,"&lt;=4")=0,"",AVERAGEIFS(Calc_Anclaje!$J$5:$J$1058,Calc_Anclaje!$A$5:$A$1058,$B$2,Calc_Anclaje!$H$5:$H$1058,VALUE(SUBSTITUTE(N107,"d-","")),Calc_Anclaje!$K$5:$K$1058,"&gt;=2",Calc_Anclaje!$K$5:$K$1058,"&lt;=4"))</f>
        <v>3.1</v>
      </c>
      <c r="P107">
        <f>IF(COUNTIFS(Calc_Anclaje!$A$5:$A$1058,$B$2,Calc_Anclaje!$H$5:$H$1058,VALUE(SUBSTITUTE(N107,"d-","")),Calc_Anclaje!$K$5:$K$1058,"&gt;=2",Calc_Anclaje!$K$5:$K$1058,"&lt;=4")=0,"",AVERAGEIFS(Calc_Anclaje!$K$5:$K$1058,Calc_Anclaje!$A$5:$A$1058,$B$2,Calc_Anclaje!$H$5:$H$1058,VALUE(SUBSTITUTE(N107,"d-","")),Calc_Anclaje!$K$5:$K$1058,"&gt;=2",Calc_Anclaje!$K$5:$K$1058,"&lt;=4"))</f>
        <v>3.7250000000000001</v>
      </c>
      <c r="Q107">
        <f>3</f>
        <v>3</v>
      </c>
      <c r="R107" s="49">
        <f>COUNTIFS(Calc_Anclaje!$A$5:$A$1058,$B$2,Calc_Anclaje!$H$5:$H$1058,VALUE(SUBSTITUTE(N107,"d-","")),Calc_Anclaje!$K$5:$K$1058,"&gt;=2",Calc_Anclaje!$K$5:$K$1058,"&lt;=4")</f>
        <v>4</v>
      </c>
      <c r="S107" t="s">
        <v>2507</v>
      </c>
      <c r="T107">
        <f>IF(COUNTIFS(Calc_Anclaje!$A$5:$A$1058,$B$2,Calc_Anclaje!$H$5:$H$1058,VALUE(SUBSTITUTE(S107,"d-","")),Calc_Anclaje!$K$5:$K$1058,"&gt;4",Calc_Anclaje!$K$5:$K$1058,"&lt;=5")=0,"",AVERAGEIFS(Calc_Anclaje!$J$5:$J$1058,Calc_Anclaje!$A$5:$A$1058,$B$2,Calc_Anclaje!$H$5:$H$1058,VALUE(SUBSTITUTE(S107,"d-","")),Calc_Anclaje!$K$5:$K$1058,"&gt;4",Calc_Anclaje!$K$5:$K$1058,"&lt;=5"))</f>
        <v>3.5124999999999997</v>
      </c>
      <c r="U107">
        <f>IF(COUNTIFS(Calc_Anclaje!$A$5:$A$1058,$B$2,Calc_Anclaje!$H$5:$H$1058,VALUE(SUBSTITUTE(S107,"d-","")),Calc_Anclaje!$K$5:$K$1058,"&gt;4",Calc_Anclaje!$K$5:$K$1058,"&lt;=5")=0,"",AVERAGEIFS(Calc_Anclaje!$K$5:$K$1058,Calc_Anclaje!$A$5:$A$1058,$B$2,Calc_Anclaje!$H$5:$H$1058,VALUE(SUBSTITUTE(S107,"d-","")),Calc_Anclaje!$K$5:$K$1058,"&gt;4",Calc_Anclaje!$K$5:$K$1058,"&lt;=5"))</f>
        <v>4.5250000000000004</v>
      </c>
      <c r="V107">
        <f>3</f>
        <v>3</v>
      </c>
      <c r="W107" s="49">
        <f>COUNTIFS(Calc_Anclaje!$A$5:$A$1058,$B$2,Calc_Anclaje!$H$5:$H$1058,VALUE(SUBSTITUTE(S107,"d-","")),Calc_Anclaje!$K$5:$K$1058,"&gt;4",Calc_Anclaje!$K$5:$K$1058,"&lt;=5")</f>
        <v>8</v>
      </c>
      <c r="X107" t="s">
        <v>2507</v>
      </c>
      <c r="Y107">
        <f>IF(COUNTIFS(Calc_Anclaje!$A$5:$A$1058,$B$2,Calc_Anclaje!$H$5:$H$1058,VALUE(SUBSTITUTE(X107,"d-","")),Calc_Anclaje!$K$5:$K$1058,"&gt;5")=0,"",AVERAGEIFS(Calc_Anclaje!$J$5:$J$1058,Calc_Anclaje!$A$5:$A$1058,$B$2,Calc_Anclaje!$H$5:$H$1058,VALUE(SUBSTITUTE(X107,"d-","")),Calc_Anclaje!$K$5:$K$1058,"&gt;5"))</f>
        <v>3.3666666666666667</v>
      </c>
      <c r="Z107">
        <f>IF(COUNTIFS(Calc_Anclaje!$A$5:$A$1058,$B$2,Calc_Anclaje!$H$5:$H$1058,VALUE(SUBSTITUTE(X107,"d-","")),Calc_Anclaje!$K$5:$K$1058,"&gt;5")=0,"",AVERAGEIFS(Calc_Anclaje!$K$5:$K$1058,Calc_Anclaje!$A$5:$A$1058,$B$2,Calc_Anclaje!$H$5:$H$1058,VALUE(SUBSTITUTE(X107,"d-","")),Calc_Anclaje!$K$5:$K$1058,"&gt;5"))</f>
        <v>7.0666666666666664</v>
      </c>
      <c r="AA107">
        <f>3</f>
        <v>3</v>
      </c>
      <c r="AB107" s="49">
        <f>COUNTIFS(Calc_Anclaje!$A$5:$A$1058,$B$2,Calc_Anclaje!$H$5:$H$1058,VALUE(SUBSTITUTE(X107,"d-","")),Calc_Anclaje!$K$5:$K$1058,"&gt;5")</f>
        <v>3</v>
      </c>
    </row>
    <row r="108" spans="14:28" ht="14.4">
      <c r="N108" t="s">
        <v>2504</v>
      </c>
      <c r="O108">
        <f>IF(COUNTIFS(Calc_Anclaje!$A$5:$A$1058,$B$2,Calc_Anclaje!$H$5:$H$1058,VALUE(SUBSTITUTE(N108,"d-","")),Calc_Anclaje!$K$5:$K$1058,"&gt;=2",Calc_Anclaje!$K$5:$K$1058,"&lt;=4")=0,"",AVERAGEIFS(Calc_Anclaje!$J$5:$J$1058,Calc_Anclaje!$A$5:$A$1058,$B$2,Calc_Anclaje!$H$5:$H$1058,VALUE(SUBSTITUTE(N108,"d-","")),Calc_Anclaje!$K$5:$K$1058,"&gt;=2",Calc_Anclaje!$K$5:$K$1058,"&lt;=4"))</f>
        <v>3.1</v>
      </c>
      <c r="P108">
        <f>IF(COUNTIFS(Calc_Anclaje!$A$5:$A$1058,$B$2,Calc_Anclaje!$H$5:$H$1058,VALUE(SUBSTITUTE(N108,"d-","")),Calc_Anclaje!$K$5:$K$1058,"&gt;=2",Calc_Anclaje!$K$5:$K$1058,"&lt;=4")=0,"",AVERAGEIFS(Calc_Anclaje!$K$5:$K$1058,Calc_Anclaje!$A$5:$A$1058,$B$2,Calc_Anclaje!$H$5:$H$1058,VALUE(SUBSTITUTE(N108,"d-","")),Calc_Anclaje!$K$5:$K$1058,"&gt;=2",Calc_Anclaje!$K$5:$K$1058,"&lt;=4"))</f>
        <v>3.7250000000000001</v>
      </c>
      <c r="Q108">
        <f>3</f>
        <v>3</v>
      </c>
      <c r="R108" s="49">
        <f>COUNTIFS(Calc_Anclaje!$A$5:$A$1058,$B$2,Calc_Anclaje!$H$5:$H$1058,VALUE(SUBSTITUTE(N108,"d-","")),Calc_Anclaje!$K$5:$K$1058,"&gt;=2",Calc_Anclaje!$K$5:$K$1058,"&lt;=4")</f>
        <v>4</v>
      </c>
      <c r="S108" t="s">
        <v>2504</v>
      </c>
      <c r="T108">
        <f>IF(COUNTIFS(Calc_Anclaje!$A$5:$A$1058,$B$2,Calc_Anclaje!$H$5:$H$1058,VALUE(SUBSTITUTE(S108,"d-","")),Calc_Anclaje!$K$5:$K$1058,"&gt;4",Calc_Anclaje!$K$5:$K$1058,"&lt;=5")=0,"",AVERAGEIFS(Calc_Anclaje!$J$5:$J$1058,Calc_Anclaje!$A$5:$A$1058,$B$2,Calc_Anclaje!$H$5:$H$1058,VALUE(SUBSTITUTE(S108,"d-","")),Calc_Anclaje!$K$5:$K$1058,"&gt;4",Calc_Anclaje!$K$5:$K$1058,"&lt;=5"))</f>
        <v>3.6249999999999996</v>
      </c>
      <c r="U108">
        <f>IF(COUNTIFS(Calc_Anclaje!$A$5:$A$1058,$B$2,Calc_Anclaje!$H$5:$H$1058,VALUE(SUBSTITUTE(S108,"d-","")),Calc_Anclaje!$K$5:$K$1058,"&gt;4",Calc_Anclaje!$K$5:$K$1058,"&lt;=5")=0,"",AVERAGEIFS(Calc_Anclaje!$K$5:$K$1058,Calc_Anclaje!$A$5:$A$1058,$B$2,Calc_Anclaje!$H$5:$H$1058,VALUE(SUBSTITUTE(S108,"d-","")),Calc_Anclaje!$K$5:$K$1058,"&gt;4",Calc_Anclaje!$K$5:$K$1058,"&lt;=5"))</f>
        <v>4.5250000000000004</v>
      </c>
      <c r="V108">
        <f>3</f>
        <v>3</v>
      </c>
      <c r="W108" s="49">
        <f>COUNTIFS(Calc_Anclaje!$A$5:$A$1058,$B$2,Calc_Anclaje!$H$5:$H$1058,VALUE(SUBSTITUTE(S108,"d-","")),Calc_Anclaje!$K$5:$K$1058,"&gt;4",Calc_Anclaje!$K$5:$K$1058,"&lt;=5")</f>
        <v>8</v>
      </c>
      <c r="X108" t="s">
        <v>2504</v>
      </c>
      <c r="Y108">
        <f>IF(COUNTIFS(Calc_Anclaje!$A$5:$A$1058,$B$2,Calc_Anclaje!$H$5:$H$1058,VALUE(SUBSTITUTE(X108,"d-","")),Calc_Anclaje!$K$5:$K$1058,"&gt;5")=0,"",AVERAGEIFS(Calc_Anclaje!$J$5:$J$1058,Calc_Anclaje!$A$5:$A$1058,$B$2,Calc_Anclaje!$H$5:$H$1058,VALUE(SUBSTITUTE(X108,"d-","")),Calc_Anclaje!$K$5:$K$1058,"&gt;5"))</f>
        <v>3.35</v>
      </c>
      <c r="Z108">
        <f>IF(COUNTIFS(Calc_Anclaje!$A$5:$A$1058,$B$2,Calc_Anclaje!$H$5:$H$1058,VALUE(SUBSTITUTE(X108,"d-","")),Calc_Anclaje!$K$5:$K$1058,"&gt;5")=0,"",AVERAGEIFS(Calc_Anclaje!$K$5:$K$1058,Calc_Anclaje!$A$5:$A$1058,$B$2,Calc_Anclaje!$H$5:$H$1058,VALUE(SUBSTITUTE(X108,"d-","")),Calc_Anclaje!$K$5:$K$1058,"&gt;5"))</f>
        <v>7.4249999999999998</v>
      </c>
      <c r="AA108">
        <f>3</f>
        <v>3</v>
      </c>
      <c r="AB108" s="49">
        <f>COUNTIFS(Calc_Anclaje!$A$5:$A$1058,$B$2,Calc_Anclaje!$H$5:$H$1058,VALUE(SUBSTITUTE(X108,"d-","")),Calc_Anclaje!$K$5:$K$1058,"&gt;5")</f>
        <v>4</v>
      </c>
    </row>
    <row r="109" spans="14:28" ht="14.4">
      <c r="N109" t="s">
        <v>2505</v>
      </c>
      <c r="O109">
        <f>IF(COUNTIFS(Calc_Anclaje!$A$5:$A$1058,$B$2,Calc_Anclaje!$H$5:$H$1058,VALUE(SUBSTITUTE(N109,"d-","")),Calc_Anclaje!$K$5:$K$1058,"&gt;=2",Calc_Anclaje!$K$5:$K$1058,"&lt;=4")=0,"",AVERAGEIFS(Calc_Anclaje!$J$5:$J$1058,Calc_Anclaje!$A$5:$A$1058,$B$2,Calc_Anclaje!$H$5:$H$1058,VALUE(SUBSTITUTE(N109,"d-","")),Calc_Anclaje!$K$5:$K$1058,"&gt;=2",Calc_Anclaje!$K$5:$K$1058,"&lt;=4"))</f>
        <v>3.1750000000000003</v>
      </c>
      <c r="P109">
        <f>IF(COUNTIFS(Calc_Anclaje!$A$5:$A$1058,$B$2,Calc_Anclaje!$H$5:$H$1058,VALUE(SUBSTITUTE(N109,"d-","")),Calc_Anclaje!$K$5:$K$1058,"&gt;=2",Calc_Anclaje!$K$5:$K$1058,"&lt;=4")=0,"",AVERAGEIFS(Calc_Anclaje!$K$5:$K$1058,Calc_Anclaje!$A$5:$A$1058,$B$2,Calc_Anclaje!$H$5:$H$1058,VALUE(SUBSTITUTE(N109,"d-","")),Calc_Anclaje!$K$5:$K$1058,"&gt;=2",Calc_Anclaje!$K$5:$K$1058,"&lt;=4"))</f>
        <v>3.7250000000000001</v>
      </c>
      <c r="Q109">
        <f>3</f>
        <v>3</v>
      </c>
      <c r="R109" s="49">
        <f>COUNTIFS(Calc_Anclaje!$A$5:$A$1058,$B$2,Calc_Anclaje!$H$5:$H$1058,VALUE(SUBSTITUTE(N109,"d-","")),Calc_Anclaje!$K$5:$K$1058,"&gt;=2",Calc_Anclaje!$K$5:$K$1058,"&lt;=4")</f>
        <v>4</v>
      </c>
      <c r="S109" t="s">
        <v>2505</v>
      </c>
      <c r="T109">
        <f>IF(COUNTIFS(Calc_Anclaje!$A$5:$A$1058,$B$2,Calc_Anclaje!$H$5:$H$1058,VALUE(SUBSTITUTE(S109,"d-","")),Calc_Anclaje!$K$5:$K$1058,"&gt;4",Calc_Anclaje!$K$5:$K$1058,"&lt;=5")=0,"",AVERAGEIFS(Calc_Anclaje!$J$5:$J$1058,Calc_Anclaje!$A$5:$A$1058,$B$2,Calc_Anclaje!$H$5:$H$1058,VALUE(SUBSTITUTE(S109,"d-","")),Calc_Anclaje!$K$5:$K$1058,"&gt;4",Calc_Anclaje!$K$5:$K$1058,"&lt;=5"))</f>
        <v>3.8249999999999997</v>
      </c>
      <c r="U109">
        <f>IF(COUNTIFS(Calc_Anclaje!$A$5:$A$1058,$B$2,Calc_Anclaje!$H$5:$H$1058,VALUE(SUBSTITUTE(S109,"d-","")),Calc_Anclaje!$K$5:$K$1058,"&gt;4",Calc_Anclaje!$K$5:$K$1058,"&lt;=5")=0,"",AVERAGEIFS(Calc_Anclaje!$K$5:$K$1058,Calc_Anclaje!$A$5:$A$1058,$B$2,Calc_Anclaje!$H$5:$H$1058,VALUE(SUBSTITUTE(S109,"d-","")),Calc_Anclaje!$K$5:$K$1058,"&gt;4",Calc_Anclaje!$K$5:$K$1058,"&lt;=5"))</f>
        <v>4.5250000000000004</v>
      </c>
      <c r="V109">
        <f>3</f>
        <v>3</v>
      </c>
      <c r="W109" s="49">
        <f>COUNTIFS(Calc_Anclaje!$A$5:$A$1058,$B$2,Calc_Anclaje!$H$5:$H$1058,VALUE(SUBSTITUTE(S109,"d-","")),Calc_Anclaje!$K$5:$K$1058,"&gt;4",Calc_Anclaje!$K$5:$K$1058,"&lt;=5")</f>
        <v>8</v>
      </c>
      <c r="X109" t="s">
        <v>2505</v>
      </c>
      <c r="Y109">
        <f>IF(COUNTIFS(Calc_Anclaje!$A$5:$A$1058,$B$2,Calc_Anclaje!$H$5:$H$1058,VALUE(SUBSTITUTE(X109,"d-","")),Calc_Anclaje!$K$5:$K$1058,"&gt;5")=0,"",AVERAGEIFS(Calc_Anclaje!$J$5:$J$1058,Calc_Anclaje!$A$5:$A$1058,$B$2,Calc_Anclaje!$H$5:$H$1058,VALUE(SUBSTITUTE(X109,"d-","")),Calc_Anclaje!$K$5:$K$1058,"&gt;5"))</f>
        <v>3.9750000000000001</v>
      </c>
      <c r="Z109">
        <f>IF(COUNTIFS(Calc_Anclaje!$A$5:$A$1058,$B$2,Calc_Anclaje!$H$5:$H$1058,VALUE(SUBSTITUTE(X109,"d-","")),Calc_Anclaje!$K$5:$K$1058,"&gt;5")=0,"",AVERAGEIFS(Calc_Anclaje!$K$5:$K$1058,Calc_Anclaje!$A$5:$A$1058,$B$2,Calc_Anclaje!$H$5:$H$1058,VALUE(SUBSTITUTE(X109,"d-","")),Calc_Anclaje!$K$5:$K$1058,"&gt;5"))</f>
        <v>7.4249999999999998</v>
      </c>
      <c r="AA109">
        <f>3</f>
        <v>3</v>
      </c>
      <c r="AB109" s="49">
        <f>COUNTIFS(Calc_Anclaje!$A$5:$A$1058,$B$2,Calc_Anclaje!$H$5:$H$1058,VALUE(SUBSTITUTE(X109,"d-","")),Calc_Anclaje!$K$5:$K$1058,"&gt;5")</f>
        <v>4</v>
      </c>
    </row>
    <row r="110" spans="14:28" ht="14.4">
      <c r="N110" t="s">
        <v>2502</v>
      </c>
      <c r="O110">
        <f>IF(COUNTIFS(Calc_Anclaje!$A$5:$A$1058,$B$2,Calc_Anclaje!$H$5:$H$1058,VALUE(SUBSTITUTE(N110,"d-","")),Calc_Anclaje!$K$5:$K$1058,"&gt;=2",Calc_Anclaje!$K$5:$K$1058,"&lt;=4")=0,"",AVERAGEIFS(Calc_Anclaje!$J$5:$J$1058,Calc_Anclaje!$A$5:$A$1058,$B$2,Calc_Anclaje!$H$5:$H$1058,VALUE(SUBSTITUTE(N110,"d-","")),Calc_Anclaje!$K$5:$K$1058,"&gt;=2",Calc_Anclaje!$K$5:$K$1058,"&lt;=4"))</f>
        <v>3.2499999999999996</v>
      </c>
      <c r="P110">
        <f>IF(COUNTIFS(Calc_Anclaje!$A$5:$A$1058,$B$2,Calc_Anclaje!$H$5:$H$1058,VALUE(SUBSTITUTE(N110,"d-","")),Calc_Anclaje!$K$5:$K$1058,"&gt;=2",Calc_Anclaje!$K$5:$K$1058,"&lt;=4")=0,"",AVERAGEIFS(Calc_Anclaje!$K$5:$K$1058,Calc_Anclaje!$A$5:$A$1058,$B$2,Calc_Anclaje!$H$5:$H$1058,VALUE(SUBSTITUTE(N110,"d-","")),Calc_Anclaje!$K$5:$K$1058,"&gt;=2",Calc_Anclaje!$K$5:$K$1058,"&lt;=4"))</f>
        <v>3.7250000000000001</v>
      </c>
      <c r="Q110">
        <f>3</f>
        <v>3</v>
      </c>
      <c r="R110" s="49">
        <f>COUNTIFS(Calc_Anclaje!$A$5:$A$1058,$B$2,Calc_Anclaje!$H$5:$H$1058,VALUE(SUBSTITUTE(N110,"d-","")),Calc_Anclaje!$K$5:$K$1058,"&gt;=2",Calc_Anclaje!$K$5:$K$1058,"&lt;=4")</f>
        <v>4</v>
      </c>
      <c r="S110" t="s">
        <v>2502</v>
      </c>
      <c r="T110">
        <f>IF(COUNTIFS(Calc_Anclaje!$A$5:$A$1058,$B$2,Calc_Anclaje!$H$5:$H$1058,VALUE(SUBSTITUTE(S110,"d-","")),Calc_Anclaje!$K$5:$K$1058,"&gt;4",Calc_Anclaje!$K$5:$K$1058,"&lt;=5")=0,"",AVERAGEIFS(Calc_Anclaje!$J$5:$J$1058,Calc_Anclaje!$A$5:$A$1058,$B$2,Calc_Anclaje!$H$5:$H$1058,VALUE(SUBSTITUTE(S110,"d-","")),Calc_Anclaje!$K$5:$K$1058,"&gt;4",Calc_Anclaje!$K$5:$K$1058,"&lt;=5"))</f>
        <v>3.9</v>
      </c>
      <c r="U110">
        <f>IF(COUNTIFS(Calc_Anclaje!$A$5:$A$1058,$B$2,Calc_Anclaje!$H$5:$H$1058,VALUE(SUBSTITUTE(S110,"d-","")),Calc_Anclaje!$K$5:$K$1058,"&gt;4",Calc_Anclaje!$K$5:$K$1058,"&lt;=5")=0,"",AVERAGEIFS(Calc_Anclaje!$K$5:$K$1058,Calc_Anclaje!$A$5:$A$1058,$B$2,Calc_Anclaje!$H$5:$H$1058,VALUE(SUBSTITUTE(S110,"d-","")),Calc_Anclaje!$K$5:$K$1058,"&gt;4",Calc_Anclaje!$K$5:$K$1058,"&lt;=5"))</f>
        <v>4.5250000000000004</v>
      </c>
      <c r="V110">
        <f>3</f>
        <v>3</v>
      </c>
      <c r="W110" s="49">
        <f>COUNTIFS(Calc_Anclaje!$A$5:$A$1058,$B$2,Calc_Anclaje!$H$5:$H$1058,VALUE(SUBSTITUTE(S110,"d-","")),Calc_Anclaje!$K$5:$K$1058,"&gt;4",Calc_Anclaje!$K$5:$K$1058,"&lt;=5")</f>
        <v>8</v>
      </c>
      <c r="X110" t="s">
        <v>2502</v>
      </c>
      <c r="Y110">
        <f>IF(COUNTIFS(Calc_Anclaje!$A$5:$A$1058,$B$2,Calc_Anclaje!$H$5:$H$1058,VALUE(SUBSTITUTE(X110,"d-","")),Calc_Anclaje!$K$5:$K$1058,"&gt;5")=0,"",AVERAGEIFS(Calc_Anclaje!$J$5:$J$1058,Calc_Anclaje!$A$5:$A$1058,$B$2,Calc_Anclaje!$H$5:$H$1058,VALUE(SUBSTITUTE(X110,"d-","")),Calc_Anclaje!$K$5:$K$1058,"&gt;5"))</f>
        <v>4.42</v>
      </c>
      <c r="Z110">
        <f>IF(COUNTIFS(Calc_Anclaje!$A$5:$A$1058,$B$2,Calc_Anclaje!$H$5:$H$1058,VALUE(SUBSTITUTE(X110,"d-","")),Calc_Anclaje!$K$5:$K$1058,"&gt;5")=0,"",AVERAGEIFS(Calc_Anclaje!$K$5:$K$1058,Calc_Anclaje!$A$5:$A$1058,$B$2,Calc_Anclaje!$H$5:$H$1058,VALUE(SUBSTITUTE(X110,"d-","")),Calc_Anclaje!$K$5:$K$1058,"&gt;5"))</f>
        <v>7.5</v>
      </c>
      <c r="AA110">
        <f>3</f>
        <v>3</v>
      </c>
      <c r="AB110" s="49">
        <f>COUNTIFS(Calc_Anclaje!$A$5:$A$1058,$B$2,Calc_Anclaje!$H$5:$H$1058,VALUE(SUBSTITUTE(X110,"d-","")),Calc_Anclaje!$K$5:$K$1058,"&gt;5")</f>
        <v>5</v>
      </c>
    </row>
    <row r="111" spans="14:28" ht="14.4">
      <c r="N111" t="s">
        <v>2503</v>
      </c>
      <c r="O111">
        <f>IF(COUNTIFS(Calc_Anclaje!$A$5:$A$1058,$B$2,Calc_Anclaje!$H$5:$H$1058,VALUE(SUBSTITUTE(N111,"d-","")),Calc_Anclaje!$K$5:$K$1058,"&gt;=2",Calc_Anclaje!$K$5:$K$1058,"&lt;=4")=0,"",AVERAGEIFS(Calc_Anclaje!$J$5:$J$1058,Calc_Anclaje!$A$5:$A$1058,$B$2,Calc_Anclaje!$H$5:$H$1058,VALUE(SUBSTITUTE(N111,"d-","")),Calc_Anclaje!$K$5:$K$1058,"&gt;=2",Calc_Anclaje!$K$5:$K$1058,"&lt;=4"))</f>
        <v>3.3249999999999997</v>
      </c>
      <c r="P111">
        <f>IF(COUNTIFS(Calc_Anclaje!$A$5:$A$1058,$B$2,Calc_Anclaje!$H$5:$H$1058,VALUE(SUBSTITUTE(N111,"d-","")),Calc_Anclaje!$K$5:$K$1058,"&gt;=2",Calc_Anclaje!$K$5:$K$1058,"&lt;=4")=0,"",AVERAGEIFS(Calc_Anclaje!$K$5:$K$1058,Calc_Anclaje!$A$5:$A$1058,$B$2,Calc_Anclaje!$H$5:$H$1058,VALUE(SUBSTITUTE(N111,"d-","")),Calc_Anclaje!$K$5:$K$1058,"&gt;=2",Calc_Anclaje!$K$5:$K$1058,"&lt;=4"))</f>
        <v>3.7250000000000001</v>
      </c>
      <c r="Q111">
        <f>3</f>
        <v>3</v>
      </c>
      <c r="R111" s="49">
        <f>COUNTIFS(Calc_Anclaje!$A$5:$A$1058,$B$2,Calc_Anclaje!$H$5:$H$1058,VALUE(SUBSTITUTE(N111,"d-","")),Calc_Anclaje!$K$5:$K$1058,"&gt;=2",Calc_Anclaje!$K$5:$K$1058,"&lt;=4")</f>
        <v>4</v>
      </c>
      <c r="S111" t="s">
        <v>2503</v>
      </c>
      <c r="T111">
        <f>IF(COUNTIFS(Calc_Anclaje!$A$5:$A$1058,$B$2,Calc_Anclaje!$H$5:$H$1058,VALUE(SUBSTITUTE(S111,"d-","")),Calc_Anclaje!$K$5:$K$1058,"&gt;4",Calc_Anclaje!$K$5:$K$1058,"&lt;=5")=0,"",AVERAGEIFS(Calc_Anclaje!$J$5:$J$1058,Calc_Anclaje!$A$5:$A$1058,$B$2,Calc_Anclaje!$H$5:$H$1058,VALUE(SUBSTITUTE(S111,"d-","")),Calc_Anclaje!$K$5:$K$1058,"&gt;4",Calc_Anclaje!$K$5:$K$1058,"&lt;=5"))</f>
        <v>3.9750000000000001</v>
      </c>
      <c r="U111">
        <f>IF(COUNTIFS(Calc_Anclaje!$A$5:$A$1058,$B$2,Calc_Anclaje!$H$5:$H$1058,VALUE(SUBSTITUTE(S111,"d-","")),Calc_Anclaje!$K$5:$K$1058,"&gt;4",Calc_Anclaje!$K$5:$K$1058,"&lt;=5")=0,"",AVERAGEIFS(Calc_Anclaje!$K$5:$K$1058,Calc_Anclaje!$A$5:$A$1058,$B$2,Calc_Anclaje!$H$5:$H$1058,VALUE(SUBSTITUTE(S111,"d-","")),Calc_Anclaje!$K$5:$K$1058,"&gt;4",Calc_Anclaje!$K$5:$K$1058,"&lt;=5"))</f>
        <v>4.5250000000000004</v>
      </c>
      <c r="V111">
        <f>3</f>
        <v>3</v>
      </c>
      <c r="W111" s="49">
        <f>COUNTIFS(Calc_Anclaje!$A$5:$A$1058,$B$2,Calc_Anclaje!$H$5:$H$1058,VALUE(SUBSTITUTE(S111,"d-","")),Calc_Anclaje!$K$5:$K$1058,"&gt;4",Calc_Anclaje!$K$5:$K$1058,"&lt;=5")</f>
        <v>8</v>
      </c>
      <c r="X111" t="s">
        <v>2503</v>
      </c>
      <c r="Y111">
        <f>IF(COUNTIFS(Calc_Anclaje!$A$5:$A$1058,$B$2,Calc_Anclaje!$H$5:$H$1058,VALUE(SUBSTITUTE(X111,"d-","")),Calc_Anclaje!$K$5:$K$1058,"&gt;5")=0,"",AVERAGEIFS(Calc_Anclaje!$J$5:$J$1058,Calc_Anclaje!$A$5:$A$1058,$B$2,Calc_Anclaje!$H$5:$H$1058,VALUE(SUBSTITUTE(X111,"d-","")),Calc_Anclaje!$K$5:$K$1058,"&gt;5"))</f>
        <v>5.32</v>
      </c>
      <c r="Z111">
        <f>IF(COUNTIFS(Calc_Anclaje!$A$5:$A$1058,$B$2,Calc_Anclaje!$H$5:$H$1058,VALUE(SUBSTITUTE(X111,"d-","")),Calc_Anclaje!$K$5:$K$1058,"&gt;5")=0,"",AVERAGEIFS(Calc_Anclaje!$K$5:$K$1058,Calc_Anclaje!$A$5:$A$1058,$B$2,Calc_Anclaje!$H$5:$H$1058,VALUE(SUBSTITUTE(X111,"d-","")),Calc_Anclaje!$K$5:$K$1058,"&gt;5"))</f>
        <v>7.5</v>
      </c>
      <c r="AA111">
        <f>3</f>
        <v>3</v>
      </c>
      <c r="AB111" s="49">
        <f>COUNTIFS(Calc_Anclaje!$A$5:$A$1058,$B$2,Calc_Anclaje!$H$5:$H$1058,VALUE(SUBSTITUTE(X111,"d-","")),Calc_Anclaje!$K$5:$K$1058,"&gt;5")</f>
        <v>5</v>
      </c>
    </row>
    <row r="112" spans="14:28" ht="14.4">
      <c r="N112" t="s">
        <v>2500</v>
      </c>
      <c r="O112">
        <f>IF(COUNTIFS(Calc_Anclaje!$A$5:$A$1058,$B$2,Calc_Anclaje!$H$5:$H$1058,VALUE(SUBSTITUTE(N112,"d-","")),Calc_Anclaje!$K$5:$K$1058,"&gt;=2",Calc_Anclaje!$K$5:$K$1058,"&lt;=4")=0,"",AVERAGEIFS(Calc_Anclaje!$J$5:$J$1058,Calc_Anclaje!$A$5:$A$1058,$B$2,Calc_Anclaje!$H$5:$H$1058,VALUE(SUBSTITUTE(N112,"d-","")),Calc_Anclaje!$K$5:$K$1058,"&gt;=2",Calc_Anclaje!$K$5:$K$1058,"&lt;=4"))</f>
        <v>3.3999999999999995</v>
      </c>
      <c r="P112">
        <f>IF(COUNTIFS(Calc_Anclaje!$A$5:$A$1058,$B$2,Calc_Anclaje!$H$5:$H$1058,VALUE(SUBSTITUTE(N112,"d-","")),Calc_Anclaje!$K$5:$K$1058,"&gt;=2",Calc_Anclaje!$K$5:$K$1058,"&lt;=4")=0,"",AVERAGEIFS(Calc_Anclaje!$K$5:$K$1058,Calc_Anclaje!$A$5:$A$1058,$B$2,Calc_Anclaje!$H$5:$H$1058,VALUE(SUBSTITUTE(N112,"d-","")),Calc_Anclaje!$K$5:$K$1058,"&gt;=2",Calc_Anclaje!$K$5:$K$1058,"&lt;=4"))</f>
        <v>3.7250000000000001</v>
      </c>
      <c r="Q112">
        <f>3</f>
        <v>3</v>
      </c>
      <c r="R112" s="49">
        <f>COUNTIFS(Calc_Anclaje!$A$5:$A$1058,$B$2,Calc_Anclaje!$H$5:$H$1058,VALUE(SUBSTITUTE(N112,"d-","")),Calc_Anclaje!$K$5:$K$1058,"&gt;=2",Calc_Anclaje!$K$5:$K$1058,"&lt;=4")</f>
        <v>4</v>
      </c>
      <c r="S112" t="s">
        <v>2500</v>
      </c>
      <c r="T112">
        <f>IF(COUNTIFS(Calc_Anclaje!$A$5:$A$1058,$B$2,Calc_Anclaje!$H$5:$H$1058,VALUE(SUBSTITUTE(S112,"d-","")),Calc_Anclaje!$K$5:$K$1058,"&gt;4",Calc_Anclaje!$K$5:$K$1058,"&lt;=5")=0,"",AVERAGEIFS(Calc_Anclaje!$J$5:$J$1058,Calc_Anclaje!$A$5:$A$1058,$B$2,Calc_Anclaje!$H$5:$H$1058,VALUE(SUBSTITUTE(S112,"d-","")),Calc_Anclaje!$K$5:$K$1058,"&gt;4",Calc_Anclaje!$K$5:$K$1058,"&lt;=5"))</f>
        <v>4.0999999999999996</v>
      </c>
      <c r="U112">
        <f>IF(COUNTIFS(Calc_Anclaje!$A$5:$A$1058,$B$2,Calc_Anclaje!$H$5:$H$1058,VALUE(SUBSTITUTE(S112,"d-","")),Calc_Anclaje!$K$5:$K$1058,"&gt;4",Calc_Anclaje!$K$5:$K$1058,"&lt;=5")=0,"",AVERAGEIFS(Calc_Anclaje!$K$5:$K$1058,Calc_Anclaje!$A$5:$A$1058,$B$2,Calc_Anclaje!$H$5:$H$1058,VALUE(SUBSTITUTE(S112,"d-","")),Calc_Anclaje!$K$5:$K$1058,"&gt;4",Calc_Anclaje!$K$5:$K$1058,"&lt;=5"))</f>
        <v>4.5250000000000004</v>
      </c>
      <c r="V112">
        <f>3</f>
        <v>3</v>
      </c>
      <c r="W112" s="49">
        <f>COUNTIFS(Calc_Anclaje!$A$5:$A$1058,$B$2,Calc_Anclaje!$H$5:$H$1058,VALUE(SUBSTITUTE(S112,"d-","")),Calc_Anclaje!$K$5:$K$1058,"&gt;4",Calc_Anclaje!$K$5:$K$1058,"&lt;=5")</f>
        <v>8</v>
      </c>
      <c r="X112" t="s">
        <v>2500</v>
      </c>
      <c r="Y112">
        <f>IF(COUNTIFS(Calc_Anclaje!$A$5:$A$1058,$B$2,Calc_Anclaje!$H$5:$H$1058,VALUE(SUBSTITUTE(X112,"d-","")),Calc_Anclaje!$K$5:$K$1058,"&gt;5")=0,"",AVERAGEIFS(Calc_Anclaje!$J$5:$J$1058,Calc_Anclaje!$A$5:$A$1058,$B$2,Calc_Anclaje!$H$5:$H$1058,VALUE(SUBSTITUTE(X112,"d-","")),Calc_Anclaje!$K$5:$K$1058,"&gt;5"))</f>
        <v>5.6499999999999995</v>
      </c>
      <c r="Z112">
        <f>IF(COUNTIFS(Calc_Anclaje!$A$5:$A$1058,$B$2,Calc_Anclaje!$H$5:$H$1058,VALUE(SUBSTITUTE(X112,"d-","")),Calc_Anclaje!$K$5:$K$1058,"&gt;5")=0,"",AVERAGEIFS(Calc_Anclaje!$K$5:$K$1058,Calc_Anclaje!$A$5:$A$1058,$B$2,Calc_Anclaje!$H$5:$H$1058,VALUE(SUBSTITUTE(X112,"d-","")),Calc_Anclaje!$K$5:$K$1058,"&gt;5"))</f>
        <v>7.4666666666666677</v>
      </c>
      <c r="AA112">
        <f>3</f>
        <v>3</v>
      </c>
      <c r="AB112" s="49">
        <f>COUNTIFS(Calc_Anclaje!$A$5:$A$1058,$B$2,Calc_Anclaje!$H$5:$H$1058,VALUE(SUBSTITUTE(X112,"d-","")),Calc_Anclaje!$K$5:$K$1058,"&gt;5")</f>
        <v>6</v>
      </c>
    </row>
    <row r="113" spans="14:28" ht="14.4">
      <c r="N113" t="s">
        <v>2501</v>
      </c>
      <c r="O113">
        <f>IF(COUNTIFS(Calc_Anclaje!$A$5:$A$1058,$B$2,Calc_Anclaje!$H$5:$H$1058,VALUE(SUBSTITUTE(N113,"d-","")),Calc_Anclaje!$K$5:$K$1058,"&gt;=2",Calc_Anclaje!$K$5:$K$1058,"&lt;=4")=0,"",AVERAGEIFS(Calc_Anclaje!$J$5:$J$1058,Calc_Anclaje!$A$5:$A$1058,$B$2,Calc_Anclaje!$H$5:$H$1058,VALUE(SUBSTITUTE(N113,"d-","")),Calc_Anclaje!$K$5:$K$1058,"&gt;=2",Calc_Anclaje!$K$5:$K$1058,"&lt;=4"))</f>
        <v>3.5250000000000004</v>
      </c>
      <c r="P113">
        <f>IF(COUNTIFS(Calc_Anclaje!$A$5:$A$1058,$B$2,Calc_Anclaje!$H$5:$H$1058,VALUE(SUBSTITUTE(N113,"d-","")),Calc_Anclaje!$K$5:$K$1058,"&gt;=2",Calc_Anclaje!$K$5:$K$1058,"&lt;=4")=0,"",AVERAGEIFS(Calc_Anclaje!$K$5:$K$1058,Calc_Anclaje!$A$5:$A$1058,$B$2,Calc_Anclaje!$H$5:$H$1058,VALUE(SUBSTITUTE(N113,"d-","")),Calc_Anclaje!$K$5:$K$1058,"&gt;=2",Calc_Anclaje!$K$5:$K$1058,"&lt;=4"))</f>
        <v>3.7250000000000001</v>
      </c>
      <c r="Q113">
        <f>3</f>
        <v>3</v>
      </c>
      <c r="R113" s="49">
        <f>COUNTIFS(Calc_Anclaje!$A$5:$A$1058,$B$2,Calc_Anclaje!$H$5:$H$1058,VALUE(SUBSTITUTE(N113,"d-","")),Calc_Anclaje!$K$5:$K$1058,"&gt;=2",Calc_Anclaje!$K$5:$K$1058,"&lt;=4")</f>
        <v>4</v>
      </c>
      <c r="S113" t="s">
        <v>2501</v>
      </c>
      <c r="T113">
        <f>IF(COUNTIFS(Calc_Anclaje!$A$5:$A$1058,$B$2,Calc_Anclaje!$H$5:$H$1058,VALUE(SUBSTITUTE(S113,"d-","")),Calc_Anclaje!$K$5:$K$1058,"&gt;4",Calc_Anclaje!$K$5:$K$1058,"&lt;=5")=0,"",AVERAGEIFS(Calc_Anclaje!$J$5:$J$1058,Calc_Anclaje!$A$5:$A$1058,$B$2,Calc_Anclaje!$H$5:$H$1058,VALUE(SUBSTITUTE(S113,"d-","")),Calc_Anclaje!$K$5:$K$1058,"&gt;4",Calc_Anclaje!$K$5:$K$1058,"&lt;=5"))</f>
        <v>4.1624999999999996</v>
      </c>
      <c r="U113">
        <f>IF(COUNTIFS(Calc_Anclaje!$A$5:$A$1058,$B$2,Calc_Anclaje!$H$5:$H$1058,VALUE(SUBSTITUTE(S113,"d-","")),Calc_Anclaje!$K$5:$K$1058,"&gt;4",Calc_Anclaje!$K$5:$K$1058,"&lt;=5")=0,"",AVERAGEIFS(Calc_Anclaje!$K$5:$K$1058,Calc_Anclaje!$A$5:$A$1058,$B$2,Calc_Anclaje!$H$5:$H$1058,VALUE(SUBSTITUTE(S113,"d-","")),Calc_Anclaje!$K$5:$K$1058,"&gt;4",Calc_Anclaje!$K$5:$K$1058,"&lt;=5"))</f>
        <v>4.5250000000000004</v>
      </c>
      <c r="V113">
        <f>3</f>
        <v>3</v>
      </c>
      <c r="W113" s="49">
        <f>COUNTIFS(Calc_Anclaje!$A$5:$A$1058,$B$2,Calc_Anclaje!$H$5:$H$1058,VALUE(SUBSTITUTE(S113,"d-","")),Calc_Anclaje!$K$5:$K$1058,"&gt;4",Calc_Anclaje!$K$5:$K$1058,"&lt;=5")</f>
        <v>8</v>
      </c>
      <c r="X113" t="s">
        <v>2501</v>
      </c>
      <c r="Y113">
        <f>IF(COUNTIFS(Calc_Anclaje!$A$5:$A$1058,$B$2,Calc_Anclaje!$H$5:$H$1058,VALUE(SUBSTITUTE(X113,"d-","")),Calc_Anclaje!$K$5:$K$1058,"&gt;5")=0,"",AVERAGEIFS(Calc_Anclaje!$J$5:$J$1058,Calc_Anclaje!$A$5:$A$1058,$B$2,Calc_Anclaje!$H$5:$H$1058,VALUE(SUBSTITUTE(X113,"d-","")),Calc_Anclaje!$K$5:$K$1058,"&gt;5"))</f>
        <v>6.3499999999999988</v>
      </c>
      <c r="Z113">
        <f>IF(COUNTIFS(Calc_Anclaje!$A$5:$A$1058,$B$2,Calc_Anclaje!$H$5:$H$1058,VALUE(SUBSTITUTE(X113,"d-","")),Calc_Anclaje!$K$5:$K$1058,"&gt;5")=0,"",AVERAGEIFS(Calc_Anclaje!$K$5:$K$1058,Calc_Anclaje!$A$5:$A$1058,$B$2,Calc_Anclaje!$H$5:$H$1058,VALUE(SUBSTITUTE(X113,"d-","")),Calc_Anclaje!$K$5:$K$1058,"&gt;5"))</f>
        <v>7.4666666666666677</v>
      </c>
      <c r="AA113">
        <f>3</f>
        <v>3</v>
      </c>
      <c r="AB113" s="49">
        <f>COUNTIFS(Calc_Anclaje!$A$5:$A$1058,$B$2,Calc_Anclaje!$H$5:$H$1058,VALUE(SUBSTITUTE(X113,"d-","")),Calc_Anclaje!$K$5:$K$1058,"&gt;5")</f>
        <v>6</v>
      </c>
    </row>
    <row r="114" spans="14:28" ht="14.4">
      <c r="N114" t="s">
        <v>2498</v>
      </c>
      <c r="O114">
        <f>IF(COUNTIFS(Calc_Anclaje!$A$5:$A$1058,$B$2,Calc_Anclaje!$H$5:$H$1058,VALUE(SUBSTITUTE(N114,"d-","")),Calc_Anclaje!$K$5:$K$1058,"&gt;=2",Calc_Anclaje!$K$5:$K$1058,"&lt;=4")=0,"",AVERAGEIFS(Calc_Anclaje!$J$5:$J$1058,Calc_Anclaje!$A$5:$A$1058,$B$2,Calc_Anclaje!$H$5:$H$1058,VALUE(SUBSTITUTE(N114,"d-","")),Calc_Anclaje!$K$5:$K$1058,"&gt;=2",Calc_Anclaje!$K$5:$K$1058,"&lt;=4"))</f>
        <v>3.7250000000000005</v>
      </c>
      <c r="P114">
        <f>IF(COUNTIFS(Calc_Anclaje!$A$5:$A$1058,$B$2,Calc_Anclaje!$H$5:$H$1058,VALUE(SUBSTITUTE(N114,"d-","")),Calc_Anclaje!$K$5:$K$1058,"&gt;=2",Calc_Anclaje!$K$5:$K$1058,"&lt;=4")=0,"",AVERAGEIFS(Calc_Anclaje!$K$5:$K$1058,Calc_Anclaje!$A$5:$A$1058,$B$2,Calc_Anclaje!$H$5:$H$1058,VALUE(SUBSTITUTE(N114,"d-","")),Calc_Anclaje!$K$5:$K$1058,"&gt;=2",Calc_Anclaje!$K$5:$K$1058,"&lt;=4"))</f>
        <v>3.7250000000000001</v>
      </c>
      <c r="Q114">
        <f>3</f>
        <v>3</v>
      </c>
      <c r="R114" s="49">
        <f>COUNTIFS(Calc_Anclaje!$A$5:$A$1058,$B$2,Calc_Anclaje!$H$5:$H$1058,VALUE(SUBSTITUTE(N114,"d-","")),Calc_Anclaje!$K$5:$K$1058,"&gt;=2",Calc_Anclaje!$K$5:$K$1058,"&lt;=4")</f>
        <v>4</v>
      </c>
      <c r="S114" t="s">
        <v>2498</v>
      </c>
      <c r="T114">
        <f>IF(COUNTIFS(Calc_Anclaje!$A$5:$A$1058,$B$2,Calc_Anclaje!$H$5:$H$1058,VALUE(SUBSTITUTE(S114,"d-","")),Calc_Anclaje!$K$5:$K$1058,"&gt;4",Calc_Anclaje!$K$5:$K$1058,"&lt;=5")=0,"",AVERAGEIFS(Calc_Anclaje!$J$5:$J$1058,Calc_Anclaje!$A$5:$A$1058,$B$2,Calc_Anclaje!$H$5:$H$1058,VALUE(SUBSTITUTE(S114,"d-","")),Calc_Anclaje!$K$5:$K$1058,"&gt;4",Calc_Anclaje!$K$5:$K$1058,"&lt;=5"))</f>
        <v>4.2750000000000004</v>
      </c>
      <c r="U114">
        <f>IF(COUNTIFS(Calc_Anclaje!$A$5:$A$1058,$B$2,Calc_Anclaje!$H$5:$H$1058,VALUE(SUBSTITUTE(S114,"d-","")),Calc_Anclaje!$K$5:$K$1058,"&gt;4",Calc_Anclaje!$K$5:$K$1058,"&lt;=5")=0,"",AVERAGEIFS(Calc_Anclaje!$K$5:$K$1058,Calc_Anclaje!$A$5:$A$1058,$B$2,Calc_Anclaje!$H$5:$H$1058,VALUE(SUBSTITUTE(S114,"d-","")),Calc_Anclaje!$K$5:$K$1058,"&gt;4",Calc_Anclaje!$K$5:$K$1058,"&lt;=5"))</f>
        <v>4.5250000000000004</v>
      </c>
      <c r="V114">
        <f>3</f>
        <v>3</v>
      </c>
      <c r="W114" s="49">
        <f>COUNTIFS(Calc_Anclaje!$A$5:$A$1058,$B$2,Calc_Anclaje!$H$5:$H$1058,VALUE(SUBSTITUTE(S114,"d-","")),Calc_Anclaje!$K$5:$K$1058,"&gt;4",Calc_Anclaje!$K$5:$K$1058,"&lt;=5")</f>
        <v>8</v>
      </c>
      <c r="X114" t="s">
        <v>2498</v>
      </c>
      <c r="Y114">
        <f>IF(COUNTIFS(Calc_Anclaje!$A$5:$A$1058,$B$2,Calc_Anclaje!$H$5:$H$1058,VALUE(SUBSTITUTE(X114,"d-","")),Calc_Anclaje!$K$5:$K$1058,"&gt;5")=0,"",AVERAGEIFS(Calc_Anclaje!$J$5:$J$1058,Calc_Anclaje!$A$5:$A$1058,$B$2,Calc_Anclaje!$H$5:$H$1058,VALUE(SUBSTITUTE(X114,"d-","")),Calc_Anclaje!$K$5:$K$1058,"&gt;5"))</f>
        <v>6.6428571428571432</v>
      </c>
      <c r="Z114">
        <f>IF(COUNTIFS(Calc_Anclaje!$A$5:$A$1058,$B$2,Calc_Anclaje!$H$5:$H$1058,VALUE(SUBSTITUTE(X114,"d-","")),Calc_Anclaje!$K$5:$K$1058,"&gt;5")=0,"",AVERAGEIFS(Calc_Anclaje!$K$5:$K$1058,Calc_Anclaje!$A$5:$A$1058,$B$2,Calc_Anclaje!$H$5:$H$1058,VALUE(SUBSTITUTE(X114,"d-","")),Calc_Anclaje!$K$5:$K$1058,"&gt;5"))</f>
        <v>7.4</v>
      </c>
      <c r="AA114">
        <f>3</f>
        <v>3</v>
      </c>
      <c r="AB114" s="49">
        <f>COUNTIFS(Calc_Anclaje!$A$5:$A$1058,$B$2,Calc_Anclaje!$H$5:$H$1058,VALUE(SUBSTITUTE(X114,"d-","")),Calc_Anclaje!$K$5:$K$1058,"&gt;5")</f>
        <v>7</v>
      </c>
    </row>
    <row r="115" spans="14:28" ht="14.4">
      <c r="N115" t="s">
        <v>2499</v>
      </c>
      <c r="O115">
        <f>IF(COUNTIFS(Calc_Anclaje!$A$5:$A$1058,$B$2,Calc_Anclaje!$H$5:$H$1058,VALUE(SUBSTITUTE(N115,"d-","")),Calc_Anclaje!$K$5:$K$1058,"&gt;=2",Calc_Anclaje!$K$5:$K$1058,"&lt;=4")=0,"",AVERAGEIFS(Calc_Anclaje!$J$5:$J$1058,Calc_Anclaje!$A$5:$A$1058,$B$2,Calc_Anclaje!$H$5:$H$1058,VALUE(SUBSTITUTE(N115,"d-","")),Calc_Anclaje!$K$5:$K$1058,"&gt;=2",Calc_Anclaje!$K$5:$K$1058,"&lt;=4"))</f>
        <v>3.875</v>
      </c>
      <c r="P115">
        <f>IF(COUNTIFS(Calc_Anclaje!$A$5:$A$1058,$B$2,Calc_Anclaje!$H$5:$H$1058,VALUE(SUBSTITUTE(N115,"d-","")),Calc_Anclaje!$K$5:$K$1058,"&gt;=2",Calc_Anclaje!$K$5:$K$1058,"&lt;=4")=0,"",AVERAGEIFS(Calc_Anclaje!$K$5:$K$1058,Calc_Anclaje!$A$5:$A$1058,$B$2,Calc_Anclaje!$H$5:$H$1058,VALUE(SUBSTITUTE(N115,"d-","")),Calc_Anclaje!$K$5:$K$1058,"&gt;=2",Calc_Anclaje!$K$5:$K$1058,"&lt;=4"))</f>
        <v>3.7250000000000001</v>
      </c>
      <c r="Q115">
        <f>3</f>
        <v>3</v>
      </c>
      <c r="R115" s="49">
        <f>COUNTIFS(Calc_Anclaje!$A$5:$A$1058,$B$2,Calc_Anclaje!$H$5:$H$1058,VALUE(SUBSTITUTE(N115,"d-","")),Calc_Anclaje!$K$5:$K$1058,"&gt;=2",Calc_Anclaje!$K$5:$K$1058,"&lt;=4")</f>
        <v>4</v>
      </c>
      <c r="S115" t="s">
        <v>2499</v>
      </c>
      <c r="T115">
        <f>IF(COUNTIFS(Calc_Anclaje!$A$5:$A$1058,$B$2,Calc_Anclaje!$H$5:$H$1058,VALUE(SUBSTITUTE(S115,"d-","")),Calc_Anclaje!$K$5:$K$1058,"&gt;4",Calc_Anclaje!$K$5:$K$1058,"&lt;=5")=0,"",AVERAGEIFS(Calc_Anclaje!$J$5:$J$1058,Calc_Anclaje!$A$5:$A$1058,$B$2,Calc_Anclaje!$H$5:$H$1058,VALUE(SUBSTITUTE(S115,"d-","")),Calc_Anclaje!$K$5:$K$1058,"&gt;4",Calc_Anclaje!$K$5:$K$1058,"&lt;=5"))</f>
        <v>4.3</v>
      </c>
      <c r="U115">
        <f>IF(COUNTIFS(Calc_Anclaje!$A$5:$A$1058,$B$2,Calc_Anclaje!$H$5:$H$1058,VALUE(SUBSTITUTE(S115,"d-","")),Calc_Anclaje!$K$5:$K$1058,"&gt;4",Calc_Anclaje!$K$5:$K$1058,"&lt;=5")=0,"",AVERAGEIFS(Calc_Anclaje!$K$5:$K$1058,Calc_Anclaje!$A$5:$A$1058,$B$2,Calc_Anclaje!$H$5:$H$1058,VALUE(SUBSTITUTE(S115,"d-","")),Calc_Anclaje!$K$5:$K$1058,"&gt;4",Calc_Anclaje!$K$5:$K$1058,"&lt;=5"))</f>
        <v>4.5250000000000004</v>
      </c>
      <c r="V115">
        <f>3</f>
        <v>3</v>
      </c>
      <c r="W115" s="49">
        <f>COUNTIFS(Calc_Anclaje!$A$5:$A$1058,$B$2,Calc_Anclaje!$H$5:$H$1058,VALUE(SUBSTITUTE(S115,"d-","")),Calc_Anclaje!$K$5:$K$1058,"&gt;4",Calc_Anclaje!$K$5:$K$1058,"&lt;=5")</f>
        <v>8</v>
      </c>
      <c r="X115" t="s">
        <v>2499</v>
      </c>
      <c r="Y115">
        <f>IF(COUNTIFS(Calc_Anclaje!$A$5:$A$1058,$B$2,Calc_Anclaje!$H$5:$H$1058,VALUE(SUBSTITUTE(X115,"d-","")),Calc_Anclaje!$K$5:$K$1058,"&gt;5")=0,"",AVERAGEIFS(Calc_Anclaje!$J$5:$J$1058,Calc_Anclaje!$A$5:$A$1058,$B$2,Calc_Anclaje!$H$5:$H$1058,VALUE(SUBSTITUTE(X115,"d-","")),Calc_Anclaje!$K$5:$K$1058,"&gt;5"))</f>
        <v>7.1857142857142851</v>
      </c>
      <c r="Z115">
        <f>IF(COUNTIFS(Calc_Anclaje!$A$5:$A$1058,$B$2,Calc_Anclaje!$H$5:$H$1058,VALUE(SUBSTITUTE(X115,"d-","")),Calc_Anclaje!$K$5:$K$1058,"&gt;5")=0,"",AVERAGEIFS(Calc_Anclaje!$K$5:$K$1058,Calc_Anclaje!$A$5:$A$1058,$B$2,Calc_Anclaje!$H$5:$H$1058,VALUE(SUBSTITUTE(X115,"d-","")),Calc_Anclaje!$K$5:$K$1058,"&gt;5"))</f>
        <v>7.4</v>
      </c>
      <c r="AA115">
        <f>3</f>
        <v>3</v>
      </c>
      <c r="AB115" s="49">
        <f>COUNTIFS(Calc_Anclaje!$A$5:$A$1058,$B$2,Calc_Anclaje!$H$5:$H$1058,VALUE(SUBSTITUTE(X115,"d-","")),Calc_Anclaje!$K$5:$K$1058,"&gt;5")</f>
        <v>7</v>
      </c>
    </row>
    <row r="116" spans="14:28" ht="14.4">
      <c r="N116" t="s">
        <v>2495</v>
      </c>
      <c r="O116">
        <f>IF(COUNTIFS(Calc_Anclaje!$A$5:$A$1058,$B$2,Calc_Anclaje!$H$5:$H$1058,VALUE(SUBSTITUTE(N116,"d-","")),Calc_Anclaje!$K$5:$K$1058,"&gt;=2",Calc_Anclaje!$K$5:$K$1058,"&lt;=4")=0,"",AVERAGEIFS(Calc_Anclaje!$J$5:$J$1058,Calc_Anclaje!$A$5:$A$1058,$B$2,Calc_Anclaje!$H$5:$H$1058,VALUE(SUBSTITUTE(N116,"d-","")),Calc_Anclaje!$K$5:$K$1058,"&gt;=2",Calc_Anclaje!$K$5:$K$1058,"&lt;=4"))</f>
        <v>3.7749999999999999</v>
      </c>
      <c r="P116">
        <f>IF(COUNTIFS(Calc_Anclaje!$A$5:$A$1058,$B$2,Calc_Anclaje!$H$5:$H$1058,VALUE(SUBSTITUTE(N116,"d-","")),Calc_Anclaje!$K$5:$K$1058,"&gt;=2",Calc_Anclaje!$K$5:$K$1058,"&lt;=4")=0,"",AVERAGEIFS(Calc_Anclaje!$K$5:$K$1058,Calc_Anclaje!$A$5:$A$1058,$B$2,Calc_Anclaje!$H$5:$H$1058,VALUE(SUBSTITUTE(N116,"d-","")),Calc_Anclaje!$K$5:$K$1058,"&gt;=2",Calc_Anclaje!$K$5:$K$1058,"&lt;=4"))</f>
        <v>3.7250000000000001</v>
      </c>
      <c r="Q116">
        <f>3</f>
        <v>3</v>
      </c>
      <c r="R116" s="49">
        <f>COUNTIFS(Calc_Anclaje!$A$5:$A$1058,$B$2,Calc_Anclaje!$H$5:$H$1058,VALUE(SUBSTITUTE(N116,"d-","")),Calc_Anclaje!$K$5:$K$1058,"&gt;=2",Calc_Anclaje!$K$5:$K$1058,"&lt;=4")</f>
        <v>4</v>
      </c>
      <c r="S116" t="s">
        <v>2495</v>
      </c>
      <c r="T116">
        <f>IF(COUNTIFS(Calc_Anclaje!$A$5:$A$1058,$B$2,Calc_Anclaje!$H$5:$H$1058,VALUE(SUBSTITUTE(S116,"d-","")),Calc_Anclaje!$K$5:$K$1058,"&gt;4",Calc_Anclaje!$K$5:$K$1058,"&lt;=5")=0,"",AVERAGEIFS(Calc_Anclaje!$J$5:$J$1058,Calc_Anclaje!$A$5:$A$1058,$B$2,Calc_Anclaje!$H$5:$H$1058,VALUE(SUBSTITUTE(S116,"d-","")),Calc_Anclaje!$K$5:$K$1058,"&gt;4",Calc_Anclaje!$K$5:$K$1058,"&lt;=5"))</f>
        <v>4.5249999999999995</v>
      </c>
      <c r="U116">
        <f>IF(COUNTIFS(Calc_Anclaje!$A$5:$A$1058,$B$2,Calc_Anclaje!$H$5:$H$1058,VALUE(SUBSTITUTE(S116,"d-","")),Calc_Anclaje!$K$5:$K$1058,"&gt;4",Calc_Anclaje!$K$5:$K$1058,"&lt;=5")=0,"",AVERAGEIFS(Calc_Anclaje!$K$5:$K$1058,Calc_Anclaje!$A$5:$A$1058,$B$2,Calc_Anclaje!$H$5:$H$1058,VALUE(SUBSTITUTE(S116,"d-","")),Calc_Anclaje!$K$5:$K$1058,"&gt;4",Calc_Anclaje!$K$5:$K$1058,"&lt;=5"))</f>
        <v>4.5250000000000004</v>
      </c>
      <c r="V116">
        <f>3</f>
        <v>3</v>
      </c>
      <c r="W116" s="49">
        <f>COUNTIFS(Calc_Anclaje!$A$5:$A$1058,$B$2,Calc_Anclaje!$H$5:$H$1058,VALUE(SUBSTITUTE(S116,"d-","")),Calc_Anclaje!$K$5:$K$1058,"&gt;4",Calc_Anclaje!$K$5:$K$1058,"&lt;=5")</f>
        <v>8</v>
      </c>
      <c r="X116" t="s">
        <v>2495</v>
      </c>
      <c r="Y116">
        <f>IF(COUNTIFS(Calc_Anclaje!$A$5:$A$1058,$B$2,Calc_Anclaje!$H$5:$H$1058,VALUE(SUBSTITUTE(X116,"d-","")),Calc_Anclaje!$K$5:$K$1058,"&gt;5")=0,"",AVERAGEIFS(Calc_Anclaje!$J$5:$J$1058,Calc_Anclaje!$A$5:$A$1058,$B$2,Calc_Anclaje!$H$5:$H$1058,VALUE(SUBSTITUTE(X116,"d-","")),Calc_Anclaje!$K$5:$K$1058,"&gt;5"))</f>
        <v>7.1750000000000007</v>
      </c>
      <c r="Z116">
        <f>IF(COUNTIFS(Calc_Anclaje!$A$5:$A$1058,$B$2,Calc_Anclaje!$H$5:$H$1058,VALUE(SUBSTITUTE(X116,"d-","")),Calc_Anclaje!$K$5:$K$1058,"&gt;5")=0,"",AVERAGEIFS(Calc_Anclaje!$K$5:$K$1058,Calc_Anclaje!$A$5:$A$1058,$B$2,Calc_Anclaje!$H$5:$H$1058,VALUE(SUBSTITUTE(X116,"d-","")),Calc_Anclaje!$K$5:$K$1058,"&gt;5"))</f>
        <v>7.2000000000000011</v>
      </c>
      <c r="AA116">
        <f>3</f>
        <v>3</v>
      </c>
      <c r="AB116" s="49">
        <f>COUNTIFS(Calc_Anclaje!$A$5:$A$1058,$B$2,Calc_Anclaje!$H$5:$H$1058,VALUE(SUBSTITUTE(X116,"d-","")),Calc_Anclaje!$K$5:$K$1058,"&gt;5")</f>
        <v>8</v>
      </c>
    </row>
    <row r="117" spans="14:28" ht="14.4">
      <c r="N117" t="s">
        <v>2497</v>
      </c>
      <c r="O117">
        <f>IF(COUNTIFS(Calc_Anclaje!$A$5:$A$1058,$B$2,Calc_Anclaje!$H$5:$H$1058,VALUE(SUBSTITUTE(N117,"d-","")),Calc_Anclaje!$K$5:$K$1058,"&gt;=2",Calc_Anclaje!$K$5:$K$1058,"&lt;=4")=0,"",AVERAGEIFS(Calc_Anclaje!$J$5:$J$1058,Calc_Anclaje!$A$5:$A$1058,$B$2,Calc_Anclaje!$H$5:$H$1058,VALUE(SUBSTITUTE(N117,"d-","")),Calc_Anclaje!$K$5:$K$1058,"&gt;=2",Calc_Anclaje!$K$5:$K$1058,"&lt;=4"))</f>
        <v>3.75</v>
      </c>
      <c r="P117">
        <f>IF(COUNTIFS(Calc_Anclaje!$A$5:$A$1058,$B$2,Calc_Anclaje!$H$5:$H$1058,VALUE(SUBSTITUTE(N117,"d-","")),Calc_Anclaje!$K$5:$K$1058,"&gt;=2",Calc_Anclaje!$K$5:$K$1058,"&lt;=4")=0,"",AVERAGEIFS(Calc_Anclaje!$K$5:$K$1058,Calc_Anclaje!$A$5:$A$1058,$B$2,Calc_Anclaje!$H$5:$H$1058,VALUE(SUBSTITUTE(N117,"d-","")),Calc_Anclaje!$K$5:$K$1058,"&gt;=2",Calc_Anclaje!$K$5:$K$1058,"&lt;=4"))</f>
        <v>3.7250000000000001</v>
      </c>
      <c r="Q117">
        <f>3</f>
        <v>3</v>
      </c>
      <c r="R117" s="49">
        <f>COUNTIFS(Calc_Anclaje!$A$5:$A$1058,$B$2,Calc_Anclaje!$H$5:$H$1058,VALUE(SUBSTITUTE(N117,"d-","")),Calc_Anclaje!$K$5:$K$1058,"&gt;=2",Calc_Anclaje!$K$5:$K$1058,"&lt;=4")</f>
        <v>4</v>
      </c>
      <c r="S117" t="s">
        <v>2497</v>
      </c>
      <c r="T117">
        <f>IF(COUNTIFS(Calc_Anclaje!$A$5:$A$1058,$B$2,Calc_Anclaje!$H$5:$H$1058,VALUE(SUBSTITUTE(S117,"d-","")),Calc_Anclaje!$K$5:$K$1058,"&gt;4",Calc_Anclaje!$K$5:$K$1058,"&lt;=5")=0,"",AVERAGEIFS(Calc_Anclaje!$J$5:$J$1058,Calc_Anclaje!$A$5:$A$1058,$B$2,Calc_Anclaje!$H$5:$H$1058,VALUE(SUBSTITUTE(S117,"d-","")),Calc_Anclaje!$K$5:$K$1058,"&gt;4",Calc_Anclaje!$K$5:$K$1058,"&lt;=5"))</f>
        <v>4.55</v>
      </c>
      <c r="U117">
        <f>IF(COUNTIFS(Calc_Anclaje!$A$5:$A$1058,$B$2,Calc_Anclaje!$H$5:$H$1058,VALUE(SUBSTITUTE(S117,"d-","")),Calc_Anclaje!$K$5:$K$1058,"&gt;4",Calc_Anclaje!$K$5:$K$1058,"&lt;=5")=0,"",AVERAGEIFS(Calc_Anclaje!$K$5:$K$1058,Calc_Anclaje!$A$5:$A$1058,$B$2,Calc_Anclaje!$H$5:$H$1058,VALUE(SUBSTITUTE(S117,"d-","")),Calc_Anclaje!$K$5:$K$1058,"&gt;4",Calc_Anclaje!$K$5:$K$1058,"&lt;=5"))</f>
        <v>4.5250000000000004</v>
      </c>
      <c r="V117">
        <f>3</f>
        <v>3</v>
      </c>
      <c r="W117" s="49">
        <f>COUNTIFS(Calc_Anclaje!$A$5:$A$1058,$B$2,Calc_Anclaje!$H$5:$H$1058,VALUE(SUBSTITUTE(S117,"d-","")),Calc_Anclaje!$K$5:$K$1058,"&gt;4",Calc_Anclaje!$K$5:$K$1058,"&lt;=5")</f>
        <v>8</v>
      </c>
      <c r="X117" t="s">
        <v>2497</v>
      </c>
      <c r="Y117">
        <f>IF(COUNTIFS(Calc_Anclaje!$A$5:$A$1058,$B$2,Calc_Anclaje!$H$5:$H$1058,VALUE(SUBSTITUTE(X117,"d-","")),Calc_Anclaje!$K$5:$K$1058,"&gt;5")=0,"",AVERAGEIFS(Calc_Anclaje!$J$5:$J$1058,Calc_Anclaje!$A$5:$A$1058,$B$2,Calc_Anclaje!$H$5:$H$1058,VALUE(SUBSTITUTE(X117,"d-","")),Calc_Anclaje!$K$5:$K$1058,"&gt;5"))</f>
        <v>7.2250000000000005</v>
      </c>
      <c r="Z117">
        <f>IF(COUNTIFS(Calc_Anclaje!$A$5:$A$1058,$B$2,Calc_Anclaje!$H$5:$H$1058,VALUE(SUBSTITUTE(X117,"d-","")),Calc_Anclaje!$K$5:$K$1058,"&gt;5")=0,"",AVERAGEIFS(Calc_Anclaje!$K$5:$K$1058,Calc_Anclaje!$A$5:$A$1058,$B$2,Calc_Anclaje!$H$5:$H$1058,VALUE(SUBSTITUTE(X117,"d-","")),Calc_Anclaje!$K$5:$K$1058,"&gt;5"))</f>
        <v>7.2000000000000011</v>
      </c>
      <c r="AA117">
        <f>3</f>
        <v>3</v>
      </c>
      <c r="AB117" s="49">
        <f>COUNTIFS(Calc_Anclaje!$A$5:$A$1058,$B$2,Calc_Anclaje!$H$5:$H$1058,VALUE(SUBSTITUTE(X117,"d-","")),Calc_Anclaje!$K$5:$K$1058,"&gt;5")</f>
        <v>8</v>
      </c>
    </row>
    <row r="120" spans="14:28" ht="15" thickBot="1">
      <c r="N120" s="51" t="s">
        <v>2569</v>
      </c>
      <c r="O120" s="51" t="s">
        <v>2599</v>
      </c>
      <c r="P120" s="51" t="s">
        <v>2600</v>
      </c>
      <c r="Q120" s="51" t="s">
        <v>2601</v>
      </c>
    </row>
    <row r="121" spans="14:28" ht="14.4">
      <c r="N121" s="50" t="s">
        <v>2512</v>
      </c>
      <c r="O121" s="50">
        <f>IF(COUNTIFS(Calc_Anclaje!$A$5:$A$1058,$B$2,Calc_Anclaje!$H$5:$H$1058,VALUE(SUBSTITUTE(N121,"d-","")),Calc_Anclaje!$K$5:$K$1058,"&gt;=2",Calc_Anclaje!$K$5:$K$1058,"&lt;=4")=0,"",AVERAGEIFS(Calc_Anclaje!$O$5:$O$1058,Calc_Anclaje!$A$5:$A$1058,$B$2,Calc_Anclaje!$H$5:$H$1058,VALUE(SUBSTITUTE(N121,"d-","")),Calc_Anclaje!$K$5:$K$1058,"&gt;=2",Calc_Anclaje!$K$5:$K$1058,"&lt;=4"))</f>
        <v>-0.65</v>
      </c>
      <c r="P121" s="50">
        <f>IF(COUNTIFS(Calc_Anclaje!$A$5:$A$1058,$B$2,Calc_Anclaje!$H$5:$H$1058,VALUE(SUBSTITUTE(N121,"d-","")),Calc_Anclaje!$K$5:$K$1058,"&gt;4",Calc_Anclaje!$K$5:$K$1058,"&lt;=5")=0,"",AVERAGEIFS(Calc_Anclaje!$O$5:$O$1058,Calc_Anclaje!$A$5:$A$1058,$B$2,Calc_Anclaje!$H$5:$H$1058,VALUE(SUBSTITUTE(N121,"d-","")),Calc_Anclaje!$K$5:$K$1058,"&gt;4",Calc_Anclaje!$K$5:$K$1058,"&lt;=5"))</f>
        <v>-1.45</v>
      </c>
      <c r="Q121" s="50" t="str">
        <f>IF(COUNTIFS(Calc_Anclaje!$A$5:$A$1058,$B$2,Calc_Anclaje!$H$5:$H$1058,VALUE(SUBSTITUTE(N121,"d-","")),Calc_Anclaje!$K$5:$K$1058,"&gt;5")=0,"",AVERAGEIFS(Calc_Anclaje!$O$5:$O$1058,Calc_Anclaje!$A$5:$A$1058,$B$2,Calc_Anclaje!$H$5:$H$1058,VALUE(SUBSTITUTE(N121,"d-","")),Calc_Anclaje!$K$5:$K$1058,"&gt;5"))</f>
        <v/>
      </c>
    </row>
    <row r="122" spans="14:28" ht="14.4">
      <c r="N122" s="50" t="s">
        <v>2510</v>
      </c>
      <c r="O122" s="50">
        <f>IF(COUNTIFS(Calc_Anclaje!$A$5:$A$1058,$B$2,Calc_Anclaje!$H$5:$H$1058,VALUE(SUBSTITUTE(N122,"d-","")),Calc_Anclaje!$K$5:$K$1058,"&gt;=2",Calc_Anclaje!$K$5:$K$1058,"&lt;=4")=0,"",AVERAGEIFS(Calc_Anclaje!$O$5:$O$1058,Calc_Anclaje!$A$5:$A$1058,$B$2,Calc_Anclaje!$H$5:$H$1058,VALUE(SUBSTITUTE(N122,"d-","")),Calc_Anclaje!$K$5:$K$1058,"&gt;=2",Calc_Anclaje!$K$5:$K$1058,"&lt;=4"))</f>
        <v>-0.65</v>
      </c>
      <c r="P122" s="50">
        <f>IF(COUNTIFS(Calc_Anclaje!$A$5:$A$1058,$B$2,Calc_Anclaje!$H$5:$H$1058,VALUE(SUBSTITUTE(N122,"d-","")),Calc_Anclaje!$K$5:$K$1058,"&gt;4",Calc_Anclaje!$K$5:$K$1058,"&lt;=5")=0,"",AVERAGEIFS(Calc_Anclaje!$O$5:$O$1058,Calc_Anclaje!$A$5:$A$1058,$B$2,Calc_Anclaje!$H$5:$H$1058,VALUE(SUBSTITUTE(N122,"d-","")),Calc_Anclaje!$K$5:$K$1058,"&gt;4",Calc_Anclaje!$K$5:$K$1058,"&lt;=5"))</f>
        <v>-1.4374999999999998</v>
      </c>
      <c r="Q122" s="50">
        <f>IF(COUNTIFS(Calc_Anclaje!$A$5:$A$1058,$B$2,Calc_Anclaje!$H$5:$H$1058,VALUE(SUBSTITUTE(N122,"d-","")),Calc_Anclaje!$K$5:$K$1058,"&gt;5")=0,"",AVERAGEIFS(Calc_Anclaje!$O$5:$O$1058,Calc_Anclaje!$A$5:$A$1058,$B$2,Calc_Anclaje!$H$5:$H$1058,VALUE(SUBSTITUTE(N122,"d-","")),Calc_Anclaje!$K$5:$K$1058,"&gt;5"))</f>
        <v>-2.6</v>
      </c>
    </row>
    <row r="123" spans="14:28" ht="14.4">
      <c r="N123" s="50" t="s">
        <v>2511</v>
      </c>
      <c r="O123" s="50">
        <f>IF(COUNTIFS(Calc_Anclaje!$A$5:$A$1058,$B$2,Calc_Anclaje!$H$5:$H$1058,VALUE(SUBSTITUTE(N123,"d-","")),Calc_Anclaje!$K$5:$K$1058,"&gt;=2",Calc_Anclaje!$K$5:$K$1058,"&lt;=4")=0,"",AVERAGEIFS(Calc_Anclaje!$O$5:$O$1058,Calc_Anclaje!$A$5:$A$1058,$B$2,Calc_Anclaje!$H$5:$H$1058,VALUE(SUBSTITUTE(N123,"d-","")),Calc_Anclaje!$K$5:$K$1058,"&gt;=2",Calc_Anclaje!$K$5:$K$1058,"&lt;=4"))</f>
        <v>-0.65</v>
      </c>
      <c r="P123" s="50">
        <f>IF(COUNTIFS(Calc_Anclaje!$A$5:$A$1058,$B$2,Calc_Anclaje!$H$5:$H$1058,VALUE(SUBSTITUTE(N123,"d-","")),Calc_Anclaje!$K$5:$K$1058,"&gt;4",Calc_Anclaje!$K$5:$K$1058,"&lt;=5")=0,"",AVERAGEIFS(Calc_Anclaje!$O$5:$O$1058,Calc_Anclaje!$A$5:$A$1058,$B$2,Calc_Anclaje!$H$5:$H$1058,VALUE(SUBSTITUTE(N123,"d-","")),Calc_Anclaje!$K$5:$K$1058,"&gt;4",Calc_Anclaje!$K$5:$K$1058,"&lt;=5"))</f>
        <v>-1.3875</v>
      </c>
      <c r="Q123" s="50">
        <f>IF(COUNTIFS(Calc_Anclaje!$A$5:$A$1058,$B$2,Calc_Anclaje!$H$5:$H$1058,VALUE(SUBSTITUTE(N123,"d-","")),Calc_Anclaje!$K$5:$K$1058,"&gt;5")=0,"",AVERAGEIFS(Calc_Anclaje!$O$5:$O$1058,Calc_Anclaje!$A$5:$A$1058,$B$2,Calc_Anclaje!$H$5:$H$1058,VALUE(SUBSTITUTE(N123,"d-","")),Calc_Anclaje!$K$5:$K$1058,"&gt;5"))</f>
        <v>-2.5</v>
      </c>
    </row>
    <row r="124" spans="14:28" ht="14.4">
      <c r="N124" s="50" t="s">
        <v>2508</v>
      </c>
      <c r="O124" s="50">
        <f>IF(COUNTIFS(Calc_Anclaje!$A$5:$A$1058,$B$2,Calc_Anclaje!$H$5:$H$1058,VALUE(SUBSTITUTE(N124,"d-","")),Calc_Anclaje!$K$5:$K$1058,"&gt;=2",Calc_Anclaje!$K$5:$K$1058,"&lt;=4")=0,"",AVERAGEIFS(Calc_Anclaje!$O$5:$O$1058,Calc_Anclaje!$A$5:$A$1058,$B$2,Calc_Anclaje!$H$5:$H$1058,VALUE(SUBSTITUTE(N124,"d-","")),Calc_Anclaje!$K$5:$K$1058,"&gt;=2",Calc_Anclaje!$K$5:$K$1058,"&lt;=4"))</f>
        <v>-0.67500000000000004</v>
      </c>
      <c r="P124" s="50">
        <f>IF(COUNTIFS(Calc_Anclaje!$A$5:$A$1058,$B$2,Calc_Anclaje!$H$5:$H$1058,VALUE(SUBSTITUTE(N124,"d-","")),Calc_Anclaje!$K$5:$K$1058,"&gt;4",Calc_Anclaje!$K$5:$K$1058,"&lt;=5")=0,"",AVERAGEIFS(Calc_Anclaje!$O$5:$O$1058,Calc_Anclaje!$A$5:$A$1058,$B$2,Calc_Anclaje!$H$5:$H$1058,VALUE(SUBSTITUTE(N124,"d-","")),Calc_Anclaje!$K$5:$K$1058,"&gt;4",Calc_Anclaje!$K$5:$K$1058,"&lt;=5"))</f>
        <v>-1.3499999999999999</v>
      </c>
      <c r="Q124" s="50">
        <f>IF(COUNTIFS(Calc_Anclaje!$A$5:$A$1058,$B$2,Calc_Anclaje!$H$5:$H$1058,VALUE(SUBSTITUTE(N124,"d-","")),Calc_Anclaje!$K$5:$K$1058,"&gt;5")=0,"",AVERAGEIFS(Calc_Anclaje!$O$5:$O$1058,Calc_Anclaje!$A$5:$A$1058,$B$2,Calc_Anclaje!$H$5:$H$1058,VALUE(SUBSTITUTE(N124,"d-","")),Calc_Anclaje!$K$5:$K$1058,"&gt;5"))</f>
        <v>-3.45</v>
      </c>
    </row>
    <row r="125" spans="14:28" ht="14.4">
      <c r="N125" s="50" t="s">
        <v>2509</v>
      </c>
      <c r="O125" s="50">
        <f>IF(COUNTIFS(Calc_Anclaje!$A$5:$A$1058,$B$2,Calc_Anclaje!$H$5:$H$1058,VALUE(SUBSTITUTE(N125,"d-","")),Calc_Anclaje!$K$5:$K$1058,"&gt;=2",Calc_Anclaje!$K$5:$K$1058,"&lt;=4")=0,"",AVERAGEIFS(Calc_Anclaje!$O$5:$O$1058,Calc_Anclaje!$A$5:$A$1058,$B$2,Calc_Anclaje!$H$5:$H$1058,VALUE(SUBSTITUTE(N125,"d-","")),Calc_Anclaje!$K$5:$K$1058,"&gt;=2",Calc_Anclaje!$K$5:$K$1058,"&lt;=4"))</f>
        <v>-0.625</v>
      </c>
      <c r="P125" s="50">
        <f>IF(COUNTIFS(Calc_Anclaje!$A$5:$A$1058,$B$2,Calc_Anclaje!$H$5:$H$1058,VALUE(SUBSTITUTE(N125,"d-","")),Calc_Anclaje!$K$5:$K$1058,"&gt;4",Calc_Anclaje!$K$5:$K$1058,"&lt;=5")=0,"",AVERAGEIFS(Calc_Anclaje!$O$5:$O$1058,Calc_Anclaje!$A$5:$A$1058,$B$2,Calc_Anclaje!$H$5:$H$1058,VALUE(SUBSTITUTE(N125,"d-","")),Calc_Anclaje!$K$5:$K$1058,"&gt;4",Calc_Anclaje!$K$5:$K$1058,"&lt;=5"))</f>
        <v>-1.2624999999999997</v>
      </c>
      <c r="Q125" s="50">
        <f>IF(COUNTIFS(Calc_Anclaje!$A$5:$A$1058,$B$2,Calc_Anclaje!$H$5:$H$1058,VALUE(SUBSTITUTE(N125,"d-","")),Calc_Anclaje!$K$5:$K$1058,"&gt;5")=0,"",AVERAGEIFS(Calc_Anclaje!$O$5:$O$1058,Calc_Anclaje!$A$5:$A$1058,$B$2,Calc_Anclaje!$H$5:$H$1058,VALUE(SUBSTITUTE(N125,"d-","")),Calc_Anclaje!$K$5:$K$1058,"&gt;5"))</f>
        <v>-3.35</v>
      </c>
    </row>
    <row r="126" spans="14:28" ht="14.4">
      <c r="N126" s="50" t="s">
        <v>2506</v>
      </c>
      <c r="O126" s="50">
        <f>IF(COUNTIFS(Calc_Anclaje!$A$5:$A$1058,$B$2,Calc_Anclaje!$H$5:$H$1058,VALUE(SUBSTITUTE(N126,"d-","")),Calc_Anclaje!$K$5:$K$1058,"&gt;=2",Calc_Anclaje!$K$5:$K$1058,"&lt;=4")=0,"",AVERAGEIFS(Calc_Anclaje!$O$5:$O$1058,Calc_Anclaje!$A$5:$A$1058,$B$2,Calc_Anclaje!$H$5:$H$1058,VALUE(SUBSTITUTE(N126,"d-","")),Calc_Anclaje!$K$5:$K$1058,"&gt;=2",Calc_Anclaje!$K$5:$K$1058,"&lt;=4"))</f>
        <v>-0.6</v>
      </c>
      <c r="P126" s="50">
        <f>IF(COUNTIFS(Calc_Anclaje!$A$5:$A$1058,$B$2,Calc_Anclaje!$H$5:$H$1058,VALUE(SUBSTITUTE(N126,"d-","")),Calc_Anclaje!$K$5:$K$1058,"&gt;4",Calc_Anclaje!$K$5:$K$1058,"&lt;=5")=0,"",AVERAGEIFS(Calc_Anclaje!$O$5:$O$1058,Calc_Anclaje!$A$5:$A$1058,$B$2,Calc_Anclaje!$H$5:$H$1058,VALUE(SUBSTITUTE(N126,"d-","")),Calc_Anclaje!$K$5:$K$1058,"&gt;4",Calc_Anclaje!$K$5:$K$1058,"&lt;=5"))</f>
        <v>-1.2124999999999999</v>
      </c>
      <c r="Q126" s="50">
        <f>IF(COUNTIFS(Calc_Anclaje!$A$5:$A$1058,$B$2,Calc_Anclaje!$H$5:$H$1058,VALUE(SUBSTITUTE(N126,"d-","")),Calc_Anclaje!$K$5:$K$1058,"&gt;5")=0,"",AVERAGEIFS(Calc_Anclaje!$O$5:$O$1058,Calc_Anclaje!$A$5:$A$1058,$B$2,Calc_Anclaje!$H$5:$H$1058,VALUE(SUBSTITUTE(N126,"d-","")),Calc_Anclaje!$K$5:$K$1058,"&gt;5"))</f>
        <v>-3.7999999999999994</v>
      </c>
    </row>
    <row r="127" spans="14:28" ht="14.4">
      <c r="N127" s="50" t="s">
        <v>2507</v>
      </c>
      <c r="O127" s="50">
        <f>IF(COUNTIFS(Calc_Anclaje!$A$5:$A$1058,$B$2,Calc_Anclaje!$H$5:$H$1058,VALUE(SUBSTITUTE(N127,"d-","")),Calc_Anclaje!$K$5:$K$1058,"&gt;=2",Calc_Anclaje!$K$5:$K$1058,"&lt;=4")=0,"",AVERAGEIFS(Calc_Anclaje!$O$5:$O$1058,Calc_Anclaje!$A$5:$A$1058,$B$2,Calc_Anclaje!$H$5:$H$1058,VALUE(SUBSTITUTE(N127,"d-","")),Calc_Anclaje!$K$5:$K$1058,"&gt;=2",Calc_Anclaje!$K$5:$K$1058,"&lt;=4"))</f>
        <v>-0.625</v>
      </c>
      <c r="P127" s="50">
        <f>IF(COUNTIFS(Calc_Anclaje!$A$5:$A$1058,$B$2,Calc_Anclaje!$H$5:$H$1058,VALUE(SUBSTITUTE(N127,"d-","")),Calc_Anclaje!$K$5:$K$1058,"&gt;4",Calc_Anclaje!$K$5:$K$1058,"&lt;=5")=0,"",AVERAGEIFS(Calc_Anclaje!$O$5:$O$1058,Calc_Anclaje!$A$5:$A$1058,$B$2,Calc_Anclaje!$H$5:$H$1058,VALUE(SUBSTITUTE(N127,"d-","")),Calc_Anclaje!$K$5:$K$1058,"&gt;4",Calc_Anclaje!$K$5:$K$1058,"&lt;=5"))</f>
        <v>-1.0124999999999997</v>
      </c>
      <c r="Q127" s="50">
        <f>IF(COUNTIFS(Calc_Anclaje!$A$5:$A$1058,$B$2,Calc_Anclaje!$H$5:$H$1058,VALUE(SUBSTITUTE(N127,"d-","")),Calc_Anclaje!$K$5:$K$1058,"&gt;5")=0,"",AVERAGEIFS(Calc_Anclaje!$O$5:$O$1058,Calc_Anclaje!$A$5:$A$1058,$B$2,Calc_Anclaje!$H$5:$H$1058,VALUE(SUBSTITUTE(N127,"d-","")),Calc_Anclaje!$K$5:$K$1058,"&gt;5"))</f>
        <v>-3.7000000000000006</v>
      </c>
    </row>
    <row r="128" spans="14:28" ht="14.4">
      <c r="N128" s="50" t="s">
        <v>2504</v>
      </c>
      <c r="O128" s="50">
        <f>IF(COUNTIFS(Calc_Anclaje!$A$5:$A$1058,$B$2,Calc_Anclaje!$H$5:$H$1058,VALUE(SUBSTITUTE(N128,"d-","")),Calc_Anclaje!$K$5:$K$1058,"&gt;=2",Calc_Anclaje!$K$5:$K$1058,"&lt;=4")=0,"",AVERAGEIFS(Calc_Anclaje!$O$5:$O$1058,Calc_Anclaje!$A$5:$A$1058,$B$2,Calc_Anclaje!$H$5:$H$1058,VALUE(SUBSTITUTE(N128,"d-","")),Calc_Anclaje!$K$5:$K$1058,"&gt;=2",Calc_Anclaje!$K$5:$K$1058,"&lt;=4"))</f>
        <v>-0.625</v>
      </c>
      <c r="P128" s="50">
        <f>IF(COUNTIFS(Calc_Anclaje!$A$5:$A$1058,$B$2,Calc_Anclaje!$H$5:$H$1058,VALUE(SUBSTITUTE(N128,"d-","")),Calc_Anclaje!$K$5:$K$1058,"&gt;4",Calc_Anclaje!$K$5:$K$1058,"&lt;=5")=0,"",AVERAGEIFS(Calc_Anclaje!$O$5:$O$1058,Calc_Anclaje!$A$5:$A$1058,$B$2,Calc_Anclaje!$H$5:$H$1058,VALUE(SUBSTITUTE(N128,"d-","")),Calc_Anclaje!$K$5:$K$1058,"&gt;4",Calc_Anclaje!$K$5:$K$1058,"&lt;=5"))</f>
        <v>-0.8999999999999998</v>
      </c>
      <c r="Q128" s="50">
        <f>IF(COUNTIFS(Calc_Anclaje!$A$5:$A$1058,$B$2,Calc_Anclaje!$H$5:$H$1058,VALUE(SUBSTITUTE(N128,"d-","")),Calc_Anclaje!$K$5:$K$1058,"&gt;5")=0,"",AVERAGEIFS(Calc_Anclaje!$O$5:$O$1058,Calc_Anclaje!$A$5:$A$1058,$B$2,Calc_Anclaje!$H$5:$H$1058,VALUE(SUBSTITUTE(N128,"d-","")),Calc_Anclaje!$K$5:$K$1058,"&gt;5"))</f>
        <v>-4.0750000000000002</v>
      </c>
    </row>
    <row r="129" spans="14:17" ht="14.4">
      <c r="N129" s="50" t="s">
        <v>2505</v>
      </c>
      <c r="O129" s="50">
        <f>IF(COUNTIFS(Calc_Anclaje!$A$5:$A$1058,$B$2,Calc_Anclaje!$H$5:$H$1058,VALUE(SUBSTITUTE(N129,"d-","")),Calc_Anclaje!$K$5:$K$1058,"&gt;=2",Calc_Anclaje!$K$5:$K$1058,"&lt;=4")=0,"",AVERAGEIFS(Calc_Anclaje!$O$5:$O$1058,Calc_Anclaje!$A$5:$A$1058,$B$2,Calc_Anclaje!$H$5:$H$1058,VALUE(SUBSTITUTE(N129,"d-","")),Calc_Anclaje!$K$5:$K$1058,"&gt;=2",Calc_Anclaje!$K$5:$K$1058,"&lt;=4"))</f>
        <v>-0.55000000000000004</v>
      </c>
      <c r="P129" s="50">
        <f>IF(COUNTIFS(Calc_Anclaje!$A$5:$A$1058,$B$2,Calc_Anclaje!$H$5:$H$1058,VALUE(SUBSTITUTE(N129,"d-","")),Calc_Anclaje!$K$5:$K$1058,"&gt;4",Calc_Anclaje!$K$5:$K$1058,"&lt;=5")=0,"",AVERAGEIFS(Calc_Anclaje!$O$5:$O$1058,Calc_Anclaje!$A$5:$A$1058,$B$2,Calc_Anclaje!$H$5:$H$1058,VALUE(SUBSTITUTE(N129,"d-","")),Calc_Anclaje!$K$5:$K$1058,"&gt;4",Calc_Anclaje!$K$5:$K$1058,"&lt;=5"))</f>
        <v>-0.69999999999999984</v>
      </c>
      <c r="Q129" s="50">
        <f>IF(COUNTIFS(Calc_Anclaje!$A$5:$A$1058,$B$2,Calc_Anclaje!$H$5:$H$1058,VALUE(SUBSTITUTE(N129,"d-","")),Calc_Anclaje!$K$5:$K$1058,"&gt;5")=0,"",AVERAGEIFS(Calc_Anclaje!$O$5:$O$1058,Calc_Anclaje!$A$5:$A$1058,$B$2,Calc_Anclaje!$H$5:$H$1058,VALUE(SUBSTITUTE(N129,"d-","")),Calc_Anclaje!$K$5:$K$1058,"&gt;5"))</f>
        <v>-3.45</v>
      </c>
    </row>
    <row r="130" spans="14:17" ht="14.4">
      <c r="N130" s="50" t="s">
        <v>2502</v>
      </c>
      <c r="O130" s="50">
        <f>IF(COUNTIFS(Calc_Anclaje!$A$5:$A$1058,$B$2,Calc_Anclaje!$H$5:$H$1058,VALUE(SUBSTITUTE(N130,"d-","")),Calc_Anclaje!$K$5:$K$1058,"&gt;=2",Calc_Anclaje!$K$5:$K$1058,"&lt;=4")=0,"",AVERAGEIFS(Calc_Anclaje!$O$5:$O$1058,Calc_Anclaje!$A$5:$A$1058,$B$2,Calc_Anclaje!$H$5:$H$1058,VALUE(SUBSTITUTE(N130,"d-","")),Calc_Anclaje!$K$5:$K$1058,"&gt;=2",Calc_Anclaje!$K$5:$K$1058,"&lt;=4"))</f>
        <v>-0.47500000000000009</v>
      </c>
      <c r="P130" s="50">
        <f>IF(COUNTIFS(Calc_Anclaje!$A$5:$A$1058,$B$2,Calc_Anclaje!$H$5:$H$1058,VALUE(SUBSTITUTE(N130,"d-","")),Calc_Anclaje!$K$5:$K$1058,"&gt;4",Calc_Anclaje!$K$5:$K$1058,"&lt;=5")=0,"",AVERAGEIFS(Calc_Anclaje!$O$5:$O$1058,Calc_Anclaje!$A$5:$A$1058,$B$2,Calc_Anclaje!$H$5:$H$1058,VALUE(SUBSTITUTE(N130,"d-","")),Calc_Anclaje!$K$5:$K$1058,"&gt;4",Calc_Anclaje!$K$5:$K$1058,"&lt;=5"))</f>
        <v>-0.62499999999999978</v>
      </c>
      <c r="Q130" s="50">
        <f>IF(COUNTIFS(Calc_Anclaje!$A$5:$A$1058,$B$2,Calc_Anclaje!$H$5:$H$1058,VALUE(SUBSTITUTE(N130,"d-","")),Calc_Anclaje!$K$5:$K$1058,"&gt;5")=0,"",AVERAGEIFS(Calc_Anclaje!$O$5:$O$1058,Calc_Anclaje!$A$5:$A$1058,$B$2,Calc_Anclaje!$H$5:$H$1058,VALUE(SUBSTITUTE(N130,"d-","")),Calc_Anclaje!$K$5:$K$1058,"&gt;5"))</f>
        <v>-3.0799999999999996</v>
      </c>
    </row>
    <row r="131" spans="14:17" ht="14.4">
      <c r="N131" s="50" t="s">
        <v>2503</v>
      </c>
      <c r="O131" s="50">
        <f>IF(COUNTIFS(Calc_Anclaje!$A$5:$A$1058,$B$2,Calc_Anclaje!$H$5:$H$1058,VALUE(SUBSTITUTE(N131,"d-","")),Calc_Anclaje!$K$5:$K$1058,"&gt;=2",Calc_Anclaje!$K$5:$K$1058,"&lt;=4")=0,"",AVERAGEIFS(Calc_Anclaje!$O$5:$O$1058,Calc_Anclaje!$A$5:$A$1058,$B$2,Calc_Anclaje!$H$5:$H$1058,VALUE(SUBSTITUTE(N131,"d-","")),Calc_Anclaje!$K$5:$K$1058,"&gt;=2",Calc_Anclaje!$K$5:$K$1058,"&lt;=4"))</f>
        <v>-0.40000000000000013</v>
      </c>
      <c r="P131" s="50">
        <f>IF(COUNTIFS(Calc_Anclaje!$A$5:$A$1058,$B$2,Calc_Anclaje!$H$5:$H$1058,VALUE(SUBSTITUTE(N131,"d-","")),Calc_Anclaje!$K$5:$K$1058,"&gt;4",Calc_Anclaje!$K$5:$K$1058,"&lt;=5")=0,"",AVERAGEIFS(Calc_Anclaje!$O$5:$O$1058,Calc_Anclaje!$A$5:$A$1058,$B$2,Calc_Anclaje!$H$5:$H$1058,VALUE(SUBSTITUTE(N131,"d-","")),Calc_Anclaje!$K$5:$K$1058,"&gt;4",Calc_Anclaje!$K$5:$K$1058,"&lt;=5"))</f>
        <v>-0.55000000000000004</v>
      </c>
      <c r="Q131" s="50">
        <f>IF(COUNTIFS(Calc_Anclaje!$A$5:$A$1058,$B$2,Calc_Anclaje!$H$5:$H$1058,VALUE(SUBSTITUTE(N131,"d-","")),Calc_Anclaje!$K$5:$K$1058,"&gt;5")=0,"",AVERAGEIFS(Calc_Anclaje!$O$5:$O$1058,Calc_Anclaje!$A$5:$A$1058,$B$2,Calc_Anclaje!$H$5:$H$1058,VALUE(SUBSTITUTE(N131,"d-","")),Calc_Anclaje!$K$5:$K$1058,"&gt;5"))</f>
        <v>-2.1799999999999997</v>
      </c>
    </row>
    <row r="132" spans="14:17" ht="14.4">
      <c r="N132" s="50" t="s">
        <v>2500</v>
      </c>
      <c r="O132" s="50">
        <f>IF(COUNTIFS(Calc_Anclaje!$A$5:$A$1058,$B$2,Calc_Anclaje!$H$5:$H$1058,VALUE(SUBSTITUTE(N132,"d-","")),Calc_Anclaje!$K$5:$K$1058,"&gt;=2",Calc_Anclaje!$K$5:$K$1058,"&lt;=4")=0,"",AVERAGEIFS(Calc_Anclaje!$O$5:$O$1058,Calc_Anclaje!$A$5:$A$1058,$B$2,Calc_Anclaje!$H$5:$H$1058,VALUE(SUBSTITUTE(N132,"d-","")),Calc_Anclaje!$K$5:$K$1058,"&gt;=2",Calc_Anclaje!$K$5:$K$1058,"&lt;=4"))</f>
        <v>-0.32500000000000007</v>
      </c>
      <c r="P132" s="50">
        <f>IF(COUNTIFS(Calc_Anclaje!$A$5:$A$1058,$B$2,Calc_Anclaje!$H$5:$H$1058,VALUE(SUBSTITUTE(N132,"d-","")),Calc_Anclaje!$K$5:$K$1058,"&gt;4",Calc_Anclaje!$K$5:$K$1058,"&lt;=5")=0,"",AVERAGEIFS(Calc_Anclaje!$O$5:$O$1058,Calc_Anclaje!$A$5:$A$1058,$B$2,Calc_Anclaje!$H$5:$H$1058,VALUE(SUBSTITUTE(N132,"d-","")),Calc_Anclaje!$K$5:$K$1058,"&gt;4",Calc_Anclaje!$K$5:$K$1058,"&lt;=5"))</f>
        <v>-0.42499999999999999</v>
      </c>
      <c r="Q132" s="50">
        <f>IF(COUNTIFS(Calc_Anclaje!$A$5:$A$1058,$B$2,Calc_Anclaje!$H$5:$H$1058,VALUE(SUBSTITUTE(N132,"d-","")),Calc_Anclaje!$K$5:$K$1058,"&gt;5")=0,"",AVERAGEIFS(Calc_Anclaje!$O$5:$O$1058,Calc_Anclaje!$A$5:$A$1058,$B$2,Calc_Anclaje!$H$5:$H$1058,VALUE(SUBSTITUTE(N132,"d-","")),Calc_Anclaje!$K$5:$K$1058,"&gt;5"))</f>
        <v>-1.8166666666666667</v>
      </c>
    </row>
    <row r="133" spans="14:17" ht="14.4">
      <c r="N133" s="50" t="s">
        <v>2501</v>
      </c>
      <c r="O133" s="50">
        <f>IF(COUNTIFS(Calc_Anclaje!$A$5:$A$1058,$B$2,Calc_Anclaje!$H$5:$H$1058,VALUE(SUBSTITUTE(N133,"d-","")),Calc_Anclaje!$K$5:$K$1058,"&gt;=2",Calc_Anclaje!$K$5:$K$1058,"&lt;=4")=0,"",AVERAGEIFS(Calc_Anclaje!$O$5:$O$1058,Calc_Anclaje!$A$5:$A$1058,$B$2,Calc_Anclaje!$H$5:$H$1058,VALUE(SUBSTITUTE(N133,"d-","")),Calc_Anclaje!$K$5:$K$1058,"&gt;=2",Calc_Anclaje!$K$5:$K$1058,"&lt;=4"))</f>
        <v>-0.20000000000000007</v>
      </c>
      <c r="P133" s="50">
        <f>IF(COUNTIFS(Calc_Anclaje!$A$5:$A$1058,$B$2,Calc_Anclaje!$H$5:$H$1058,VALUE(SUBSTITUTE(N133,"d-","")),Calc_Anclaje!$K$5:$K$1058,"&gt;4",Calc_Anclaje!$K$5:$K$1058,"&lt;=5")=0,"",AVERAGEIFS(Calc_Anclaje!$O$5:$O$1058,Calc_Anclaje!$A$5:$A$1058,$B$2,Calc_Anclaje!$H$5:$H$1058,VALUE(SUBSTITUTE(N133,"d-","")),Calc_Anclaje!$K$5:$K$1058,"&gt;4",Calc_Anclaje!$K$5:$K$1058,"&lt;=5"))</f>
        <v>-0.36249999999999999</v>
      </c>
      <c r="Q133" s="50">
        <f>IF(COUNTIFS(Calc_Anclaje!$A$5:$A$1058,$B$2,Calc_Anclaje!$H$5:$H$1058,VALUE(SUBSTITUTE(N133,"d-","")),Calc_Anclaje!$K$5:$K$1058,"&gt;5")=0,"",AVERAGEIFS(Calc_Anclaje!$O$5:$O$1058,Calc_Anclaje!$A$5:$A$1058,$B$2,Calc_Anclaje!$H$5:$H$1058,VALUE(SUBSTITUTE(N133,"d-","")),Calc_Anclaje!$K$5:$K$1058,"&gt;5"))</f>
        <v>-1.1166666666666667</v>
      </c>
    </row>
    <row r="134" spans="14:17" ht="14.4">
      <c r="N134" s="50" t="s">
        <v>2498</v>
      </c>
      <c r="O134" s="50">
        <f>IF(COUNTIFS(Calc_Anclaje!$A$5:$A$1058,$B$2,Calc_Anclaje!$H$5:$H$1058,VALUE(SUBSTITUTE(N134,"d-","")),Calc_Anclaje!$K$5:$K$1058,"&gt;=2",Calc_Anclaje!$K$5:$K$1058,"&lt;=4")=0,"",AVERAGEIFS(Calc_Anclaje!$O$5:$O$1058,Calc_Anclaje!$A$5:$A$1058,$B$2,Calc_Anclaje!$H$5:$H$1058,VALUE(SUBSTITUTE(N134,"d-","")),Calc_Anclaje!$K$5:$K$1058,"&gt;=2",Calc_Anclaje!$K$5:$K$1058,"&lt;=4"))</f>
        <v>-1.1102230246251565E-16</v>
      </c>
      <c r="P134" s="50">
        <f>IF(COUNTIFS(Calc_Anclaje!$A$5:$A$1058,$B$2,Calc_Anclaje!$H$5:$H$1058,VALUE(SUBSTITUTE(N134,"d-","")),Calc_Anclaje!$K$5:$K$1058,"&gt;4",Calc_Anclaje!$K$5:$K$1058,"&lt;=5")=0,"",AVERAGEIFS(Calc_Anclaje!$O$5:$O$1058,Calc_Anclaje!$A$5:$A$1058,$B$2,Calc_Anclaje!$H$5:$H$1058,VALUE(SUBSTITUTE(N134,"d-","")),Calc_Anclaje!$K$5:$K$1058,"&gt;4",Calc_Anclaje!$K$5:$K$1058,"&lt;=5"))</f>
        <v>-0.24999999999999989</v>
      </c>
      <c r="Q134" s="50">
        <f>IF(COUNTIFS(Calc_Anclaje!$A$5:$A$1058,$B$2,Calc_Anclaje!$H$5:$H$1058,VALUE(SUBSTITUTE(N134,"d-","")),Calc_Anclaje!$K$5:$K$1058,"&gt;5")=0,"",AVERAGEIFS(Calc_Anclaje!$O$5:$O$1058,Calc_Anclaje!$A$5:$A$1058,$B$2,Calc_Anclaje!$H$5:$H$1058,VALUE(SUBSTITUTE(N134,"d-","")),Calc_Anclaje!$K$5:$K$1058,"&gt;5"))</f>
        <v>-0.75714285714285712</v>
      </c>
    </row>
    <row r="135" spans="14:17" ht="14.4">
      <c r="N135" s="50" t="s">
        <v>2499</v>
      </c>
      <c r="O135" s="50">
        <f>IF(COUNTIFS(Calc_Anclaje!$A$5:$A$1058,$B$2,Calc_Anclaje!$H$5:$H$1058,VALUE(SUBSTITUTE(N135,"d-","")),Calc_Anclaje!$K$5:$K$1058,"&gt;=2",Calc_Anclaje!$K$5:$K$1058,"&lt;=4")=0,"",AVERAGEIFS(Calc_Anclaje!$O$5:$O$1058,Calc_Anclaje!$A$5:$A$1058,$B$2,Calc_Anclaje!$H$5:$H$1058,VALUE(SUBSTITUTE(N135,"d-","")),Calc_Anclaje!$K$5:$K$1058,"&gt;=2",Calc_Anclaje!$K$5:$K$1058,"&lt;=4"))</f>
        <v>0.1499999999999998</v>
      </c>
      <c r="P135" s="50">
        <f>IF(COUNTIFS(Calc_Anclaje!$A$5:$A$1058,$B$2,Calc_Anclaje!$H$5:$H$1058,VALUE(SUBSTITUTE(N135,"d-","")),Calc_Anclaje!$K$5:$K$1058,"&gt;4",Calc_Anclaje!$K$5:$K$1058,"&lt;=5")=0,"",AVERAGEIFS(Calc_Anclaje!$O$5:$O$1058,Calc_Anclaje!$A$5:$A$1058,$B$2,Calc_Anclaje!$H$5:$H$1058,VALUE(SUBSTITUTE(N135,"d-","")),Calc_Anclaje!$K$5:$K$1058,"&gt;4",Calc_Anclaje!$K$5:$K$1058,"&lt;=5"))</f>
        <v>-0.22499999999999987</v>
      </c>
      <c r="Q135" s="50">
        <f>IF(COUNTIFS(Calc_Anclaje!$A$5:$A$1058,$B$2,Calc_Anclaje!$H$5:$H$1058,VALUE(SUBSTITUTE(N135,"d-","")),Calc_Anclaje!$K$5:$K$1058,"&gt;5")=0,"",AVERAGEIFS(Calc_Anclaje!$O$5:$O$1058,Calc_Anclaje!$A$5:$A$1058,$B$2,Calc_Anclaje!$H$5:$H$1058,VALUE(SUBSTITUTE(N135,"d-","")),Calc_Anclaje!$K$5:$K$1058,"&gt;5"))</f>
        <v>-0.21428571428571427</v>
      </c>
    </row>
    <row r="136" spans="14:17" ht="14.4">
      <c r="N136" s="50" t="s">
        <v>2495</v>
      </c>
      <c r="O136" s="50">
        <f>IF(COUNTIFS(Calc_Anclaje!$A$5:$A$1058,$B$2,Calc_Anclaje!$H$5:$H$1058,VALUE(SUBSTITUTE(N136,"d-","")),Calc_Anclaje!$K$5:$K$1058,"&gt;=2",Calc_Anclaje!$K$5:$K$1058,"&lt;=4")=0,"",AVERAGEIFS(Calc_Anclaje!$O$5:$O$1058,Calc_Anclaje!$A$5:$A$1058,$B$2,Calc_Anclaje!$H$5:$H$1058,VALUE(SUBSTITUTE(N136,"d-","")),Calc_Anclaje!$K$5:$K$1058,"&gt;=2",Calc_Anclaje!$K$5:$K$1058,"&lt;=4"))</f>
        <v>4.9999999999999822E-2</v>
      </c>
      <c r="P136" s="50">
        <f>IF(COUNTIFS(Calc_Anclaje!$A$5:$A$1058,$B$2,Calc_Anclaje!$H$5:$H$1058,VALUE(SUBSTITUTE(N136,"d-","")),Calc_Anclaje!$K$5:$K$1058,"&gt;4",Calc_Anclaje!$K$5:$K$1058,"&lt;=5")=0,"",AVERAGEIFS(Calc_Anclaje!$O$5:$O$1058,Calc_Anclaje!$A$5:$A$1058,$B$2,Calc_Anclaje!$H$5:$H$1058,VALUE(SUBSTITUTE(N136,"d-","")),Calc_Anclaje!$K$5:$K$1058,"&gt;4",Calc_Anclaje!$K$5:$K$1058,"&lt;=5"))</f>
        <v>1.6653345369377348E-16</v>
      </c>
      <c r="Q136" s="50">
        <f>IF(COUNTIFS(Calc_Anclaje!$A$5:$A$1058,$B$2,Calc_Anclaje!$H$5:$H$1058,VALUE(SUBSTITUTE(N136,"d-","")),Calc_Anclaje!$K$5:$K$1058,"&gt;5")=0,"",AVERAGEIFS(Calc_Anclaje!$O$5:$O$1058,Calc_Anclaje!$A$5:$A$1058,$B$2,Calc_Anclaje!$H$5:$H$1058,VALUE(SUBSTITUTE(N136,"d-","")),Calc_Anclaje!$K$5:$K$1058,"&gt;5"))</f>
        <v>-2.4999999999999911E-2</v>
      </c>
    </row>
    <row r="137" spans="14:17" ht="14.4">
      <c r="N137" s="50" t="s">
        <v>2497</v>
      </c>
      <c r="O137" s="50">
        <f>IF(COUNTIFS(Calc_Anclaje!$A$5:$A$1058,$B$2,Calc_Anclaje!$H$5:$H$1058,VALUE(SUBSTITUTE(N137,"d-","")),Calc_Anclaje!$K$5:$K$1058,"&gt;=2",Calc_Anclaje!$K$5:$K$1058,"&lt;=4")=0,"",AVERAGEIFS(Calc_Anclaje!$O$5:$O$1058,Calc_Anclaje!$A$5:$A$1058,$B$2,Calc_Anclaje!$H$5:$H$1058,VALUE(SUBSTITUTE(N137,"d-","")),Calc_Anclaje!$K$5:$K$1058,"&gt;=2",Calc_Anclaje!$K$5:$K$1058,"&lt;=4"))</f>
        <v>2.5000000000000022E-2</v>
      </c>
      <c r="P137" s="50">
        <f>IF(COUNTIFS(Calc_Anclaje!$A$5:$A$1058,$B$2,Calc_Anclaje!$H$5:$H$1058,VALUE(SUBSTITUTE(N137,"d-","")),Calc_Anclaje!$K$5:$K$1058,"&gt;4",Calc_Anclaje!$K$5:$K$1058,"&lt;=5")=0,"",AVERAGEIFS(Calc_Anclaje!$O$5:$O$1058,Calc_Anclaje!$A$5:$A$1058,$B$2,Calc_Anclaje!$H$5:$H$1058,VALUE(SUBSTITUTE(N137,"d-","")),Calc_Anclaje!$K$5:$K$1058,"&gt;4",Calc_Anclaje!$K$5:$K$1058,"&lt;=5"))</f>
        <v>2.4999999999999911E-2</v>
      </c>
      <c r="Q137" s="50">
        <f>IF(COUNTIFS(Calc_Anclaje!$A$5:$A$1058,$B$2,Calc_Anclaje!$H$5:$H$1058,VALUE(SUBSTITUTE(N137,"d-","")),Calc_Anclaje!$K$5:$K$1058,"&gt;5")=0,"",AVERAGEIFS(Calc_Anclaje!$O$5:$O$1058,Calc_Anclaje!$A$5:$A$1058,$B$2,Calc_Anclaje!$H$5:$H$1058,VALUE(SUBSTITUTE(N137,"d-","")),Calc_Anclaje!$K$5:$K$1058,"&gt;5"))</f>
        <v>2.4999999999999911E-2</v>
      </c>
    </row>
  </sheetData>
  <mergeCells count="1">
    <mergeCell ref="A1:J1"/>
  </mergeCells>
  <dataValidations count="1">
    <dataValidation type="list" allowBlank="1" showInputMessage="1" showErrorMessage="1" sqref="B2" xr:uid="{A934811A-DAD4-4714-9939-FFBA5927403D}">
      <formula1>"INPC,SUB,INPC_DES,SUB_DES"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76C96-9D49-45E0-A83B-C452C8091C1A}">
  <sheetPr>
    <tabColor rgb="FF44546A"/>
  </sheetPr>
  <dimension ref="A1:BN426"/>
  <sheetViews>
    <sheetView showGridLines="0" tabSelected="1" zoomScale="55" zoomScaleNormal="55" workbookViewId="0">
      <pane ySplit="3" topLeftCell="A4" activePane="bottomLeft" state="frozen"/>
      <selection pane="bottomLeft" activeCell="W51" sqref="W51"/>
    </sheetView>
  </sheetViews>
  <sheetFormatPr defaultRowHeight="13.8"/>
  <cols>
    <col min="1" max="1" width="18.296875" customWidth="1"/>
    <col min="2" max="18" width="8" customWidth="1"/>
  </cols>
  <sheetData>
    <row r="1" spans="1:18" ht="21">
      <c r="A1" s="57" t="s">
        <v>2602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</row>
    <row r="2" spans="1:18" ht="14.4">
      <c r="A2" s="53" t="s">
        <v>2560</v>
      </c>
      <c r="B2" s="53" t="str">
        <f>Dashboard_Anclaje!B2</f>
        <v>INPC</v>
      </c>
      <c r="C2" s="53"/>
      <c r="D2" s="58" t="s">
        <v>2603</v>
      </c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spans="1:18" ht="14.4">
      <c r="A3" s="59" t="s">
        <v>2604</v>
      </c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</row>
    <row r="4" spans="1:18" ht="14.4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</row>
    <row r="5" spans="1:18" ht="14.4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</row>
    <row r="6" spans="1:18" ht="14.4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</row>
    <row r="7" spans="1:18" ht="14.4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</row>
    <row r="8" spans="1:18" ht="14.4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</row>
    <row r="9" spans="1:18" ht="14.4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</row>
    <row r="10" spans="1:18" ht="14.4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</row>
    <row r="11" spans="1:18" ht="14.4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</row>
    <row r="12" spans="1:18" ht="14.4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</row>
    <row r="13" spans="1:18" ht="14.4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</row>
    <row r="14" spans="1:18" ht="14.4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</row>
    <row r="15" spans="1:18" ht="14.4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</row>
    <row r="16" spans="1:18" ht="14.4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</row>
    <row r="17" spans="1:18" ht="14.4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</row>
    <row r="18" spans="1:18" ht="14.4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</row>
    <row r="19" spans="1:18" ht="14.4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</row>
    <row r="20" spans="1:18" ht="14.4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</row>
    <row r="21" spans="1:18" ht="14.4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</row>
    <row r="22" spans="1:18" ht="14.4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</row>
    <row r="23" spans="1:18" ht="14.4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</row>
    <row r="24" spans="1:18" ht="14.4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</row>
    <row r="25" spans="1:18" ht="14.4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</row>
    <row r="26" spans="1:18" ht="14.4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</row>
    <row r="27" spans="1:18" ht="14.4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</row>
    <row r="28" spans="1:18" ht="14.4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</row>
    <row r="29" spans="1:18" ht="14.4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</row>
    <row r="30" spans="1:18" ht="14.4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</row>
    <row r="31" spans="1:18" ht="14.4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</row>
    <row r="32" spans="1:18" ht="14.4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</row>
    <row r="33" spans="1:18" ht="14.4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</row>
    <row r="34" spans="1:18" ht="14.4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</row>
    <row r="35" spans="1:18" ht="14.4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</row>
    <row r="36" spans="1:18" ht="14.4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</row>
    <row r="37" spans="1:18" ht="14.4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</row>
    <row r="38" spans="1:18" ht="14.4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</row>
    <row r="39" spans="1:18" ht="14.4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</row>
    <row r="40" spans="1:18" ht="14.4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</row>
    <row r="41" spans="1:18" ht="14.4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</row>
    <row r="42" spans="1:18" ht="14.4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  <row r="43" spans="1:18" ht="14.4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</row>
    <row r="44" spans="1:18" ht="14.4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</row>
    <row r="45" spans="1:18" ht="14.4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</row>
    <row r="46" spans="1:18" ht="14.4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</row>
    <row r="47" spans="1:18" ht="14.4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</row>
    <row r="48" spans="1:18" ht="14.4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</row>
    <row r="49" spans="1:18" ht="14.4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</row>
    <row r="50" spans="1:18" ht="14.4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</row>
    <row r="51" spans="1:18" ht="14.4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</row>
    <row r="52" spans="1:18" ht="14.4">
      <c r="A52" s="54" t="s">
        <v>2605</v>
      </c>
      <c r="B52" s="54" t="s">
        <v>2512</v>
      </c>
      <c r="C52" s="54" t="s">
        <v>2510</v>
      </c>
      <c r="D52" s="54" t="s">
        <v>2511</v>
      </c>
      <c r="E52" s="54" t="s">
        <v>2508</v>
      </c>
      <c r="F52" s="54" t="s">
        <v>2509</v>
      </c>
      <c r="G52" s="54" t="s">
        <v>2506</v>
      </c>
      <c r="H52" s="54" t="s">
        <v>2507</v>
      </c>
      <c r="I52" s="54" t="s">
        <v>2504</v>
      </c>
      <c r="J52" s="54" t="s">
        <v>2505</v>
      </c>
      <c r="K52" s="54" t="s">
        <v>2502</v>
      </c>
      <c r="L52" s="54" t="s">
        <v>2503</v>
      </c>
      <c r="M52" s="54" t="s">
        <v>2500</v>
      </c>
      <c r="N52" s="54" t="s">
        <v>2501</v>
      </c>
      <c r="O52" s="54" t="s">
        <v>2498</v>
      </c>
      <c r="P52" s="54" t="s">
        <v>2499</v>
      </c>
      <c r="Q52" s="54" t="s">
        <v>2495</v>
      </c>
      <c r="R52" s="54" t="s">
        <v>2497</v>
      </c>
    </row>
    <row r="53" spans="1:18" ht="14.4">
      <c r="A53" s="55" t="s">
        <v>2606</v>
      </c>
      <c r="B53" s="56">
        <f>COUNTIFS(Calc_Anclaje!$A$5:$A$1058,$B$2,Calc_Anclaje!$H$5:$H$1058,16)</f>
        <v>12</v>
      </c>
      <c r="C53" s="56">
        <f>COUNTIFS(Calc_Anclaje!$A$5:$A$1058,$B$2,Calc_Anclaje!$H$5:$H$1058,15)</f>
        <v>13</v>
      </c>
      <c r="D53" s="56">
        <f>COUNTIFS(Calc_Anclaje!$A$5:$A$1058,$B$2,Calc_Anclaje!$H$5:$H$1058,14)</f>
        <v>13</v>
      </c>
      <c r="E53" s="56">
        <f>COUNTIFS(Calc_Anclaje!$A$5:$A$1058,$B$2,Calc_Anclaje!$H$5:$H$1058,13)</f>
        <v>14</v>
      </c>
      <c r="F53" s="56">
        <f>COUNTIFS(Calc_Anclaje!$A$5:$A$1058,$B$2,Calc_Anclaje!$H$5:$H$1058,12)</f>
        <v>14</v>
      </c>
      <c r="G53" s="56">
        <f>COUNTIFS(Calc_Anclaje!$A$5:$A$1058,$B$2,Calc_Anclaje!$H$5:$H$1058,11)</f>
        <v>15</v>
      </c>
      <c r="H53" s="56">
        <f>COUNTIFS(Calc_Anclaje!$A$5:$A$1058,$B$2,Calc_Anclaje!$H$5:$H$1058,10)</f>
        <v>15</v>
      </c>
      <c r="I53" s="56">
        <f>COUNTIFS(Calc_Anclaje!$A$5:$A$1058,$B$2,Calc_Anclaje!$H$5:$H$1058,9)</f>
        <v>16</v>
      </c>
      <c r="J53" s="56">
        <f>COUNTIFS(Calc_Anclaje!$A$5:$A$1058,$B$2,Calc_Anclaje!$H$5:$H$1058,8)</f>
        <v>16</v>
      </c>
      <c r="K53" s="56">
        <f>COUNTIFS(Calc_Anclaje!$A$5:$A$1058,$B$2,Calc_Anclaje!$H$5:$H$1058,7)</f>
        <v>17</v>
      </c>
      <c r="L53" s="56">
        <f>COUNTIFS(Calc_Anclaje!$A$5:$A$1058,$B$2,Calc_Anclaje!$H$5:$H$1058,6)</f>
        <v>17</v>
      </c>
      <c r="M53" s="56">
        <f>COUNTIFS(Calc_Anclaje!$A$5:$A$1058,$B$2,Calc_Anclaje!$H$5:$H$1058,5)</f>
        <v>18</v>
      </c>
      <c r="N53" s="56">
        <f>COUNTIFS(Calc_Anclaje!$A$5:$A$1058,$B$2,Calc_Anclaje!$H$5:$H$1058,4)</f>
        <v>18</v>
      </c>
      <c r="O53" s="56">
        <f>COUNTIFS(Calc_Anclaje!$A$5:$A$1058,$B$2,Calc_Anclaje!$H$5:$H$1058,3)</f>
        <v>19</v>
      </c>
      <c r="P53" s="56">
        <f>COUNTIFS(Calc_Anclaje!$A$5:$A$1058,$B$2,Calc_Anclaje!$H$5:$H$1058,2)</f>
        <v>19</v>
      </c>
      <c r="Q53" s="56">
        <f>COUNTIFS(Calc_Anclaje!$A$5:$A$1058,$B$2,Calc_Anclaje!$H$5:$H$1058,1)</f>
        <v>20</v>
      </c>
      <c r="R53" s="56">
        <f>COUNTIFS(Calc_Anclaje!$A$5:$A$1058,$B$2,Calc_Anclaje!$H$5:$H$1058,0)</f>
        <v>20</v>
      </c>
    </row>
    <row r="54" spans="1:18" ht="14.4">
      <c r="A54" s="55" t="s">
        <v>2590</v>
      </c>
      <c r="B54" s="56">
        <f>COUNTIFS(Calc_Anclaje!$A$5:$A$1058,$B$2,Calc_Anclaje!$H$5:$H$1058,16,Calc_Anclaje!$K$5:$K$1058,"&gt;=2",Calc_Anclaje!$K$5:$K$1058,"&lt;=4")</f>
        <v>4</v>
      </c>
      <c r="C54" s="56">
        <f>COUNTIFS(Calc_Anclaje!$A$5:$A$1058,$B$2,Calc_Anclaje!$H$5:$H$1058,15,Calc_Anclaje!$K$5:$K$1058,"&gt;=2",Calc_Anclaje!$K$5:$K$1058,"&lt;=4")</f>
        <v>4</v>
      </c>
      <c r="D54" s="56">
        <f>COUNTIFS(Calc_Anclaje!$A$5:$A$1058,$B$2,Calc_Anclaje!$H$5:$H$1058,14,Calc_Anclaje!$K$5:$K$1058,"&gt;=2",Calc_Anclaje!$K$5:$K$1058,"&lt;=4")</f>
        <v>4</v>
      </c>
      <c r="E54" s="56">
        <f>COUNTIFS(Calc_Anclaje!$A$5:$A$1058,$B$2,Calc_Anclaje!$H$5:$H$1058,13,Calc_Anclaje!$K$5:$K$1058,"&gt;=2",Calc_Anclaje!$K$5:$K$1058,"&lt;=4")</f>
        <v>4</v>
      </c>
      <c r="F54" s="56">
        <f>COUNTIFS(Calc_Anclaje!$A$5:$A$1058,$B$2,Calc_Anclaje!$H$5:$H$1058,12,Calc_Anclaje!$K$5:$K$1058,"&gt;=2",Calc_Anclaje!$K$5:$K$1058,"&lt;=4")</f>
        <v>4</v>
      </c>
      <c r="G54" s="56">
        <f>COUNTIFS(Calc_Anclaje!$A$5:$A$1058,$B$2,Calc_Anclaje!$H$5:$H$1058,11,Calc_Anclaje!$K$5:$K$1058,"&gt;=2",Calc_Anclaje!$K$5:$K$1058,"&lt;=4")</f>
        <v>4</v>
      </c>
      <c r="H54" s="56">
        <f>COUNTIFS(Calc_Anclaje!$A$5:$A$1058,$B$2,Calc_Anclaje!$H$5:$H$1058,10,Calc_Anclaje!$K$5:$K$1058,"&gt;=2",Calc_Anclaje!$K$5:$K$1058,"&lt;=4")</f>
        <v>4</v>
      </c>
      <c r="I54" s="56">
        <f>COUNTIFS(Calc_Anclaje!$A$5:$A$1058,$B$2,Calc_Anclaje!$H$5:$H$1058,9,Calc_Anclaje!$K$5:$K$1058,"&gt;=2",Calc_Anclaje!$K$5:$K$1058,"&lt;=4")</f>
        <v>4</v>
      </c>
      <c r="J54" s="56">
        <f>COUNTIFS(Calc_Anclaje!$A$5:$A$1058,$B$2,Calc_Anclaje!$H$5:$H$1058,8,Calc_Anclaje!$K$5:$K$1058,"&gt;=2",Calc_Anclaje!$K$5:$K$1058,"&lt;=4")</f>
        <v>4</v>
      </c>
      <c r="K54" s="56">
        <f>COUNTIFS(Calc_Anclaje!$A$5:$A$1058,$B$2,Calc_Anclaje!$H$5:$H$1058,7,Calc_Anclaje!$K$5:$K$1058,"&gt;=2",Calc_Anclaje!$K$5:$K$1058,"&lt;=4")</f>
        <v>4</v>
      </c>
      <c r="L54" s="56">
        <f>COUNTIFS(Calc_Anclaje!$A$5:$A$1058,$B$2,Calc_Anclaje!$H$5:$H$1058,6,Calc_Anclaje!$K$5:$K$1058,"&gt;=2",Calc_Anclaje!$K$5:$K$1058,"&lt;=4")</f>
        <v>4</v>
      </c>
      <c r="M54" s="56">
        <f>COUNTIFS(Calc_Anclaje!$A$5:$A$1058,$B$2,Calc_Anclaje!$H$5:$H$1058,5,Calc_Anclaje!$K$5:$K$1058,"&gt;=2",Calc_Anclaje!$K$5:$K$1058,"&lt;=4")</f>
        <v>4</v>
      </c>
      <c r="N54" s="56">
        <f>COUNTIFS(Calc_Anclaje!$A$5:$A$1058,$B$2,Calc_Anclaje!$H$5:$H$1058,4,Calc_Anclaje!$K$5:$K$1058,"&gt;=2",Calc_Anclaje!$K$5:$K$1058,"&lt;=4")</f>
        <v>4</v>
      </c>
      <c r="O54" s="56">
        <f>COUNTIFS(Calc_Anclaje!$A$5:$A$1058,$B$2,Calc_Anclaje!$H$5:$H$1058,3,Calc_Anclaje!$K$5:$K$1058,"&gt;=2",Calc_Anclaje!$K$5:$K$1058,"&lt;=4")</f>
        <v>4</v>
      </c>
      <c r="P54" s="56">
        <f>COUNTIFS(Calc_Anclaje!$A$5:$A$1058,$B$2,Calc_Anclaje!$H$5:$H$1058,2,Calc_Anclaje!$K$5:$K$1058,"&gt;=2",Calc_Anclaje!$K$5:$K$1058,"&lt;=4")</f>
        <v>4</v>
      </c>
      <c r="Q54" s="56">
        <f>COUNTIFS(Calc_Anclaje!$A$5:$A$1058,$B$2,Calc_Anclaje!$H$5:$H$1058,1,Calc_Anclaje!$K$5:$K$1058,"&gt;=2",Calc_Anclaje!$K$5:$K$1058,"&lt;=4")</f>
        <v>4</v>
      </c>
      <c r="R54" s="56">
        <f>COUNTIFS(Calc_Anclaje!$A$5:$A$1058,$B$2,Calc_Anclaje!$H$5:$H$1058,0,Calc_Anclaje!$K$5:$K$1058,"&gt;=2",Calc_Anclaje!$K$5:$K$1058,"&lt;=4")</f>
        <v>4</v>
      </c>
    </row>
    <row r="55" spans="1:18" ht="14.4">
      <c r="A55" s="55" t="s">
        <v>2607</v>
      </c>
      <c r="B55" s="56">
        <f>COUNTIFS(Calc_Anclaje!$A$5:$A$1058,$B$2,Calc_Anclaje!$H$5:$H$1058,16,Calc_Anclaje!$K$5:$K$1058,"&gt;4",Calc_Anclaje!$K$5:$K$1058,"&lt;=5")</f>
        <v>8</v>
      </c>
      <c r="C55" s="56">
        <f>COUNTIFS(Calc_Anclaje!$A$5:$A$1058,$B$2,Calc_Anclaje!$H$5:$H$1058,15,Calc_Anclaje!$K$5:$K$1058,"&gt;4",Calc_Anclaje!$K$5:$K$1058,"&lt;=5")</f>
        <v>8</v>
      </c>
      <c r="D55" s="56">
        <f>COUNTIFS(Calc_Anclaje!$A$5:$A$1058,$B$2,Calc_Anclaje!$H$5:$H$1058,14,Calc_Anclaje!$K$5:$K$1058,"&gt;4",Calc_Anclaje!$K$5:$K$1058,"&lt;=5")</f>
        <v>8</v>
      </c>
      <c r="E55" s="56">
        <f>COUNTIFS(Calc_Anclaje!$A$5:$A$1058,$B$2,Calc_Anclaje!$H$5:$H$1058,13,Calc_Anclaje!$K$5:$K$1058,"&gt;4",Calc_Anclaje!$K$5:$K$1058,"&lt;=5")</f>
        <v>8</v>
      </c>
      <c r="F55" s="56">
        <f>COUNTIFS(Calc_Anclaje!$A$5:$A$1058,$B$2,Calc_Anclaje!$H$5:$H$1058,12,Calc_Anclaje!$K$5:$K$1058,"&gt;4",Calc_Anclaje!$K$5:$K$1058,"&lt;=5")</f>
        <v>8</v>
      </c>
      <c r="G55" s="56">
        <f>COUNTIFS(Calc_Anclaje!$A$5:$A$1058,$B$2,Calc_Anclaje!$H$5:$H$1058,11,Calc_Anclaje!$K$5:$K$1058,"&gt;4",Calc_Anclaje!$K$5:$K$1058,"&lt;=5")</f>
        <v>8</v>
      </c>
      <c r="H55" s="56">
        <f>COUNTIFS(Calc_Anclaje!$A$5:$A$1058,$B$2,Calc_Anclaje!$H$5:$H$1058,10,Calc_Anclaje!$K$5:$K$1058,"&gt;4",Calc_Anclaje!$K$5:$K$1058,"&lt;=5")</f>
        <v>8</v>
      </c>
      <c r="I55" s="56">
        <f>COUNTIFS(Calc_Anclaje!$A$5:$A$1058,$B$2,Calc_Anclaje!$H$5:$H$1058,9,Calc_Anclaje!$K$5:$K$1058,"&gt;4",Calc_Anclaje!$K$5:$K$1058,"&lt;=5")</f>
        <v>8</v>
      </c>
      <c r="J55" s="56">
        <f>COUNTIFS(Calc_Anclaje!$A$5:$A$1058,$B$2,Calc_Anclaje!$H$5:$H$1058,8,Calc_Anclaje!$K$5:$K$1058,"&gt;4",Calc_Anclaje!$K$5:$K$1058,"&lt;=5")</f>
        <v>8</v>
      </c>
      <c r="K55" s="56">
        <f>COUNTIFS(Calc_Anclaje!$A$5:$A$1058,$B$2,Calc_Anclaje!$H$5:$H$1058,7,Calc_Anclaje!$K$5:$K$1058,"&gt;4",Calc_Anclaje!$K$5:$K$1058,"&lt;=5")</f>
        <v>8</v>
      </c>
      <c r="L55" s="56">
        <f>COUNTIFS(Calc_Anclaje!$A$5:$A$1058,$B$2,Calc_Anclaje!$H$5:$H$1058,6,Calc_Anclaje!$K$5:$K$1058,"&gt;4",Calc_Anclaje!$K$5:$K$1058,"&lt;=5")</f>
        <v>8</v>
      </c>
      <c r="M55" s="56">
        <f>COUNTIFS(Calc_Anclaje!$A$5:$A$1058,$B$2,Calc_Anclaje!$H$5:$H$1058,5,Calc_Anclaje!$K$5:$K$1058,"&gt;4",Calc_Anclaje!$K$5:$K$1058,"&lt;=5")</f>
        <v>8</v>
      </c>
      <c r="N55" s="56">
        <f>COUNTIFS(Calc_Anclaje!$A$5:$A$1058,$B$2,Calc_Anclaje!$H$5:$H$1058,4,Calc_Anclaje!$K$5:$K$1058,"&gt;4",Calc_Anclaje!$K$5:$K$1058,"&lt;=5")</f>
        <v>8</v>
      </c>
      <c r="O55" s="56">
        <f>COUNTIFS(Calc_Anclaje!$A$5:$A$1058,$B$2,Calc_Anclaje!$H$5:$H$1058,3,Calc_Anclaje!$K$5:$K$1058,"&gt;4",Calc_Anclaje!$K$5:$K$1058,"&lt;=5")</f>
        <v>8</v>
      </c>
      <c r="P55" s="56">
        <f>COUNTIFS(Calc_Anclaje!$A$5:$A$1058,$B$2,Calc_Anclaje!$H$5:$H$1058,2,Calc_Anclaje!$K$5:$K$1058,"&gt;4",Calc_Anclaje!$K$5:$K$1058,"&lt;=5")</f>
        <v>8</v>
      </c>
      <c r="Q55" s="56">
        <f>COUNTIFS(Calc_Anclaje!$A$5:$A$1058,$B$2,Calc_Anclaje!$H$5:$H$1058,1,Calc_Anclaje!$K$5:$K$1058,"&gt;4",Calc_Anclaje!$K$5:$K$1058,"&lt;=5")</f>
        <v>8</v>
      </c>
      <c r="R55" s="56">
        <f>COUNTIFS(Calc_Anclaje!$A$5:$A$1058,$B$2,Calc_Anclaje!$H$5:$H$1058,0,Calc_Anclaje!$K$5:$K$1058,"&gt;4",Calc_Anclaje!$K$5:$K$1058,"&lt;=5")</f>
        <v>8</v>
      </c>
    </row>
    <row r="56" spans="1:18" ht="14.4">
      <c r="A56" s="55" t="s">
        <v>2608</v>
      </c>
      <c r="B56" s="56">
        <f>COUNTIFS(Calc_Anclaje!$A$5:$A$1058,$B$2,Calc_Anclaje!$H$5:$H$1058,16,Calc_Anclaje!$K$5:$K$1058,"&gt;5")</f>
        <v>0</v>
      </c>
      <c r="C56" s="56">
        <f>COUNTIFS(Calc_Anclaje!$A$5:$A$1058,$B$2,Calc_Anclaje!$H$5:$H$1058,15,Calc_Anclaje!$K$5:$K$1058,"&gt;5")</f>
        <v>1</v>
      </c>
      <c r="D56" s="56">
        <f>COUNTIFS(Calc_Anclaje!$A$5:$A$1058,$B$2,Calc_Anclaje!$H$5:$H$1058,14,Calc_Anclaje!$K$5:$K$1058,"&gt;5")</f>
        <v>1</v>
      </c>
      <c r="E56" s="56">
        <f>COUNTIFS(Calc_Anclaje!$A$5:$A$1058,$B$2,Calc_Anclaje!$H$5:$H$1058,13,Calc_Anclaje!$K$5:$K$1058,"&gt;5")</f>
        <v>2</v>
      </c>
      <c r="F56" s="56">
        <f>COUNTIFS(Calc_Anclaje!$A$5:$A$1058,$B$2,Calc_Anclaje!$H$5:$H$1058,12,Calc_Anclaje!$K$5:$K$1058,"&gt;5")</f>
        <v>2</v>
      </c>
      <c r="G56" s="56">
        <f>COUNTIFS(Calc_Anclaje!$A$5:$A$1058,$B$2,Calc_Anclaje!$H$5:$H$1058,11,Calc_Anclaje!$K$5:$K$1058,"&gt;5")</f>
        <v>3</v>
      </c>
      <c r="H56" s="56">
        <f>COUNTIFS(Calc_Anclaje!$A$5:$A$1058,$B$2,Calc_Anclaje!$H$5:$H$1058,10,Calc_Anclaje!$K$5:$K$1058,"&gt;5")</f>
        <v>3</v>
      </c>
      <c r="I56" s="56">
        <f>COUNTIFS(Calc_Anclaje!$A$5:$A$1058,$B$2,Calc_Anclaje!$H$5:$H$1058,9,Calc_Anclaje!$K$5:$K$1058,"&gt;5")</f>
        <v>4</v>
      </c>
      <c r="J56" s="56">
        <f>COUNTIFS(Calc_Anclaje!$A$5:$A$1058,$B$2,Calc_Anclaje!$H$5:$H$1058,8,Calc_Anclaje!$K$5:$K$1058,"&gt;5")</f>
        <v>4</v>
      </c>
      <c r="K56" s="56">
        <f>COUNTIFS(Calc_Anclaje!$A$5:$A$1058,$B$2,Calc_Anclaje!$H$5:$H$1058,7,Calc_Anclaje!$K$5:$K$1058,"&gt;5")</f>
        <v>5</v>
      </c>
      <c r="L56" s="56">
        <f>COUNTIFS(Calc_Anclaje!$A$5:$A$1058,$B$2,Calc_Anclaje!$H$5:$H$1058,6,Calc_Anclaje!$K$5:$K$1058,"&gt;5")</f>
        <v>5</v>
      </c>
      <c r="M56" s="56">
        <f>COUNTIFS(Calc_Anclaje!$A$5:$A$1058,$B$2,Calc_Anclaje!$H$5:$H$1058,5,Calc_Anclaje!$K$5:$K$1058,"&gt;5")</f>
        <v>6</v>
      </c>
      <c r="N56" s="56">
        <f>COUNTIFS(Calc_Anclaje!$A$5:$A$1058,$B$2,Calc_Anclaje!$H$5:$H$1058,4,Calc_Anclaje!$K$5:$K$1058,"&gt;5")</f>
        <v>6</v>
      </c>
      <c r="O56" s="56">
        <f>COUNTIFS(Calc_Anclaje!$A$5:$A$1058,$B$2,Calc_Anclaje!$H$5:$H$1058,3,Calc_Anclaje!$K$5:$K$1058,"&gt;5")</f>
        <v>7</v>
      </c>
      <c r="P56" s="56">
        <f>COUNTIFS(Calc_Anclaje!$A$5:$A$1058,$B$2,Calc_Anclaje!$H$5:$H$1058,2,Calc_Anclaje!$K$5:$K$1058,"&gt;5")</f>
        <v>7</v>
      </c>
      <c r="Q56" s="56">
        <f>COUNTIFS(Calc_Anclaje!$A$5:$A$1058,$B$2,Calc_Anclaje!$H$5:$H$1058,1,Calc_Anclaje!$K$5:$K$1058,"&gt;5")</f>
        <v>8</v>
      </c>
      <c r="R56" s="56">
        <f>COUNTIFS(Calc_Anclaje!$A$5:$A$1058,$B$2,Calc_Anclaje!$H$5:$H$1058,0,Calc_Anclaje!$K$5:$K$1058,"&gt;5")</f>
        <v>8</v>
      </c>
    </row>
    <row r="57" spans="1:18" ht="14.4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</row>
    <row r="58" spans="1:18" ht="14.4">
      <c r="A58" s="60" t="s">
        <v>2609</v>
      </c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</row>
    <row r="149" spans="1:66">
      <c r="T149" t="s">
        <v>2569</v>
      </c>
      <c r="U149" t="s">
        <v>2610</v>
      </c>
      <c r="W149" t="s">
        <v>2569</v>
      </c>
      <c r="X149" t="s">
        <v>2611</v>
      </c>
      <c r="Z149" t="s">
        <v>2569</v>
      </c>
      <c r="AA149" t="s">
        <v>2612</v>
      </c>
      <c r="AC149" t="s">
        <v>2569</v>
      </c>
      <c r="AD149" t="s">
        <v>2613</v>
      </c>
    </row>
    <row r="150" spans="1:66">
      <c r="A150" s="22" t="s">
        <v>2512</v>
      </c>
      <c r="B150" s="22" t="s">
        <v>2510</v>
      </c>
      <c r="C150" s="22" t="s">
        <v>2511</v>
      </c>
      <c r="D150" s="22" t="s">
        <v>2508</v>
      </c>
      <c r="E150" s="22" t="s">
        <v>2509</v>
      </c>
      <c r="F150" s="22" t="s">
        <v>2506</v>
      </c>
      <c r="G150" s="22" t="s">
        <v>2507</v>
      </c>
      <c r="H150" s="22" t="s">
        <v>2504</v>
      </c>
      <c r="I150" s="22" t="s">
        <v>2505</v>
      </c>
      <c r="J150" s="22" t="s">
        <v>2502</v>
      </c>
      <c r="K150" s="22" t="s">
        <v>2503</v>
      </c>
      <c r="L150" s="22" t="s">
        <v>2500</v>
      </c>
      <c r="M150" s="22" t="s">
        <v>2501</v>
      </c>
      <c r="N150" s="22" t="s">
        <v>2498</v>
      </c>
      <c r="O150" s="22" t="s">
        <v>2499</v>
      </c>
      <c r="P150" s="22" t="s">
        <v>2495</v>
      </c>
      <c r="Q150" s="22" t="s">
        <v>2497</v>
      </c>
      <c r="T150" t="str" cm="1">
        <f t="array" ref="T150">_xlfn.LET(_xlpm.cat,Calc_Anclaje!$A$5:$A$1058,_xlpm.h,Calc_Anclaje!$H$5:$H$1058,_xlpm.e,Calc_Anclaje!$O$5:$O$1058,_xlpm.n,COUNTIFS(_xlpm.cat,$B$2,_xlpm.h,_xlpm.h),_xlfn._xlws.FILTER(CHOOSE({1,2},-_xlpm.h,_xlpm.e),(_xlpm.cat=$B$2)*(_xlpm.n&lt;5),""))</f>
        <v/>
      </c>
      <c r="W150" cm="1">
        <f t="array" ref="W150:X217">_xlfn.LET(_xlpm.cat,Calc_Anclaje!$A$5:$A$1058,_xlpm.h,Calc_Anclaje!$H$5:$H$1058,_xlpm.e,Calc_Anclaje!$O$5:$O$1058,_xlpm.r,Calc_Anclaje!$K$5:$K$1058,_xlpm.n,COUNTIFS(_xlpm.cat,$B$2,_xlpm.h,_xlpm.h,_xlpm.r,"&gt;=2",_xlpm.r,"&lt;=4"),_xlfn._xlws.FILTER(CHOOSE({1,2},-_xlpm.h,_xlpm.e),(_xlpm.cat=$B$2)*(_xlpm.r&gt;=2)*(_xlpm.r&lt;=4)*(_xlpm.n&lt;5),""))</f>
        <v>-16</v>
      </c>
      <c r="X150">
        <v>-0.60000000000000009</v>
      </c>
      <c r="Z150" t="str" cm="1">
        <f t="array" ref="Z150">_xlfn.LET(_xlpm.cat,Calc_Anclaje!$A$5:$A$1058,_xlpm.h,Calc_Anclaje!$H$5:$H$1058,_xlpm.e,Calc_Anclaje!$O$5:$O$1058,_xlpm.r,Calc_Anclaje!$K$5:$K$1058,_xlpm.n,COUNTIFS(_xlpm.cat,$B$2,_xlpm.h,_xlpm.h,_xlpm.r,"&gt;4",_xlpm.r,"&lt;=5"),_xlfn._xlws.FILTER(CHOOSE({1,2},-_xlpm.h,_xlpm.e),(_xlpm.cat=$B$2)*(_xlpm.r&gt;4)*(_xlpm.r&lt;=5)*(_xlpm.n&lt;5),""))</f>
        <v/>
      </c>
      <c r="AC150" cm="1">
        <f t="array" ref="AC150:AD169">_xlfn.LET(_xlpm.cat,Calc_Anclaje!$A$5:$A$1058,_xlpm.h,Calc_Anclaje!$H$5:$H$1058,_xlpm.e,Calc_Anclaje!$O$5:$O$1058,_xlpm.r,Calc_Anclaje!$K$5:$K$1058,_xlpm.n,COUNTIFS(_xlpm.cat,$B$2,_xlpm.h,_xlpm.h,_xlpm.r,"&gt;5"),_xlfn._xlws.FILTER(CHOOSE({1,2},-_xlpm.h,_xlpm.e),(_xlpm.cat=$B$2)*(_xlpm.r&gt;5)*(_xlpm.n&lt;5),""))</f>
        <v>-9</v>
      </c>
      <c r="AD150">
        <v>-5.3</v>
      </c>
      <c r="AJ150" t="str" cm="1">
        <f t="array" ref="AJ150:AK426">_xlfn.LET(_xlpm.cat,Calc_Anclaje!$A$5:$A$1058,_xlpm.h,Calc_Anclaje!$H$5:$H$1058,_xlpm.e,Calc_Anclaje!$O$5:$O$1058,_xlpm.n,COUNTIFS(_xlpm.cat,$B$2,_xlpm.h,_xlpm.h),_xlpm.m,(_xlpm.cat=$B$2)*(_xlpm.n&gt;=5),_xlfn.VSTACK({"Horizonte","Error"},_xlfn.SORTBY(_xlfn._xlws.FILTER(CHOOSE({1,2},"d-"&amp;_xlpm.h,_xlpm.e),_xlpm.m),_xlfn._xlws.FILTER(_xlpm.h,_xlpm.m),-1)))</f>
        <v>Horizonte</v>
      </c>
      <c r="AK150" t="str">
        <v>Error</v>
      </c>
      <c r="AP150" t="str" cm="1">
        <f t="array" ref="AP150:AQ286">_xlfn.LET(_xlpm.cat,Calc_Anclaje!$A$5:$A$1058,_xlpm.h,Calc_Anclaje!$H$5:$H$1058,_xlpm.e,Calc_Anclaje!$O$5:$O$1058,_xlpm.r,Calc_Anclaje!$K$5:$K$1058,_xlpm.n,COUNTIFS(_xlpm.cat,$B$2,_xlpm.h,_xlpm.h,_xlpm.r,"&gt;4",_xlpm.r,"&lt;=5"),_xlpm.m,(_xlpm.cat=$B$2)*(_xlpm.r&gt;4)*(_xlpm.r&lt;=5)*(_xlpm.n&gt;=5),_xlfn.VSTACK({"Horizonte","Error"},_xlfn.SORTBY(_xlfn._xlws.FILTER(CHOOSE({1,2},"d-"&amp;_xlpm.h,_xlpm.e),_xlpm.m),_xlfn._xlws.FILTER(_xlpm.h,_xlpm.m),-1)))</f>
        <v>Horizonte</v>
      </c>
      <c r="AQ150" t="str">
        <v>Error</v>
      </c>
      <c r="AS150" t="str" cm="1">
        <f t="array" ref="AS150:AT202">_xlfn.LET(_xlpm.cat,Calc_Anclaje!$A$5:$A$1058,_xlpm.h,Calc_Anclaje!$H$5:$H$1058,_xlpm.e,Calc_Anclaje!$O$5:$O$1058,_xlpm.r,Calc_Anclaje!$K$5:$K$1058,_xlpm.n,COUNTIFS(_xlpm.cat,$B$2,_xlpm.h,_xlpm.h,_xlpm.r,"&gt;5"),_xlpm.m,(_xlpm.cat=$B$2)*(_xlpm.r&gt;5)*(_xlpm.n&gt;=5),_xlfn.VSTACK({"Horizonte","Error"},_xlfn.SORTBY(_xlfn._xlws.FILTER(CHOOSE({1,2},"d-"&amp;_xlpm.h,_xlpm.e),_xlpm.m),_xlfn._xlws.FILTER(_xlpm.h,_xlpm.m),-1)))</f>
        <v>Horizonte</v>
      </c>
      <c r="AT150" t="str">
        <v>Error</v>
      </c>
      <c r="AU150" t="str" cm="1">
        <f t="array" ref="AU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U150)),""))</f>
        <v/>
      </c>
      <c r="AV150" t="str" cm="1">
        <f t="array" ref="AV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V150)),""))</f>
        <v/>
      </c>
      <c r="AW150" t="str" cm="1">
        <f t="array" ref="AW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W150)),""))</f>
        <v/>
      </c>
      <c r="AX150" t="str" cm="1">
        <f t="array" ref="AX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X150)),""))</f>
        <v/>
      </c>
      <c r="AY150" t="str" cm="1">
        <f t="array" ref="AY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Y150)),""))</f>
        <v/>
      </c>
      <c r="AZ150" t="str" cm="1">
        <f t="array" ref="AZ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AZ150)),""))</f>
        <v/>
      </c>
      <c r="BA150" t="str" cm="1">
        <f t="array" ref="BA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A150)),""))</f>
        <v/>
      </c>
      <c r="BB150" t="str" cm="1">
        <f t="array" ref="BB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B150)),""))</f>
        <v/>
      </c>
      <c r="BC150" t="str" cm="1">
        <f t="array" ref="BC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C150)),""))</f>
        <v/>
      </c>
      <c r="BD150" t="str" cm="1">
        <f t="array" ref="BD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D150)),""))</f>
        <v/>
      </c>
      <c r="BE150" t="str" cm="1">
        <f t="array" ref="BE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E150)),""))</f>
        <v/>
      </c>
      <c r="BF150" t="str" cm="1">
        <f t="array" ref="BF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F150)),""))</f>
        <v/>
      </c>
      <c r="BG150" t="str" cm="1">
        <f t="array" ref="BG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G150)),""))</f>
        <v/>
      </c>
      <c r="BH150" t="str" cm="1">
        <f t="array" ref="BH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H150)),""))</f>
        <v/>
      </c>
      <c r="BI150" t="str" cm="1">
        <f t="array" ref="BI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I150)),""))</f>
        <v/>
      </c>
      <c r="BJ150" t="str" cm="1">
        <f t="array" ref="BJ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J150)),""))</f>
        <v/>
      </c>
      <c r="BK150" t="str" cm="1">
        <f t="array" ref="BK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K150)),""))</f>
        <v/>
      </c>
      <c r="BL150" t="str" cm="1">
        <f t="array" ref="BL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L150)),""))</f>
        <v/>
      </c>
      <c r="BM150" t="str" cm="1">
        <f t="array" ref="BM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M150)),""))</f>
        <v/>
      </c>
      <c r="BN150" t="str" cm="1">
        <f t="array" ref="BN150">IF(COUNTIFS(Calc_Anclaje!$A$5:$A$1058,$B$2,Calc_Anclaje!$H$5:$H$1058,VALUE(SUBSTITUTE($AJ150,"d-","")))&lt;5,"",IFERROR(INDEX(_xlfn._xlws.FILTER(Calc_Anclaje!$O$5:$O$1058,(Calc_Anclaje!$A$5:$A$1058=$B$2)*(Calc_Anclaje!$H$5:$H$1058=VALUE(SUBSTITUTE($AJ150,"d-","")))),COLUMNS($AK150:BN150)),""))</f>
        <v/>
      </c>
    </row>
    <row r="151" spans="1:66">
      <c r="A151" s="52" cm="1">
        <f t="array" ref="A151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151)),""))</f>
        <v>-1.4999999999999996</v>
      </c>
      <c r="B151" s="52" cm="1">
        <f t="array" ref="B151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151)),""))</f>
        <v>-2.6</v>
      </c>
      <c r="C151" s="52" cm="1">
        <f t="array" ref="C151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151)),""))</f>
        <v>-2.5</v>
      </c>
      <c r="D151" s="52" cm="1">
        <f t="array" ref="D151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151)),""))</f>
        <v>-4.4000000000000004</v>
      </c>
      <c r="E151" s="52" cm="1">
        <f t="array" ref="E151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151)),""))</f>
        <v>-4.2</v>
      </c>
      <c r="F151" s="52" cm="1">
        <f t="array" ref="F151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151)),""))</f>
        <v>-4.5999999999999996</v>
      </c>
      <c r="G151" s="52" cm="1">
        <f t="array" ref="G151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151)),""))</f>
        <v>-4.5999999999999996</v>
      </c>
      <c r="H151" s="52" cm="1">
        <f t="array" ref="H151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151)),""))</f>
        <v>-5.3</v>
      </c>
      <c r="I151" s="52" cm="1">
        <f t="array" ref="I151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151)),""))</f>
        <v>-5</v>
      </c>
      <c r="J151" s="52" cm="1">
        <f t="array" ref="J151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151)),""))</f>
        <v>-3.9</v>
      </c>
      <c r="K151" s="52" cm="1">
        <f t="array" ref="K151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151)),""))</f>
        <v>-3.5</v>
      </c>
      <c r="L151" s="52" cm="1">
        <f t="array" ref="L151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151)),""))</f>
        <v>-2.0999999999999996</v>
      </c>
      <c r="M151" s="52" cm="1">
        <f t="array" ref="M151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151)),""))</f>
        <v>-1.7000000000000002</v>
      </c>
      <c r="N151" s="52" cm="1">
        <f t="array" ref="N151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151)),""))</f>
        <v>-1.2999999999999998</v>
      </c>
      <c r="O151" s="52" cm="1">
        <f t="array" ref="O151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151)),""))</f>
        <v>-0.79999999999999982</v>
      </c>
      <c r="P151" s="52" cm="1">
        <f t="array" ref="P151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151)),""))</f>
        <v>-0.20000000000000018</v>
      </c>
      <c r="Q151" s="52" cm="1">
        <f t="array" ref="Q151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151)),""))</f>
        <v>0</v>
      </c>
      <c r="W151">
        <v>-15</v>
      </c>
      <c r="X151">
        <v>-0.60000000000000009</v>
      </c>
      <c r="AC151">
        <v>-8</v>
      </c>
      <c r="AD151">
        <v>-5</v>
      </c>
      <c r="AJ151" t="str">
        <v>d-16</v>
      </c>
      <c r="AK151">
        <v>-1.4999999999999996</v>
      </c>
      <c r="AP151" t="str">
        <v>d-16</v>
      </c>
      <c r="AQ151">
        <v>-1.4999999999999996</v>
      </c>
      <c r="AS151" t="str">
        <v>d-7</v>
      </c>
      <c r="AT151">
        <v>-3.9</v>
      </c>
      <c r="AU151" cm="1">
        <f t="array" ref="AU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U151)),""))</f>
        <v>-0.99999999999999956</v>
      </c>
      <c r="AV151" cm="1">
        <f t="array" ref="AV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V151)),""))</f>
        <v>-0.89999999999999991</v>
      </c>
      <c r="AW151" t="str" cm="1">
        <f t="array" ref="AW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W151)),""))</f>
        <v/>
      </c>
      <c r="AX151" t="str" cm="1">
        <f t="array" ref="AX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X151)),""))</f>
        <v/>
      </c>
      <c r="AY151" t="str" cm="1">
        <f t="array" ref="AY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Y151)),""))</f>
        <v/>
      </c>
      <c r="AZ151" t="str" cm="1">
        <f t="array" ref="AZ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AZ151)),""))</f>
        <v/>
      </c>
      <c r="BA151" t="str" cm="1">
        <f t="array" ref="BA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A151)),""))</f>
        <v/>
      </c>
      <c r="BB151" t="str" cm="1">
        <f t="array" ref="BB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B151)),""))</f>
        <v/>
      </c>
      <c r="BC151" t="str" cm="1">
        <f t="array" ref="BC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C151)),""))</f>
        <v/>
      </c>
      <c r="BD151" t="str" cm="1">
        <f t="array" ref="BD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D151)),""))</f>
        <v/>
      </c>
      <c r="BE151" t="str" cm="1">
        <f t="array" ref="BE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E151)),""))</f>
        <v/>
      </c>
      <c r="BF151" t="str" cm="1">
        <f t="array" ref="BF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F151)),""))</f>
        <v/>
      </c>
      <c r="BG151" t="str" cm="1">
        <f t="array" ref="BG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G151)),""))</f>
        <v/>
      </c>
      <c r="BH151" t="str" cm="1">
        <f t="array" ref="BH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H151)),""))</f>
        <v/>
      </c>
      <c r="BI151" t="str" cm="1">
        <f t="array" ref="BI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I151)),""))</f>
        <v/>
      </c>
      <c r="BJ151" t="str" cm="1">
        <f t="array" ref="BJ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J151)),""))</f>
        <v/>
      </c>
      <c r="BK151" t="str" cm="1">
        <f t="array" ref="BK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K151)),""))</f>
        <v/>
      </c>
      <c r="BL151" t="str" cm="1">
        <f t="array" ref="BL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L151)),""))</f>
        <v/>
      </c>
      <c r="BM151" t="str" cm="1">
        <f t="array" ref="BM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M151)),""))</f>
        <v/>
      </c>
      <c r="BN151" t="str" cm="1">
        <f t="array" ref="BN151">IF(COUNTIFS(Calc_Anclaje!$A$5:$A$1058,$B$2,Calc_Anclaje!$H$5:$H$1058,VALUE(SUBSTITUTE($AJ151,"d-","")))&lt;5,"",IFERROR(INDEX(_xlfn._xlws.FILTER(Calc_Anclaje!$O$5:$O$1058,(Calc_Anclaje!$A$5:$A$1058=$B$2)*(Calc_Anclaje!$H$5:$H$1058=VALUE(SUBSTITUTE($AJ151,"d-","")))),COLUMNS($AK151:BN151)),""))</f>
        <v/>
      </c>
    </row>
    <row r="152" spans="1:66">
      <c r="A152" s="52" cm="1">
        <f t="array" ref="A152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152)),""))</f>
        <v>-1.4000000000000004</v>
      </c>
      <c r="B152" s="52" cm="1">
        <f t="array" ref="B152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152)),""))</f>
        <v>-1.4999999999999996</v>
      </c>
      <c r="C152" s="52" cm="1">
        <f t="array" ref="C152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152)),""))</f>
        <v>-1.4999999999999996</v>
      </c>
      <c r="D152" s="52" cm="1">
        <f t="array" ref="D152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152)),""))</f>
        <v>-2.5</v>
      </c>
      <c r="E152" s="52" cm="1">
        <f t="array" ref="E152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152)),""))</f>
        <v>-2.5</v>
      </c>
      <c r="F152" s="52" cm="1">
        <f t="array" ref="F152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152)),""))</f>
        <v>-4.3</v>
      </c>
      <c r="G152" s="52" cm="1">
        <f t="array" ref="G152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152)),""))</f>
        <v>-4.2</v>
      </c>
      <c r="H152" s="52" cm="1">
        <f t="array" ref="H152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152)),""))</f>
        <v>-4.7</v>
      </c>
      <c r="I152" s="52" cm="1">
        <f t="array" ref="I152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152)),""))</f>
        <v>-4.5</v>
      </c>
      <c r="J152" s="52" cm="1">
        <f t="array" ref="J152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152)),""))</f>
        <v>-4.5999999999999996</v>
      </c>
      <c r="K152" s="52" cm="1">
        <f t="array" ref="K152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152)),""))</f>
        <v>-4.2</v>
      </c>
      <c r="L152" s="52" cm="1">
        <f t="array" ref="L152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152)),""))</f>
        <v>-3</v>
      </c>
      <c r="M152" s="52" cm="1">
        <f t="array" ref="M152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152)),""))</f>
        <v>-2.7</v>
      </c>
      <c r="N152" s="52" cm="1">
        <f t="array" ref="N152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152)),""))</f>
        <v>-1</v>
      </c>
      <c r="O152" s="52" cm="1">
        <f t="array" ref="O152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152)),""))</f>
        <v>-0.59999999999999964</v>
      </c>
      <c r="P152" s="52" cm="1">
        <f t="array" ref="P152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152)),""))</f>
        <v>-0.20000000000000018</v>
      </c>
      <c r="Q152" s="52" cm="1">
        <f t="array" ref="Q152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152)),""))</f>
        <v>9.9999999999999645E-2</v>
      </c>
      <c r="W152">
        <v>-14</v>
      </c>
      <c r="X152">
        <v>-0.60000000000000009</v>
      </c>
      <c r="AC152">
        <v>-11</v>
      </c>
      <c r="AD152">
        <v>-4.5999999999999996</v>
      </c>
      <c r="AJ152" t="str">
        <v>d-16</v>
      </c>
      <c r="AK152">
        <v>-1.4000000000000004</v>
      </c>
      <c r="AP152" t="str">
        <v>d-16</v>
      </c>
      <c r="AQ152">
        <v>-1.4000000000000004</v>
      </c>
      <c r="AS152" t="str">
        <v>d-7</v>
      </c>
      <c r="AT152">
        <v>-4.5999999999999996</v>
      </c>
      <c r="AU152" cm="1">
        <f t="array" ref="AU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U152)),""))</f>
        <v>-0.99999999999999956</v>
      </c>
      <c r="AV152" cm="1">
        <f t="array" ref="AV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V152)),""))</f>
        <v>-0.89999999999999991</v>
      </c>
      <c r="AW152" t="str" cm="1">
        <f t="array" ref="AW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W152)),""))</f>
        <v/>
      </c>
      <c r="AX152" t="str" cm="1">
        <f t="array" ref="AX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X152)),""))</f>
        <v/>
      </c>
      <c r="AY152" t="str" cm="1">
        <f t="array" ref="AY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Y152)),""))</f>
        <v/>
      </c>
      <c r="AZ152" t="str" cm="1">
        <f t="array" ref="AZ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AZ152)),""))</f>
        <v/>
      </c>
      <c r="BA152" t="str" cm="1">
        <f t="array" ref="BA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A152)),""))</f>
        <v/>
      </c>
      <c r="BB152" t="str" cm="1">
        <f t="array" ref="BB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B152)),""))</f>
        <v/>
      </c>
      <c r="BC152" t="str" cm="1">
        <f t="array" ref="BC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C152)),""))</f>
        <v/>
      </c>
      <c r="BD152" t="str" cm="1">
        <f t="array" ref="BD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D152)),""))</f>
        <v/>
      </c>
      <c r="BE152" t="str" cm="1">
        <f t="array" ref="BE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E152)),""))</f>
        <v/>
      </c>
      <c r="BF152" t="str" cm="1">
        <f t="array" ref="BF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F152)),""))</f>
        <v/>
      </c>
      <c r="BG152" t="str" cm="1">
        <f t="array" ref="BG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G152)),""))</f>
        <v/>
      </c>
      <c r="BH152" t="str" cm="1">
        <f t="array" ref="BH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H152)),""))</f>
        <v/>
      </c>
      <c r="BI152" t="str" cm="1">
        <f t="array" ref="BI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I152)),""))</f>
        <v/>
      </c>
      <c r="BJ152" t="str" cm="1">
        <f t="array" ref="BJ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J152)),""))</f>
        <v/>
      </c>
      <c r="BK152" t="str" cm="1">
        <f t="array" ref="BK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K152)),""))</f>
        <v/>
      </c>
      <c r="BL152" t="str" cm="1">
        <f t="array" ref="BL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L152)),""))</f>
        <v/>
      </c>
      <c r="BM152" t="str" cm="1">
        <f t="array" ref="BM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M152)),""))</f>
        <v/>
      </c>
      <c r="BN152" t="str" cm="1">
        <f t="array" ref="BN152">IF(COUNTIFS(Calc_Anclaje!$A$5:$A$1058,$B$2,Calc_Anclaje!$H$5:$H$1058,VALUE(SUBSTITUTE($AJ152,"d-","")))&lt;5,"",IFERROR(INDEX(_xlfn._xlws.FILTER(Calc_Anclaje!$O$5:$O$1058,(Calc_Anclaje!$A$5:$A$1058=$B$2)*(Calc_Anclaje!$H$5:$H$1058=VALUE(SUBSTITUTE($AJ152,"d-","")))),COLUMNS($AK152:BN152)),""))</f>
        <v/>
      </c>
    </row>
    <row r="153" spans="1:66">
      <c r="A153" s="52" cm="1">
        <f t="array" ref="A153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153)),""))</f>
        <v>-1.4999999999999996</v>
      </c>
      <c r="B153" s="52" cm="1">
        <f t="array" ref="B153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153)),""))</f>
        <v>-1.3000000000000003</v>
      </c>
      <c r="C153" s="52" cm="1">
        <f t="array" ref="C153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153)),""))</f>
        <v>-1.2000000000000002</v>
      </c>
      <c r="D153" s="52" cm="1">
        <f t="array" ref="D153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153)),""))</f>
        <v>-1.4999999999999996</v>
      </c>
      <c r="E153" s="52" cm="1">
        <f t="array" ref="E153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153)),""))</f>
        <v>-1.3999999999999995</v>
      </c>
      <c r="F153" s="52" cm="1">
        <f t="array" ref="F153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153)),""))</f>
        <v>-2.5</v>
      </c>
      <c r="G153" s="52" cm="1">
        <f t="array" ref="G153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153)),""))</f>
        <v>-2.3000000000000003</v>
      </c>
      <c r="H153" s="52" cm="1">
        <f t="array" ref="H153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153)),""))</f>
        <v>-4.0999999999999996</v>
      </c>
      <c r="I153" s="52" cm="1">
        <f t="array" ref="I153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153)),""))</f>
        <v>-3</v>
      </c>
      <c r="J153" s="52" cm="1">
        <f t="array" ref="J153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153)),""))</f>
        <v>-4</v>
      </c>
      <c r="K153" s="52" cm="1">
        <f t="array" ref="K153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153)),""))</f>
        <v>-2.5</v>
      </c>
      <c r="L153" s="52" cm="1">
        <f t="array" ref="L153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153)),""))</f>
        <v>-3.9000000000000004</v>
      </c>
      <c r="M153" s="52" cm="1">
        <f t="array" ref="M153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153)),""))</f>
        <v>-2.4000000000000004</v>
      </c>
      <c r="N153" s="52" cm="1">
        <f t="array" ref="N153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153)),""))</f>
        <v>-2.3999999999999995</v>
      </c>
      <c r="O153" s="52" cm="1">
        <f t="array" ref="O153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153)),""))</f>
        <v>-0.89999999999999947</v>
      </c>
      <c r="P153" s="52" cm="1">
        <f t="array" ref="P153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153)),""))</f>
        <v>-0.39999999999999947</v>
      </c>
      <c r="Q153" s="52" cm="1">
        <f t="array" ref="Q153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153)),""))</f>
        <v>-9.9999999999999645E-2</v>
      </c>
      <c r="W153">
        <v>-13</v>
      </c>
      <c r="X153">
        <v>-0.60000000000000009</v>
      </c>
      <c r="AC153">
        <v>-10</v>
      </c>
      <c r="AD153">
        <v>-4.5999999999999996</v>
      </c>
      <c r="AJ153" t="str">
        <v>d-16</v>
      </c>
      <c r="AK153">
        <v>-1.4999999999999996</v>
      </c>
      <c r="AP153" t="str">
        <v>d-16</v>
      </c>
      <c r="AQ153">
        <v>-1.4999999999999996</v>
      </c>
      <c r="AS153" t="str">
        <v>d-7</v>
      </c>
      <c r="AT153">
        <v>-4</v>
      </c>
      <c r="AU153" cm="1">
        <f t="array" ref="AU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U153)),""))</f>
        <v>-0.99999999999999956</v>
      </c>
      <c r="AV153" cm="1">
        <f t="array" ref="AV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V153)),""))</f>
        <v>-0.89999999999999991</v>
      </c>
      <c r="AW153" t="str" cm="1">
        <f t="array" ref="AW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W153)),""))</f>
        <v/>
      </c>
      <c r="AX153" t="str" cm="1">
        <f t="array" ref="AX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X153)),""))</f>
        <v/>
      </c>
      <c r="AY153" t="str" cm="1">
        <f t="array" ref="AY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Y153)),""))</f>
        <v/>
      </c>
      <c r="AZ153" t="str" cm="1">
        <f t="array" ref="AZ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AZ153)),""))</f>
        <v/>
      </c>
      <c r="BA153" t="str" cm="1">
        <f t="array" ref="BA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A153)),""))</f>
        <v/>
      </c>
      <c r="BB153" t="str" cm="1">
        <f t="array" ref="BB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B153)),""))</f>
        <v/>
      </c>
      <c r="BC153" t="str" cm="1">
        <f t="array" ref="BC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C153)),""))</f>
        <v/>
      </c>
      <c r="BD153" t="str" cm="1">
        <f t="array" ref="BD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D153)),""))</f>
        <v/>
      </c>
      <c r="BE153" t="str" cm="1">
        <f t="array" ref="BE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E153)),""))</f>
        <v/>
      </c>
      <c r="BF153" t="str" cm="1">
        <f t="array" ref="BF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F153)),""))</f>
        <v/>
      </c>
      <c r="BG153" t="str" cm="1">
        <f t="array" ref="BG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G153)),""))</f>
        <v/>
      </c>
      <c r="BH153" t="str" cm="1">
        <f t="array" ref="BH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H153)),""))</f>
        <v/>
      </c>
      <c r="BI153" t="str" cm="1">
        <f t="array" ref="BI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I153)),""))</f>
        <v/>
      </c>
      <c r="BJ153" t="str" cm="1">
        <f t="array" ref="BJ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J153)),""))</f>
        <v/>
      </c>
      <c r="BK153" t="str" cm="1">
        <f t="array" ref="BK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K153)),""))</f>
        <v/>
      </c>
      <c r="BL153" t="str" cm="1">
        <f t="array" ref="BL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L153)),""))</f>
        <v/>
      </c>
      <c r="BM153" t="str" cm="1">
        <f t="array" ref="BM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M153)),""))</f>
        <v/>
      </c>
      <c r="BN153" t="str" cm="1">
        <f t="array" ref="BN153">IF(COUNTIFS(Calc_Anclaje!$A$5:$A$1058,$B$2,Calc_Anclaje!$H$5:$H$1058,VALUE(SUBSTITUTE($AJ153,"d-","")))&lt;5,"",IFERROR(INDEX(_xlfn._xlws.FILTER(Calc_Anclaje!$O$5:$O$1058,(Calc_Anclaje!$A$5:$A$1058=$B$2)*(Calc_Anclaje!$H$5:$H$1058=VALUE(SUBSTITUTE($AJ153,"d-","")))),COLUMNS($AK153:BN153)),""))</f>
        <v/>
      </c>
    </row>
    <row r="154" spans="1:66">
      <c r="A154" s="52" cm="1">
        <f t="array" ref="A154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154)),""))</f>
        <v>-1.6999999999999997</v>
      </c>
      <c r="B154" s="52" cm="1">
        <f t="array" ref="B154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154)),""))</f>
        <v>-1.4999999999999996</v>
      </c>
      <c r="C154" s="52" cm="1">
        <f t="array" ref="C154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154)),""))</f>
        <v>-1.4999999999999996</v>
      </c>
      <c r="D154" s="52" cm="1">
        <f t="array" ref="D154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154)),""))</f>
        <v>-1.2000000000000002</v>
      </c>
      <c r="E154" s="52" cm="1">
        <f t="array" ref="E154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154)),""))</f>
        <v>-1.2000000000000002</v>
      </c>
      <c r="F154" s="52" cm="1">
        <f t="array" ref="F154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154)),""))</f>
        <v>-1.3999999999999995</v>
      </c>
      <c r="G154" s="52" cm="1">
        <f t="array" ref="G154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154)),""))</f>
        <v>-1.0999999999999996</v>
      </c>
      <c r="H154" s="52" cm="1">
        <f t="array" ref="H154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154)),""))</f>
        <v>-2.2000000000000002</v>
      </c>
      <c r="I154" s="52" cm="1">
        <f t="array" ref="I154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154)),""))</f>
        <v>-1.2999999999999998</v>
      </c>
      <c r="J154" s="52" cm="1">
        <f t="array" ref="J154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154)),""))</f>
        <v>-2.2000000000000002</v>
      </c>
      <c r="K154" s="52" cm="1">
        <f t="array" ref="K154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154)),""))</f>
        <v>-1</v>
      </c>
      <c r="L154" s="52" cm="1">
        <f t="array" ref="L154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154)),""))</f>
        <v>-1.5999999999999996</v>
      </c>
      <c r="M154" s="52" cm="1">
        <f t="array" ref="M154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154)),""))</f>
        <v>-0.5</v>
      </c>
      <c r="N154" s="52" cm="1">
        <f t="array" ref="N154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154)),""))</f>
        <v>-1.5</v>
      </c>
      <c r="O154" s="52" cm="1">
        <f t="array" ref="O154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154)),""))</f>
        <v>-0.40000000000000036</v>
      </c>
      <c r="P154" s="52" cm="1">
        <f t="array" ref="P154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154)),""))</f>
        <v>-0.20000000000000018</v>
      </c>
      <c r="Q154" s="52" cm="1">
        <f t="array" ref="Q154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154)),""))</f>
        <v>0</v>
      </c>
      <c r="W154">
        <v>-12</v>
      </c>
      <c r="X154">
        <v>-0.5</v>
      </c>
      <c r="AC154">
        <v>-9</v>
      </c>
      <c r="AD154">
        <v>-4.7</v>
      </c>
      <c r="AJ154" t="str">
        <v>d-16</v>
      </c>
      <c r="AK154">
        <v>-1.6999999999999997</v>
      </c>
      <c r="AP154" t="str">
        <v>d-16</v>
      </c>
      <c r="AQ154">
        <v>-1.6999999999999997</v>
      </c>
      <c r="AS154" t="str">
        <v>d-7</v>
      </c>
      <c r="AT154">
        <v>-2.2000000000000002</v>
      </c>
      <c r="AU154" cm="1">
        <f t="array" ref="AU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U154)),""))</f>
        <v>-0.99999999999999956</v>
      </c>
      <c r="AV154" cm="1">
        <f t="array" ref="AV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V154)),""))</f>
        <v>-0.89999999999999991</v>
      </c>
      <c r="AW154" t="str" cm="1">
        <f t="array" ref="AW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W154)),""))</f>
        <v/>
      </c>
      <c r="AX154" t="str" cm="1">
        <f t="array" ref="AX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X154)),""))</f>
        <v/>
      </c>
      <c r="AY154" t="str" cm="1">
        <f t="array" ref="AY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Y154)),""))</f>
        <v/>
      </c>
      <c r="AZ154" t="str" cm="1">
        <f t="array" ref="AZ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AZ154)),""))</f>
        <v/>
      </c>
      <c r="BA154" t="str" cm="1">
        <f t="array" ref="BA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A154)),""))</f>
        <v/>
      </c>
      <c r="BB154" t="str" cm="1">
        <f t="array" ref="BB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B154)),""))</f>
        <v/>
      </c>
      <c r="BC154" t="str" cm="1">
        <f t="array" ref="BC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C154)),""))</f>
        <v/>
      </c>
      <c r="BD154" t="str" cm="1">
        <f t="array" ref="BD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D154)),""))</f>
        <v/>
      </c>
      <c r="BE154" t="str" cm="1">
        <f t="array" ref="BE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E154)),""))</f>
        <v/>
      </c>
      <c r="BF154" t="str" cm="1">
        <f t="array" ref="BF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F154)),""))</f>
        <v/>
      </c>
      <c r="BG154" t="str" cm="1">
        <f t="array" ref="BG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G154)),""))</f>
        <v/>
      </c>
      <c r="BH154" t="str" cm="1">
        <f t="array" ref="BH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H154)),""))</f>
        <v/>
      </c>
      <c r="BI154" t="str" cm="1">
        <f t="array" ref="BI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I154)),""))</f>
        <v/>
      </c>
      <c r="BJ154" t="str" cm="1">
        <f t="array" ref="BJ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J154)),""))</f>
        <v/>
      </c>
      <c r="BK154" t="str" cm="1">
        <f t="array" ref="BK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K154)),""))</f>
        <v/>
      </c>
      <c r="BL154" t="str" cm="1">
        <f t="array" ref="BL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L154)),""))</f>
        <v/>
      </c>
      <c r="BM154" t="str" cm="1">
        <f t="array" ref="BM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M154)),""))</f>
        <v/>
      </c>
      <c r="BN154" t="str" cm="1">
        <f t="array" ref="BN154">IF(COUNTIFS(Calc_Anclaje!$A$5:$A$1058,$B$2,Calc_Anclaje!$H$5:$H$1058,VALUE(SUBSTITUTE($AJ154,"d-","")))&lt;5,"",IFERROR(INDEX(_xlfn._xlws.FILTER(Calc_Anclaje!$O$5:$O$1058,(Calc_Anclaje!$A$5:$A$1058=$B$2)*(Calc_Anclaje!$H$5:$H$1058=VALUE(SUBSTITUTE($AJ154,"d-","")))),COLUMNS($AK154:BN154)),""))</f>
        <v/>
      </c>
    </row>
    <row r="155" spans="1:66">
      <c r="A155" s="52" cm="1">
        <f t="array" ref="A155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155)),""))</f>
        <v>-1.9</v>
      </c>
      <c r="B155" s="52" cm="1">
        <f t="array" ref="B155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155)),""))</f>
        <v>-1.6999999999999997</v>
      </c>
      <c r="C155" s="52" cm="1">
        <f t="array" ref="C155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155)),""))</f>
        <v>-1.4</v>
      </c>
      <c r="D155" s="52" cm="1">
        <f t="array" ref="D155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155)),""))</f>
        <v>-1.4999999999999996</v>
      </c>
      <c r="E155" s="52" cm="1">
        <f t="array" ref="E155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155)),""))</f>
        <v>-0.89999999999999947</v>
      </c>
      <c r="F155" s="52" cm="1">
        <f t="array" ref="F155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155)),""))</f>
        <v>-1.2000000000000002</v>
      </c>
      <c r="G155" s="52" cm="1">
        <f t="array" ref="G155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155)),""))</f>
        <v>-0.40000000000000036</v>
      </c>
      <c r="H155" s="52" cm="1">
        <f t="array" ref="H155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155)),""))</f>
        <v>-0.89999999999999947</v>
      </c>
      <c r="I155" s="52" cm="1">
        <f t="array" ref="I155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155)),""))</f>
        <v>0.20000000000000018</v>
      </c>
      <c r="J155" s="52" cm="1">
        <f t="array" ref="J155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155)),""))</f>
        <v>-0.70000000000000018</v>
      </c>
      <c r="K155" s="52" cm="1">
        <f t="array" ref="K155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155)),""))</f>
        <v>0.29999999999999982</v>
      </c>
      <c r="L155" s="52" cm="1">
        <f t="array" ref="L155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155)),""))</f>
        <v>-0.40000000000000036</v>
      </c>
      <c r="M155" s="52" cm="1">
        <f t="array" ref="M155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155)),""))</f>
        <v>0.40000000000000036</v>
      </c>
      <c r="N155" s="52" cm="1">
        <f t="array" ref="N155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155)),""))</f>
        <v>9.9999999999999645E-2</v>
      </c>
      <c r="O155" s="52" cm="1">
        <f t="array" ref="O155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155)),""))</f>
        <v>0.59999999999999964</v>
      </c>
      <c r="P155" s="52" cm="1">
        <f t="array" ref="P155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155)),""))</f>
        <v>0</v>
      </c>
      <c r="Q155" s="52" cm="1">
        <f t="array" ref="Q155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155)),""))</f>
        <v>9.9999999999999645E-2</v>
      </c>
      <c r="W155">
        <v>-11</v>
      </c>
      <c r="X155">
        <v>-0.5</v>
      </c>
      <c r="AC155">
        <v>-8</v>
      </c>
      <c r="AD155">
        <v>-4.5</v>
      </c>
      <c r="AJ155" t="str">
        <v>d-16</v>
      </c>
      <c r="AK155">
        <v>-1.9</v>
      </c>
      <c r="AP155" t="str">
        <v>d-16</v>
      </c>
      <c r="AQ155">
        <v>-1.9</v>
      </c>
      <c r="AS155" t="str">
        <v>d-7</v>
      </c>
      <c r="AT155">
        <v>-0.70000000000000018</v>
      </c>
      <c r="AU155" cm="1">
        <f t="array" ref="AU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U155)),""))</f>
        <v>-0.99999999999999956</v>
      </c>
      <c r="AV155" cm="1">
        <f t="array" ref="AV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V155)),""))</f>
        <v>-0.89999999999999991</v>
      </c>
      <c r="AW155" t="str" cm="1">
        <f t="array" ref="AW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W155)),""))</f>
        <v/>
      </c>
      <c r="AX155" t="str" cm="1">
        <f t="array" ref="AX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X155)),""))</f>
        <v/>
      </c>
      <c r="AY155" t="str" cm="1">
        <f t="array" ref="AY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Y155)),""))</f>
        <v/>
      </c>
      <c r="AZ155" t="str" cm="1">
        <f t="array" ref="AZ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AZ155)),""))</f>
        <v/>
      </c>
      <c r="BA155" t="str" cm="1">
        <f t="array" ref="BA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A155)),""))</f>
        <v/>
      </c>
      <c r="BB155" t="str" cm="1">
        <f t="array" ref="BB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B155)),""))</f>
        <v/>
      </c>
      <c r="BC155" t="str" cm="1">
        <f t="array" ref="BC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C155)),""))</f>
        <v/>
      </c>
      <c r="BD155" t="str" cm="1">
        <f t="array" ref="BD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D155)),""))</f>
        <v/>
      </c>
      <c r="BE155" t="str" cm="1">
        <f t="array" ref="BE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E155)),""))</f>
        <v/>
      </c>
      <c r="BF155" t="str" cm="1">
        <f t="array" ref="BF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F155)),""))</f>
        <v/>
      </c>
      <c r="BG155" t="str" cm="1">
        <f t="array" ref="BG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G155)),""))</f>
        <v/>
      </c>
      <c r="BH155" t="str" cm="1">
        <f t="array" ref="BH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H155)),""))</f>
        <v/>
      </c>
      <c r="BI155" t="str" cm="1">
        <f t="array" ref="BI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I155)),""))</f>
        <v/>
      </c>
      <c r="BJ155" t="str" cm="1">
        <f t="array" ref="BJ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J155)),""))</f>
        <v/>
      </c>
      <c r="BK155" t="str" cm="1">
        <f t="array" ref="BK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K155)),""))</f>
        <v/>
      </c>
      <c r="BL155" t="str" cm="1">
        <f t="array" ref="BL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L155)),""))</f>
        <v/>
      </c>
      <c r="BM155" t="str" cm="1">
        <f t="array" ref="BM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M155)),""))</f>
        <v/>
      </c>
      <c r="BN155" t="str" cm="1">
        <f t="array" ref="BN155">IF(COUNTIFS(Calc_Anclaje!$A$5:$A$1058,$B$2,Calc_Anclaje!$H$5:$H$1058,VALUE(SUBSTITUTE($AJ155,"d-","")))&lt;5,"",IFERROR(INDEX(_xlfn._xlws.FILTER(Calc_Anclaje!$O$5:$O$1058,(Calc_Anclaje!$A$5:$A$1058=$B$2)*(Calc_Anclaje!$H$5:$H$1058=VALUE(SUBSTITUTE($AJ155,"d-","")))),COLUMNS($AK155:BN155)),""))</f>
        <v/>
      </c>
    </row>
    <row r="156" spans="1:66">
      <c r="A156" s="52" cm="1">
        <f t="array" ref="A156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156)),""))</f>
        <v>-1.5</v>
      </c>
      <c r="B156" s="52" cm="1">
        <f t="array" ref="B156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156)),""))</f>
        <v>-1.9</v>
      </c>
      <c r="C156" s="52" cm="1">
        <f t="array" ref="C156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156)),""))</f>
        <v>-1.9</v>
      </c>
      <c r="D156" s="52" cm="1">
        <f t="array" ref="D156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156)),""))</f>
        <v>-1.4</v>
      </c>
      <c r="E156" s="52" cm="1">
        <f t="array" ref="E156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156)),""))</f>
        <v>-1.4</v>
      </c>
      <c r="F156" s="52" cm="1">
        <f t="array" ref="F156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156)),""))</f>
        <v>-0.79999999999999982</v>
      </c>
      <c r="G156" s="52" cm="1">
        <f t="array" ref="G156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156)),""))</f>
        <v>-0.79999999999999982</v>
      </c>
      <c r="H156" s="52" cm="1">
        <f t="array" ref="H156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156)),""))</f>
        <v>-0.30000000000000071</v>
      </c>
      <c r="I156" s="52" cm="1">
        <f t="array" ref="I156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156)),""))</f>
        <v>-0.20000000000000018</v>
      </c>
      <c r="J156" s="52" cm="1">
        <f t="array" ref="J156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156)),""))</f>
        <v>0.10000000000000053</v>
      </c>
      <c r="K156" s="52" cm="1">
        <f t="array" ref="K156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156)),""))</f>
        <v>0.20000000000000018</v>
      </c>
      <c r="L156" s="52" cm="1">
        <f t="array" ref="L156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156)),""))</f>
        <v>9.9999999999999645E-2</v>
      </c>
      <c r="M156" s="52" cm="1">
        <f t="array" ref="M156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156)),""))</f>
        <v>0.20000000000000018</v>
      </c>
      <c r="N156" s="52" cm="1">
        <f t="array" ref="N156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156)),""))</f>
        <v>9.9999999999999645E-2</v>
      </c>
      <c r="O156" s="52" cm="1">
        <f t="array" ref="O156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156)),""))</f>
        <v>0</v>
      </c>
      <c r="P156" s="52" cm="1">
        <f t="array" ref="P156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156)),""))</f>
        <v>0.30000000000000071</v>
      </c>
      <c r="Q156" s="52" cm="1">
        <f t="array" ref="Q156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156)),""))</f>
        <v>9.9999999999999645E-2</v>
      </c>
      <c r="W156">
        <v>-10</v>
      </c>
      <c r="X156">
        <v>-0.5</v>
      </c>
      <c r="AC156">
        <v>-13</v>
      </c>
      <c r="AD156">
        <v>-4.4000000000000004</v>
      </c>
      <c r="AJ156" t="str">
        <v>d-16</v>
      </c>
      <c r="AK156">
        <v>-1.5</v>
      </c>
      <c r="AP156" t="str">
        <v>d-16</v>
      </c>
      <c r="AQ156">
        <v>-1.5</v>
      </c>
      <c r="AS156" t="str">
        <v>d-6</v>
      </c>
      <c r="AT156">
        <v>-3.5</v>
      </c>
      <c r="AU156" cm="1">
        <f t="array" ref="AU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U156)),""))</f>
        <v>-0.99999999999999956</v>
      </c>
      <c r="AV156" cm="1">
        <f t="array" ref="AV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V156)),""))</f>
        <v>-0.89999999999999991</v>
      </c>
      <c r="AW156" t="str" cm="1">
        <f t="array" ref="AW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W156)),""))</f>
        <v/>
      </c>
      <c r="AX156" t="str" cm="1">
        <f t="array" ref="AX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X156)),""))</f>
        <v/>
      </c>
      <c r="AY156" t="str" cm="1">
        <f t="array" ref="AY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Y156)),""))</f>
        <v/>
      </c>
      <c r="AZ156" t="str" cm="1">
        <f t="array" ref="AZ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AZ156)),""))</f>
        <v/>
      </c>
      <c r="BA156" t="str" cm="1">
        <f t="array" ref="BA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A156)),""))</f>
        <v/>
      </c>
      <c r="BB156" t="str" cm="1">
        <f t="array" ref="BB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B156)),""))</f>
        <v/>
      </c>
      <c r="BC156" t="str" cm="1">
        <f t="array" ref="BC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C156)),""))</f>
        <v/>
      </c>
      <c r="BD156" t="str" cm="1">
        <f t="array" ref="BD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D156)),""))</f>
        <v/>
      </c>
      <c r="BE156" t="str" cm="1">
        <f t="array" ref="BE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E156)),""))</f>
        <v/>
      </c>
      <c r="BF156" t="str" cm="1">
        <f t="array" ref="BF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F156)),""))</f>
        <v/>
      </c>
      <c r="BG156" t="str" cm="1">
        <f t="array" ref="BG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G156)),""))</f>
        <v/>
      </c>
      <c r="BH156" t="str" cm="1">
        <f t="array" ref="BH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H156)),""))</f>
        <v/>
      </c>
      <c r="BI156" t="str" cm="1">
        <f t="array" ref="BI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I156)),""))</f>
        <v/>
      </c>
      <c r="BJ156" t="str" cm="1">
        <f t="array" ref="BJ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J156)),""))</f>
        <v/>
      </c>
      <c r="BK156" t="str" cm="1">
        <f t="array" ref="BK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K156)),""))</f>
        <v/>
      </c>
      <c r="BL156" t="str" cm="1">
        <f t="array" ref="BL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L156)),""))</f>
        <v/>
      </c>
      <c r="BM156" t="str" cm="1">
        <f t="array" ref="BM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M156)),""))</f>
        <v/>
      </c>
      <c r="BN156" t="str" cm="1">
        <f t="array" ref="BN156">IF(COUNTIFS(Calc_Anclaje!$A$5:$A$1058,$B$2,Calc_Anclaje!$H$5:$H$1058,VALUE(SUBSTITUTE($AJ156,"d-","")))&lt;5,"",IFERROR(INDEX(_xlfn._xlws.FILTER(Calc_Anclaje!$O$5:$O$1058,(Calc_Anclaje!$A$5:$A$1058=$B$2)*(Calc_Anclaje!$H$5:$H$1058=VALUE(SUBSTITUTE($AJ156,"d-","")))),COLUMNS($AK156:BN156)),""))</f>
        <v/>
      </c>
    </row>
    <row r="157" spans="1:66">
      <c r="A157" s="52" cm="1">
        <f t="array" ref="A157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157)),""))</f>
        <v>-0.60000000000000009</v>
      </c>
      <c r="B157" s="52" cm="1">
        <f t="array" ref="B157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157)),""))</f>
        <v>-1.4</v>
      </c>
      <c r="C157" s="52" cm="1">
        <f t="array" ref="C157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157)),""))</f>
        <v>-1.4</v>
      </c>
      <c r="D157" s="52" cm="1">
        <f t="array" ref="D157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157)),""))</f>
        <v>-1.6</v>
      </c>
      <c r="E157" s="52" cm="1">
        <f t="array" ref="E157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157)),""))</f>
        <v>-1.6</v>
      </c>
      <c r="F157" s="52" cm="1">
        <f t="array" ref="F157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157)),""))</f>
        <v>-1.0999999999999996</v>
      </c>
      <c r="G157" s="52" cm="1">
        <f t="array" ref="G157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157)),""))</f>
        <v>-1.0999999999999996</v>
      </c>
      <c r="H157" s="52" cm="1">
        <f t="array" ref="H157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157)),""))</f>
        <v>-0.39999999999999947</v>
      </c>
      <c r="I157" s="52" cm="1">
        <f t="array" ref="I157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157)),""))</f>
        <v>-0.39999999999999947</v>
      </c>
      <c r="J157" s="52" cm="1">
        <f t="array" ref="J157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157)),""))</f>
        <v>0.5</v>
      </c>
      <c r="K157" s="52" cm="1">
        <f t="array" ref="K157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157)),""))</f>
        <v>0.39999999999999947</v>
      </c>
      <c r="L157" s="52" cm="1">
        <f t="array" ref="L157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157)),""))</f>
        <v>0.70000000000000018</v>
      </c>
      <c r="M157" s="52" cm="1">
        <f t="array" ref="M157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157)),""))</f>
        <v>0.70000000000000018</v>
      </c>
      <c r="N157" s="52" cm="1">
        <f t="array" ref="N157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157)),""))</f>
        <v>0.70000000000000018</v>
      </c>
      <c r="O157" s="52" cm="1">
        <f t="array" ref="O157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157)),""))</f>
        <v>0.59999999999999964</v>
      </c>
      <c r="P157" s="52" cm="1">
        <f t="array" ref="P157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157)),""))</f>
        <v>0.20000000000000018</v>
      </c>
      <c r="Q157" s="52" cm="1">
        <f t="array" ref="Q157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157)),""))</f>
        <v>0</v>
      </c>
      <c r="W157">
        <v>-9</v>
      </c>
      <c r="X157">
        <v>-0.5</v>
      </c>
      <c r="AC157">
        <v>-12</v>
      </c>
      <c r="AD157">
        <v>-4.2</v>
      </c>
      <c r="AJ157" t="str">
        <v>d-16</v>
      </c>
      <c r="AK157">
        <v>-0.60000000000000009</v>
      </c>
      <c r="AP157" t="str">
        <v>d-16</v>
      </c>
      <c r="AQ157">
        <v>-1.1000000000000001</v>
      </c>
      <c r="AS157" t="str">
        <v>d-6</v>
      </c>
      <c r="AT157">
        <v>-4.2</v>
      </c>
      <c r="AU157" cm="1">
        <f t="array" ref="AU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U157)),""))</f>
        <v>-0.99999999999999956</v>
      </c>
      <c r="AV157" cm="1">
        <f t="array" ref="AV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V157)),""))</f>
        <v>-0.89999999999999991</v>
      </c>
      <c r="AW157" t="str" cm="1">
        <f t="array" ref="AW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W157)),""))</f>
        <v/>
      </c>
      <c r="AX157" t="str" cm="1">
        <f t="array" ref="AX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X157)),""))</f>
        <v/>
      </c>
      <c r="AY157" t="str" cm="1">
        <f t="array" ref="AY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Y157)),""))</f>
        <v/>
      </c>
      <c r="AZ157" t="str" cm="1">
        <f t="array" ref="AZ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AZ157)),""))</f>
        <v/>
      </c>
      <c r="BA157" t="str" cm="1">
        <f t="array" ref="BA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A157)),""))</f>
        <v/>
      </c>
      <c r="BB157" t="str" cm="1">
        <f t="array" ref="BB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B157)),""))</f>
        <v/>
      </c>
      <c r="BC157" t="str" cm="1">
        <f t="array" ref="BC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C157)),""))</f>
        <v/>
      </c>
      <c r="BD157" t="str" cm="1">
        <f t="array" ref="BD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D157)),""))</f>
        <v/>
      </c>
      <c r="BE157" t="str" cm="1">
        <f t="array" ref="BE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E157)),""))</f>
        <v/>
      </c>
      <c r="BF157" t="str" cm="1">
        <f t="array" ref="BF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F157)),""))</f>
        <v/>
      </c>
      <c r="BG157" t="str" cm="1">
        <f t="array" ref="BG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G157)),""))</f>
        <v/>
      </c>
      <c r="BH157" t="str" cm="1">
        <f t="array" ref="BH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H157)),""))</f>
        <v/>
      </c>
      <c r="BI157" t="str" cm="1">
        <f t="array" ref="BI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I157)),""))</f>
        <v/>
      </c>
      <c r="BJ157" t="str" cm="1">
        <f t="array" ref="BJ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J157)),""))</f>
        <v/>
      </c>
      <c r="BK157" t="str" cm="1">
        <f t="array" ref="BK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K157)),""))</f>
        <v/>
      </c>
      <c r="BL157" t="str" cm="1">
        <f t="array" ref="BL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L157)),""))</f>
        <v/>
      </c>
      <c r="BM157" t="str" cm="1">
        <f t="array" ref="BM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M157)),""))</f>
        <v/>
      </c>
      <c r="BN157" t="str" cm="1">
        <f t="array" ref="BN157">IF(COUNTIFS(Calc_Anclaje!$A$5:$A$1058,$B$2,Calc_Anclaje!$H$5:$H$1058,VALUE(SUBSTITUTE($AJ157,"d-","")))&lt;5,"",IFERROR(INDEX(_xlfn._xlws.FILTER(Calc_Anclaje!$O$5:$O$1058,(Calc_Anclaje!$A$5:$A$1058=$B$2)*(Calc_Anclaje!$H$5:$H$1058=VALUE(SUBSTITUTE($AJ157,"d-","")))),COLUMNS($AK157:BN157)),""))</f>
        <v/>
      </c>
    </row>
    <row r="158" spans="1:66">
      <c r="A158" s="52" cm="1">
        <f t="array" ref="A158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158)),""))</f>
        <v>-1.1000000000000001</v>
      </c>
      <c r="B158" s="52" cm="1">
        <f t="array" ref="B158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158)),""))</f>
        <v>-0.60000000000000009</v>
      </c>
      <c r="C158" s="52" cm="1">
        <f t="array" ref="C158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158)),""))</f>
        <v>-0.60000000000000009</v>
      </c>
      <c r="D158" s="52" cm="1">
        <f t="array" ref="D158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158)),""))</f>
        <v>-1.4</v>
      </c>
      <c r="E158" s="52" cm="1">
        <f t="array" ref="E158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158)),""))</f>
        <v>-1.4</v>
      </c>
      <c r="F158" s="52" cm="1">
        <f t="array" ref="F158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158)),""))</f>
        <v>-1.6</v>
      </c>
      <c r="G158" s="52" cm="1">
        <f t="array" ref="G158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158)),""))</f>
        <v>-1.6</v>
      </c>
      <c r="H158" s="52" cm="1">
        <f t="array" ref="H158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158)),""))</f>
        <v>-1.0999999999999996</v>
      </c>
      <c r="I158" s="52" cm="1">
        <f t="array" ref="I158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158)),""))</f>
        <v>-1.0999999999999996</v>
      </c>
      <c r="J158" s="52" cm="1">
        <f t="array" ref="J158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158)),""))</f>
        <v>-0.39999999999999947</v>
      </c>
      <c r="K158" s="52" cm="1">
        <f t="array" ref="K158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158)),""))</f>
        <v>-0.5</v>
      </c>
      <c r="L158" s="52" cm="1">
        <f t="array" ref="L158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158)),""))</f>
        <v>0.29999999999999982</v>
      </c>
      <c r="M158" s="52" cm="1">
        <f t="array" ref="M158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158)),""))</f>
        <v>0.19999999999999929</v>
      </c>
      <c r="N158" s="52" cm="1">
        <f t="array" ref="N158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158)),""))</f>
        <v>0.60000000000000053</v>
      </c>
      <c r="O158" s="52" cm="1">
        <f t="array" ref="O158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158)),""))</f>
        <v>0.40000000000000036</v>
      </c>
      <c r="P158" s="52" cm="1">
        <f t="array" ref="P158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158)),""))</f>
        <v>0.29999999999999982</v>
      </c>
      <c r="Q158" s="52" cm="1">
        <f t="array" ref="Q158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158)),""))</f>
        <v>0</v>
      </c>
      <c r="W158">
        <v>-8</v>
      </c>
      <c r="X158">
        <v>-0.5</v>
      </c>
      <c r="AC158">
        <v>-11</v>
      </c>
      <c r="AD158">
        <v>-4.3</v>
      </c>
      <c r="AJ158" t="str">
        <v>d-16</v>
      </c>
      <c r="AK158">
        <v>-1.1000000000000001</v>
      </c>
      <c r="AP158" t="str">
        <v>d-16</v>
      </c>
      <c r="AQ158">
        <v>-0.99999999999999956</v>
      </c>
      <c r="AS158" t="str">
        <v>d-6</v>
      </c>
      <c r="AT158">
        <v>-2.5</v>
      </c>
      <c r="AU158" cm="1">
        <f t="array" ref="AU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U158)),""))</f>
        <v>-0.99999999999999956</v>
      </c>
      <c r="AV158" cm="1">
        <f t="array" ref="AV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V158)),""))</f>
        <v>-0.89999999999999991</v>
      </c>
      <c r="AW158" t="str" cm="1">
        <f t="array" ref="AW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W158)),""))</f>
        <v/>
      </c>
      <c r="AX158" t="str" cm="1">
        <f t="array" ref="AX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X158)),""))</f>
        <v/>
      </c>
      <c r="AY158" t="str" cm="1">
        <f t="array" ref="AY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Y158)),""))</f>
        <v/>
      </c>
      <c r="AZ158" t="str" cm="1">
        <f t="array" ref="AZ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AZ158)),""))</f>
        <v/>
      </c>
      <c r="BA158" t="str" cm="1">
        <f t="array" ref="BA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A158)),""))</f>
        <v/>
      </c>
      <c r="BB158" t="str" cm="1">
        <f t="array" ref="BB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B158)),""))</f>
        <v/>
      </c>
      <c r="BC158" t="str" cm="1">
        <f t="array" ref="BC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C158)),""))</f>
        <v/>
      </c>
      <c r="BD158" t="str" cm="1">
        <f t="array" ref="BD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D158)),""))</f>
        <v/>
      </c>
      <c r="BE158" t="str" cm="1">
        <f t="array" ref="BE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E158)),""))</f>
        <v/>
      </c>
      <c r="BF158" t="str" cm="1">
        <f t="array" ref="BF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F158)),""))</f>
        <v/>
      </c>
      <c r="BG158" t="str" cm="1">
        <f t="array" ref="BG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G158)),""))</f>
        <v/>
      </c>
      <c r="BH158" t="str" cm="1">
        <f t="array" ref="BH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H158)),""))</f>
        <v/>
      </c>
      <c r="BI158" t="str" cm="1">
        <f t="array" ref="BI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I158)),""))</f>
        <v/>
      </c>
      <c r="BJ158" t="str" cm="1">
        <f t="array" ref="BJ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J158)),""))</f>
        <v/>
      </c>
      <c r="BK158" t="str" cm="1">
        <f t="array" ref="BK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K158)),""))</f>
        <v/>
      </c>
      <c r="BL158" t="str" cm="1">
        <f t="array" ref="BL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L158)),""))</f>
        <v/>
      </c>
      <c r="BM158" t="str" cm="1">
        <f t="array" ref="BM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M158)),""))</f>
        <v/>
      </c>
      <c r="BN158" t="str" cm="1">
        <f t="array" ref="BN158">IF(COUNTIFS(Calc_Anclaje!$A$5:$A$1058,$B$2,Calc_Anclaje!$H$5:$H$1058,VALUE(SUBSTITUTE($AJ158,"d-","")))&lt;5,"",IFERROR(INDEX(_xlfn._xlws.FILTER(Calc_Anclaje!$O$5:$O$1058,(Calc_Anclaje!$A$5:$A$1058=$B$2)*(Calc_Anclaje!$H$5:$H$1058=VALUE(SUBSTITUTE($AJ158,"d-","")))),COLUMNS($AK158:BN158)),""))</f>
        <v/>
      </c>
    </row>
    <row r="159" spans="1:66">
      <c r="A159" s="52" cm="1">
        <f t="array" ref="A159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159)),""))</f>
        <v>-0.5</v>
      </c>
      <c r="B159" s="52" cm="1">
        <f t="array" ref="B159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159)),""))</f>
        <v>-1.1000000000000001</v>
      </c>
      <c r="C159" s="52" cm="1">
        <f t="array" ref="C159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159)),""))</f>
        <v>-1.1000000000000001</v>
      </c>
      <c r="D159" s="52" cm="1">
        <f t="array" ref="D159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159)),""))</f>
        <v>-0.60000000000000009</v>
      </c>
      <c r="E159" s="52" cm="1">
        <f t="array" ref="E159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159)),""))</f>
        <v>-0.5</v>
      </c>
      <c r="F159" s="52" cm="1">
        <f t="array" ref="F159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159)),""))</f>
        <v>-1.4</v>
      </c>
      <c r="G159" s="52" cm="1">
        <f t="array" ref="G159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159)),""))</f>
        <v>-1.1000000000000001</v>
      </c>
      <c r="H159" s="52" cm="1">
        <f t="array" ref="H159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159)),""))</f>
        <v>-1.6</v>
      </c>
      <c r="I159" s="52" cm="1">
        <f t="array" ref="I159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159)),""))</f>
        <v>-1.2999999999999998</v>
      </c>
      <c r="J159" s="52" cm="1">
        <f t="array" ref="J159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159)),""))</f>
        <v>-1.0999999999999996</v>
      </c>
      <c r="K159" s="52" cm="1">
        <f t="array" ref="K159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159)),""))</f>
        <v>-0.79999999999999982</v>
      </c>
      <c r="L159" s="52" cm="1">
        <f t="array" ref="L159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159)),""))</f>
        <v>-0.5</v>
      </c>
      <c r="M159" s="52" cm="1">
        <f t="array" ref="M159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159)),""))</f>
        <v>-0.19999999999999929</v>
      </c>
      <c r="N159" s="52" cm="1">
        <f t="array" ref="N159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159)),""))</f>
        <v>0.19999999999999929</v>
      </c>
      <c r="O159" s="52" cm="1">
        <f t="array" ref="O159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159)),""))</f>
        <v>0.29999999999999982</v>
      </c>
      <c r="P159" s="52" cm="1">
        <f t="array" ref="P159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159)),""))</f>
        <v>0.10000000000000053</v>
      </c>
      <c r="Q159" s="52" cm="1">
        <f t="array" ref="Q159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159)),""))</f>
        <v>0</v>
      </c>
      <c r="W159">
        <v>-7</v>
      </c>
      <c r="X159">
        <v>-0.20000000000000018</v>
      </c>
      <c r="AC159">
        <v>-10</v>
      </c>
      <c r="AD159">
        <v>-4.2</v>
      </c>
      <c r="AJ159" t="str">
        <v>d-16</v>
      </c>
      <c r="AK159">
        <v>-0.5</v>
      </c>
      <c r="AP159" t="str">
        <v>d-15</v>
      </c>
      <c r="AQ159">
        <v>-1.4999999999999996</v>
      </c>
      <c r="AS159" t="str">
        <v>d-6</v>
      </c>
      <c r="AT159">
        <v>-1</v>
      </c>
      <c r="AU159" cm="1">
        <f t="array" ref="AU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U159)),""))</f>
        <v>-0.99999999999999956</v>
      </c>
      <c r="AV159" cm="1">
        <f t="array" ref="AV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V159)),""))</f>
        <v>-0.89999999999999991</v>
      </c>
      <c r="AW159" t="str" cm="1">
        <f t="array" ref="AW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W159)),""))</f>
        <v/>
      </c>
      <c r="AX159" t="str" cm="1">
        <f t="array" ref="AX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X159)),""))</f>
        <v/>
      </c>
      <c r="AY159" t="str" cm="1">
        <f t="array" ref="AY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Y159)),""))</f>
        <v/>
      </c>
      <c r="AZ159" t="str" cm="1">
        <f t="array" ref="AZ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AZ159)),""))</f>
        <v/>
      </c>
      <c r="BA159" t="str" cm="1">
        <f t="array" ref="BA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A159)),""))</f>
        <v/>
      </c>
      <c r="BB159" t="str" cm="1">
        <f t="array" ref="BB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B159)),""))</f>
        <v/>
      </c>
      <c r="BC159" t="str" cm="1">
        <f t="array" ref="BC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C159)),""))</f>
        <v/>
      </c>
      <c r="BD159" t="str" cm="1">
        <f t="array" ref="BD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D159)),""))</f>
        <v/>
      </c>
      <c r="BE159" t="str" cm="1">
        <f t="array" ref="BE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E159)),""))</f>
        <v/>
      </c>
      <c r="BF159" t="str" cm="1">
        <f t="array" ref="BF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F159)),""))</f>
        <v/>
      </c>
      <c r="BG159" t="str" cm="1">
        <f t="array" ref="BG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G159)),""))</f>
        <v/>
      </c>
      <c r="BH159" t="str" cm="1">
        <f t="array" ref="BH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H159)),""))</f>
        <v/>
      </c>
      <c r="BI159" t="str" cm="1">
        <f t="array" ref="BI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I159)),""))</f>
        <v/>
      </c>
      <c r="BJ159" t="str" cm="1">
        <f t="array" ref="BJ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J159)),""))</f>
        <v/>
      </c>
      <c r="BK159" t="str" cm="1">
        <f t="array" ref="BK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K159)),""))</f>
        <v/>
      </c>
      <c r="BL159" t="str" cm="1">
        <f t="array" ref="BL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L159)),""))</f>
        <v/>
      </c>
      <c r="BM159" t="str" cm="1">
        <f t="array" ref="BM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M159)),""))</f>
        <v/>
      </c>
      <c r="BN159" t="str" cm="1">
        <f t="array" ref="BN159">IF(COUNTIFS(Calc_Anclaje!$A$5:$A$1058,$B$2,Calc_Anclaje!$H$5:$H$1058,VALUE(SUBSTITUTE($AJ159,"d-","")))&lt;5,"",IFERROR(INDEX(_xlfn._xlws.FILTER(Calc_Anclaje!$O$5:$O$1058,(Calc_Anclaje!$A$5:$A$1058=$B$2)*(Calc_Anclaje!$H$5:$H$1058=VALUE(SUBSTITUTE($AJ159,"d-","")))),COLUMNS($AK159:BN159)),""))</f>
        <v/>
      </c>
    </row>
    <row r="160" spans="1:66">
      <c r="A160" s="52" cm="1">
        <f t="array" ref="A160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160)),""))</f>
        <v>-0.60000000000000009</v>
      </c>
      <c r="B160" s="52" cm="1">
        <f t="array" ref="B160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160)),""))</f>
        <v>-0.5</v>
      </c>
      <c r="C160" s="52" cm="1">
        <f t="array" ref="C160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160)),""))</f>
        <v>-0.5</v>
      </c>
      <c r="D160" s="52" cm="1">
        <f t="array" ref="D160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160)),""))</f>
        <v>-1.1000000000000001</v>
      </c>
      <c r="E160" s="52" cm="1">
        <f t="array" ref="E160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160)),""))</f>
        <v>-1.1000000000000001</v>
      </c>
      <c r="F160" s="52" cm="1">
        <f t="array" ref="F160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160)),""))</f>
        <v>-0.5</v>
      </c>
      <c r="G160" s="52" cm="1">
        <f t="array" ref="G160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160)),""))</f>
        <v>-0.5</v>
      </c>
      <c r="H160" s="52" cm="1">
        <f t="array" ref="H160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160)),""))</f>
        <v>-1.1000000000000001</v>
      </c>
      <c r="I160" s="52" cm="1">
        <f t="array" ref="I160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160)),""))</f>
        <v>-1</v>
      </c>
      <c r="J160" s="52" cm="1">
        <f t="array" ref="J160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160)),""))</f>
        <v>-1.2999999999999998</v>
      </c>
      <c r="K160" s="52" cm="1">
        <f t="array" ref="K160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160)),""))</f>
        <v>-1.2000000000000002</v>
      </c>
      <c r="L160" s="52" cm="1">
        <f t="array" ref="L160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160)),""))</f>
        <v>-0.79999999999999982</v>
      </c>
      <c r="M160" s="52" cm="1">
        <f t="array" ref="M160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160)),""))</f>
        <v>-0.70000000000000018</v>
      </c>
      <c r="N160" s="52" cm="1">
        <f t="array" ref="N160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160)),""))</f>
        <v>-0.29999999999999982</v>
      </c>
      <c r="O160" s="52" cm="1">
        <f t="array" ref="O160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160)),""))</f>
        <v>-0.29999999999999982</v>
      </c>
      <c r="P160" s="52" cm="1">
        <f t="array" ref="P160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160)),""))</f>
        <v>0</v>
      </c>
      <c r="Q160" s="52" cm="1">
        <f t="array" ref="Q160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160)),""))</f>
        <v>0</v>
      </c>
      <c r="W160">
        <v>-6</v>
      </c>
      <c r="X160">
        <v>-0.20000000000000018</v>
      </c>
      <c r="AC160">
        <v>-9</v>
      </c>
      <c r="AD160">
        <v>-4.0999999999999996</v>
      </c>
      <c r="AJ160" t="str">
        <v>d-16</v>
      </c>
      <c r="AK160">
        <v>-0.60000000000000009</v>
      </c>
      <c r="AP160" t="str">
        <v>d-15</v>
      </c>
      <c r="AQ160">
        <v>-1.3000000000000003</v>
      </c>
      <c r="AS160" t="str">
        <v>d-6</v>
      </c>
      <c r="AT160">
        <v>0.29999999999999982</v>
      </c>
      <c r="AU160" cm="1">
        <f t="array" ref="AU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U160)),""))</f>
        <v>-0.99999999999999956</v>
      </c>
      <c r="AV160" cm="1">
        <f t="array" ref="AV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V160)),""))</f>
        <v>-0.89999999999999991</v>
      </c>
      <c r="AW160" t="str" cm="1">
        <f t="array" ref="AW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W160)),""))</f>
        <v/>
      </c>
      <c r="AX160" t="str" cm="1">
        <f t="array" ref="AX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X160)),""))</f>
        <v/>
      </c>
      <c r="AY160" t="str" cm="1">
        <f t="array" ref="AY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Y160)),""))</f>
        <v/>
      </c>
      <c r="AZ160" t="str" cm="1">
        <f t="array" ref="AZ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AZ160)),""))</f>
        <v/>
      </c>
      <c r="BA160" t="str" cm="1">
        <f t="array" ref="BA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A160)),""))</f>
        <v/>
      </c>
      <c r="BB160" t="str" cm="1">
        <f t="array" ref="BB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B160)),""))</f>
        <v/>
      </c>
      <c r="BC160" t="str" cm="1">
        <f t="array" ref="BC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C160)),""))</f>
        <v/>
      </c>
      <c r="BD160" t="str" cm="1">
        <f t="array" ref="BD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D160)),""))</f>
        <v/>
      </c>
      <c r="BE160" t="str" cm="1">
        <f t="array" ref="BE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E160)),""))</f>
        <v/>
      </c>
      <c r="BF160" t="str" cm="1">
        <f t="array" ref="BF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F160)),""))</f>
        <v/>
      </c>
      <c r="BG160" t="str" cm="1">
        <f t="array" ref="BG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G160)),""))</f>
        <v/>
      </c>
      <c r="BH160" t="str" cm="1">
        <f t="array" ref="BH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H160)),""))</f>
        <v/>
      </c>
      <c r="BI160" t="str" cm="1">
        <f t="array" ref="BI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I160)),""))</f>
        <v/>
      </c>
      <c r="BJ160" t="str" cm="1">
        <f t="array" ref="BJ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J160)),""))</f>
        <v/>
      </c>
      <c r="BK160" t="str" cm="1">
        <f t="array" ref="BK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K160)),""))</f>
        <v/>
      </c>
      <c r="BL160" t="str" cm="1">
        <f t="array" ref="BL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L160)),""))</f>
        <v/>
      </c>
      <c r="BM160" t="str" cm="1">
        <f t="array" ref="BM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M160)),""))</f>
        <v/>
      </c>
      <c r="BN160" t="str" cm="1">
        <f t="array" ref="BN160">IF(COUNTIFS(Calc_Anclaje!$A$5:$A$1058,$B$2,Calc_Anclaje!$H$5:$H$1058,VALUE(SUBSTITUTE($AJ160,"d-","")))&lt;5,"",IFERROR(INDEX(_xlfn._xlws.FILTER(Calc_Anclaje!$O$5:$O$1058,(Calc_Anclaje!$A$5:$A$1058=$B$2)*(Calc_Anclaje!$H$5:$H$1058=VALUE(SUBSTITUTE($AJ160,"d-","")))),COLUMNS($AK160:BN160)),""))</f>
        <v/>
      </c>
    </row>
    <row r="161" spans="1:66">
      <c r="A161" s="52" cm="1">
        <f t="array" ref="A161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161)),""))</f>
        <v>-0.99999999999999956</v>
      </c>
      <c r="B161" s="52" cm="1">
        <f t="array" ref="B161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161)),""))</f>
        <v>-0.60000000000000009</v>
      </c>
      <c r="C161" s="52" cm="1">
        <f t="array" ref="C161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161)),""))</f>
        <v>-0.60000000000000009</v>
      </c>
      <c r="D161" s="52" cm="1">
        <f t="array" ref="D161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161)),""))</f>
        <v>-0.5</v>
      </c>
      <c r="E161" s="52" cm="1">
        <f t="array" ref="E161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161)),""))</f>
        <v>-0.5</v>
      </c>
      <c r="F161" s="52" cm="1">
        <f t="array" ref="F161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161)),""))</f>
        <v>-1.1000000000000001</v>
      </c>
      <c r="G161" s="52" cm="1">
        <f t="array" ref="G161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161)),""))</f>
        <v>-1.1000000000000001</v>
      </c>
      <c r="H161" s="52" cm="1">
        <f t="array" ref="H161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161)),""))</f>
        <v>-0.5</v>
      </c>
      <c r="I161" s="52" cm="1">
        <f t="array" ref="I161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161)),""))</f>
        <v>-0.5</v>
      </c>
      <c r="J161" s="52" cm="1">
        <f t="array" ref="J161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161)),""))</f>
        <v>-1</v>
      </c>
      <c r="K161" s="52" cm="1">
        <f t="array" ref="K161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161)),""))</f>
        <v>-0.89999999999999991</v>
      </c>
      <c r="L161" s="52" cm="1">
        <f t="array" ref="L161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161)),""))</f>
        <v>-1.1000000000000001</v>
      </c>
      <c r="M161" s="52" cm="1">
        <f t="array" ref="M161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161)),""))</f>
        <v>-1</v>
      </c>
      <c r="N161" s="52" cm="1">
        <f t="array" ref="N161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161)),""))</f>
        <v>-0.5</v>
      </c>
      <c r="O161" s="52" cm="1">
        <f t="array" ref="O161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161)),""))</f>
        <v>-0.39999999999999947</v>
      </c>
      <c r="P161" s="52" cm="1">
        <f t="array" ref="P161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161)),""))</f>
        <v>0.10000000000000053</v>
      </c>
      <c r="Q161" s="52" cm="1">
        <f t="array" ref="Q161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161)),""))</f>
        <v>0</v>
      </c>
      <c r="W161">
        <v>-5</v>
      </c>
      <c r="X161">
        <v>0</v>
      </c>
      <c r="AC161">
        <v>-8</v>
      </c>
      <c r="AD161">
        <v>-3</v>
      </c>
      <c r="AJ161" t="str">
        <v>d-16</v>
      </c>
      <c r="AK161">
        <v>-0.99999999999999956</v>
      </c>
      <c r="AP161" t="str">
        <v>d-15</v>
      </c>
      <c r="AQ161">
        <v>-1.4999999999999996</v>
      </c>
      <c r="AS161" t="str">
        <v>d-5</v>
      </c>
      <c r="AT161">
        <v>-2.0999999999999996</v>
      </c>
      <c r="AU161" cm="1">
        <f t="array" ref="AU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U161)),""))</f>
        <v>-0.99999999999999956</v>
      </c>
      <c r="AV161" cm="1">
        <f t="array" ref="AV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V161)),""))</f>
        <v>-0.89999999999999991</v>
      </c>
      <c r="AW161" t="str" cm="1">
        <f t="array" ref="AW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W161)),""))</f>
        <v/>
      </c>
      <c r="AX161" t="str" cm="1">
        <f t="array" ref="AX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X161)),""))</f>
        <v/>
      </c>
      <c r="AY161" t="str" cm="1">
        <f t="array" ref="AY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Y161)),""))</f>
        <v/>
      </c>
      <c r="AZ161" t="str" cm="1">
        <f t="array" ref="AZ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AZ161)),""))</f>
        <v/>
      </c>
      <c r="BA161" t="str" cm="1">
        <f t="array" ref="BA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A161)),""))</f>
        <v/>
      </c>
      <c r="BB161" t="str" cm="1">
        <f t="array" ref="BB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B161)),""))</f>
        <v/>
      </c>
      <c r="BC161" t="str" cm="1">
        <f t="array" ref="BC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C161)),""))</f>
        <v/>
      </c>
      <c r="BD161" t="str" cm="1">
        <f t="array" ref="BD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D161)),""))</f>
        <v/>
      </c>
      <c r="BE161" t="str" cm="1">
        <f t="array" ref="BE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E161)),""))</f>
        <v/>
      </c>
      <c r="BF161" t="str" cm="1">
        <f t="array" ref="BF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F161)),""))</f>
        <v/>
      </c>
      <c r="BG161" t="str" cm="1">
        <f t="array" ref="BG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G161)),""))</f>
        <v/>
      </c>
      <c r="BH161" t="str" cm="1">
        <f t="array" ref="BH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H161)),""))</f>
        <v/>
      </c>
      <c r="BI161" t="str" cm="1">
        <f t="array" ref="BI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I161)),""))</f>
        <v/>
      </c>
      <c r="BJ161" t="str" cm="1">
        <f t="array" ref="BJ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J161)),""))</f>
        <v/>
      </c>
      <c r="BK161" t="str" cm="1">
        <f t="array" ref="BK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K161)),""))</f>
        <v/>
      </c>
      <c r="BL161" t="str" cm="1">
        <f t="array" ref="BL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L161)),""))</f>
        <v/>
      </c>
      <c r="BM161" t="str" cm="1">
        <f t="array" ref="BM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M161)),""))</f>
        <v/>
      </c>
      <c r="BN161" t="str" cm="1">
        <f t="array" ref="BN161">IF(COUNTIFS(Calc_Anclaje!$A$5:$A$1058,$B$2,Calc_Anclaje!$H$5:$H$1058,VALUE(SUBSTITUTE($AJ161,"d-","")))&lt;5,"",IFERROR(INDEX(_xlfn._xlws.FILTER(Calc_Anclaje!$O$5:$O$1058,(Calc_Anclaje!$A$5:$A$1058=$B$2)*(Calc_Anclaje!$H$5:$H$1058=VALUE(SUBSTITUTE($AJ161,"d-","")))),COLUMNS($AK161:BN161)),""))</f>
        <v/>
      </c>
    </row>
    <row r="162" spans="1:66">
      <c r="A162" s="52" cm="1">
        <f t="array" ref="A162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162)),""))</f>
        <v>-0.89999999999999991</v>
      </c>
      <c r="B162" s="52" cm="1">
        <f t="array" ref="B162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162)),""))</f>
        <v>-1.0999999999999996</v>
      </c>
      <c r="C162" s="52" cm="1">
        <f t="array" ref="C162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162)),""))</f>
        <v>-1.0999999999999996</v>
      </c>
      <c r="D162" s="52" cm="1">
        <f t="array" ref="D162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162)),""))</f>
        <v>-0.70000000000000018</v>
      </c>
      <c r="E162" s="52" cm="1">
        <f t="array" ref="E162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162)),""))</f>
        <v>-0.70000000000000018</v>
      </c>
      <c r="F162" s="52" cm="1">
        <f t="array" ref="F162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162)),""))</f>
        <v>-0.39999999999999991</v>
      </c>
      <c r="G162" s="52" cm="1">
        <f t="array" ref="G162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162)),""))</f>
        <v>-0.5</v>
      </c>
      <c r="H162" s="52" cm="1">
        <f t="array" ref="H162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162)),""))</f>
        <v>-0.90000000000000036</v>
      </c>
      <c r="I162" s="52" cm="1">
        <f t="array" ref="I162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162)),""))</f>
        <v>-0.90000000000000036</v>
      </c>
      <c r="J162" s="52" cm="1">
        <f t="array" ref="J162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162)),""))</f>
        <v>-0.20000000000000018</v>
      </c>
      <c r="K162" s="52" cm="1">
        <f t="array" ref="K162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162)),""))</f>
        <v>-0.20000000000000018</v>
      </c>
      <c r="L162" s="52" cm="1">
        <f t="array" ref="L162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162)),""))</f>
        <v>-0.5</v>
      </c>
      <c r="M162" s="52" cm="1">
        <f t="array" ref="M162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162)),""))</f>
        <v>-0.5</v>
      </c>
      <c r="N162" s="52" cm="1">
        <f t="array" ref="N162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162)),""))</f>
        <v>-0.59999999999999964</v>
      </c>
      <c r="O162" s="52" cm="1">
        <f t="array" ref="O162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162)),""))</f>
        <v>-0.5</v>
      </c>
      <c r="P162" s="52" cm="1">
        <f t="array" ref="P162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162)),""))</f>
        <v>-0.20000000000000018</v>
      </c>
      <c r="Q162" s="52" cm="1">
        <f t="array" ref="Q162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162)),""))</f>
        <v>-9.9999999999999645E-2</v>
      </c>
      <c r="W162">
        <v>-4</v>
      </c>
      <c r="X162">
        <v>0</v>
      </c>
      <c r="AC162">
        <v>-15</v>
      </c>
      <c r="AD162">
        <v>-2.6</v>
      </c>
      <c r="AJ162" t="str">
        <v>d-16</v>
      </c>
      <c r="AK162">
        <v>-0.89999999999999991</v>
      </c>
      <c r="AP162" t="str">
        <v>d-15</v>
      </c>
      <c r="AQ162">
        <v>-1.6999999999999997</v>
      </c>
      <c r="AS162" t="str">
        <v>d-5</v>
      </c>
      <c r="AT162">
        <v>-3</v>
      </c>
      <c r="AU162" cm="1">
        <f t="array" ref="AU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U162)),""))</f>
        <v>-0.99999999999999956</v>
      </c>
      <c r="AV162" cm="1">
        <f t="array" ref="AV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V162)),""))</f>
        <v>-0.89999999999999991</v>
      </c>
      <c r="AW162" t="str" cm="1">
        <f t="array" ref="AW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W162)),""))</f>
        <v/>
      </c>
      <c r="AX162" t="str" cm="1">
        <f t="array" ref="AX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X162)),""))</f>
        <v/>
      </c>
      <c r="AY162" t="str" cm="1">
        <f t="array" ref="AY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Y162)),""))</f>
        <v/>
      </c>
      <c r="AZ162" t="str" cm="1">
        <f t="array" ref="AZ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AZ162)),""))</f>
        <v/>
      </c>
      <c r="BA162" t="str" cm="1">
        <f t="array" ref="BA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A162)),""))</f>
        <v/>
      </c>
      <c r="BB162" t="str" cm="1">
        <f t="array" ref="BB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B162)),""))</f>
        <v/>
      </c>
      <c r="BC162" t="str" cm="1">
        <f t="array" ref="BC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C162)),""))</f>
        <v/>
      </c>
      <c r="BD162" t="str" cm="1">
        <f t="array" ref="BD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D162)),""))</f>
        <v/>
      </c>
      <c r="BE162" t="str" cm="1">
        <f t="array" ref="BE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E162)),""))</f>
        <v/>
      </c>
      <c r="BF162" t="str" cm="1">
        <f t="array" ref="BF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F162)),""))</f>
        <v/>
      </c>
      <c r="BG162" t="str" cm="1">
        <f t="array" ref="BG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G162)),""))</f>
        <v/>
      </c>
      <c r="BH162" t="str" cm="1">
        <f t="array" ref="BH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H162)),""))</f>
        <v/>
      </c>
      <c r="BI162" t="str" cm="1">
        <f t="array" ref="BI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I162)),""))</f>
        <v/>
      </c>
      <c r="BJ162" t="str" cm="1">
        <f t="array" ref="BJ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J162)),""))</f>
        <v/>
      </c>
      <c r="BK162" t="str" cm="1">
        <f t="array" ref="BK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K162)),""))</f>
        <v/>
      </c>
      <c r="BL162" t="str" cm="1">
        <f t="array" ref="BL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L162)),""))</f>
        <v/>
      </c>
      <c r="BM162" t="str" cm="1">
        <f t="array" ref="BM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M162)),""))</f>
        <v/>
      </c>
      <c r="BN162" t="str" cm="1">
        <f t="array" ref="BN162">IF(COUNTIFS(Calc_Anclaje!$A$5:$A$1058,$B$2,Calc_Anclaje!$H$5:$H$1058,VALUE(SUBSTITUTE($AJ162,"d-","")))&lt;5,"",IFERROR(INDEX(_xlfn._xlws.FILTER(Calc_Anclaje!$O$5:$O$1058,(Calc_Anclaje!$A$5:$A$1058=$B$2)*(Calc_Anclaje!$H$5:$H$1058=VALUE(SUBSTITUTE($AJ162,"d-","")))),COLUMNS($AK162:BN162)),""))</f>
        <v/>
      </c>
    </row>
    <row r="163" spans="1:66">
      <c r="A163" s="52" t="str" cm="1">
        <f t="array" ref="A163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163)),""))</f>
        <v/>
      </c>
      <c r="B163" s="52" cm="1">
        <f t="array" ref="B163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163)),""))</f>
        <v>-0.89999999999999991</v>
      </c>
      <c r="C163" s="52" cm="1">
        <f t="array" ref="C163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163)),""))</f>
        <v>-0.89999999999999991</v>
      </c>
      <c r="D163" s="52" cm="1">
        <f t="array" ref="D163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163)),""))</f>
        <v>-1.0999999999999996</v>
      </c>
      <c r="E163" s="52" cm="1">
        <f t="array" ref="E163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163)),""))</f>
        <v>-1.0999999999999996</v>
      </c>
      <c r="F163" s="52" cm="1">
        <f t="array" ref="F163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163)),""))</f>
        <v>-0.70000000000000018</v>
      </c>
      <c r="G163" s="52" cm="1">
        <f t="array" ref="G163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163)),""))</f>
        <v>-0.70000000000000018</v>
      </c>
      <c r="H163" s="52" cm="1">
        <f t="array" ref="H163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163)),""))</f>
        <v>-0.5</v>
      </c>
      <c r="I163" s="52" cm="1">
        <f t="array" ref="I163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163)),""))</f>
        <v>-0.5</v>
      </c>
      <c r="J163" s="52" cm="1">
        <f t="array" ref="J163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163)),""))</f>
        <v>-0.90000000000000036</v>
      </c>
      <c r="K163" s="52" cm="1">
        <f t="array" ref="K163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163)),""))</f>
        <v>-0.90000000000000036</v>
      </c>
      <c r="L163" s="52" cm="1">
        <f t="array" ref="L163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163)),""))</f>
        <v>0</v>
      </c>
      <c r="M163" s="52" cm="1">
        <f t="array" ref="M163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163)),""))</f>
        <v>0</v>
      </c>
      <c r="N163" s="52" cm="1">
        <f t="array" ref="N163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163)),""))</f>
        <v>-9.9999999999999645E-2</v>
      </c>
      <c r="O163" s="52" cm="1">
        <f t="array" ref="O163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163)),""))</f>
        <v>-0.20000000000000018</v>
      </c>
      <c r="P163" s="52" cm="1">
        <f t="array" ref="P163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163)),""))</f>
        <v>0.20000000000000018</v>
      </c>
      <c r="Q163" s="52" cm="1">
        <f t="array" ref="Q163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163)),""))</f>
        <v>9.9999999999999645E-2</v>
      </c>
      <c r="W163">
        <v>-3</v>
      </c>
      <c r="X163">
        <v>0.19999999999999973</v>
      </c>
      <c r="AC163">
        <v>-14</v>
      </c>
      <c r="AD163">
        <v>-2.5</v>
      </c>
      <c r="AJ163" t="str">
        <v>d-15</v>
      </c>
      <c r="AK163">
        <v>-2.6</v>
      </c>
      <c r="AP163" t="str">
        <v>d-15</v>
      </c>
      <c r="AQ163">
        <v>-1.9</v>
      </c>
      <c r="AS163" t="str">
        <v>d-5</v>
      </c>
      <c r="AT163">
        <v>-3.9000000000000004</v>
      </c>
      <c r="AU163" cm="1">
        <f t="array" ref="AU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U163)),""))</f>
        <v>-0.60000000000000009</v>
      </c>
      <c r="AV163" cm="1">
        <f t="array" ref="AV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V163)),""))</f>
        <v>-1.0999999999999996</v>
      </c>
      <c r="AW163" cm="1">
        <f t="array" ref="AW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W163)),""))</f>
        <v>-0.89999999999999991</v>
      </c>
      <c r="AX163" t="str" cm="1">
        <f t="array" ref="AX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X163)),""))</f>
        <v/>
      </c>
      <c r="AY163" t="str" cm="1">
        <f t="array" ref="AY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Y163)),""))</f>
        <v/>
      </c>
      <c r="AZ163" t="str" cm="1">
        <f t="array" ref="AZ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AZ163)),""))</f>
        <v/>
      </c>
      <c r="BA163" t="str" cm="1">
        <f t="array" ref="BA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A163)),""))</f>
        <v/>
      </c>
      <c r="BB163" t="str" cm="1">
        <f t="array" ref="BB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B163)),""))</f>
        <v/>
      </c>
      <c r="BC163" t="str" cm="1">
        <f t="array" ref="BC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C163)),""))</f>
        <v/>
      </c>
      <c r="BD163" t="str" cm="1">
        <f t="array" ref="BD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D163)),""))</f>
        <v/>
      </c>
      <c r="BE163" t="str" cm="1">
        <f t="array" ref="BE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E163)),""))</f>
        <v/>
      </c>
      <c r="BF163" t="str" cm="1">
        <f t="array" ref="BF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F163)),""))</f>
        <v/>
      </c>
      <c r="BG163" t="str" cm="1">
        <f t="array" ref="BG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G163)),""))</f>
        <v/>
      </c>
      <c r="BH163" t="str" cm="1">
        <f t="array" ref="BH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H163)),""))</f>
        <v/>
      </c>
      <c r="BI163" t="str" cm="1">
        <f t="array" ref="BI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I163)),""))</f>
        <v/>
      </c>
      <c r="BJ163" t="str" cm="1">
        <f t="array" ref="BJ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J163)),""))</f>
        <v/>
      </c>
      <c r="BK163" t="str" cm="1">
        <f t="array" ref="BK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K163)),""))</f>
        <v/>
      </c>
      <c r="BL163" t="str" cm="1">
        <f t="array" ref="BL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L163)),""))</f>
        <v/>
      </c>
      <c r="BM163" t="str" cm="1">
        <f t="array" ref="BM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M163)),""))</f>
        <v/>
      </c>
      <c r="BN163" t="str" cm="1">
        <f t="array" ref="BN163">IF(COUNTIFS(Calc_Anclaje!$A$5:$A$1058,$B$2,Calc_Anclaje!$H$5:$H$1058,VALUE(SUBSTITUTE($AJ163,"d-","")))&lt;5,"",IFERROR(INDEX(_xlfn._xlws.FILTER(Calc_Anclaje!$O$5:$O$1058,(Calc_Anclaje!$A$5:$A$1058=$B$2)*(Calc_Anclaje!$H$5:$H$1058=VALUE(SUBSTITUTE($AJ163,"d-","")))),COLUMNS($AK163:BN163)),""))</f>
        <v/>
      </c>
    </row>
    <row r="164" spans="1:66">
      <c r="A164" s="52" t="str" cm="1">
        <f t="array" ref="A164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164)),""))</f>
        <v/>
      </c>
      <c r="B164" s="52" t="str" cm="1">
        <f t="array" ref="B164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164)),""))</f>
        <v/>
      </c>
      <c r="C164" s="52" t="str" cm="1">
        <f t="array" ref="C164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164)),""))</f>
        <v/>
      </c>
      <c r="D164" s="52" cm="1">
        <f t="array" ref="D164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164)),""))</f>
        <v>-0.89999999999999991</v>
      </c>
      <c r="E164" s="52" cm="1">
        <f t="array" ref="E164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164)),""))</f>
        <v>-0.79999999999999982</v>
      </c>
      <c r="F164" s="52" cm="1">
        <f t="array" ref="F164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164)),""))</f>
        <v>-1.0999999999999996</v>
      </c>
      <c r="G164" s="52" cm="1">
        <f t="array" ref="G164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164)),""))</f>
        <v>-0.89999999999999947</v>
      </c>
      <c r="H164" s="52" cm="1">
        <f t="array" ref="H164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164)),""))</f>
        <v>-0.70000000000000018</v>
      </c>
      <c r="I164" s="52" cm="1">
        <f t="array" ref="I164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164)),""))</f>
        <v>-0.40000000000000036</v>
      </c>
      <c r="J164" s="52" cm="1">
        <f t="array" ref="J164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164)),""))</f>
        <v>-0.5</v>
      </c>
      <c r="K164" s="52" cm="1">
        <f t="array" ref="K164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164)),""))</f>
        <v>-0.20000000000000018</v>
      </c>
      <c r="L164" s="52" cm="1">
        <f t="array" ref="L164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164)),""))</f>
        <v>-0.80000000000000027</v>
      </c>
      <c r="M164" s="52" cm="1">
        <f t="array" ref="M164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164)),""))</f>
        <v>-0.70000000000000018</v>
      </c>
      <c r="N164" s="52" cm="1">
        <f t="array" ref="N164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164)),""))</f>
        <v>0.19999999999999973</v>
      </c>
      <c r="O164" s="52" cm="1">
        <f t="array" ref="O164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164)),""))</f>
        <v>9.9999999999999645E-2</v>
      </c>
      <c r="P164" s="52" cm="1">
        <f t="array" ref="P164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164)),""))</f>
        <v>0.20000000000000018</v>
      </c>
      <c r="Q164" s="52" cm="1">
        <f t="array" ref="Q164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164)),""))</f>
        <v>9.9999999999999645E-2</v>
      </c>
      <c r="W164">
        <v>-2</v>
      </c>
      <c r="X164">
        <v>9.9999999999999645E-2</v>
      </c>
      <c r="AC164">
        <v>-13</v>
      </c>
      <c r="AD164">
        <v>-2.5</v>
      </c>
      <c r="AJ164" t="str">
        <v>d-15</v>
      </c>
      <c r="AK164">
        <v>-1.4999999999999996</v>
      </c>
      <c r="AP164" t="str">
        <v>d-15</v>
      </c>
      <c r="AQ164">
        <v>-1.4</v>
      </c>
      <c r="AS164" t="str">
        <v>d-5</v>
      </c>
      <c r="AT164">
        <v>-1.5999999999999996</v>
      </c>
      <c r="AU164" cm="1">
        <f t="array" ref="AU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U164)),""))</f>
        <v>-0.60000000000000009</v>
      </c>
      <c r="AV164" cm="1">
        <f t="array" ref="AV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V164)),""))</f>
        <v>-1.0999999999999996</v>
      </c>
      <c r="AW164" cm="1">
        <f t="array" ref="AW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W164)),""))</f>
        <v>-0.89999999999999991</v>
      </c>
      <c r="AX164" t="str" cm="1">
        <f t="array" ref="AX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X164)),""))</f>
        <v/>
      </c>
      <c r="AY164" t="str" cm="1">
        <f t="array" ref="AY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Y164)),""))</f>
        <v/>
      </c>
      <c r="AZ164" t="str" cm="1">
        <f t="array" ref="AZ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AZ164)),""))</f>
        <v/>
      </c>
      <c r="BA164" t="str" cm="1">
        <f t="array" ref="BA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A164)),""))</f>
        <v/>
      </c>
      <c r="BB164" t="str" cm="1">
        <f t="array" ref="BB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B164)),""))</f>
        <v/>
      </c>
      <c r="BC164" t="str" cm="1">
        <f t="array" ref="BC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C164)),""))</f>
        <v/>
      </c>
      <c r="BD164" t="str" cm="1">
        <f t="array" ref="BD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D164)),""))</f>
        <v/>
      </c>
      <c r="BE164" t="str" cm="1">
        <f t="array" ref="BE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E164)),""))</f>
        <v/>
      </c>
      <c r="BF164" t="str" cm="1">
        <f t="array" ref="BF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F164)),""))</f>
        <v/>
      </c>
      <c r="BG164" t="str" cm="1">
        <f t="array" ref="BG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G164)),""))</f>
        <v/>
      </c>
      <c r="BH164" t="str" cm="1">
        <f t="array" ref="BH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H164)),""))</f>
        <v/>
      </c>
      <c r="BI164" t="str" cm="1">
        <f t="array" ref="BI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I164)),""))</f>
        <v/>
      </c>
      <c r="BJ164" t="str" cm="1">
        <f t="array" ref="BJ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J164)),""))</f>
        <v/>
      </c>
      <c r="BK164" t="str" cm="1">
        <f t="array" ref="BK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K164)),""))</f>
        <v/>
      </c>
      <c r="BL164" t="str" cm="1">
        <f t="array" ref="BL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L164)),""))</f>
        <v/>
      </c>
      <c r="BM164" t="str" cm="1">
        <f t="array" ref="BM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M164)),""))</f>
        <v/>
      </c>
      <c r="BN164" t="str" cm="1">
        <f t="array" ref="BN164">IF(COUNTIFS(Calc_Anclaje!$A$5:$A$1058,$B$2,Calc_Anclaje!$H$5:$H$1058,VALUE(SUBSTITUTE($AJ164,"d-","")))&lt;5,"",IFERROR(INDEX(_xlfn._xlws.FILTER(Calc_Anclaje!$O$5:$O$1058,(Calc_Anclaje!$A$5:$A$1058=$B$2)*(Calc_Anclaje!$H$5:$H$1058=VALUE(SUBSTITUTE($AJ164,"d-","")))),COLUMNS($AK164:BN164)),""))</f>
        <v/>
      </c>
    </row>
    <row r="165" spans="1:66">
      <c r="A165" s="52" t="str" cm="1">
        <f t="array" ref="A165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165)),""))</f>
        <v/>
      </c>
      <c r="B165" s="52" t="str" cm="1">
        <f t="array" ref="B165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165)),""))</f>
        <v/>
      </c>
      <c r="C165" s="52" t="str" cm="1">
        <f t="array" ref="C165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165)),""))</f>
        <v/>
      </c>
      <c r="D165" s="52" t="str" cm="1">
        <f t="array" ref="D165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165)),""))</f>
        <v/>
      </c>
      <c r="E165" s="52" t="str" cm="1">
        <f t="array" ref="E165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165)),""))</f>
        <v/>
      </c>
      <c r="F165" s="52" cm="1">
        <f t="array" ref="F165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165)),""))</f>
        <v>-0.79999999999999982</v>
      </c>
      <c r="G165" s="52" cm="1">
        <f t="array" ref="G165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165)),""))</f>
        <v>-0.79999999999999982</v>
      </c>
      <c r="H165" s="52" cm="1">
        <f t="array" ref="H165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165)),""))</f>
        <v>-0.89999999999999947</v>
      </c>
      <c r="I165" s="52" cm="1">
        <f t="array" ref="I165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165)),""))</f>
        <v>-0.89999999999999947</v>
      </c>
      <c r="J165" s="52" cm="1">
        <f t="array" ref="J165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165)),""))</f>
        <v>-0.40000000000000036</v>
      </c>
      <c r="K165" s="52" cm="1">
        <f t="array" ref="K165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165)),""))</f>
        <v>-0.40000000000000036</v>
      </c>
      <c r="L165" s="52" cm="1">
        <f t="array" ref="L165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165)),""))</f>
        <v>-0.20000000000000018</v>
      </c>
      <c r="M165" s="52" cm="1">
        <f t="array" ref="M165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165)),""))</f>
        <v>-0.20000000000000018</v>
      </c>
      <c r="N165" s="52" cm="1">
        <f t="array" ref="N165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165)),""))</f>
        <v>-0.70000000000000018</v>
      </c>
      <c r="O165" s="52" cm="1">
        <f t="array" ref="O165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165)),""))</f>
        <v>-0.70000000000000018</v>
      </c>
      <c r="P165" s="52" cm="1">
        <f t="array" ref="P165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165)),""))</f>
        <v>0</v>
      </c>
      <c r="Q165" s="52" cm="1">
        <f t="array" ref="Q165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165)),""))</f>
        <v>0</v>
      </c>
      <c r="W165">
        <v>-1</v>
      </c>
      <c r="X165">
        <v>0</v>
      </c>
      <c r="AC165">
        <v>-12</v>
      </c>
      <c r="AD165">
        <v>-2.5</v>
      </c>
      <c r="AJ165" t="str">
        <v>d-15</v>
      </c>
      <c r="AK165">
        <v>-1.3000000000000003</v>
      </c>
      <c r="AP165" t="str">
        <v>d-15</v>
      </c>
      <c r="AQ165">
        <v>-1.1000000000000001</v>
      </c>
      <c r="AS165" t="str">
        <v>d-5</v>
      </c>
      <c r="AT165">
        <v>-0.40000000000000036</v>
      </c>
      <c r="AU165" cm="1">
        <f t="array" ref="AU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U165)),""))</f>
        <v>-0.60000000000000009</v>
      </c>
      <c r="AV165" cm="1">
        <f t="array" ref="AV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V165)),""))</f>
        <v>-1.0999999999999996</v>
      </c>
      <c r="AW165" cm="1">
        <f t="array" ref="AW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W165)),""))</f>
        <v>-0.89999999999999991</v>
      </c>
      <c r="AX165" t="str" cm="1">
        <f t="array" ref="AX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X165)),""))</f>
        <v/>
      </c>
      <c r="AY165" t="str" cm="1">
        <f t="array" ref="AY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Y165)),""))</f>
        <v/>
      </c>
      <c r="AZ165" t="str" cm="1">
        <f t="array" ref="AZ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AZ165)),""))</f>
        <v/>
      </c>
      <c r="BA165" t="str" cm="1">
        <f t="array" ref="BA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A165)),""))</f>
        <v/>
      </c>
      <c r="BB165" t="str" cm="1">
        <f t="array" ref="BB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B165)),""))</f>
        <v/>
      </c>
      <c r="BC165" t="str" cm="1">
        <f t="array" ref="BC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C165)),""))</f>
        <v/>
      </c>
      <c r="BD165" t="str" cm="1">
        <f t="array" ref="BD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D165)),""))</f>
        <v/>
      </c>
      <c r="BE165" t="str" cm="1">
        <f t="array" ref="BE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E165)),""))</f>
        <v/>
      </c>
      <c r="BF165" t="str" cm="1">
        <f t="array" ref="BF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F165)),""))</f>
        <v/>
      </c>
      <c r="BG165" t="str" cm="1">
        <f t="array" ref="BG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G165)),""))</f>
        <v/>
      </c>
      <c r="BH165" t="str" cm="1">
        <f t="array" ref="BH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H165)),""))</f>
        <v/>
      </c>
      <c r="BI165" t="str" cm="1">
        <f t="array" ref="BI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I165)),""))</f>
        <v/>
      </c>
      <c r="BJ165" t="str" cm="1">
        <f t="array" ref="BJ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J165)),""))</f>
        <v/>
      </c>
      <c r="BK165" t="str" cm="1">
        <f t="array" ref="BK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K165)),""))</f>
        <v/>
      </c>
      <c r="BL165" t="str" cm="1">
        <f t="array" ref="BL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L165)),""))</f>
        <v/>
      </c>
      <c r="BM165" t="str" cm="1">
        <f t="array" ref="BM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M165)),""))</f>
        <v/>
      </c>
      <c r="BN165" t="str" cm="1">
        <f t="array" ref="BN165">IF(COUNTIFS(Calc_Anclaje!$A$5:$A$1058,$B$2,Calc_Anclaje!$H$5:$H$1058,VALUE(SUBSTITUTE($AJ165,"d-","")))&lt;5,"",IFERROR(INDEX(_xlfn._xlws.FILTER(Calc_Anclaje!$O$5:$O$1058,(Calc_Anclaje!$A$5:$A$1058=$B$2)*(Calc_Anclaje!$H$5:$H$1058=VALUE(SUBSTITUTE($AJ165,"d-","")))),COLUMNS($AK165:BN165)),""))</f>
        <v/>
      </c>
    </row>
    <row r="166" spans="1:66">
      <c r="A166" s="52" t="str" cm="1">
        <f t="array" ref="A166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166)),""))</f>
        <v/>
      </c>
      <c r="B166" s="52" t="str" cm="1">
        <f t="array" ref="B166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166)),""))</f>
        <v/>
      </c>
      <c r="C166" s="52" t="str" cm="1">
        <f t="array" ref="C166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166)),""))</f>
        <v/>
      </c>
      <c r="D166" s="52" t="str" cm="1">
        <f t="array" ref="D166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166)),""))</f>
        <v/>
      </c>
      <c r="E166" s="52" t="str" cm="1">
        <f t="array" ref="E166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166)),""))</f>
        <v/>
      </c>
      <c r="F166" s="52" t="str" cm="1">
        <f t="array" ref="F166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166)),""))</f>
        <v/>
      </c>
      <c r="G166" s="52" t="str" cm="1">
        <f t="array" ref="G166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166)),""))</f>
        <v/>
      </c>
      <c r="H166" s="52" cm="1">
        <f t="array" ref="H166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166)),""))</f>
        <v>-0.79999999999999982</v>
      </c>
      <c r="I166" s="52" cm="1">
        <f t="array" ref="I166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166)),""))</f>
        <v>-0.79999999999999982</v>
      </c>
      <c r="J166" s="52" cm="1">
        <f t="array" ref="J166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166)),""))</f>
        <v>-0.89999999999999947</v>
      </c>
      <c r="K166" s="52" cm="1">
        <f t="array" ref="K166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166)),""))</f>
        <v>-0.69999999999999973</v>
      </c>
      <c r="L166" s="52" cm="1">
        <f t="array" ref="L166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166)),""))</f>
        <v>-0.40000000000000036</v>
      </c>
      <c r="M166" s="52" cm="1">
        <f t="array" ref="M166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166)),""))</f>
        <v>0</v>
      </c>
      <c r="N166" s="52" cm="1">
        <f t="array" ref="N166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166)),""))</f>
        <v>-0.10000000000000009</v>
      </c>
      <c r="O166" s="52" cm="1">
        <f t="array" ref="O166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166)),""))</f>
        <v>0.49999999999999956</v>
      </c>
      <c r="P166" s="52" cm="1">
        <f t="array" ref="P166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166)),""))</f>
        <v>-0.30000000000000027</v>
      </c>
      <c r="Q166" s="52" cm="1">
        <f t="array" ref="Q166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166)),""))</f>
        <v>9.9999999999999645E-2</v>
      </c>
      <c r="W166">
        <v>0</v>
      </c>
      <c r="X166">
        <v>0</v>
      </c>
      <c r="AC166">
        <v>-11</v>
      </c>
      <c r="AD166">
        <v>-2.5</v>
      </c>
      <c r="AJ166" t="str">
        <v>d-15</v>
      </c>
      <c r="AK166">
        <v>-1.4999999999999996</v>
      </c>
      <c r="AP166" t="str">
        <v>d-15</v>
      </c>
      <c r="AQ166">
        <v>-1.0999999999999996</v>
      </c>
      <c r="AS166" t="str">
        <v>d-5</v>
      </c>
      <c r="AT166">
        <v>9.9999999999999645E-2</v>
      </c>
      <c r="AU166" cm="1">
        <f t="array" ref="AU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U166)),""))</f>
        <v>-0.60000000000000009</v>
      </c>
      <c r="AV166" cm="1">
        <f t="array" ref="AV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V166)),""))</f>
        <v>-1.0999999999999996</v>
      </c>
      <c r="AW166" cm="1">
        <f t="array" ref="AW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W166)),""))</f>
        <v>-0.89999999999999991</v>
      </c>
      <c r="AX166" t="str" cm="1">
        <f t="array" ref="AX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X166)),""))</f>
        <v/>
      </c>
      <c r="AY166" t="str" cm="1">
        <f t="array" ref="AY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Y166)),""))</f>
        <v/>
      </c>
      <c r="AZ166" t="str" cm="1">
        <f t="array" ref="AZ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AZ166)),""))</f>
        <v/>
      </c>
      <c r="BA166" t="str" cm="1">
        <f t="array" ref="BA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A166)),""))</f>
        <v/>
      </c>
      <c r="BB166" t="str" cm="1">
        <f t="array" ref="BB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B166)),""))</f>
        <v/>
      </c>
      <c r="BC166" t="str" cm="1">
        <f t="array" ref="BC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C166)),""))</f>
        <v/>
      </c>
      <c r="BD166" t="str" cm="1">
        <f t="array" ref="BD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D166)),""))</f>
        <v/>
      </c>
      <c r="BE166" t="str" cm="1">
        <f t="array" ref="BE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E166)),""))</f>
        <v/>
      </c>
      <c r="BF166" t="str" cm="1">
        <f t="array" ref="BF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F166)),""))</f>
        <v/>
      </c>
      <c r="BG166" t="str" cm="1">
        <f t="array" ref="BG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G166)),""))</f>
        <v/>
      </c>
      <c r="BH166" t="str" cm="1">
        <f t="array" ref="BH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H166)),""))</f>
        <v/>
      </c>
      <c r="BI166" t="str" cm="1">
        <f t="array" ref="BI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I166)),""))</f>
        <v/>
      </c>
      <c r="BJ166" t="str" cm="1">
        <f t="array" ref="BJ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J166)),""))</f>
        <v/>
      </c>
      <c r="BK166" t="str" cm="1">
        <f t="array" ref="BK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K166)),""))</f>
        <v/>
      </c>
      <c r="BL166" t="str" cm="1">
        <f t="array" ref="BL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L166)),""))</f>
        <v/>
      </c>
      <c r="BM166" t="str" cm="1">
        <f t="array" ref="BM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M166)),""))</f>
        <v/>
      </c>
      <c r="BN166" t="str" cm="1">
        <f t="array" ref="BN166">IF(COUNTIFS(Calc_Anclaje!$A$5:$A$1058,$B$2,Calc_Anclaje!$H$5:$H$1058,VALUE(SUBSTITUTE($AJ166,"d-","")))&lt;5,"",IFERROR(INDEX(_xlfn._xlws.FILTER(Calc_Anclaje!$O$5:$O$1058,(Calc_Anclaje!$A$5:$A$1058=$B$2)*(Calc_Anclaje!$H$5:$H$1058=VALUE(SUBSTITUTE($AJ166,"d-","")))),COLUMNS($AK166:BN166)),""))</f>
        <v/>
      </c>
    </row>
    <row r="167" spans="1:66">
      <c r="A167" s="52" t="str" cm="1">
        <f t="array" ref="A167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167)),""))</f>
        <v/>
      </c>
      <c r="B167" s="52" t="str" cm="1">
        <f t="array" ref="B167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167)),""))</f>
        <v/>
      </c>
      <c r="C167" s="52" t="str" cm="1">
        <f t="array" ref="C167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167)),""))</f>
        <v/>
      </c>
      <c r="D167" s="52" t="str" cm="1">
        <f t="array" ref="D167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167)),""))</f>
        <v/>
      </c>
      <c r="E167" s="52" t="str" cm="1">
        <f t="array" ref="E167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167)),""))</f>
        <v/>
      </c>
      <c r="F167" s="52" t="str" cm="1">
        <f t="array" ref="F167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167)),""))</f>
        <v/>
      </c>
      <c r="G167" s="52" t="str" cm="1">
        <f t="array" ref="G167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167)),""))</f>
        <v/>
      </c>
      <c r="H167" s="52" t="str" cm="1">
        <f t="array" ref="H167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167)),""))</f>
        <v/>
      </c>
      <c r="I167" s="52" t="str" cm="1">
        <f t="array" ref="I167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167)),""))</f>
        <v/>
      </c>
      <c r="J167" s="52" cm="1">
        <f t="array" ref="J167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167)),""))</f>
        <v>-0.79999999999999982</v>
      </c>
      <c r="K167" s="52" cm="1">
        <f t="array" ref="K167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167)),""))</f>
        <v>-0.79999999999999982</v>
      </c>
      <c r="L167" s="52" cm="1">
        <f t="array" ref="L167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167)),""))</f>
        <v>-0.69999999999999973</v>
      </c>
      <c r="M167" s="52" cm="1">
        <f t="array" ref="M167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167)),""))</f>
        <v>-0.69999999999999973</v>
      </c>
      <c r="N167" s="52" cm="1">
        <f t="array" ref="N167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167)),""))</f>
        <v>0</v>
      </c>
      <c r="O167" s="52" cm="1">
        <f t="array" ref="O167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167)),""))</f>
        <v>-0.10000000000000009</v>
      </c>
      <c r="P167" s="52" cm="1">
        <f t="array" ref="P167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167)),""))</f>
        <v>0.19999999999999973</v>
      </c>
      <c r="Q167" s="52" cm="1">
        <f t="array" ref="Q167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167)),""))</f>
        <v>0</v>
      </c>
      <c r="W167">
        <v>-16</v>
      </c>
      <c r="X167">
        <v>-0.5</v>
      </c>
      <c r="AC167">
        <v>-10</v>
      </c>
      <c r="AD167">
        <v>-2.3000000000000003</v>
      </c>
      <c r="AJ167" t="str">
        <v>d-15</v>
      </c>
      <c r="AK167">
        <v>-1.6999999999999997</v>
      </c>
      <c r="AP167" t="str">
        <v>d-14</v>
      </c>
      <c r="AQ167">
        <v>-1.4999999999999996</v>
      </c>
      <c r="AS167" t="str">
        <v>d-4</v>
      </c>
      <c r="AT167">
        <v>-1.7000000000000002</v>
      </c>
    </row>
    <row r="168" spans="1:66">
      <c r="A168" s="52" t="str" cm="1">
        <f t="array" ref="A168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168)),""))</f>
        <v/>
      </c>
      <c r="B168" s="52" t="str" cm="1">
        <f t="array" ref="B168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168)),""))</f>
        <v/>
      </c>
      <c r="C168" s="52" t="str" cm="1">
        <f t="array" ref="C168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168)),""))</f>
        <v/>
      </c>
      <c r="D168" s="52" t="str" cm="1">
        <f t="array" ref="D168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168)),""))</f>
        <v/>
      </c>
      <c r="E168" s="52" t="str" cm="1">
        <f t="array" ref="E168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168)),""))</f>
        <v/>
      </c>
      <c r="F168" s="52" t="str" cm="1">
        <f t="array" ref="F168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168)),""))</f>
        <v/>
      </c>
      <c r="G168" s="52" t="str" cm="1">
        <f t="array" ref="G168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168)),""))</f>
        <v/>
      </c>
      <c r="H168" s="52" t="str" cm="1">
        <f t="array" ref="H168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168)),""))</f>
        <v/>
      </c>
      <c r="I168" s="52" t="str" cm="1">
        <f t="array" ref="I168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168)),""))</f>
        <v/>
      </c>
      <c r="J168" s="52" t="str" cm="1">
        <f t="array" ref="J168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168)),""))</f>
        <v/>
      </c>
      <c r="K168" s="52" t="str" cm="1">
        <f t="array" ref="K168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168)),""))</f>
        <v/>
      </c>
      <c r="L168" s="52" cm="1">
        <f t="array" ref="L168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168)),""))</f>
        <v>-0.69999999999999973</v>
      </c>
      <c r="M168" s="52" cm="1">
        <f t="array" ref="M168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168)),""))</f>
        <v>-0.60000000000000009</v>
      </c>
      <c r="N168" s="52" cm="1">
        <f t="array" ref="N168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168)),""))</f>
        <v>-0.59999999999999964</v>
      </c>
      <c r="O168" s="52" cm="1">
        <f t="array" ref="O168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168)),""))</f>
        <v>-0.39999999999999947</v>
      </c>
      <c r="P168" s="52" cm="1">
        <f t="array" ref="P168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168)),""))</f>
        <v>-0.20000000000000018</v>
      </c>
      <c r="Q168" s="52" cm="1">
        <f t="array" ref="Q168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168)),""))</f>
        <v>0</v>
      </c>
      <c r="W168">
        <v>-15</v>
      </c>
      <c r="X168">
        <v>-0.5</v>
      </c>
      <c r="AC168">
        <v>-9</v>
      </c>
      <c r="AD168">
        <v>-2.2000000000000002</v>
      </c>
      <c r="AJ168" t="str">
        <v>d-15</v>
      </c>
      <c r="AK168">
        <v>-1.9</v>
      </c>
      <c r="AP168" t="str">
        <v>d-14</v>
      </c>
      <c r="AQ168">
        <v>-1.2000000000000002</v>
      </c>
      <c r="AS168" t="str">
        <v>d-4</v>
      </c>
      <c r="AT168">
        <v>-2.7</v>
      </c>
    </row>
    <row r="169" spans="1:66">
      <c r="A169" s="52" t="str" cm="1">
        <f t="array" ref="A169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169)),""))</f>
        <v/>
      </c>
      <c r="B169" s="52" t="str" cm="1">
        <f t="array" ref="B169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169)),""))</f>
        <v/>
      </c>
      <c r="C169" s="52" t="str" cm="1">
        <f t="array" ref="C169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169)),""))</f>
        <v/>
      </c>
      <c r="D169" s="52" t="str" cm="1">
        <f t="array" ref="D169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169)),""))</f>
        <v/>
      </c>
      <c r="E169" s="52" t="str" cm="1">
        <f t="array" ref="E169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169)),""))</f>
        <v/>
      </c>
      <c r="F169" s="52" t="str" cm="1">
        <f t="array" ref="F169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169)),""))</f>
        <v/>
      </c>
      <c r="G169" s="52" t="str" cm="1">
        <f t="array" ref="G169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169)),""))</f>
        <v/>
      </c>
      <c r="H169" s="52" t="str" cm="1">
        <f t="array" ref="H169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169)),""))</f>
        <v/>
      </c>
      <c r="I169" s="52" t="str" cm="1">
        <f t="array" ref="I169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169)),""))</f>
        <v/>
      </c>
      <c r="J169" s="52" t="str" cm="1">
        <f t="array" ref="J169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169)),""))</f>
        <v/>
      </c>
      <c r="K169" s="52" t="str" cm="1">
        <f t="array" ref="K169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169)),""))</f>
        <v/>
      </c>
      <c r="L169" s="52" t="str" cm="1">
        <f t="array" ref="L169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169)),""))</f>
        <v/>
      </c>
      <c r="M169" s="52" t="str" cm="1">
        <f t="array" ref="M169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169)),""))</f>
        <v/>
      </c>
      <c r="N169" s="52" cm="1">
        <f t="array" ref="N169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169)),""))</f>
        <v>-0.10000000000000009</v>
      </c>
      <c r="O169" s="52" cm="1">
        <f t="array" ref="O169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169)),""))</f>
        <v>0.10000000000000009</v>
      </c>
      <c r="P169" s="52" cm="1">
        <f t="array" ref="P169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169)),""))</f>
        <v>-9.9999999999999645E-2</v>
      </c>
      <c r="Q169" s="52" cm="1">
        <f t="array" ref="Q169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169)),""))</f>
        <v>0</v>
      </c>
      <c r="W169">
        <v>-14</v>
      </c>
      <c r="X169">
        <v>-0.5</v>
      </c>
      <c r="AC169">
        <v>-8</v>
      </c>
      <c r="AD169">
        <v>-1.2999999999999998</v>
      </c>
      <c r="AJ169" t="str">
        <v>d-15</v>
      </c>
      <c r="AK169">
        <v>-1.4</v>
      </c>
      <c r="AP169" t="str">
        <v>d-14</v>
      </c>
      <c r="AQ169">
        <v>-1.4999999999999996</v>
      </c>
      <c r="AS169" t="str">
        <v>d-4</v>
      </c>
      <c r="AT169">
        <v>-2.4000000000000004</v>
      </c>
    </row>
    <row r="170" spans="1:66">
      <c r="A170" s="52" t="str" cm="1">
        <f t="array" ref="A170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170)),""))</f>
        <v/>
      </c>
      <c r="B170" s="52" t="str" cm="1">
        <f t="array" ref="B170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170)),""))</f>
        <v/>
      </c>
      <c r="C170" s="52" t="str" cm="1">
        <f t="array" ref="C170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170)),""))</f>
        <v/>
      </c>
      <c r="D170" s="52" t="str" cm="1">
        <f t="array" ref="D170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170)),""))</f>
        <v/>
      </c>
      <c r="E170" s="52" t="str" cm="1">
        <f t="array" ref="E170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170)),""))</f>
        <v/>
      </c>
      <c r="F170" s="52" t="str" cm="1">
        <f t="array" ref="F170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170)),""))</f>
        <v/>
      </c>
      <c r="G170" s="52" t="str" cm="1">
        <f t="array" ref="G170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170)),""))</f>
        <v/>
      </c>
      <c r="H170" s="52" t="str" cm="1">
        <f t="array" ref="H170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170)),""))</f>
        <v/>
      </c>
      <c r="I170" s="52" t="str" cm="1">
        <f t="array" ref="I170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170)),""))</f>
        <v/>
      </c>
      <c r="J170" s="52" t="str" cm="1">
        <f t="array" ref="J170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170)),""))</f>
        <v/>
      </c>
      <c r="K170" s="52" t="str" cm="1">
        <f t="array" ref="K170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170)),""))</f>
        <v/>
      </c>
      <c r="L170" s="52" t="str" cm="1">
        <f t="array" ref="L170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170)),""))</f>
        <v/>
      </c>
      <c r="M170" s="52" t="str" cm="1">
        <f t="array" ref="M170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170)),""))</f>
        <v/>
      </c>
      <c r="N170" s="52" t="str" cm="1">
        <f t="array" ref="N170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170)),""))</f>
        <v/>
      </c>
      <c r="O170" s="52" t="str" cm="1">
        <f t="array" ref="O170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170)),""))</f>
        <v/>
      </c>
      <c r="P170" s="52" cm="1">
        <f t="array" ref="P170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170)),""))</f>
        <v>0.19999999999999973</v>
      </c>
      <c r="Q170" s="52" cm="1">
        <f t="array" ref="Q170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170)),""))</f>
        <v>0.10000000000000009</v>
      </c>
      <c r="W170">
        <v>-13</v>
      </c>
      <c r="X170">
        <v>-0.5</v>
      </c>
      <c r="AJ170" t="str">
        <v>d-15</v>
      </c>
      <c r="AK170">
        <v>-0.60000000000000009</v>
      </c>
      <c r="AP170" t="str">
        <v>d-14</v>
      </c>
      <c r="AQ170">
        <v>-1.4</v>
      </c>
      <c r="AS170" t="str">
        <v>d-4</v>
      </c>
      <c r="AT170">
        <v>-0.5</v>
      </c>
    </row>
    <row r="171" spans="1:66">
      <c r="A171" s="52" t="str" cm="1">
        <f t="array" ref="A171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171)),""))</f>
        <v/>
      </c>
      <c r="B171" s="52" t="str" cm="1">
        <f t="array" ref="B171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171)),""))</f>
        <v/>
      </c>
      <c r="C171" s="52" t="str" cm="1">
        <f t="array" ref="C171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171)),""))</f>
        <v/>
      </c>
      <c r="D171" s="52" t="str" cm="1">
        <f t="array" ref="D171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171)),""))</f>
        <v/>
      </c>
      <c r="E171" s="52" t="str" cm="1">
        <f t="array" ref="E171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171)),""))</f>
        <v/>
      </c>
      <c r="F171" s="52" t="str" cm="1">
        <f t="array" ref="F171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171)),""))</f>
        <v/>
      </c>
      <c r="G171" s="52" t="str" cm="1">
        <f t="array" ref="G171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171)),""))</f>
        <v/>
      </c>
      <c r="H171" s="52" t="str" cm="1">
        <f t="array" ref="H171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171)),""))</f>
        <v/>
      </c>
      <c r="I171" s="52" t="str" cm="1">
        <f t="array" ref="I171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171)),""))</f>
        <v/>
      </c>
      <c r="J171" s="52" t="str" cm="1">
        <f t="array" ref="J171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171)),""))</f>
        <v/>
      </c>
      <c r="K171" s="52" t="str" cm="1">
        <f t="array" ref="K171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171)),""))</f>
        <v/>
      </c>
      <c r="L171" s="52" t="str" cm="1">
        <f t="array" ref="L171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171)),""))</f>
        <v/>
      </c>
      <c r="M171" s="52" t="str" cm="1">
        <f t="array" ref="M171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171)),""))</f>
        <v/>
      </c>
      <c r="N171" s="52" t="str" cm="1">
        <f t="array" ref="N171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171)),""))</f>
        <v/>
      </c>
      <c r="O171" s="52" t="str" cm="1">
        <f t="array" ref="O171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171)),""))</f>
        <v/>
      </c>
      <c r="P171" s="52" t="str" cm="1">
        <f t="array" ref="P171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171)),""))</f>
        <v/>
      </c>
      <c r="Q171" s="52" t="str" cm="1">
        <f t="array" ref="Q171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171)),""))</f>
        <v/>
      </c>
      <c r="W171">
        <v>-12</v>
      </c>
      <c r="X171">
        <v>-0.5</v>
      </c>
      <c r="AJ171" t="str">
        <v>d-15</v>
      </c>
      <c r="AK171">
        <v>-1.1000000000000001</v>
      </c>
      <c r="AP171" t="str">
        <v>d-14</v>
      </c>
      <c r="AQ171">
        <v>-1.9</v>
      </c>
      <c r="AS171" t="str">
        <v>d-4</v>
      </c>
      <c r="AT171">
        <v>0.40000000000000036</v>
      </c>
    </row>
    <row r="172" spans="1:66">
      <c r="A172" s="52" t="str" cm="1">
        <f t="array" ref="A172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172)),""))</f>
        <v/>
      </c>
      <c r="B172" s="52" t="str" cm="1">
        <f t="array" ref="B172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172)),""))</f>
        <v/>
      </c>
      <c r="C172" s="52" t="str" cm="1">
        <f t="array" ref="C172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172)),""))</f>
        <v/>
      </c>
      <c r="D172" s="52" t="str" cm="1">
        <f t="array" ref="D172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172)),""))</f>
        <v/>
      </c>
      <c r="E172" s="52" t="str" cm="1">
        <f t="array" ref="E172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172)),""))</f>
        <v/>
      </c>
      <c r="F172" s="52" t="str" cm="1">
        <f t="array" ref="F172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172)),""))</f>
        <v/>
      </c>
      <c r="G172" s="52" t="str" cm="1">
        <f t="array" ref="G172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172)),""))</f>
        <v/>
      </c>
      <c r="H172" s="52" t="str" cm="1">
        <f t="array" ref="H172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172)),""))</f>
        <v/>
      </c>
      <c r="I172" s="52" t="str" cm="1">
        <f t="array" ref="I172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172)),""))</f>
        <v/>
      </c>
      <c r="J172" s="52" t="str" cm="1">
        <f t="array" ref="J172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172)),""))</f>
        <v/>
      </c>
      <c r="K172" s="52" t="str" cm="1">
        <f t="array" ref="K172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172)),""))</f>
        <v/>
      </c>
      <c r="L172" s="52" t="str" cm="1">
        <f t="array" ref="L172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172)),""))</f>
        <v/>
      </c>
      <c r="M172" s="52" t="str" cm="1">
        <f t="array" ref="M172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172)),""))</f>
        <v/>
      </c>
      <c r="N172" s="52" t="str" cm="1">
        <f t="array" ref="N172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172)),""))</f>
        <v/>
      </c>
      <c r="O172" s="52" t="str" cm="1">
        <f t="array" ref="O172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172)),""))</f>
        <v/>
      </c>
      <c r="P172" s="52" t="str" cm="1">
        <f t="array" ref="P172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172)),""))</f>
        <v/>
      </c>
      <c r="Q172" s="52" t="str" cm="1">
        <f t="array" ref="Q172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172)),""))</f>
        <v/>
      </c>
      <c r="W172">
        <v>-11</v>
      </c>
      <c r="X172">
        <v>-0.39999999999999991</v>
      </c>
      <c r="AJ172" t="str">
        <v>d-15</v>
      </c>
      <c r="AK172">
        <v>-0.5</v>
      </c>
      <c r="AP172" t="str">
        <v>d-14</v>
      </c>
      <c r="AQ172">
        <v>-1.4</v>
      </c>
      <c r="AS172" t="str">
        <v>d-4</v>
      </c>
      <c r="AT172">
        <v>0.20000000000000018</v>
      </c>
    </row>
    <row r="173" spans="1:66">
      <c r="A173" s="52" t="str" cm="1">
        <f t="array" ref="A173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173)),""))</f>
        <v/>
      </c>
      <c r="B173" s="52" t="str" cm="1">
        <f t="array" ref="B173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173)),""))</f>
        <v/>
      </c>
      <c r="C173" s="52" t="str" cm="1">
        <f t="array" ref="C173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173)),""))</f>
        <v/>
      </c>
      <c r="D173" s="52" t="str" cm="1">
        <f t="array" ref="D173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173)),""))</f>
        <v/>
      </c>
      <c r="E173" s="52" t="str" cm="1">
        <f t="array" ref="E173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173)),""))</f>
        <v/>
      </c>
      <c r="F173" s="52" t="str" cm="1">
        <f t="array" ref="F173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173)),""))</f>
        <v/>
      </c>
      <c r="G173" s="52" t="str" cm="1">
        <f t="array" ref="G173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173)),""))</f>
        <v/>
      </c>
      <c r="H173" s="52" t="str" cm="1">
        <f t="array" ref="H173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173)),""))</f>
        <v/>
      </c>
      <c r="I173" s="52" t="str" cm="1">
        <f t="array" ref="I173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173)),""))</f>
        <v/>
      </c>
      <c r="J173" s="52" t="str" cm="1">
        <f t="array" ref="J173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173)),""))</f>
        <v/>
      </c>
      <c r="K173" s="52" t="str" cm="1">
        <f t="array" ref="K173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173)),""))</f>
        <v/>
      </c>
      <c r="L173" s="52" t="str" cm="1">
        <f t="array" ref="L173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173)),""))</f>
        <v/>
      </c>
      <c r="M173" s="52" t="str" cm="1">
        <f t="array" ref="M173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173)),""))</f>
        <v/>
      </c>
      <c r="N173" s="52" t="str" cm="1">
        <f t="array" ref="N173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173)),""))</f>
        <v/>
      </c>
      <c r="O173" s="52" t="str" cm="1">
        <f t="array" ref="O173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173)),""))</f>
        <v/>
      </c>
      <c r="P173" s="52" t="str" cm="1">
        <f t="array" ref="P173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173)),""))</f>
        <v/>
      </c>
      <c r="Q173" s="52" t="str" cm="1">
        <f t="array" ref="Q173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173)),""))</f>
        <v/>
      </c>
      <c r="W173">
        <v>-10</v>
      </c>
      <c r="X173">
        <v>-0.5</v>
      </c>
      <c r="AJ173" t="str">
        <v>d-15</v>
      </c>
      <c r="AK173">
        <v>-0.60000000000000009</v>
      </c>
      <c r="AP173" t="str">
        <v>d-14</v>
      </c>
      <c r="AQ173">
        <v>-1.1000000000000001</v>
      </c>
      <c r="AS173" t="str">
        <v>d-3</v>
      </c>
      <c r="AT173">
        <v>-1.2999999999999998</v>
      </c>
    </row>
    <row r="174" spans="1:66">
      <c r="A174" s="52" t="str" cm="1">
        <f t="array" ref="A174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174)),""))</f>
        <v/>
      </c>
      <c r="B174" s="52" t="str" cm="1">
        <f t="array" ref="B174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174)),""))</f>
        <v/>
      </c>
      <c r="C174" s="52" t="str" cm="1">
        <f t="array" ref="C174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174)),""))</f>
        <v/>
      </c>
      <c r="D174" s="52" t="str" cm="1">
        <f t="array" ref="D174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174)),""))</f>
        <v/>
      </c>
      <c r="E174" s="52" t="str" cm="1">
        <f t="array" ref="E174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174)),""))</f>
        <v/>
      </c>
      <c r="F174" s="52" t="str" cm="1">
        <f t="array" ref="F174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174)),""))</f>
        <v/>
      </c>
      <c r="G174" s="52" t="str" cm="1">
        <f t="array" ref="G174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174)),""))</f>
        <v/>
      </c>
      <c r="H174" s="52" t="str" cm="1">
        <f t="array" ref="H174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174)),""))</f>
        <v/>
      </c>
      <c r="I174" s="52" t="str" cm="1">
        <f t="array" ref="I174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174)),""))</f>
        <v/>
      </c>
      <c r="J174" s="52" t="str" cm="1">
        <f t="array" ref="J174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174)),""))</f>
        <v/>
      </c>
      <c r="K174" s="52" t="str" cm="1">
        <f t="array" ref="K174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174)),""))</f>
        <v/>
      </c>
      <c r="L174" s="52" t="str" cm="1">
        <f t="array" ref="L174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174)),""))</f>
        <v/>
      </c>
      <c r="M174" s="52" t="str" cm="1">
        <f t="array" ref="M174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174)),""))</f>
        <v/>
      </c>
      <c r="N174" s="52" t="str" cm="1">
        <f t="array" ref="N174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174)),""))</f>
        <v/>
      </c>
      <c r="O174" s="52" t="str" cm="1">
        <f t="array" ref="O174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174)),""))</f>
        <v/>
      </c>
      <c r="P174" s="52" t="str" cm="1">
        <f t="array" ref="P174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174)),""))</f>
        <v/>
      </c>
      <c r="Q174" s="52" t="str" cm="1">
        <f t="array" ref="Q174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174)),""))</f>
        <v/>
      </c>
      <c r="W174">
        <v>-9</v>
      </c>
      <c r="X174">
        <v>-0.5</v>
      </c>
      <c r="AJ174" t="str">
        <v>d-15</v>
      </c>
      <c r="AK174">
        <v>-1.0999999999999996</v>
      </c>
      <c r="AP174" t="str">
        <v>d-14</v>
      </c>
      <c r="AQ174">
        <v>-1.0999999999999996</v>
      </c>
      <c r="AS174" t="str">
        <v>d-3</v>
      </c>
      <c r="AT174">
        <v>-1</v>
      </c>
    </row>
    <row r="175" spans="1:66">
      <c r="A175" s="52" t="str" cm="1">
        <f t="array" ref="A175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175)),""))</f>
        <v/>
      </c>
      <c r="B175" s="52" t="str" cm="1">
        <f t="array" ref="B175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175)),""))</f>
        <v/>
      </c>
      <c r="C175" s="52" t="str" cm="1">
        <f t="array" ref="C175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175)),""))</f>
        <v/>
      </c>
      <c r="D175" s="52" t="str" cm="1">
        <f t="array" ref="D175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175)),""))</f>
        <v/>
      </c>
      <c r="E175" s="52" t="str" cm="1">
        <f t="array" ref="E175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175)),""))</f>
        <v/>
      </c>
      <c r="F175" s="52" t="str" cm="1">
        <f t="array" ref="F175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175)),""))</f>
        <v/>
      </c>
      <c r="G175" s="52" t="str" cm="1">
        <f t="array" ref="G175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175)),""))</f>
        <v/>
      </c>
      <c r="H175" s="52" t="str" cm="1">
        <f t="array" ref="H175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175)),""))</f>
        <v/>
      </c>
      <c r="I175" s="52" t="str" cm="1">
        <f t="array" ref="I175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175)),""))</f>
        <v/>
      </c>
      <c r="J175" s="52" t="str" cm="1">
        <f t="array" ref="J175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175)),""))</f>
        <v/>
      </c>
      <c r="K175" s="52" t="str" cm="1">
        <f t="array" ref="K175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175)),""))</f>
        <v/>
      </c>
      <c r="L175" s="52" t="str" cm="1">
        <f t="array" ref="L175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175)),""))</f>
        <v/>
      </c>
      <c r="M175" s="52" t="str" cm="1">
        <f t="array" ref="M175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175)),""))</f>
        <v/>
      </c>
      <c r="N175" s="52" t="str" cm="1">
        <f t="array" ref="N175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175)),""))</f>
        <v/>
      </c>
      <c r="O175" s="52" t="str" cm="1">
        <f t="array" ref="O175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175)),""))</f>
        <v/>
      </c>
      <c r="P175" s="52" t="str" cm="1">
        <f t="array" ref="P175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175)),""))</f>
        <v/>
      </c>
      <c r="Q175" s="52" t="str" cm="1">
        <f t="array" ref="Q175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175)),""))</f>
        <v/>
      </c>
      <c r="W175">
        <v>-8</v>
      </c>
      <c r="X175">
        <v>-0.5</v>
      </c>
      <c r="AJ175" t="str">
        <v>d-15</v>
      </c>
      <c r="AK175">
        <v>-0.89999999999999991</v>
      </c>
      <c r="AP175" t="str">
        <v>d-13</v>
      </c>
      <c r="AQ175">
        <v>-1.4999999999999996</v>
      </c>
      <c r="AS175" t="str">
        <v>d-3</v>
      </c>
      <c r="AT175">
        <v>-2.3999999999999995</v>
      </c>
    </row>
    <row r="176" spans="1:66">
      <c r="A176" s="52" t="str" cm="1">
        <f t="array" ref="A176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176)),""))</f>
        <v/>
      </c>
      <c r="B176" s="52" t="str" cm="1">
        <f t="array" ref="B176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176)),""))</f>
        <v/>
      </c>
      <c r="C176" s="52" t="str" cm="1">
        <f t="array" ref="C176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176)),""))</f>
        <v/>
      </c>
      <c r="D176" s="52" t="str" cm="1">
        <f t="array" ref="D176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176)),""))</f>
        <v/>
      </c>
      <c r="E176" s="52" t="str" cm="1">
        <f t="array" ref="E176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176)),""))</f>
        <v/>
      </c>
      <c r="F176" s="52" t="str" cm="1">
        <f t="array" ref="F176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176)),""))</f>
        <v/>
      </c>
      <c r="G176" s="52" t="str" cm="1">
        <f t="array" ref="G176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176)),""))</f>
        <v/>
      </c>
      <c r="H176" s="52" t="str" cm="1">
        <f t="array" ref="H176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176)),""))</f>
        <v/>
      </c>
      <c r="I176" s="52" t="str" cm="1">
        <f t="array" ref="I176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176)),""))</f>
        <v/>
      </c>
      <c r="J176" s="52" t="str" cm="1">
        <f t="array" ref="J176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176)),""))</f>
        <v/>
      </c>
      <c r="K176" s="52" t="str" cm="1">
        <f t="array" ref="K176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176)),""))</f>
        <v/>
      </c>
      <c r="L176" s="52" t="str" cm="1">
        <f t="array" ref="L176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176)),""))</f>
        <v/>
      </c>
      <c r="M176" s="52" t="str" cm="1">
        <f t="array" ref="M176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176)),""))</f>
        <v/>
      </c>
      <c r="N176" s="52" t="str" cm="1">
        <f t="array" ref="N176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176)),""))</f>
        <v/>
      </c>
      <c r="O176" s="52" t="str" cm="1">
        <f t="array" ref="O176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176)),""))</f>
        <v/>
      </c>
      <c r="P176" s="52" t="str" cm="1">
        <f t="array" ref="P176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176)),""))</f>
        <v/>
      </c>
      <c r="Q176" s="52" t="str" cm="1">
        <f t="array" ref="Q176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176)),""))</f>
        <v/>
      </c>
      <c r="W176">
        <v>-7</v>
      </c>
      <c r="X176">
        <v>-0.5</v>
      </c>
      <c r="AJ176" t="str">
        <v>d-14</v>
      </c>
      <c r="AK176">
        <v>-2.5</v>
      </c>
      <c r="AP176" t="str">
        <v>d-13</v>
      </c>
      <c r="AQ176">
        <v>-1.2000000000000002</v>
      </c>
      <c r="AS176" t="str">
        <v>d-3</v>
      </c>
      <c r="AT176">
        <v>-1.5</v>
      </c>
    </row>
    <row r="177" spans="1:66">
      <c r="A177" s="52" t="str" cm="1">
        <f t="array" ref="A177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177)),""))</f>
        <v/>
      </c>
      <c r="B177" s="52" t="str" cm="1">
        <f t="array" ref="B177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177)),""))</f>
        <v/>
      </c>
      <c r="C177" s="52" t="str" cm="1">
        <f t="array" ref="C177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177)),""))</f>
        <v/>
      </c>
      <c r="D177" s="52" t="str" cm="1">
        <f t="array" ref="D177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177)),""))</f>
        <v/>
      </c>
      <c r="E177" s="52" t="str" cm="1">
        <f t="array" ref="E177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177)),""))</f>
        <v/>
      </c>
      <c r="F177" s="52" t="str" cm="1">
        <f t="array" ref="F177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177)),""))</f>
        <v/>
      </c>
      <c r="G177" s="52" t="str" cm="1">
        <f t="array" ref="G177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177)),""))</f>
        <v/>
      </c>
      <c r="H177" s="52" t="str" cm="1">
        <f t="array" ref="H177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177)),""))</f>
        <v/>
      </c>
      <c r="I177" s="52" t="str" cm="1">
        <f t="array" ref="I177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177)),""))</f>
        <v/>
      </c>
      <c r="J177" s="52" t="str" cm="1">
        <f t="array" ref="J177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177)),""))</f>
        <v/>
      </c>
      <c r="K177" s="52" t="str" cm="1">
        <f t="array" ref="K177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177)),""))</f>
        <v/>
      </c>
      <c r="L177" s="52" t="str" cm="1">
        <f t="array" ref="L177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177)),""))</f>
        <v/>
      </c>
      <c r="M177" s="52" t="str" cm="1">
        <f t="array" ref="M177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177)),""))</f>
        <v/>
      </c>
      <c r="N177" s="52" t="str" cm="1">
        <f t="array" ref="N177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177)),""))</f>
        <v/>
      </c>
      <c r="O177" s="52" t="str" cm="1">
        <f t="array" ref="O177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177)),""))</f>
        <v/>
      </c>
      <c r="P177" s="52" t="str" cm="1">
        <f t="array" ref="P177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177)),""))</f>
        <v/>
      </c>
      <c r="Q177" s="52" t="str" cm="1">
        <f t="array" ref="Q177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177)),""))</f>
        <v/>
      </c>
      <c r="W177">
        <v>-6</v>
      </c>
      <c r="X177">
        <v>-0.20000000000000018</v>
      </c>
      <c r="AJ177" t="str">
        <v>d-14</v>
      </c>
      <c r="AK177">
        <v>-1.4999999999999996</v>
      </c>
      <c r="AP177" t="str">
        <v>d-13</v>
      </c>
      <c r="AQ177">
        <v>-1.4999999999999996</v>
      </c>
      <c r="AS177" t="str">
        <v>d-3</v>
      </c>
      <c r="AT177">
        <v>9.9999999999999645E-2</v>
      </c>
    </row>
    <row r="178" spans="1:66">
      <c r="A178" s="52" t="str" cm="1">
        <f t="array" ref="A178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178)),""))</f>
        <v/>
      </c>
      <c r="B178" s="52" t="str" cm="1">
        <f t="array" ref="B178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178)),""))</f>
        <v/>
      </c>
      <c r="C178" s="52" t="str" cm="1">
        <f t="array" ref="C178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178)),""))</f>
        <v/>
      </c>
      <c r="D178" s="52" t="str" cm="1">
        <f t="array" ref="D178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178)),""))</f>
        <v/>
      </c>
      <c r="E178" s="52" t="str" cm="1">
        <f t="array" ref="E178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178)),""))</f>
        <v/>
      </c>
      <c r="F178" s="52" t="str" cm="1">
        <f t="array" ref="F178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178)),""))</f>
        <v/>
      </c>
      <c r="G178" s="52" t="str" cm="1">
        <f t="array" ref="G178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178)),""))</f>
        <v/>
      </c>
      <c r="H178" s="52" t="str" cm="1">
        <f t="array" ref="H178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178)),""))</f>
        <v/>
      </c>
      <c r="I178" s="52" t="str" cm="1">
        <f t="array" ref="I178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178)),""))</f>
        <v/>
      </c>
      <c r="J178" s="52" t="str" cm="1">
        <f t="array" ref="J178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178)),""))</f>
        <v/>
      </c>
      <c r="K178" s="52" t="str" cm="1">
        <f t="array" ref="K178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178)),""))</f>
        <v/>
      </c>
      <c r="L178" s="52" t="str" cm="1">
        <f t="array" ref="L178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178)),""))</f>
        <v/>
      </c>
      <c r="M178" s="52" t="str" cm="1">
        <f t="array" ref="M178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178)),""))</f>
        <v/>
      </c>
      <c r="N178" s="52" t="str" cm="1">
        <f t="array" ref="N178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178)),""))</f>
        <v/>
      </c>
      <c r="O178" s="52" t="str" cm="1">
        <f t="array" ref="O178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178)),""))</f>
        <v/>
      </c>
      <c r="P178" s="52" t="str" cm="1">
        <f t="array" ref="P178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178)),""))</f>
        <v/>
      </c>
      <c r="Q178" s="52" t="str" cm="1">
        <f t="array" ref="Q178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178)),""))</f>
        <v/>
      </c>
      <c r="W178">
        <v>-5</v>
      </c>
      <c r="X178">
        <v>-0.20000000000000018</v>
      </c>
      <c r="AJ178" t="str">
        <v>d-14</v>
      </c>
      <c r="AK178">
        <v>-1.2000000000000002</v>
      </c>
      <c r="AP178" t="str">
        <v>d-13</v>
      </c>
      <c r="AQ178">
        <v>-1.4</v>
      </c>
      <c r="AS178" t="str">
        <v>d-3</v>
      </c>
      <c r="AT178">
        <v>9.9999999999999645E-2</v>
      </c>
    </row>
    <row r="179" spans="1:66">
      <c r="A179" s="52" t="str" cm="1">
        <f t="array" ref="A179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179)),""))</f>
        <v/>
      </c>
      <c r="B179" s="52" t="str" cm="1">
        <f t="array" ref="B179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179)),""))</f>
        <v/>
      </c>
      <c r="C179" s="52" t="str" cm="1">
        <f t="array" ref="C179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179)),""))</f>
        <v/>
      </c>
      <c r="D179" s="52" t="str" cm="1">
        <f t="array" ref="D179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179)),""))</f>
        <v/>
      </c>
      <c r="E179" s="52" t="str" cm="1">
        <f t="array" ref="E179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179)),""))</f>
        <v/>
      </c>
      <c r="F179" s="52" t="str" cm="1">
        <f t="array" ref="F179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179)),""))</f>
        <v/>
      </c>
      <c r="G179" s="52" t="str" cm="1">
        <f t="array" ref="G179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179)),""))</f>
        <v/>
      </c>
      <c r="H179" s="52" t="str" cm="1">
        <f t="array" ref="H179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179)),""))</f>
        <v/>
      </c>
      <c r="I179" s="52" t="str" cm="1">
        <f t="array" ref="I179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179)),""))</f>
        <v/>
      </c>
      <c r="J179" s="52" t="str" cm="1">
        <f t="array" ref="J179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179)),""))</f>
        <v/>
      </c>
      <c r="K179" s="52" t="str" cm="1">
        <f t="array" ref="K179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179)),""))</f>
        <v/>
      </c>
      <c r="L179" s="52" t="str" cm="1">
        <f t="array" ref="L179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179)),""))</f>
        <v/>
      </c>
      <c r="M179" s="52" t="str" cm="1">
        <f t="array" ref="M179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179)),""))</f>
        <v/>
      </c>
      <c r="N179" s="52" t="str" cm="1">
        <f t="array" ref="N179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179)),""))</f>
        <v/>
      </c>
      <c r="O179" s="52" t="str" cm="1">
        <f t="array" ref="O179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179)),""))</f>
        <v/>
      </c>
      <c r="P179" s="52" t="str" cm="1">
        <f t="array" ref="P179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179)),""))</f>
        <v/>
      </c>
      <c r="Q179" s="52" t="str" cm="1">
        <f t="array" ref="Q179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179)),""))</f>
        <v/>
      </c>
      <c r="W179">
        <v>-4</v>
      </c>
      <c r="X179">
        <v>-0.20000000000000018</v>
      </c>
      <c r="AJ179" t="str">
        <v>d-14</v>
      </c>
      <c r="AK179">
        <v>-1.4999999999999996</v>
      </c>
      <c r="AP179" t="str">
        <v>d-13</v>
      </c>
      <c r="AQ179">
        <v>-1.6</v>
      </c>
      <c r="AS179" t="str">
        <v>d-3</v>
      </c>
      <c r="AT179">
        <v>0.70000000000000018</v>
      </c>
    </row>
    <row r="180" spans="1:66">
      <c r="A180" s="52" t="str" cm="1">
        <f t="array" ref="A180">IF(COUNTIFS(Calc_Anclaje!$A$5:$A$1058,$B$2,Calc_Anclaje!$H$5:$H$1058,VALUE(SUBSTITUTE(A$150,"d-","")))&lt;5,"",IFERROR(INDEX(_xlfn._xlws.FILTER(Calc_Anclaje!$O$5:$O$1058,(Calc_Anclaje!$A$5:$A$1058=$B$2)*(Calc_Anclaje!$H$5:$H$1058=VALUE(SUBSTITUTE(A$150,"d-","")))),ROWS(A$151:A180)),""))</f>
        <v/>
      </c>
      <c r="B180" s="52" t="str" cm="1">
        <f t="array" ref="B180">IF(COUNTIFS(Calc_Anclaje!$A$5:$A$1058,$B$2,Calc_Anclaje!$H$5:$H$1058,VALUE(SUBSTITUTE(B$150,"d-","")))&lt;5,"",IFERROR(INDEX(_xlfn._xlws.FILTER(Calc_Anclaje!$O$5:$O$1058,(Calc_Anclaje!$A$5:$A$1058=$B$2)*(Calc_Anclaje!$H$5:$H$1058=VALUE(SUBSTITUTE(B$150,"d-","")))),ROWS(B$151:B180)),""))</f>
        <v/>
      </c>
      <c r="C180" s="52" t="str" cm="1">
        <f t="array" ref="C180">IF(COUNTIFS(Calc_Anclaje!$A$5:$A$1058,$B$2,Calc_Anclaje!$H$5:$H$1058,VALUE(SUBSTITUTE(C$150,"d-","")))&lt;5,"",IFERROR(INDEX(_xlfn._xlws.FILTER(Calc_Anclaje!$O$5:$O$1058,(Calc_Anclaje!$A$5:$A$1058=$B$2)*(Calc_Anclaje!$H$5:$H$1058=VALUE(SUBSTITUTE(C$150,"d-","")))),ROWS(C$151:C180)),""))</f>
        <v/>
      </c>
      <c r="D180" s="52" t="str" cm="1">
        <f t="array" ref="D180">IF(COUNTIFS(Calc_Anclaje!$A$5:$A$1058,$B$2,Calc_Anclaje!$H$5:$H$1058,VALUE(SUBSTITUTE(D$150,"d-","")))&lt;5,"",IFERROR(INDEX(_xlfn._xlws.FILTER(Calc_Anclaje!$O$5:$O$1058,(Calc_Anclaje!$A$5:$A$1058=$B$2)*(Calc_Anclaje!$H$5:$H$1058=VALUE(SUBSTITUTE(D$150,"d-","")))),ROWS(D$151:D180)),""))</f>
        <v/>
      </c>
      <c r="E180" s="52" t="str" cm="1">
        <f t="array" ref="E180">IF(COUNTIFS(Calc_Anclaje!$A$5:$A$1058,$B$2,Calc_Anclaje!$H$5:$H$1058,VALUE(SUBSTITUTE(E$150,"d-","")))&lt;5,"",IFERROR(INDEX(_xlfn._xlws.FILTER(Calc_Anclaje!$O$5:$O$1058,(Calc_Anclaje!$A$5:$A$1058=$B$2)*(Calc_Anclaje!$H$5:$H$1058=VALUE(SUBSTITUTE(E$150,"d-","")))),ROWS(E$151:E180)),""))</f>
        <v/>
      </c>
      <c r="F180" s="52" t="str" cm="1">
        <f t="array" ref="F180">IF(COUNTIFS(Calc_Anclaje!$A$5:$A$1058,$B$2,Calc_Anclaje!$H$5:$H$1058,VALUE(SUBSTITUTE(F$150,"d-","")))&lt;5,"",IFERROR(INDEX(_xlfn._xlws.FILTER(Calc_Anclaje!$O$5:$O$1058,(Calc_Anclaje!$A$5:$A$1058=$B$2)*(Calc_Anclaje!$H$5:$H$1058=VALUE(SUBSTITUTE(F$150,"d-","")))),ROWS(F$151:F180)),""))</f>
        <v/>
      </c>
      <c r="G180" s="52" t="str" cm="1">
        <f t="array" ref="G180">IF(COUNTIFS(Calc_Anclaje!$A$5:$A$1058,$B$2,Calc_Anclaje!$H$5:$H$1058,VALUE(SUBSTITUTE(G$150,"d-","")))&lt;5,"",IFERROR(INDEX(_xlfn._xlws.FILTER(Calc_Anclaje!$O$5:$O$1058,(Calc_Anclaje!$A$5:$A$1058=$B$2)*(Calc_Anclaje!$H$5:$H$1058=VALUE(SUBSTITUTE(G$150,"d-","")))),ROWS(G$151:G180)),""))</f>
        <v/>
      </c>
      <c r="H180" s="52" t="str" cm="1">
        <f t="array" ref="H180">IF(COUNTIFS(Calc_Anclaje!$A$5:$A$1058,$B$2,Calc_Anclaje!$H$5:$H$1058,VALUE(SUBSTITUTE(H$150,"d-","")))&lt;5,"",IFERROR(INDEX(_xlfn._xlws.FILTER(Calc_Anclaje!$O$5:$O$1058,(Calc_Anclaje!$A$5:$A$1058=$B$2)*(Calc_Anclaje!$H$5:$H$1058=VALUE(SUBSTITUTE(H$150,"d-","")))),ROWS(H$151:H180)),""))</f>
        <v/>
      </c>
      <c r="I180" s="52" t="str" cm="1">
        <f t="array" ref="I180">IF(COUNTIFS(Calc_Anclaje!$A$5:$A$1058,$B$2,Calc_Anclaje!$H$5:$H$1058,VALUE(SUBSTITUTE(I$150,"d-","")))&lt;5,"",IFERROR(INDEX(_xlfn._xlws.FILTER(Calc_Anclaje!$O$5:$O$1058,(Calc_Anclaje!$A$5:$A$1058=$B$2)*(Calc_Anclaje!$H$5:$H$1058=VALUE(SUBSTITUTE(I$150,"d-","")))),ROWS(I$151:I180)),""))</f>
        <v/>
      </c>
      <c r="J180" s="52" t="str" cm="1">
        <f t="array" ref="J180">IF(COUNTIFS(Calc_Anclaje!$A$5:$A$1058,$B$2,Calc_Anclaje!$H$5:$H$1058,VALUE(SUBSTITUTE(J$150,"d-","")))&lt;5,"",IFERROR(INDEX(_xlfn._xlws.FILTER(Calc_Anclaje!$O$5:$O$1058,(Calc_Anclaje!$A$5:$A$1058=$B$2)*(Calc_Anclaje!$H$5:$H$1058=VALUE(SUBSTITUTE(J$150,"d-","")))),ROWS(J$151:J180)),""))</f>
        <v/>
      </c>
      <c r="K180" s="52" t="str" cm="1">
        <f t="array" ref="K180">IF(COUNTIFS(Calc_Anclaje!$A$5:$A$1058,$B$2,Calc_Anclaje!$H$5:$H$1058,VALUE(SUBSTITUTE(K$150,"d-","")))&lt;5,"",IFERROR(INDEX(_xlfn._xlws.FILTER(Calc_Anclaje!$O$5:$O$1058,(Calc_Anclaje!$A$5:$A$1058=$B$2)*(Calc_Anclaje!$H$5:$H$1058=VALUE(SUBSTITUTE(K$150,"d-","")))),ROWS(K$151:K180)),""))</f>
        <v/>
      </c>
      <c r="L180" s="52" t="str" cm="1">
        <f t="array" ref="L180">IF(COUNTIFS(Calc_Anclaje!$A$5:$A$1058,$B$2,Calc_Anclaje!$H$5:$H$1058,VALUE(SUBSTITUTE(L$150,"d-","")))&lt;5,"",IFERROR(INDEX(_xlfn._xlws.FILTER(Calc_Anclaje!$O$5:$O$1058,(Calc_Anclaje!$A$5:$A$1058=$B$2)*(Calc_Anclaje!$H$5:$H$1058=VALUE(SUBSTITUTE(L$150,"d-","")))),ROWS(L$151:L180)),""))</f>
        <v/>
      </c>
      <c r="M180" s="52" t="str" cm="1">
        <f t="array" ref="M180">IF(COUNTIFS(Calc_Anclaje!$A$5:$A$1058,$B$2,Calc_Anclaje!$H$5:$H$1058,VALUE(SUBSTITUTE(M$150,"d-","")))&lt;5,"",IFERROR(INDEX(_xlfn._xlws.FILTER(Calc_Anclaje!$O$5:$O$1058,(Calc_Anclaje!$A$5:$A$1058=$B$2)*(Calc_Anclaje!$H$5:$H$1058=VALUE(SUBSTITUTE(M$150,"d-","")))),ROWS(M$151:M180)),""))</f>
        <v/>
      </c>
      <c r="N180" s="52" t="str" cm="1">
        <f t="array" ref="N180">IF(COUNTIFS(Calc_Anclaje!$A$5:$A$1058,$B$2,Calc_Anclaje!$H$5:$H$1058,VALUE(SUBSTITUTE(N$150,"d-","")))&lt;5,"",IFERROR(INDEX(_xlfn._xlws.FILTER(Calc_Anclaje!$O$5:$O$1058,(Calc_Anclaje!$A$5:$A$1058=$B$2)*(Calc_Anclaje!$H$5:$H$1058=VALUE(SUBSTITUTE(N$150,"d-","")))),ROWS(N$151:N180)),""))</f>
        <v/>
      </c>
      <c r="O180" s="52" t="str" cm="1">
        <f t="array" ref="O180">IF(COUNTIFS(Calc_Anclaje!$A$5:$A$1058,$B$2,Calc_Anclaje!$H$5:$H$1058,VALUE(SUBSTITUTE(O$150,"d-","")))&lt;5,"",IFERROR(INDEX(_xlfn._xlws.FILTER(Calc_Anclaje!$O$5:$O$1058,(Calc_Anclaje!$A$5:$A$1058=$B$2)*(Calc_Anclaje!$H$5:$H$1058=VALUE(SUBSTITUTE(O$150,"d-","")))),ROWS(O$151:O180)),""))</f>
        <v/>
      </c>
      <c r="P180" s="52" t="str" cm="1">
        <f t="array" ref="P180">IF(COUNTIFS(Calc_Anclaje!$A$5:$A$1058,$B$2,Calc_Anclaje!$H$5:$H$1058,VALUE(SUBSTITUTE(P$150,"d-","")))&lt;5,"",IFERROR(INDEX(_xlfn._xlws.FILTER(Calc_Anclaje!$O$5:$O$1058,(Calc_Anclaje!$A$5:$A$1058=$B$2)*(Calc_Anclaje!$H$5:$H$1058=VALUE(SUBSTITUTE(P$150,"d-","")))),ROWS(P$151:P180)),""))</f>
        <v/>
      </c>
      <c r="Q180" s="52" t="str" cm="1">
        <f t="array" ref="Q180">IF(COUNTIFS(Calc_Anclaje!$A$5:$A$1058,$B$2,Calc_Anclaje!$H$5:$H$1058,VALUE(SUBSTITUTE(Q$150,"d-","")))&lt;5,"",IFERROR(INDEX(_xlfn._xlws.FILTER(Calc_Anclaje!$O$5:$O$1058,(Calc_Anclaje!$A$5:$A$1058=$B$2)*(Calc_Anclaje!$H$5:$H$1058=VALUE(SUBSTITUTE(Q$150,"d-","")))),ROWS(Q$151:Q180)),""))</f>
        <v/>
      </c>
      <c r="W180">
        <v>-3</v>
      </c>
      <c r="X180">
        <v>-0.10000000000000009</v>
      </c>
      <c r="AJ180" t="str">
        <v>d-14</v>
      </c>
      <c r="AK180">
        <v>-1.4</v>
      </c>
      <c r="AP180" t="str">
        <v>d-13</v>
      </c>
      <c r="AQ180">
        <v>-1.4</v>
      </c>
      <c r="AS180" t="str">
        <v>d-2</v>
      </c>
      <c r="AT180">
        <v>-0.79999999999999982</v>
      </c>
    </row>
    <row r="181" spans="1:66">
      <c r="W181">
        <v>-2</v>
      </c>
      <c r="X181">
        <v>0.49999999999999956</v>
      </c>
      <c r="AJ181" t="str">
        <v>d-14</v>
      </c>
      <c r="AK181">
        <v>-1.9</v>
      </c>
      <c r="AP181" t="str">
        <v>d-13</v>
      </c>
      <c r="AQ181">
        <v>-1.1000000000000001</v>
      </c>
      <c r="AS181" t="str">
        <v>d-2</v>
      </c>
      <c r="AT181">
        <v>-0.59999999999999964</v>
      </c>
    </row>
    <row r="182" spans="1:66">
      <c r="W182">
        <v>-1</v>
      </c>
      <c r="X182">
        <v>0.19999999999999973</v>
      </c>
      <c r="AJ182" t="str">
        <v>d-14</v>
      </c>
      <c r="AK182">
        <v>-1.4</v>
      </c>
      <c r="AP182" t="str">
        <v>d-13</v>
      </c>
      <c r="AQ182">
        <v>-1.0999999999999996</v>
      </c>
      <c r="AS182" t="str">
        <v>d-2</v>
      </c>
      <c r="AT182">
        <v>-0.89999999999999947</v>
      </c>
    </row>
    <row r="183" spans="1:66">
      <c r="W183">
        <v>0</v>
      </c>
      <c r="X183">
        <v>0</v>
      </c>
      <c r="AJ183" t="str">
        <v>d-14</v>
      </c>
      <c r="AK183">
        <v>-0.60000000000000009</v>
      </c>
      <c r="AP183" t="str">
        <v>d-12</v>
      </c>
      <c r="AQ183">
        <v>-1.3999999999999995</v>
      </c>
      <c r="AS183" t="str">
        <v>d-2</v>
      </c>
      <c r="AT183">
        <v>-0.40000000000000036</v>
      </c>
    </row>
    <row r="184" spans="1:66">
      <c r="W184">
        <v>-16</v>
      </c>
      <c r="X184">
        <v>-0.60000000000000009</v>
      </c>
      <c r="AJ184" t="str">
        <v>d-14</v>
      </c>
      <c r="AK184">
        <v>-1.1000000000000001</v>
      </c>
      <c r="AP184" t="str">
        <v>d-12</v>
      </c>
      <c r="AQ184">
        <v>-1.2000000000000002</v>
      </c>
      <c r="AS184" t="str">
        <v>d-2</v>
      </c>
      <c r="AT184">
        <v>0.59999999999999964</v>
      </c>
    </row>
    <row r="185" spans="1:66">
      <c r="A185" s="22" t="s">
        <v>2512</v>
      </c>
      <c r="B185" s="22" t="s">
        <v>2510</v>
      </c>
      <c r="C185" s="22" t="s">
        <v>2511</v>
      </c>
      <c r="D185" s="22" t="s">
        <v>2508</v>
      </c>
      <c r="E185" s="22" t="s">
        <v>2509</v>
      </c>
      <c r="F185" s="22" t="s">
        <v>2506</v>
      </c>
      <c r="G185" s="22" t="s">
        <v>2507</v>
      </c>
      <c r="H185" s="22" t="s">
        <v>2504</v>
      </c>
      <c r="I185" s="22" t="s">
        <v>2505</v>
      </c>
      <c r="J185" s="22" t="s">
        <v>2502</v>
      </c>
      <c r="K185" s="22" t="s">
        <v>2503</v>
      </c>
      <c r="L185" s="22" t="s">
        <v>2500</v>
      </c>
      <c r="M185" s="22" t="s">
        <v>2501</v>
      </c>
      <c r="N185" s="22" t="s">
        <v>2498</v>
      </c>
      <c r="O185" s="22" t="s">
        <v>2499</v>
      </c>
      <c r="P185" s="22" t="s">
        <v>2495</v>
      </c>
      <c r="Q185" s="22" t="s">
        <v>2497</v>
      </c>
      <c r="W185">
        <v>-15</v>
      </c>
      <c r="X185">
        <v>-0.60000000000000009</v>
      </c>
      <c r="AJ185" t="str">
        <v>d-14</v>
      </c>
      <c r="AK185">
        <v>-0.5</v>
      </c>
      <c r="AP185" t="str">
        <v>d-12</v>
      </c>
      <c r="AQ185">
        <v>-0.89999999999999947</v>
      </c>
      <c r="AS185" t="str">
        <v>d-2</v>
      </c>
      <c r="AT185">
        <v>0</v>
      </c>
      <c r="AU185" t="str" cm="1">
        <f t="array" ref="AU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U185)),""))</f>
        <v/>
      </c>
      <c r="AV185" t="str" cm="1">
        <f t="array" ref="AV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V185)),""))</f>
        <v/>
      </c>
      <c r="AW185" t="str" cm="1">
        <f t="array" ref="AW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W185)),""))</f>
        <v/>
      </c>
      <c r="AX185" t="str" cm="1">
        <f t="array" ref="AX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X185)),""))</f>
        <v/>
      </c>
      <c r="AY185" t="str" cm="1">
        <f t="array" ref="AY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Y185)),""))</f>
        <v/>
      </c>
      <c r="AZ185" t="str" cm="1">
        <f t="array" ref="AZ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AZ185)),""))</f>
        <v/>
      </c>
      <c r="BA185" t="str" cm="1">
        <f t="array" ref="BA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A185)),""))</f>
        <v/>
      </c>
      <c r="BB185" t="str" cm="1">
        <f t="array" ref="BB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B185)),""))</f>
        <v/>
      </c>
      <c r="BC185" t="str" cm="1">
        <f t="array" ref="BC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C185)),""))</f>
        <v/>
      </c>
      <c r="BD185" t="str" cm="1">
        <f t="array" ref="BD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D185)),""))</f>
        <v/>
      </c>
      <c r="BE185" t="str" cm="1">
        <f t="array" ref="BE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E185)),""))</f>
        <v/>
      </c>
      <c r="BF185" t="str" cm="1">
        <f t="array" ref="BF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F185)),""))</f>
        <v/>
      </c>
      <c r="BG185" t="str" cm="1">
        <f t="array" ref="BG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G185)),""))</f>
        <v/>
      </c>
      <c r="BH185" t="str" cm="1">
        <f t="array" ref="BH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H185)),""))</f>
        <v/>
      </c>
      <c r="BI185" t="str" cm="1">
        <f t="array" ref="BI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I185)),""))</f>
        <v/>
      </c>
      <c r="BJ185" t="str" cm="1">
        <f t="array" ref="BJ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J185)),""))</f>
        <v/>
      </c>
      <c r="BK185" t="str" cm="1">
        <f t="array" ref="BK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K185)),""))</f>
        <v/>
      </c>
      <c r="BL185" t="str" cm="1">
        <f t="array" ref="BL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L185)),""))</f>
        <v/>
      </c>
      <c r="BM185" t="str" cm="1">
        <f t="array" ref="BM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M185)),""))</f>
        <v/>
      </c>
      <c r="BN185" t="str" cm="1">
        <f t="array" ref="BN185">IF(COUNTIFS(Calc_Anclaje!$A$5:$A$1058,$B$2,Calc_Anclaje!$H$5:$H$1058,VALUE(SUBSTITUTE($AJ185,"d-","")),Calc_Anclaje!$K$5:$K$1058,"&gt;=2",Calc_Anclaje!$K$5:$K$1058,"&lt;=4")&lt;5,"",IFERROR(INDEX(_xlfn._xlws.FILTER(Calc_Anclaje!$O$5:$O$1058,(Calc_Anclaje!$A$5:$A$1058=$B$2)*(Calc_Anclaje!$H$5:$H$1058=VALUE(SUBSTITUTE($AJ185,"d-","")))*(Calc_Anclaje!$K$5:$K$1058&gt;=2)*(Calc_Anclaje!$K$5:$K$1058&lt;=4)),COLUMNS($AK185:BN185)),""))</f>
        <v/>
      </c>
    </row>
    <row r="186" spans="1:66">
      <c r="A186" s="52" t="str" cm="1">
        <f t="array" ref="A186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186)),""))</f>
        <v/>
      </c>
      <c r="B186" s="52" t="str" cm="1">
        <f t="array" ref="B186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186)),""))</f>
        <v/>
      </c>
      <c r="C186" s="52" t="str" cm="1">
        <f t="array" ref="C186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186)),""))</f>
        <v/>
      </c>
      <c r="D186" s="52" t="str" cm="1">
        <f t="array" ref="D186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186)),""))</f>
        <v/>
      </c>
      <c r="E186" s="52" t="str" cm="1">
        <f t="array" ref="E186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186)),""))</f>
        <v/>
      </c>
      <c r="F186" s="52" t="str" cm="1">
        <f t="array" ref="F186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186)),""))</f>
        <v/>
      </c>
      <c r="G186" s="52" t="str" cm="1">
        <f t="array" ref="G186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186)),""))</f>
        <v/>
      </c>
      <c r="H186" s="52" t="str" cm="1">
        <f t="array" ref="H186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186)),""))</f>
        <v/>
      </c>
      <c r="I186" s="52" t="str" cm="1">
        <f t="array" ref="I186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186)),""))</f>
        <v/>
      </c>
      <c r="J186" s="52" t="str" cm="1">
        <f t="array" ref="J186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186)),""))</f>
        <v/>
      </c>
      <c r="K186" s="52" t="str" cm="1">
        <f t="array" ref="K186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186)),""))</f>
        <v/>
      </c>
      <c r="L186" s="52" t="str" cm="1">
        <f t="array" ref="L186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186)),""))</f>
        <v/>
      </c>
      <c r="M186" s="52" t="str" cm="1">
        <f t="array" ref="M186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186)),""))</f>
        <v/>
      </c>
      <c r="N186" s="52" t="str" cm="1">
        <f t="array" ref="N186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186)),""))</f>
        <v/>
      </c>
      <c r="O186" s="52" t="str" cm="1">
        <f t="array" ref="O186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186)),""))</f>
        <v/>
      </c>
      <c r="P186" s="52" t="str" cm="1">
        <f t="array" ref="P186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186)),""))</f>
        <v/>
      </c>
      <c r="Q186" s="52" t="str" cm="1">
        <f t="array" ref="Q186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186)),""))</f>
        <v/>
      </c>
      <c r="W186">
        <v>-14</v>
      </c>
      <c r="X186">
        <v>-0.60000000000000009</v>
      </c>
      <c r="AJ186" t="str">
        <v>d-14</v>
      </c>
      <c r="AK186">
        <v>-0.60000000000000009</v>
      </c>
      <c r="AP186" t="str">
        <v>d-12</v>
      </c>
      <c r="AQ186">
        <v>-1.4</v>
      </c>
      <c r="AS186" t="str">
        <v>d-2</v>
      </c>
      <c r="AT186">
        <v>0.59999999999999964</v>
      </c>
      <c r="AU186" t="str" cm="1">
        <f t="array" ref="AU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U186)),""))</f>
        <v/>
      </c>
      <c r="AV186" t="str" cm="1">
        <f t="array" ref="AV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V186)),""))</f>
        <v/>
      </c>
      <c r="AW186" t="str" cm="1">
        <f t="array" ref="AW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W186)),""))</f>
        <v/>
      </c>
      <c r="AX186" t="str" cm="1">
        <f t="array" ref="AX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X186)),""))</f>
        <v/>
      </c>
      <c r="AY186" t="str" cm="1">
        <f t="array" ref="AY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Y186)),""))</f>
        <v/>
      </c>
      <c r="AZ186" t="str" cm="1">
        <f t="array" ref="AZ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AZ186)),""))</f>
        <v/>
      </c>
      <c r="BA186" t="str" cm="1">
        <f t="array" ref="BA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A186)),""))</f>
        <v/>
      </c>
      <c r="BB186" t="str" cm="1">
        <f t="array" ref="BB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B186)),""))</f>
        <v/>
      </c>
      <c r="BC186" t="str" cm="1">
        <f t="array" ref="BC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C186)),""))</f>
        <v/>
      </c>
      <c r="BD186" t="str" cm="1">
        <f t="array" ref="BD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D186)),""))</f>
        <v/>
      </c>
      <c r="BE186" t="str" cm="1">
        <f t="array" ref="BE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E186)),""))</f>
        <v/>
      </c>
      <c r="BF186" t="str" cm="1">
        <f t="array" ref="BF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F186)),""))</f>
        <v/>
      </c>
      <c r="BG186" t="str" cm="1">
        <f t="array" ref="BG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G186)),""))</f>
        <v/>
      </c>
      <c r="BH186" t="str" cm="1">
        <f t="array" ref="BH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H186)),""))</f>
        <v/>
      </c>
      <c r="BI186" t="str" cm="1">
        <f t="array" ref="BI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I186)),""))</f>
        <v/>
      </c>
      <c r="BJ186" t="str" cm="1">
        <f t="array" ref="BJ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J186)),""))</f>
        <v/>
      </c>
      <c r="BK186" t="str" cm="1">
        <f t="array" ref="BK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K186)),""))</f>
        <v/>
      </c>
      <c r="BL186" t="str" cm="1">
        <f t="array" ref="BL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L186)),""))</f>
        <v/>
      </c>
      <c r="BM186" t="str" cm="1">
        <f t="array" ref="BM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M186)),""))</f>
        <v/>
      </c>
      <c r="BN186" t="str" cm="1">
        <f t="array" ref="BN186">IF(COUNTIFS(Calc_Anclaje!$A$5:$A$1058,$B$2,Calc_Anclaje!$H$5:$H$1058,VALUE(SUBSTITUTE($AJ186,"d-","")),Calc_Anclaje!$K$5:$K$1058,"&gt;=2",Calc_Anclaje!$K$5:$K$1058,"&lt;=4")&lt;5,"",IFERROR(INDEX(_xlfn._xlws.FILTER(Calc_Anclaje!$O$5:$O$1058,(Calc_Anclaje!$A$5:$A$1058=$B$2)*(Calc_Anclaje!$H$5:$H$1058=VALUE(SUBSTITUTE($AJ186,"d-","")))*(Calc_Anclaje!$K$5:$K$1058&gt;=2)*(Calc_Anclaje!$K$5:$K$1058&lt;=4)),COLUMNS($AK186:BN186)),""))</f>
        <v/>
      </c>
    </row>
    <row r="187" spans="1:66">
      <c r="A187" s="52" t="str" cm="1">
        <f t="array" ref="A187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187)),""))</f>
        <v/>
      </c>
      <c r="B187" s="52" t="str" cm="1">
        <f t="array" ref="B187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187)),""))</f>
        <v/>
      </c>
      <c r="C187" s="52" t="str" cm="1">
        <f t="array" ref="C187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187)),""))</f>
        <v/>
      </c>
      <c r="D187" s="52" t="str" cm="1">
        <f t="array" ref="D187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187)),""))</f>
        <v/>
      </c>
      <c r="E187" s="52" t="str" cm="1">
        <f t="array" ref="E187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187)),""))</f>
        <v/>
      </c>
      <c r="F187" s="52" t="str" cm="1">
        <f t="array" ref="F187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187)),""))</f>
        <v/>
      </c>
      <c r="G187" s="52" t="str" cm="1">
        <f t="array" ref="G187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187)),""))</f>
        <v/>
      </c>
      <c r="H187" s="52" t="str" cm="1">
        <f t="array" ref="H187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187)),""))</f>
        <v/>
      </c>
      <c r="I187" s="52" t="str" cm="1">
        <f t="array" ref="I187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187)),""))</f>
        <v/>
      </c>
      <c r="J187" s="52" t="str" cm="1">
        <f t="array" ref="J187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187)),""))</f>
        <v/>
      </c>
      <c r="K187" s="52" t="str" cm="1">
        <f t="array" ref="K187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187)),""))</f>
        <v/>
      </c>
      <c r="L187" s="52" t="str" cm="1">
        <f t="array" ref="L187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187)),""))</f>
        <v/>
      </c>
      <c r="M187" s="52" t="str" cm="1">
        <f t="array" ref="M187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187)),""))</f>
        <v/>
      </c>
      <c r="N187" s="52" t="str" cm="1">
        <f t="array" ref="N187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187)),""))</f>
        <v/>
      </c>
      <c r="O187" s="52" t="str" cm="1">
        <f t="array" ref="O187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187)),""))</f>
        <v/>
      </c>
      <c r="P187" s="52" t="str" cm="1">
        <f t="array" ref="P187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187)),""))</f>
        <v/>
      </c>
      <c r="Q187" s="52" t="str" cm="1">
        <f t="array" ref="Q187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187)),""))</f>
        <v/>
      </c>
      <c r="W187">
        <v>-13</v>
      </c>
      <c r="X187">
        <v>-0.70000000000000018</v>
      </c>
      <c r="AJ187" t="str">
        <v>d-14</v>
      </c>
      <c r="AK187">
        <v>-1.0999999999999996</v>
      </c>
      <c r="AP187" t="str">
        <v>d-12</v>
      </c>
      <c r="AQ187">
        <v>-1.6</v>
      </c>
      <c r="AS187" t="str">
        <v>d-1</v>
      </c>
      <c r="AT187">
        <v>-0.20000000000000018</v>
      </c>
      <c r="AU187" t="str" cm="1">
        <f t="array" ref="AU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U187)),""))</f>
        <v/>
      </c>
      <c r="AV187" t="str" cm="1">
        <f t="array" ref="AV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V187)),""))</f>
        <v/>
      </c>
      <c r="AW187" t="str" cm="1">
        <f t="array" ref="AW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W187)),""))</f>
        <v/>
      </c>
      <c r="AX187" t="str" cm="1">
        <f t="array" ref="AX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X187)),""))</f>
        <v/>
      </c>
      <c r="AY187" t="str" cm="1">
        <f t="array" ref="AY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Y187)),""))</f>
        <v/>
      </c>
      <c r="AZ187" t="str" cm="1">
        <f t="array" ref="AZ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AZ187)),""))</f>
        <v/>
      </c>
      <c r="BA187" t="str" cm="1">
        <f t="array" ref="BA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A187)),""))</f>
        <v/>
      </c>
      <c r="BB187" t="str" cm="1">
        <f t="array" ref="BB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B187)),""))</f>
        <v/>
      </c>
      <c r="BC187" t="str" cm="1">
        <f t="array" ref="BC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C187)),""))</f>
        <v/>
      </c>
      <c r="BD187" t="str" cm="1">
        <f t="array" ref="BD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D187)),""))</f>
        <v/>
      </c>
      <c r="BE187" t="str" cm="1">
        <f t="array" ref="BE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E187)),""))</f>
        <v/>
      </c>
      <c r="BF187" t="str" cm="1">
        <f t="array" ref="BF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F187)),""))</f>
        <v/>
      </c>
      <c r="BG187" t="str" cm="1">
        <f t="array" ref="BG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G187)),""))</f>
        <v/>
      </c>
      <c r="BH187" t="str" cm="1">
        <f t="array" ref="BH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H187)),""))</f>
        <v/>
      </c>
      <c r="BI187" t="str" cm="1">
        <f t="array" ref="BI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I187)),""))</f>
        <v/>
      </c>
      <c r="BJ187" t="str" cm="1">
        <f t="array" ref="BJ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J187)),""))</f>
        <v/>
      </c>
      <c r="BK187" t="str" cm="1">
        <f t="array" ref="BK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K187)),""))</f>
        <v/>
      </c>
      <c r="BL187" t="str" cm="1">
        <f t="array" ref="BL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L187)),""))</f>
        <v/>
      </c>
      <c r="BM187" t="str" cm="1">
        <f t="array" ref="BM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M187)),""))</f>
        <v/>
      </c>
      <c r="BN187" t="str" cm="1">
        <f t="array" ref="BN187">IF(COUNTIFS(Calc_Anclaje!$A$5:$A$1058,$B$2,Calc_Anclaje!$H$5:$H$1058,VALUE(SUBSTITUTE($AJ187,"d-","")),Calc_Anclaje!$K$5:$K$1058,"&gt;=2",Calc_Anclaje!$K$5:$K$1058,"&lt;=4")&lt;5,"",IFERROR(INDEX(_xlfn._xlws.FILTER(Calc_Anclaje!$O$5:$O$1058,(Calc_Anclaje!$A$5:$A$1058=$B$2)*(Calc_Anclaje!$H$5:$H$1058=VALUE(SUBSTITUTE($AJ187,"d-","")))*(Calc_Anclaje!$K$5:$K$1058&gt;=2)*(Calc_Anclaje!$K$5:$K$1058&lt;=4)),COLUMNS($AK187:BN187)),""))</f>
        <v/>
      </c>
    </row>
    <row r="188" spans="1:66">
      <c r="A188" s="52" t="str" cm="1">
        <f t="array" ref="A188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188)),""))</f>
        <v/>
      </c>
      <c r="B188" s="52" t="str" cm="1">
        <f t="array" ref="B188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188)),""))</f>
        <v/>
      </c>
      <c r="C188" s="52" t="str" cm="1">
        <f t="array" ref="C188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188)),""))</f>
        <v/>
      </c>
      <c r="D188" s="52" t="str" cm="1">
        <f t="array" ref="D188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188)),""))</f>
        <v/>
      </c>
      <c r="E188" s="52" t="str" cm="1">
        <f t="array" ref="E188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188)),""))</f>
        <v/>
      </c>
      <c r="F188" s="52" t="str" cm="1">
        <f t="array" ref="F188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188)),""))</f>
        <v/>
      </c>
      <c r="G188" s="52" t="str" cm="1">
        <f t="array" ref="G188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188)),""))</f>
        <v/>
      </c>
      <c r="H188" s="52" t="str" cm="1">
        <f t="array" ref="H188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188)),""))</f>
        <v/>
      </c>
      <c r="I188" s="52" t="str" cm="1">
        <f t="array" ref="I188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188)),""))</f>
        <v/>
      </c>
      <c r="J188" s="52" t="str" cm="1">
        <f t="array" ref="J188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188)),""))</f>
        <v/>
      </c>
      <c r="K188" s="52" t="str" cm="1">
        <f t="array" ref="K188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188)),""))</f>
        <v/>
      </c>
      <c r="L188" s="52" t="str" cm="1">
        <f t="array" ref="L188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188)),""))</f>
        <v/>
      </c>
      <c r="M188" s="52" t="str" cm="1">
        <f t="array" ref="M188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188)),""))</f>
        <v/>
      </c>
      <c r="N188" s="52" t="str" cm="1">
        <f t="array" ref="N188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188)),""))</f>
        <v/>
      </c>
      <c r="O188" s="52" t="str" cm="1">
        <f t="array" ref="O188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188)),""))</f>
        <v/>
      </c>
      <c r="P188" s="52" t="str" cm="1">
        <f t="array" ref="P188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188)),""))</f>
        <v/>
      </c>
      <c r="Q188" s="52" t="str" cm="1">
        <f t="array" ref="Q188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188)),""))</f>
        <v/>
      </c>
      <c r="W188">
        <v>-12</v>
      </c>
      <c r="X188">
        <v>-0.70000000000000018</v>
      </c>
      <c r="AJ188" t="str">
        <v>d-14</v>
      </c>
      <c r="AK188">
        <v>-0.89999999999999991</v>
      </c>
      <c r="AP188" t="str">
        <v>d-12</v>
      </c>
      <c r="AQ188">
        <v>-1.4</v>
      </c>
      <c r="AS188" t="str">
        <v>d-1</v>
      </c>
      <c r="AT188">
        <v>-0.20000000000000018</v>
      </c>
      <c r="AU188" t="str" cm="1">
        <f t="array" ref="AU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U188)),""))</f>
        <v/>
      </c>
      <c r="AV188" t="str" cm="1">
        <f t="array" ref="AV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V188)),""))</f>
        <v/>
      </c>
      <c r="AW188" t="str" cm="1">
        <f t="array" ref="AW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W188)),""))</f>
        <v/>
      </c>
      <c r="AX188" t="str" cm="1">
        <f t="array" ref="AX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X188)),""))</f>
        <v/>
      </c>
      <c r="AY188" t="str" cm="1">
        <f t="array" ref="AY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Y188)),""))</f>
        <v/>
      </c>
      <c r="AZ188" t="str" cm="1">
        <f t="array" ref="AZ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AZ188)),""))</f>
        <v/>
      </c>
      <c r="BA188" t="str" cm="1">
        <f t="array" ref="BA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A188)),""))</f>
        <v/>
      </c>
      <c r="BB188" t="str" cm="1">
        <f t="array" ref="BB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B188)),""))</f>
        <v/>
      </c>
      <c r="BC188" t="str" cm="1">
        <f t="array" ref="BC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C188)),""))</f>
        <v/>
      </c>
      <c r="BD188" t="str" cm="1">
        <f t="array" ref="BD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D188)),""))</f>
        <v/>
      </c>
      <c r="BE188" t="str" cm="1">
        <f t="array" ref="BE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E188)),""))</f>
        <v/>
      </c>
      <c r="BF188" t="str" cm="1">
        <f t="array" ref="BF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F188)),""))</f>
        <v/>
      </c>
      <c r="BG188" t="str" cm="1">
        <f t="array" ref="BG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G188)),""))</f>
        <v/>
      </c>
      <c r="BH188" t="str" cm="1">
        <f t="array" ref="BH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H188)),""))</f>
        <v/>
      </c>
      <c r="BI188" t="str" cm="1">
        <f t="array" ref="BI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I188)),""))</f>
        <v/>
      </c>
      <c r="BJ188" t="str" cm="1">
        <f t="array" ref="BJ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J188)),""))</f>
        <v/>
      </c>
      <c r="BK188" t="str" cm="1">
        <f t="array" ref="BK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K188)),""))</f>
        <v/>
      </c>
      <c r="BL188" t="str" cm="1">
        <f t="array" ref="BL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L188)),""))</f>
        <v/>
      </c>
      <c r="BM188" t="str" cm="1">
        <f t="array" ref="BM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M188)),""))</f>
        <v/>
      </c>
      <c r="BN188" t="str" cm="1">
        <f t="array" ref="BN188">IF(COUNTIFS(Calc_Anclaje!$A$5:$A$1058,$B$2,Calc_Anclaje!$H$5:$H$1058,VALUE(SUBSTITUTE($AJ188,"d-","")),Calc_Anclaje!$K$5:$K$1058,"&gt;=2",Calc_Anclaje!$K$5:$K$1058,"&lt;=4")&lt;5,"",IFERROR(INDEX(_xlfn._xlws.FILTER(Calc_Anclaje!$O$5:$O$1058,(Calc_Anclaje!$A$5:$A$1058=$B$2)*(Calc_Anclaje!$H$5:$H$1058=VALUE(SUBSTITUTE($AJ188,"d-","")))*(Calc_Anclaje!$K$5:$K$1058&gt;=2)*(Calc_Anclaje!$K$5:$K$1058&lt;=4)),COLUMNS($AK188:BN188)),""))</f>
        <v/>
      </c>
    </row>
    <row r="189" spans="1:66">
      <c r="A189" s="52" t="str" cm="1">
        <f t="array" ref="A189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189)),""))</f>
        <v/>
      </c>
      <c r="B189" s="52" t="str" cm="1">
        <f t="array" ref="B189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189)),""))</f>
        <v/>
      </c>
      <c r="C189" s="52" t="str" cm="1">
        <f t="array" ref="C189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189)),""))</f>
        <v/>
      </c>
      <c r="D189" s="52" t="str" cm="1">
        <f t="array" ref="D189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189)),""))</f>
        <v/>
      </c>
      <c r="E189" s="52" t="str" cm="1">
        <f t="array" ref="E189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189)),""))</f>
        <v/>
      </c>
      <c r="F189" s="52" t="str" cm="1">
        <f t="array" ref="F189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189)),""))</f>
        <v/>
      </c>
      <c r="G189" s="52" t="str" cm="1">
        <f t="array" ref="G189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189)),""))</f>
        <v/>
      </c>
      <c r="H189" s="52" t="str" cm="1">
        <f t="array" ref="H189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189)),""))</f>
        <v/>
      </c>
      <c r="I189" s="52" t="str" cm="1">
        <f t="array" ref="I189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189)),""))</f>
        <v/>
      </c>
      <c r="J189" s="52" t="str" cm="1">
        <f t="array" ref="J189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189)),""))</f>
        <v/>
      </c>
      <c r="K189" s="52" t="str" cm="1">
        <f t="array" ref="K189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189)),""))</f>
        <v/>
      </c>
      <c r="L189" s="52" t="str" cm="1">
        <f t="array" ref="L189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189)),""))</f>
        <v/>
      </c>
      <c r="M189" s="52" t="str" cm="1">
        <f t="array" ref="M189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189)),""))</f>
        <v/>
      </c>
      <c r="N189" s="52" t="str" cm="1">
        <f t="array" ref="N189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189)),""))</f>
        <v/>
      </c>
      <c r="O189" s="52" t="str" cm="1">
        <f t="array" ref="O189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189)),""))</f>
        <v/>
      </c>
      <c r="P189" s="52" t="str" cm="1">
        <f t="array" ref="P189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189)),""))</f>
        <v/>
      </c>
      <c r="Q189" s="52" t="str" cm="1">
        <f t="array" ref="Q189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189)),""))</f>
        <v/>
      </c>
      <c r="W189">
        <v>-11</v>
      </c>
      <c r="X189">
        <v>-0.70000000000000018</v>
      </c>
      <c r="AJ189" t="str">
        <v>d-13</v>
      </c>
      <c r="AK189">
        <v>-4.4000000000000004</v>
      </c>
      <c r="AP189" t="str">
        <v>d-12</v>
      </c>
      <c r="AQ189">
        <v>-1.1000000000000001</v>
      </c>
      <c r="AS189" t="str">
        <v>d-1</v>
      </c>
      <c r="AT189">
        <v>-0.39999999999999947</v>
      </c>
      <c r="AU189" t="str" cm="1">
        <f t="array" ref="AU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U189)),""))</f>
        <v/>
      </c>
      <c r="AV189" t="str" cm="1">
        <f t="array" ref="AV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V189)),""))</f>
        <v/>
      </c>
      <c r="AW189" t="str" cm="1">
        <f t="array" ref="AW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W189)),""))</f>
        <v/>
      </c>
      <c r="AX189" t="str" cm="1">
        <f t="array" ref="AX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X189)),""))</f>
        <v/>
      </c>
      <c r="AY189" t="str" cm="1">
        <f t="array" ref="AY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Y189)),""))</f>
        <v/>
      </c>
      <c r="AZ189" t="str" cm="1">
        <f t="array" ref="AZ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AZ189)),""))</f>
        <v/>
      </c>
      <c r="BA189" t="str" cm="1">
        <f t="array" ref="BA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A189)),""))</f>
        <v/>
      </c>
      <c r="BB189" t="str" cm="1">
        <f t="array" ref="BB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B189)),""))</f>
        <v/>
      </c>
      <c r="BC189" t="str" cm="1">
        <f t="array" ref="BC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C189)),""))</f>
        <v/>
      </c>
      <c r="BD189" t="str" cm="1">
        <f t="array" ref="BD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D189)),""))</f>
        <v/>
      </c>
      <c r="BE189" t="str" cm="1">
        <f t="array" ref="BE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E189)),""))</f>
        <v/>
      </c>
      <c r="BF189" t="str" cm="1">
        <f t="array" ref="BF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F189)),""))</f>
        <v/>
      </c>
      <c r="BG189" t="str" cm="1">
        <f t="array" ref="BG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G189)),""))</f>
        <v/>
      </c>
      <c r="BH189" t="str" cm="1">
        <f t="array" ref="BH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H189)),""))</f>
        <v/>
      </c>
      <c r="BI189" t="str" cm="1">
        <f t="array" ref="BI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I189)),""))</f>
        <v/>
      </c>
      <c r="BJ189" t="str" cm="1">
        <f t="array" ref="BJ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J189)),""))</f>
        <v/>
      </c>
      <c r="BK189" t="str" cm="1">
        <f t="array" ref="BK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K189)),""))</f>
        <v/>
      </c>
      <c r="BL189" t="str" cm="1">
        <f t="array" ref="BL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L189)),""))</f>
        <v/>
      </c>
      <c r="BM189" t="str" cm="1">
        <f t="array" ref="BM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M189)),""))</f>
        <v/>
      </c>
      <c r="BN189" t="str" cm="1">
        <f t="array" ref="BN189">IF(COUNTIFS(Calc_Anclaje!$A$5:$A$1058,$B$2,Calc_Anclaje!$H$5:$H$1058,VALUE(SUBSTITUTE($AJ189,"d-","")),Calc_Anclaje!$K$5:$K$1058,"&gt;=2",Calc_Anclaje!$K$5:$K$1058,"&lt;=4")&lt;5,"",IFERROR(INDEX(_xlfn._xlws.FILTER(Calc_Anclaje!$O$5:$O$1058,(Calc_Anclaje!$A$5:$A$1058=$B$2)*(Calc_Anclaje!$H$5:$H$1058=VALUE(SUBSTITUTE($AJ189,"d-","")))*(Calc_Anclaje!$K$5:$K$1058&gt;=2)*(Calc_Anclaje!$K$5:$K$1058&lt;=4)),COLUMNS($AK189:BN189)),""))</f>
        <v/>
      </c>
    </row>
    <row r="190" spans="1:66">
      <c r="A190" s="52" t="str" cm="1">
        <f t="array" ref="A190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190)),""))</f>
        <v/>
      </c>
      <c r="B190" s="52" t="str" cm="1">
        <f t="array" ref="B190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190)),""))</f>
        <v/>
      </c>
      <c r="C190" s="52" t="str" cm="1">
        <f t="array" ref="C190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190)),""))</f>
        <v/>
      </c>
      <c r="D190" s="52" t="str" cm="1">
        <f t="array" ref="D190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190)),""))</f>
        <v/>
      </c>
      <c r="E190" s="52" t="str" cm="1">
        <f t="array" ref="E190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190)),""))</f>
        <v/>
      </c>
      <c r="F190" s="52" t="str" cm="1">
        <f t="array" ref="F190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190)),""))</f>
        <v/>
      </c>
      <c r="G190" s="52" t="str" cm="1">
        <f t="array" ref="G190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190)),""))</f>
        <v/>
      </c>
      <c r="H190" s="52" t="str" cm="1">
        <f t="array" ref="H190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190)),""))</f>
        <v/>
      </c>
      <c r="I190" s="52" t="str" cm="1">
        <f t="array" ref="I190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190)),""))</f>
        <v/>
      </c>
      <c r="J190" s="52" t="str" cm="1">
        <f t="array" ref="J190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190)),""))</f>
        <v/>
      </c>
      <c r="K190" s="52" t="str" cm="1">
        <f t="array" ref="K190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190)),""))</f>
        <v/>
      </c>
      <c r="L190" s="52" t="str" cm="1">
        <f t="array" ref="L190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190)),""))</f>
        <v/>
      </c>
      <c r="M190" s="52" t="str" cm="1">
        <f t="array" ref="M190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190)),""))</f>
        <v/>
      </c>
      <c r="N190" s="52" t="str" cm="1">
        <f t="array" ref="N190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190)),""))</f>
        <v/>
      </c>
      <c r="O190" s="52" t="str" cm="1">
        <f t="array" ref="O190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190)),""))</f>
        <v/>
      </c>
      <c r="P190" s="52" t="str" cm="1">
        <f t="array" ref="P190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190)),""))</f>
        <v/>
      </c>
      <c r="Q190" s="52" t="str" cm="1">
        <f t="array" ref="Q190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190)),""))</f>
        <v/>
      </c>
      <c r="W190">
        <v>-10</v>
      </c>
      <c r="X190">
        <v>-0.70000000000000018</v>
      </c>
      <c r="AJ190" t="str">
        <v>d-13</v>
      </c>
      <c r="AK190">
        <v>-2.5</v>
      </c>
      <c r="AP190" t="str">
        <v>d-12</v>
      </c>
      <c r="AQ190">
        <v>-1.0999999999999996</v>
      </c>
      <c r="AS190" t="str">
        <v>d-1</v>
      </c>
      <c r="AT190">
        <v>-0.20000000000000018</v>
      </c>
      <c r="AU190" t="str" cm="1">
        <f t="array" ref="AU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U190)),""))</f>
        <v/>
      </c>
      <c r="AV190" t="str" cm="1">
        <f t="array" ref="AV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V190)),""))</f>
        <v/>
      </c>
      <c r="AW190" t="str" cm="1">
        <f t="array" ref="AW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W190)),""))</f>
        <v/>
      </c>
      <c r="AX190" t="str" cm="1">
        <f t="array" ref="AX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X190)),""))</f>
        <v/>
      </c>
      <c r="AY190" t="str" cm="1">
        <f t="array" ref="AY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Y190)),""))</f>
        <v/>
      </c>
      <c r="AZ190" t="str" cm="1">
        <f t="array" ref="AZ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AZ190)),""))</f>
        <v/>
      </c>
      <c r="BA190" t="str" cm="1">
        <f t="array" ref="BA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A190)),""))</f>
        <v/>
      </c>
      <c r="BB190" t="str" cm="1">
        <f t="array" ref="BB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B190)),""))</f>
        <v/>
      </c>
      <c r="BC190" t="str" cm="1">
        <f t="array" ref="BC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C190)),""))</f>
        <v/>
      </c>
      <c r="BD190" t="str" cm="1">
        <f t="array" ref="BD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D190)),""))</f>
        <v/>
      </c>
      <c r="BE190" t="str" cm="1">
        <f t="array" ref="BE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E190)),""))</f>
        <v/>
      </c>
      <c r="BF190" t="str" cm="1">
        <f t="array" ref="BF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F190)),""))</f>
        <v/>
      </c>
      <c r="BG190" t="str" cm="1">
        <f t="array" ref="BG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G190)),""))</f>
        <v/>
      </c>
      <c r="BH190" t="str" cm="1">
        <f t="array" ref="BH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H190)),""))</f>
        <v/>
      </c>
      <c r="BI190" t="str" cm="1">
        <f t="array" ref="BI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I190)),""))</f>
        <v/>
      </c>
      <c r="BJ190" t="str" cm="1">
        <f t="array" ref="BJ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J190)),""))</f>
        <v/>
      </c>
      <c r="BK190" t="str" cm="1">
        <f t="array" ref="BK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K190)),""))</f>
        <v/>
      </c>
      <c r="BL190" t="str" cm="1">
        <f t="array" ref="BL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L190)),""))</f>
        <v/>
      </c>
      <c r="BM190" t="str" cm="1">
        <f t="array" ref="BM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M190)),""))</f>
        <v/>
      </c>
      <c r="BN190" t="str" cm="1">
        <f t="array" ref="BN190">IF(COUNTIFS(Calc_Anclaje!$A$5:$A$1058,$B$2,Calc_Anclaje!$H$5:$H$1058,VALUE(SUBSTITUTE($AJ190,"d-","")),Calc_Anclaje!$K$5:$K$1058,"&gt;=2",Calc_Anclaje!$K$5:$K$1058,"&lt;=4")&lt;5,"",IFERROR(INDEX(_xlfn._xlws.FILTER(Calc_Anclaje!$O$5:$O$1058,(Calc_Anclaje!$A$5:$A$1058=$B$2)*(Calc_Anclaje!$H$5:$H$1058=VALUE(SUBSTITUTE($AJ190,"d-","")))*(Calc_Anclaje!$K$5:$K$1058&gt;=2)*(Calc_Anclaje!$K$5:$K$1058&lt;=4)),COLUMNS($AK190:BN190)),""))</f>
        <v/>
      </c>
    </row>
    <row r="191" spans="1:66">
      <c r="A191" s="52" t="str" cm="1">
        <f t="array" ref="A191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191)),""))</f>
        <v/>
      </c>
      <c r="B191" s="52" t="str" cm="1">
        <f t="array" ref="B191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191)),""))</f>
        <v/>
      </c>
      <c r="C191" s="52" t="str" cm="1">
        <f t="array" ref="C191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191)),""))</f>
        <v/>
      </c>
      <c r="D191" s="52" t="str" cm="1">
        <f t="array" ref="D191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191)),""))</f>
        <v/>
      </c>
      <c r="E191" s="52" t="str" cm="1">
        <f t="array" ref="E191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191)),""))</f>
        <v/>
      </c>
      <c r="F191" s="52" t="str" cm="1">
        <f t="array" ref="F191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191)),""))</f>
        <v/>
      </c>
      <c r="G191" s="52" t="str" cm="1">
        <f t="array" ref="G191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191)),""))</f>
        <v/>
      </c>
      <c r="H191" s="52" t="str" cm="1">
        <f t="array" ref="H191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191)),""))</f>
        <v/>
      </c>
      <c r="I191" s="52" t="str" cm="1">
        <f t="array" ref="I191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191)),""))</f>
        <v/>
      </c>
      <c r="J191" s="52" t="str" cm="1">
        <f t="array" ref="J191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191)),""))</f>
        <v/>
      </c>
      <c r="K191" s="52" t="str" cm="1">
        <f t="array" ref="K191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191)),""))</f>
        <v/>
      </c>
      <c r="L191" s="52" t="str" cm="1">
        <f t="array" ref="L191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191)),""))</f>
        <v/>
      </c>
      <c r="M191" s="52" t="str" cm="1">
        <f t="array" ref="M191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191)),""))</f>
        <v/>
      </c>
      <c r="N191" s="52" t="str" cm="1">
        <f t="array" ref="N191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191)),""))</f>
        <v/>
      </c>
      <c r="O191" s="52" t="str" cm="1">
        <f t="array" ref="O191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191)),""))</f>
        <v/>
      </c>
      <c r="P191" s="52" t="str" cm="1">
        <f t="array" ref="P191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191)),""))</f>
        <v/>
      </c>
      <c r="Q191" s="52" t="str" cm="1">
        <f t="array" ref="Q191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191)),""))</f>
        <v/>
      </c>
      <c r="W191">
        <v>-9</v>
      </c>
      <c r="X191">
        <v>-0.70000000000000018</v>
      </c>
      <c r="AJ191" t="str">
        <v>d-13</v>
      </c>
      <c r="AK191">
        <v>-1.4999999999999996</v>
      </c>
      <c r="AP191" t="str">
        <v>d-11</v>
      </c>
      <c r="AQ191">
        <v>-1.3999999999999995</v>
      </c>
      <c r="AS191" t="str">
        <v>d-1</v>
      </c>
      <c r="AT191">
        <v>0</v>
      </c>
      <c r="AU191" t="str" cm="1">
        <f t="array" ref="AU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U191)),""))</f>
        <v/>
      </c>
      <c r="AV191" t="str" cm="1">
        <f t="array" ref="AV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V191)),""))</f>
        <v/>
      </c>
      <c r="AW191" t="str" cm="1">
        <f t="array" ref="AW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W191)),""))</f>
        <v/>
      </c>
      <c r="AX191" t="str" cm="1">
        <f t="array" ref="AX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X191)),""))</f>
        <v/>
      </c>
      <c r="AY191" t="str" cm="1">
        <f t="array" ref="AY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Y191)),""))</f>
        <v/>
      </c>
      <c r="AZ191" t="str" cm="1">
        <f t="array" ref="AZ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AZ191)),""))</f>
        <v/>
      </c>
      <c r="BA191" t="str" cm="1">
        <f t="array" ref="BA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A191)),""))</f>
        <v/>
      </c>
      <c r="BB191" t="str" cm="1">
        <f t="array" ref="BB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B191)),""))</f>
        <v/>
      </c>
      <c r="BC191" t="str" cm="1">
        <f t="array" ref="BC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C191)),""))</f>
        <v/>
      </c>
      <c r="BD191" t="str" cm="1">
        <f t="array" ref="BD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D191)),""))</f>
        <v/>
      </c>
      <c r="BE191" t="str" cm="1">
        <f t="array" ref="BE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E191)),""))</f>
        <v/>
      </c>
      <c r="BF191" t="str" cm="1">
        <f t="array" ref="BF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F191)),""))</f>
        <v/>
      </c>
      <c r="BG191" t="str" cm="1">
        <f t="array" ref="BG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G191)),""))</f>
        <v/>
      </c>
      <c r="BH191" t="str" cm="1">
        <f t="array" ref="BH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H191)),""))</f>
        <v/>
      </c>
      <c r="BI191" t="str" cm="1">
        <f t="array" ref="BI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I191)),""))</f>
        <v/>
      </c>
      <c r="BJ191" t="str" cm="1">
        <f t="array" ref="BJ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J191)),""))</f>
        <v/>
      </c>
      <c r="BK191" t="str" cm="1">
        <f t="array" ref="BK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K191)),""))</f>
        <v/>
      </c>
      <c r="BL191" t="str" cm="1">
        <f t="array" ref="BL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L191)),""))</f>
        <v/>
      </c>
      <c r="BM191" t="str" cm="1">
        <f t="array" ref="BM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M191)),""))</f>
        <v/>
      </c>
      <c r="BN191" t="str" cm="1">
        <f t="array" ref="BN191">IF(COUNTIFS(Calc_Anclaje!$A$5:$A$1058,$B$2,Calc_Anclaje!$H$5:$H$1058,VALUE(SUBSTITUTE($AJ191,"d-","")),Calc_Anclaje!$K$5:$K$1058,"&gt;=2",Calc_Anclaje!$K$5:$K$1058,"&lt;=4")&lt;5,"",IFERROR(INDEX(_xlfn._xlws.FILTER(Calc_Anclaje!$O$5:$O$1058,(Calc_Anclaje!$A$5:$A$1058=$B$2)*(Calc_Anclaje!$H$5:$H$1058=VALUE(SUBSTITUTE($AJ191,"d-","")))*(Calc_Anclaje!$K$5:$K$1058&gt;=2)*(Calc_Anclaje!$K$5:$K$1058&lt;=4)),COLUMNS($AK191:BN191)),""))</f>
        <v/>
      </c>
    </row>
    <row r="192" spans="1:66">
      <c r="A192" s="52" t="str" cm="1">
        <f t="array" ref="A192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192)),""))</f>
        <v/>
      </c>
      <c r="B192" s="52" t="str" cm="1">
        <f t="array" ref="B192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192)),""))</f>
        <v/>
      </c>
      <c r="C192" s="52" t="str" cm="1">
        <f t="array" ref="C192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192)),""))</f>
        <v/>
      </c>
      <c r="D192" s="52" t="str" cm="1">
        <f t="array" ref="D192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192)),""))</f>
        <v/>
      </c>
      <c r="E192" s="52" t="str" cm="1">
        <f t="array" ref="E192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192)),""))</f>
        <v/>
      </c>
      <c r="F192" s="52" t="str" cm="1">
        <f t="array" ref="F192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192)),""))</f>
        <v/>
      </c>
      <c r="G192" s="52" t="str" cm="1">
        <f t="array" ref="G192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192)),""))</f>
        <v/>
      </c>
      <c r="H192" s="52" t="str" cm="1">
        <f t="array" ref="H192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192)),""))</f>
        <v/>
      </c>
      <c r="I192" s="52" t="str" cm="1">
        <f t="array" ref="I192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192)),""))</f>
        <v/>
      </c>
      <c r="J192" s="52" t="str" cm="1">
        <f t="array" ref="J192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192)),""))</f>
        <v/>
      </c>
      <c r="K192" s="52" t="str" cm="1">
        <f t="array" ref="K192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192)),""))</f>
        <v/>
      </c>
      <c r="L192" s="52" t="str" cm="1">
        <f t="array" ref="L192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192)),""))</f>
        <v/>
      </c>
      <c r="M192" s="52" t="str" cm="1">
        <f t="array" ref="M192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192)),""))</f>
        <v/>
      </c>
      <c r="N192" s="52" t="str" cm="1">
        <f t="array" ref="N192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192)),""))</f>
        <v/>
      </c>
      <c r="O192" s="52" t="str" cm="1">
        <f t="array" ref="O192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192)),""))</f>
        <v/>
      </c>
      <c r="P192" s="52" t="str" cm="1">
        <f t="array" ref="P192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192)),""))</f>
        <v/>
      </c>
      <c r="Q192" s="52" t="str" cm="1">
        <f t="array" ref="Q192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192)),""))</f>
        <v/>
      </c>
      <c r="W192">
        <v>-8</v>
      </c>
      <c r="X192">
        <v>-0.40000000000000036</v>
      </c>
      <c r="AJ192" t="str">
        <v>d-13</v>
      </c>
      <c r="AK192">
        <v>-1.2000000000000002</v>
      </c>
      <c r="AP192" t="str">
        <v>d-11</v>
      </c>
      <c r="AQ192">
        <v>-1.2000000000000002</v>
      </c>
      <c r="AS192" t="str">
        <v>d-1</v>
      </c>
      <c r="AT192">
        <v>0.30000000000000071</v>
      </c>
      <c r="AU192" t="str" cm="1">
        <f t="array" ref="AU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U192)),""))</f>
        <v/>
      </c>
      <c r="AV192" t="str" cm="1">
        <f t="array" ref="AV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V192)),""))</f>
        <v/>
      </c>
      <c r="AW192" t="str" cm="1">
        <f t="array" ref="AW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W192)),""))</f>
        <v/>
      </c>
      <c r="AX192" t="str" cm="1">
        <f t="array" ref="AX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X192)),""))</f>
        <v/>
      </c>
      <c r="AY192" t="str" cm="1">
        <f t="array" ref="AY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Y192)),""))</f>
        <v/>
      </c>
      <c r="AZ192" t="str" cm="1">
        <f t="array" ref="AZ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AZ192)),""))</f>
        <v/>
      </c>
      <c r="BA192" t="str" cm="1">
        <f t="array" ref="BA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A192)),""))</f>
        <v/>
      </c>
      <c r="BB192" t="str" cm="1">
        <f t="array" ref="BB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B192)),""))</f>
        <v/>
      </c>
      <c r="BC192" t="str" cm="1">
        <f t="array" ref="BC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C192)),""))</f>
        <v/>
      </c>
      <c r="BD192" t="str" cm="1">
        <f t="array" ref="BD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D192)),""))</f>
        <v/>
      </c>
      <c r="BE192" t="str" cm="1">
        <f t="array" ref="BE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E192)),""))</f>
        <v/>
      </c>
      <c r="BF192" t="str" cm="1">
        <f t="array" ref="BF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F192)),""))</f>
        <v/>
      </c>
      <c r="BG192" t="str" cm="1">
        <f t="array" ref="BG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G192)),""))</f>
        <v/>
      </c>
      <c r="BH192" t="str" cm="1">
        <f t="array" ref="BH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H192)),""))</f>
        <v/>
      </c>
      <c r="BI192" t="str" cm="1">
        <f t="array" ref="BI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I192)),""))</f>
        <v/>
      </c>
      <c r="BJ192" t="str" cm="1">
        <f t="array" ref="BJ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J192)),""))</f>
        <v/>
      </c>
      <c r="BK192" t="str" cm="1">
        <f t="array" ref="BK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K192)),""))</f>
        <v/>
      </c>
      <c r="BL192" t="str" cm="1">
        <f t="array" ref="BL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L192)),""))</f>
        <v/>
      </c>
      <c r="BM192" t="str" cm="1">
        <f t="array" ref="BM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M192)),""))</f>
        <v/>
      </c>
      <c r="BN192" t="str" cm="1">
        <f t="array" ref="BN192">IF(COUNTIFS(Calc_Anclaje!$A$5:$A$1058,$B$2,Calc_Anclaje!$H$5:$H$1058,VALUE(SUBSTITUTE($AJ192,"d-","")),Calc_Anclaje!$K$5:$K$1058,"&gt;=2",Calc_Anclaje!$K$5:$K$1058,"&lt;=4")&lt;5,"",IFERROR(INDEX(_xlfn._xlws.FILTER(Calc_Anclaje!$O$5:$O$1058,(Calc_Anclaje!$A$5:$A$1058=$B$2)*(Calc_Anclaje!$H$5:$H$1058=VALUE(SUBSTITUTE($AJ192,"d-","")))*(Calc_Anclaje!$K$5:$K$1058&gt;=2)*(Calc_Anclaje!$K$5:$K$1058&lt;=4)),COLUMNS($AK192:BN192)),""))</f>
        <v/>
      </c>
    </row>
    <row r="193" spans="1:66">
      <c r="A193" s="52" t="str" cm="1">
        <f t="array" ref="A193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193)),""))</f>
        <v/>
      </c>
      <c r="B193" s="52" t="str" cm="1">
        <f t="array" ref="B193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193)),""))</f>
        <v/>
      </c>
      <c r="C193" s="52" t="str" cm="1">
        <f t="array" ref="C193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193)),""))</f>
        <v/>
      </c>
      <c r="D193" s="52" t="str" cm="1">
        <f t="array" ref="D193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193)),""))</f>
        <v/>
      </c>
      <c r="E193" s="52" t="str" cm="1">
        <f t="array" ref="E193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193)),""))</f>
        <v/>
      </c>
      <c r="F193" s="52" t="str" cm="1">
        <f t="array" ref="F193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193)),""))</f>
        <v/>
      </c>
      <c r="G193" s="52" t="str" cm="1">
        <f t="array" ref="G193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193)),""))</f>
        <v/>
      </c>
      <c r="H193" s="52" t="str" cm="1">
        <f t="array" ref="H193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193)),""))</f>
        <v/>
      </c>
      <c r="I193" s="52" t="str" cm="1">
        <f t="array" ref="I193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193)),""))</f>
        <v/>
      </c>
      <c r="J193" s="52" t="str" cm="1">
        <f t="array" ref="J193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193)),""))</f>
        <v/>
      </c>
      <c r="K193" s="52" t="str" cm="1">
        <f t="array" ref="K193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193)),""))</f>
        <v/>
      </c>
      <c r="L193" s="52" t="str" cm="1">
        <f t="array" ref="L193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193)),""))</f>
        <v/>
      </c>
      <c r="M193" s="52" t="str" cm="1">
        <f t="array" ref="M193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193)),""))</f>
        <v/>
      </c>
      <c r="N193" s="52" t="str" cm="1">
        <f t="array" ref="N193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193)),""))</f>
        <v/>
      </c>
      <c r="O193" s="52" t="str" cm="1">
        <f t="array" ref="O193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193)),""))</f>
        <v/>
      </c>
      <c r="P193" s="52" t="str" cm="1">
        <f t="array" ref="P193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193)),""))</f>
        <v/>
      </c>
      <c r="Q193" s="52" t="str" cm="1">
        <f t="array" ref="Q193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193)),""))</f>
        <v/>
      </c>
      <c r="W193">
        <v>-7</v>
      </c>
      <c r="X193">
        <v>-0.40000000000000036</v>
      </c>
      <c r="AJ193" t="str">
        <v>d-13</v>
      </c>
      <c r="AK193">
        <v>-1.4999999999999996</v>
      </c>
      <c r="AP193" t="str">
        <v>d-11</v>
      </c>
      <c r="AQ193">
        <v>-0.79999999999999982</v>
      </c>
      <c r="AS193" t="str">
        <v>d-1</v>
      </c>
      <c r="AT193">
        <v>0.20000000000000018</v>
      </c>
      <c r="AU193" t="str" cm="1">
        <f t="array" ref="AU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U193)),""))</f>
        <v/>
      </c>
      <c r="AV193" t="str" cm="1">
        <f t="array" ref="AV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V193)),""))</f>
        <v/>
      </c>
      <c r="AW193" t="str" cm="1">
        <f t="array" ref="AW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W193)),""))</f>
        <v/>
      </c>
      <c r="AX193" t="str" cm="1">
        <f t="array" ref="AX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X193)),""))</f>
        <v/>
      </c>
      <c r="AY193" t="str" cm="1">
        <f t="array" ref="AY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Y193)),""))</f>
        <v/>
      </c>
      <c r="AZ193" t="str" cm="1">
        <f t="array" ref="AZ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AZ193)),""))</f>
        <v/>
      </c>
      <c r="BA193" t="str" cm="1">
        <f t="array" ref="BA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A193)),""))</f>
        <v/>
      </c>
      <c r="BB193" t="str" cm="1">
        <f t="array" ref="BB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B193)),""))</f>
        <v/>
      </c>
      <c r="BC193" t="str" cm="1">
        <f t="array" ref="BC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C193)),""))</f>
        <v/>
      </c>
      <c r="BD193" t="str" cm="1">
        <f t="array" ref="BD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D193)),""))</f>
        <v/>
      </c>
      <c r="BE193" t="str" cm="1">
        <f t="array" ref="BE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E193)),""))</f>
        <v/>
      </c>
      <c r="BF193" t="str" cm="1">
        <f t="array" ref="BF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F193)),""))</f>
        <v/>
      </c>
      <c r="BG193" t="str" cm="1">
        <f t="array" ref="BG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G193)),""))</f>
        <v/>
      </c>
      <c r="BH193" t="str" cm="1">
        <f t="array" ref="BH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H193)),""))</f>
        <v/>
      </c>
      <c r="BI193" t="str" cm="1">
        <f t="array" ref="BI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I193)),""))</f>
        <v/>
      </c>
      <c r="BJ193" t="str" cm="1">
        <f t="array" ref="BJ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J193)),""))</f>
        <v/>
      </c>
      <c r="BK193" t="str" cm="1">
        <f t="array" ref="BK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K193)),""))</f>
        <v/>
      </c>
      <c r="BL193" t="str" cm="1">
        <f t="array" ref="BL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L193)),""))</f>
        <v/>
      </c>
      <c r="BM193" t="str" cm="1">
        <f t="array" ref="BM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M193)),""))</f>
        <v/>
      </c>
      <c r="BN193" t="str" cm="1">
        <f t="array" ref="BN193">IF(COUNTIFS(Calc_Anclaje!$A$5:$A$1058,$B$2,Calc_Anclaje!$H$5:$H$1058,VALUE(SUBSTITUTE($AJ193,"d-","")),Calc_Anclaje!$K$5:$K$1058,"&gt;=2",Calc_Anclaje!$K$5:$K$1058,"&lt;=4")&lt;5,"",IFERROR(INDEX(_xlfn._xlws.FILTER(Calc_Anclaje!$O$5:$O$1058,(Calc_Anclaje!$A$5:$A$1058=$B$2)*(Calc_Anclaje!$H$5:$H$1058=VALUE(SUBSTITUTE($AJ193,"d-","")))*(Calc_Anclaje!$K$5:$K$1058&gt;=2)*(Calc_Anclaje!$K$5:$K$1058&lt;=4)),COLUMNS($AK193:BN193)),""))</f>
        <v/>
      </c>
    </row>
    <row r="194" spans="1:66">
      <c r="A194" s="52" t="str" cm="1">
        <f t="array" ref="A194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194)),""))</f>
        <v/>
      </c>
      <c r="B194" s="52" t="str" cm="1">
        <f t="array" ref="B194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194)),""))</f>
        <v/>
      </c>
      <c r="C194" s="52" t="str" cm="1">
        <f t="array" ref="C194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194)),""))</f>
        <v/>
      </c>
      <c r="D194" s="52" t="str" cm="1">
        <f t="array" ref="D194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194)),""))</f>
        <v/>
      </c>
      <c r="E194" s="52" t="str" cm="1">
        <f t="array" ref="E194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194)),""))</f>
        <v/>
      </c>
      <c r="F194" s="52" t="str" cm="1">
        <f t="array" ref="F194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194)),""))</f>
        <v/>
      </c>
      <c r="G194" s="52" t="str" cm="1">
        <f t="array" ref="G194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194)),""))</f>
        <v/>
      </c>
      <c r="H194" s="52" t="str" cm="1">
        <f t="array" ref="H194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194)),""))</f>
        <v/>
      </c>
      <c r="I194" s="52" t="str" cm="1">
        <f t="array" ref="I194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194)),""))</f>
        <v/>
      </c>
      <c r="J194" s="52" t="str" cm="1">
        <f t="array" ref="J194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194)),""))</f>
        <v/>
      </c>
      <c r="K194" s="52" t="str" cm="1">
        <f t="array" ref="K194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194)),""))</f>
        <v/>
      </c>
      <c r="L194" s="52" t="str" cm="1">
        <f t="array" ref="L194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194)),""))</f>
        <v/>
      </c>
      <c r="M194" s="52" t="str" cm="1">
        <f t="array" ref="M194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194)),""))</f>
        <v/>
      </c>
      <c r="N194" s="52" t="str" cm="1">
        <f t="array" ref="N194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194)),""))</f>
        <v/>
      </c>
      <c r="O194" s="52" t="str" cm="1">
        <f t="array" ref="O194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194)),""))</f>
        <v/>
      </c>
      <c r="P194" s="52" t="str" cm="1">
        <f t="array" ref="P194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194)),""))</f>
        <v/>
      </c>
      <c r="Q194" s="52" t="str" cm="1">
        <f t="array" ref="Q194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194)),""))</f>
        <v/>
      </c>
      <c r="W194">
        <v>-6</v>
      </c>
      <c r="X194">
        <v>-0.40000000000000036</v>
      </c>
      <c r="AJ194" t="str">
        <v>d-13</v>
      </c>
      <c r="AK194">
        <v>-1.4</v>
      </c>
      <c r="AP194" t="str">
        <v>d-11</v>
      </c>
      <c r="AQ194">
        <v>-1.0999999999999996</v>
      </c>
      <c r="AS194" t="str">
        <v>d-1</v>
      </c>
      <c r="AT194">
        <v>0.29999999999999982</v>
      </c>
      <c r="AU194" t="str" cm="1">
        <f t="array" ref="AU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U194)),""))</f>
        <v/>
      </c>
      <c r="AV194" t="str" cm="1">
        <f t="array" ref="AV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V194)),""))</f>
        <v/>
      </c>
      <c r="AW194" t="str" cm="1">
        <f t="array" ref="AW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W194)),""))</f>
        <v/>
      </c>
      <c r="AX194" t="str" cm="1">
        <f t="array" ref="AX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X194)),""))</f>
        <v/>
      </c>
      <c r="AY194" t="str" cm="1">
        <f t="array" ref="AY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Y194)),""))</f>
        <v/>
      </c>
      <c r="AZ194" t="str" cm="1">
        <f t="array" ref="AZ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AZ194)),""))</f>
        <v/>
      </c>
      <c r="BA194" t="str" cm="1">
        <f t="array" ref="BA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A194)),""))</f>
        <v/>
      </c>
      <c r="BB194" t="str" cm="1">
        <f t="array" ref="BB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B194)),""))</f>
        <v/>
      </c>
      <c r="BC194" t="str" cm="1">
        <f t="array" ref="BC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C194)),""))</f>
        <v/>
      </c>
      <c r="BD194" t="str" cm="1">
        <f t="array" ref="BD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D194)),""))</f>
        <v/>
      </c>
      <c r="BE194" t="str" cm="1">
        <f t="array" ref="BE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E194)),""))</f>
        <v/>
      </c>
      <c r="BF194" t="str" cm="1">
        <f t="array" ref="BF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F194)),""))</f>
        <v/>
      </c>
      <c r="BG194" t="str" cm="1">
        <f t="array" ref="BG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G194)),""))</f>
        <v/>
      </c>
      <c r="BH194" t="str" cm="1">
        <f t="array" ref="BH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H194)),""))</f>
        <v/>
      </c>
      <c r="BI194" t="str" cm="1">
        <f t="array" ref="BI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I194)),""))</f>
        <v/>
      </c>
      <c r="BJ194" t="str" cm="1">
        <f t="array" ref="BJ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J194)),""))</f>
        <v/>
      </c>
      <c r="BK194" t="str" cm="1">
        <f t="array" ref="BK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K194)),""))</f>
        <v/>
      </c>
      <c r="BL194" t="str" cm="1">
        <f t="array" ref="BL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L194)),""))</f>
        <v/>
      </c>
      <c r="BM194" t="str" cm="1">
        <f t="array" ref="BM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M194)),""))</f>
        <v/>
      </c>
      <c r="BN194" t="str" cm="1">
        <f t="array" ref="BN194">IF(COUNTIFS(Calc_Anclaje!$A$5:$A$1058,$B$2,Calc_Anclaje!$H$5:$H$1058,VALUE(SUBSTITUTE($AJ194,"d-","")),Calc_Anclaje!$K$5:$K$1058,"&gt;=2",Calc_Anclaje!$K$5:$K$1058,"&lt;=4")&lt;5,"",IFERROR(INDEX(_xlfn._xlws.FILTER(Calc_Anclaje!$O$5:$O$1058,(Calc_Anclaje!$A$5:$A$1058=$B$2)*(Calc_Anclaje!$H$5:$H$1058=VALUE(SUBSTITUTE($AJ194,"d-","")))*(Calc_Anclaje!$K$5:$K$1058&gt;=2)*(Calc_Anclaje!$K$5:$K$1058&lt;=4)),COLUMNS($AK194:BN194)),""))</f>
        <v/>
      </c>
    </row>
    <row r="195" spans="1:66">
      <c r="A195" s="52" t="str" cm="1">
        <f t="array" ref="A195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195)),""))</f>
        <v/>
      </c>
      <c r="B195" s="52" t="str" cm="1">
        <f t="array" ref="B195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195)),""))</f>
        <v/>
      </c>
      <c r="C195" s="52" t="str" cm="1">
        <f t="array" ref="C195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195)),""))</f>
        <v/>
      </c>
      <c r="D195" s="52" t="str" cm="1">
        <f t="array" ref="D195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195)),""))</f>
        <v/>
      </c>
      <c r="E195" s="52" t="str" cm="1">
        <f t="array" ref="E195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195)),""))</f>
        <v/>
      </c>
      <c r="F195" s="52" t="str" cm="1">
        <f t="array" ref="F195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195)),""))</f>
        <v/>
      </c>
      <c r="G195" s="52" t="str" cm="1">
        <f t="array" ref="G195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195)),""))</f>
        <v/>
      </c>
      <c r="H195" s="52" t="str" cm="1">
        <f t="array" ref="H195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195)),""))</f>
        <v/>
      </c>
      <c r="I195" s="52" t="str" cm="1">
        <f t="array" ref="I195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195)),""))</f>
        <v/>
      </c>
      <c r="J195" s="52" t="str" cm="1">
        <f t="array" ref="J195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195)),""))</f>
        <v/>
      </c>
      <c r="K195" s="52" t="str" cm="1">
        <f t="array" ref="K195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195)),""))</f>
        <v/>
      </c>
      <c r="L195" s="52" t="str" cm="1">
        <f t="array" ref="L195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195)),""))</f>
        <v/>
      </c>
      <c r="M195" s="52" t="str" cm="1">
        <f t="array" ref="M195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195)),""))</f>
        <v/>
      </c>
      <c r="N195" s="52" t="str" cm="1">
        <f t="array" ref="N195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195)),""))</f>
        <v/>
      </c>
      <c r="O195" s="52" t="str" cm="1">
        <f t="array" ref="O195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195)),""))</f>
        <v/>
      </c>
      <c r="P195" s="52" t="str" cm="1">
        <f t="array" ref="P195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195)),""))</f>
        <v/>
      </c>
      <c r="Q195" s="52" t="str" cm="1">
        <f t="array" ref="Q195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195)),""))</f>
        <v/>
      </c>
      <c r="W195">
        <v>-5</v>
      </c>
      <c r="X195">
        <v>-0.40000000000000036</v>
      </c>
      <c r="AJ195" t="str">
        <v>d-13</v>
      </c>
      <c r="AK195">
        <v>-1.6</v>
      </c>
      <c r="AP195" t="str">
        <v>d-11</v>
      </c>
      <c r="AQ195">
        <v>-1.6</v>
      </c>
      <c r="AS195" t="str">
        <v>d-0</v>
      </c>
      <c r="AT195">
        <v>0</v>
      </c>
      <c r="AU195" t="str" cm="1">
        <f t="array" ref="AU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U195)),""))</f>
        <v/>
      </c>
      <c r="AV195" t="str" cm="1">
        <f t="array" ref="AV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V195)),""))</f>
        <v/>
      </c>
      <c r="AW195" t="str" cm="1">
        <f t="array" ref="AW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W195)),""))</f>
        <v/>
      </c>
      <c r="AX195" t="str" cm="1">
        <f t="array" ref="AX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X195)),""))</f>
        <v/>
      </c>
      <c r="AY195" t="str" cm="1">
        <f t="array" ref="AY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Y195)),""))</f>
        <v/>
      </c>
      <c r="AZ195" t="str" cm="1">
        <f t="array" ref="AZ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AZ195)),""))</f>
        <v/>
      </c>
      <c r="BA195" t="str" cm="1">
        <f t="array" ref="BA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A195)),""))</f>
        <v/>
      </c>
      <c r="BB195" t="str" cm="1">
        <f t="array" ref="BB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B195)),""))</f>
        <v/>
      </c>
      <c r="BC195" t="str" cm="1">
        <f t="array" ref="BC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C195)),""))</f>
        <v/>
      </c>
      <c r="BD195" t="str" cm="1">
        <f t="array" ref="BD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D195)),""))</f>
        <v/>
      </c>
      <c r="BE195" t="str" cm="1">
        <f t="array" ref="BE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E195)),""))</f>
        <v/>
      </c>
      <c r="BF195" t="str" cm="1">
        <f t="array" ref="BF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F195)),""))</f>
        <v/>
      </c>
      <c r="BG195" t="str" cm="1">
        <f t="array" ref="BG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G195)),""))</f>
        <v/>
      </c>
      <c r="BH195" t="str" cm="1">
        <f t="array" ref="BH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H195)),""))</f>
        <v/>
      </c>
      <c r="BI195" t="str" cm="1">
        <f t="array" ref="BI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I195)),""))</f>
        <v/>
      </c>
      <c r="BJ195" t="str" cm="1">
        <f t="array" ref="BJ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J195)),""))</f>
        <v/>
      </c>
      <c r="BK195" t="str" cm="1">
        <f t="array" ref="BK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K195)),""))</f>
        <v/>
      </c>
      <c r="BL195" t="str" cm="1">
        <f t="array" ref="BL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L195)),""))</f>
        <v/>
      </c>
      <c r="BM195" t="str" cm="1">
        <f t="array" ref="BM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M195)),""))</f>
        <v/>
      </c>
      <c r="BN195" t="str" cm="1">
        <f t="array" ref="BN195">IF(COUNTIFS(Calc_Anclaje!$A$5:$A$1058,$B$2,Calc_Anclaje!$H$5:$H$1058,VALUE(SUBSTITUTE($AJ195,"d-","")),Calc_Anclaje!$K$5:$K$1058,"&gt;=2",Calc_Anclaje!$K$5:$K$1058,"&lt;=4")&lt;5,"",IFERROR(INDEX(_xlfn._xlws.FILTER(Calc_Anclaje!$O$5:$O$1058,(Calc_Anclaje!$A$5:$A$1058=$B$2)*(Calc_Anclaje!$H$5:$H$1058=VALUE(SUBSTITUTE($AJ195,"d-","")))*(Calc_Anclaje!$K$5:$K$1058&gt;=2)*(Calc_Anclaje!$K$5:$K$1058&lt;=4)),COLUMNS($AK195:BN195)),""))</f>
        <v/>
      </c>
    </row>
    <row r="196" spans="1:66">
      <c r="A196" s="52" t="str" cm="1">
        <f t="array" ref="A196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196)),""))</f>
        <v/>
      </c>
      <c r="B196" s="52" t="str" cm="1">
        <f t="array" ref="B196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196)),""))</f>
        <v/>
      </c>
      <c r="C196" s="52" t="str" cm="1">
        <f t="array" ref="C196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196)),""))</f>
        <v/>
      </c>
      <c r="D196" s="52" t="str" cm="1">
        <f t="array" ref="D196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196)),""))</f>
        <v/>
      </c>
      <c r="E196" s="52" t="str" cm="1">
        <f t="array" ref="E196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196)),""))</f>
        <v/>
      </c>
      <c r="F196" s="52" t="str" cm="1">
        <f t="array" ref="F196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196)),""))</f>
        <v/>
      </c>
      <c r="G196" s="52" t="str" cm="1">
        <f t="array" ref="G196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196)),""))</f>
        <v/>
      </c>
      <c r="H196" s="52" t="str" cm="1">
        <f t="array" ref="H196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196)),""))</f>
        <v/>
      </c>
      <c r="I196" s="52" t="str" cm="1">
        <f t="array" ref="I196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196)),""))</f>
        <v/>
      </c>
      <c r="J196" s="52" t="str" cm="1">
        <f t="array" ref="J196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196)),""))</f>
        <v/>
      </c>
      <c r="K196" s="52" t="str" cm="1">
        <f t="array" ref="K196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196)),""))</f>
        <v/>
      </c>
      <c r="L196" s="52" t="str" cm="1">
        <f t="array" ref="L196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196)),""))</f>
        <v/>
      </c>
      <c r="M196" s="52" t="str" cm="1">
        <f t="array" ref="M196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196)),""))</f>
        <v/>
      </c>
      <c r="N196" s="52" t="str" cm="1">
        <f t="array" ref="N196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196)),""))</f>
        <v/>
      </c>
      <c r="O196" s="52" t="str" cm="1">
        <f t="array" ref="O196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196)),""))</f>
        <v/>
      </c>
      <c r="P196" s="52" t="str" cm="1">
        <f t="array" ref="P196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196)),""))</f>
        <v/>
      </c>
      <c r="Q196" s="52" t="str" cm="1">
        <f t="array" ref="Q196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196)),""))</f>
        <v/>
      </c>
      <c r="W196">
        <v>-4</v>
      </c>
      <c r="X196">
        <v>0</v>
      </c>
      <c r="AJ196" t="str">
        <v>d-13</v>
      </c>
      <c r="AK196">
        <v>-1.4</v>
      </c>
      <c r="AP196" t="str">
        <v>d-11</v>
      </c>
      <c r="AQ196">
        <v>-1.4</v>
      </c>
      <c r="AS196" t="str">
        <v>d-0</v>
      </c>
      <c r="AT196">
        <v>9.9999999999999645E-2</v>
      </c>
      <c r="AU196" t="str" cm="1">
        <f t="array" ref="AU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U196)),""))</f>
        <v/>
      </c>
      <c r="AV196" t="str" cm="1">
        <f t="array" ref="AV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V196)),""))</f>
        <v/>
      </c>
      <c r="AW196" t="str" cm="1">
        <f t="array" ref="AW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W196)),""))</f>
        <v/>
      </c>
      <c r="AX196" t="str" cm="1">
        <f t="array" ref="AX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X196)),""))</f>
        <v/>
      </c>
      <c r="AY196" t="str" cm="1">
        <f t="array" ref="AY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Y196)),""))</f>
        <v/>
      </c>
      <c r="AZ196" t="str" cm="1">
        <f t="array" ref="AZ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AZ196)),""))</f>
        <v/>
      </c>
      <c r="BA196" t="str" cm="1">
        <f t="array" ref="BA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A196)),""))</f>
        <v/>
      </c>
      <c r="BB196" t="str" cm="1">
        <f t="array" ref="BB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B196)),""))</f>
        <v/>
      </c>
      <c r="BC196" t="str" cm="1">
        <f t="array" ref="BC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C196)),""))</f>
        <v/>
      </c>
      <c r="BD196" t="str" cm="1">
        <f t="array" ref="BD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D196)),""))</f>
        <v/>
      </c>
      <c r="BE196" t="str" cm="1">
        <f t="array" ref="BE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E196)),""))</f>
        <v/>
      </c>
      <c r="BF196" t="str" cm="1">
        <f t="array" ref="BF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F196)),""))</f>
        <v/>
      </c>
      <c r="BG196" t="str" cm="1">
        <f t="array" ref="BG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G196)),""))</f>
        <v/>
      </c>
      <c r="BH196" t="str" cm="1">
        <f t="array" ref="BH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H196)),""))</f>
        <v/>
      </c>
      <c r="BI196" t="str" cm="1">
        <f t="array" ref="BI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I196)),""))</f>
        <v/>
      </c>
      <c r="BJ196" t="str" cm="1">
        <f t="array" ref="BJ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J196)),""))</f>
        <v/>
      </c>
      <c r="BK196" t="str" cm="1">
        <f t="array" ref="BK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K196)),""))</f>
        <v/>
      </c>
      <c r="BL196" t="str" cm="1">
        <f t="array" ref="BL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L196)),""))</f>
        <v/>
      </c>
      <c r="BM196" t="str" cm="1">
        <f t="array" ref="BM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M196)),""))</f>
        <v/>
      </c>
      <c r="BN196" t="str" cm="1">
        <f t="array" ref="BN196">IF(COUNTIFS(Calc_Anclaje!$A$5:$A$1058,$B$2,Calc_Anclaje!$H$5:$H$1058,VALUE(SUBSTITUTE($AJ196,"d-","")),Calc_Anclaje!$K$5:$K$1058,"&gt;=2",Calc_Anclaje!$K$5:$K$1058,"&lt;=4")&lt;5,"",IFERROR(INDEX(_xlfn._xlws.FILTER(Calc_Anclaje!$O$5:$O$1058,(Calc_Anclaje!$A$5:$A$1058=$B$2)*(Calc_Anclaje!$H$5:$H$1058=VALUE(SUBSTITUTE($AJ196,"d-","")))*(Calc_Anclaje!$K$5:$K$1058&gt;=2)*(Calc_Anclaje!$K$5:$K$1058&lt;=4)),COLUMNS($AK196:BN196)),""))</f>
        <v/>
      </c>
    </row>
    <row r="197" spans="1:66">
      <c r="A197" s="52" t="str" cm="1">
        <f t="array" ref="A197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197)),""))</f>
        <v/>
      </c>
      <c r="B197" s="52" t="str" cm="1">
        <f t="array" ref="B197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197)),""))</f>
        <v/>
      </c>
      <c r="C197" s="52" t="str" cm="1">
        <f t="array" ref="C197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197)),""))</f>
        <v/>
      </c>
      <c r="D197" s="52" t="str" cm="1">
        <f t="array" ref="D197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197)),""))</f>
        <v/>
      </c>
      <c r="E197" s="52" t="str" cm="1">
        <f t="array" ref="E197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197)),""))</f>
        <v/>
      </c>
      <c r="F197" s="52" t="str" cm="1">
        <f t="array" ref="F197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197)),""))</f>
        <v/>
      </c>
      <c r="G197" s="52" t="str" cm="1">
        <f t="array" ref="G197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197)),""))</f>
        <v/>
      </c>
      <c r="H197" s="52" t="str" cm="1">
        <f t="array" ref="H197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197)),""))</f>
        <v/>
      </c>
      <c r="I197" s="52" t="str" cm="1">
        <f t="array" ref="I197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197)),""))</f>
        <v/>
      </c>
      <c r="J197" s="52" t="str" cm="1">
        <f t="array" ref="J197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197)),""))</f>
        <v/>
      </c>
      <c r="K197" s="52" t="str" cm="1">
        <f t="array" ref="K197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197)),""))</f>
        <v/>
      </c>
      <c r="L197" s="52" t="str" cm="1">
        <f t="array" ref="L197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197)),""))</f>
        <v/>
      </c>
      <c r="M197" s="52" t="str" cm="1">
        <f t="array" ref="M197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197)),""))</f>
        <v/>
      </c>
      <c r="N197" s="52" t="str" cm="1">
        <f t="array" ref="N197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197)),""))</f>
        <v/>
      </c>
      <c r="O197" s="52" t="str" cm="1">
        <f t="array" ref="O197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197)),""))</f>
        <v/>
      </c>
      <c r="P197" s="52" t="str" cm="1">
        <f t="array" ref="P197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197)),""))</f>
        <v/>
      </c>
      <c r="Q197" s="52" t="str" cm="1">
        <f t="array" ref="Q197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197)),""))</f>
        <v/>
      </c>
      <c r="W197">
        <v>-3</v>
      </c>
      <c r="X197">
        <v>0</v>
      </c>
      <c r="AJ197" t="str">
        <v>d-13</v>
      </c>
      <c r="AK197">
        <v>-0.60000000000000009</v>
      </c>
      <c r="AP197" t="str">
        <v>d-11</v>
      </c>
      <c r="AQ197">
        <v>-1.1000000000000001</v>
      </c>
      <c r="AS197" t="str">
        <v>d-0</v>
      </c>
      <c r="AT197">
        <v>-9.9999999999999645E-2</v>
      </c>
      <c r="AU197" t="str" cm="1">
        <f t="array" ref="AU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U197)),""))</f>
        <v/>
      </c>
      <c r="AV197" t="str" cm="1">
        <f t="array" ref="AV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V197)),""))</f>
        <v/>
      </c>
      <c r="AW197" t="str" cm="1">
        <f t="array" ref="AW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W197)),""))</f>
        <v/>
      </c>
      <c r="AX197" t="str" cm="1">
        <f t="array" ref="AX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X197)),""))</f>
        <v/>
      </c>
      <c r="AY197" t="str" cm="1">
        <f t="array" ref="AY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Y197)),""))</f>
        <v/>
      </c>
      <c r="AZ197" t="str" cm="1">
        <f t="array" ref="AZ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AZ197)),""))</f>
        <v/>
      </c>
      <c r="BA197" t="str" cm="1">
        <f t="array" ref="BA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A197)),""))</f>
        <v/>
      </c>
      <c r="BB197" t="str" cm="1">
        <f t="array" ref="BB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B197)),""))</f>
        <v/>
      </c>
      <c r="BC197" t="str" cm="1">
        <f t="array" ref="BC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C197)),""))</f>
        <v/>
      </c>
      <c r="BD197" t="str" cm="1">
        <f t="array" ref="BD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D197)),""))</f>
        <v/>
      </c>
      <c r="BE197" t="str" cm="1">
        <f t="array" ref="BE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E197)),""))</f>
        <v/>
      </c>
      <c r="BF197" t="str" cm="1">
        <f t="array" ref="BF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F197)),""))</f>
        <v/>
      </c>
      <c r="BG197" t="str" cm="1">
        <f t="array" ref="BG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G197)),""))</f>
        <v/>
      </c>
      <c r="BH197" t="str" cm="1">
        <f t="array" ref="BH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H197)),""))</f>
        <v/>
      </c>
      <c r="BI197" t="str" cm="1">
        <f t="array" ref="BI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I197)),""))</f>
        <v/>
      </c>
      <c r="BJ197" t="str" cm="1">
        <f t="array" ref="BJ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J197)),""))</f>
        <v/>
      </c>
      <c r="BK197" t="str" cm="1">
        <f t="array" ref="BK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K197)),""))</f>
        <v/>
      </c>
      <c r="BL197" t="str" cm="1">
        <f t="array" ref="BL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L197)),""))</f>
        <v/>
      </c>
      <c r="BM197" t="str" cm="1">
        <f t="array" ref="BM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M197)),""))</f>
        <v/>
      </c>
      <c r="BN197" t="str" cm="1">
        <f t="array" ref="BN197">IF(COUNTIFS(Calc_Anclaje!$A$5:$A$1058,$B$2,Calc_Anclaje!$H$5:$H$1058,VALUE(SUBSTITUTE($AJ197,"d-","")),Calc_Anclaje!$K$5:$K$1058,"&gt;=2",Calc_Anclaje!$K$5:$K$1058,"&lt;=4")&lt;5,"",IFERROR(INDEX(_xlfn._xlws.FILTER(Calc_Anclaje!$O$5:$O$1058,(Calc_Anclaje!$A$5:$A$1058=$B$2)*(Calc_Anclaje!$H$5:$H$1058=VALUE(SUBSTITUTE($AJ197,"d-","")))*(Calc_Anclaje!$K$5:$K$1058&gt;=2)*(Calc_Anclaje!$K$5:$K$1058&lt;=4)),COLUMNS($AK197:BN197)),""))</f>
        <v/>
      </c>
    </row>
    <row r="198" spans="1:66">
      <c r="A198" s="52" t="str" cm="1">
        <f t="array" ref="A198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198)),""))</f>
        <v/>
      </c>
      <c r="B198" s="52" t="str" cm="1">
        <f t="array" ref="B198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198)),""))</f>
        <v/>
      </c>
      <c r="C198" s="52" t="str" cm="1">
        <f t="array" ref="C198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198)),""))</f>
        <v/>
      </c>
      <c r="D198" s="52" t="str" cm="1">
        <f t="array" ref="D198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198)),""))</f>
        <v/>
      </c>
      <c r="E198" s="52" t="str" cm="1">
        <f t="array" ref="E198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198)),""))</f>
        <v/>
      </c>
      <c r="F198" s="52" t="str" cm="1">
        <f t="array" ref="F198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198)),""))</f>
        <v/>
      </c>
      <c r="G198" s="52" t="str" cm="1">
        <f t="array" ref="G198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198)),""))</f>
        <v/>
      </c>
      <c r="H198" s="52" t="str" cm="1">
        <f t="array" ref="H198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198)),""))</f>
        <v/>
      </c>
      <c r="I198" s="52" t="str" cm="1">
        <f t="array" ref="I198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198)),""))</f>
        <v/>
      </c>
      <c r="J198" s="52" t="str" cm="1">
        <f t="array" ref="J198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198)),""))</f>
        <v/>
      </c>
      <c r="K198" s="52" t="str" cm="1">
        <f t="array" ref="K198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198)),""))</f>
        <v/>
      </c>
      <c r="L198" s="52" t="str" cm="1">
        <f t="array" ref="L198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198)),""))</f>
        <v/>
      </c>
      <c r="M198" s="52" t="str" cm="1">
        <f t="array" ref="M198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198)),""))</f>
        <v/>
      </c>
      <c r="N198" s="52" t="str" cm="1">
        <f t="array" ref="N198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198)),""))</f>
        <v/>
      </c>
      <c r="O198" s="52" t="str" cm="1">
        <f t="array" ref="O198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198)),""))</f>
        <v/>
      </c>
      <c r="P198" s="52" t="str" cm="1">
        <f t="array" ref="P198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198)),""))</f>
        <v/>
      </c>
      <c r="Q198" s="52" t="str" cm="1">
        <f t="array" ref="Q198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198)),""))</f>
        <v/>
      </c>
      <c r="W198">
        <v>-2</v>
      </c>
      <c r="X198">
        <v>-0.10000000000000009</v>
      </c>
      <c r="AJ198" t="str">
        <v>d-13</v>
      </c>
      <c r="AK198">
        <v>-1.1000000000000001</v>
      </c>
      <c r="AP198" t="str">
        <v>d-11</v>
      </c>
      <c r="AQ198">
        <v>-1.0999999999999996</v>
      </c>
      <c r="AS198" t="str">
        <v>d-0</v>
      </c>
      <c r="AT198">
        <v>0</v>
      </c>
      <c r="AU198" t="str" cm="1">
        <f t="array" ref="AU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U198)),""))</f>
        <v/>
      </c>
      <c r="AV198" t="str" cm="1">
        <f t="array" ref="AV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V198)),""))</f>
        <v/>
      </c>
      <c r="AW198" t="str" cm="1">
        <f t="array" ref="AW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W198)),""))</f>
        <v/>
      </c>
      <c r="AX198" t="str" cm="1">
        <f t="array" ref="AX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X198)),""))</f>
        <v/>
      </c>
      <c r="AY198" t="str" cm="1">
        <f t="array" ref="AY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Y198)),""))</f>
        <v/>
      </c>
      <c r="AZ198" t="str" cm="1">
        <f t="array" ref="AZ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AZ198)),""))</f>
        <v/>
      </c>
      <c r="BA198" t="str" cm="1">
        <f t="array" ref="BA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A198)),""))</f>
        <v/>
      </c>
      <c r="BB198" t="str" cm="1">
        <f t="array" ref="BB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B198)),""))</f>
        <v/>
      </c>
      <c r="BC198" t="str" cm="1">
        <f t="array" ref="BC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C198)),""))</f>
        <v/>
      </c>
      <c r="BD198" t="str" cm="1">
        <f t="array" ref="BD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D198)),""))</f>
        <v/>
      </c>
      <c r="BE198" t="str" cm="1">
        <f t="array" ref="BE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E198)),""))</f>
        <v/>
      </c>
      <c r="BF198" t="str" cm="1">
        <f t="array" ref="BF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F198)),""))</f>
        <v/>
      </c>
      <c r="BG198" t="str" cm="1">
        <f t="array" ref="BG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G198)),""))</f>
        <v/>
      </c>
      <c r="BH198" t="str" cm="1">
        <f t="array" ref="BH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H198)),""))</f>
        <v/>
      </c>
      <c r="BI198" t="str" cm="1">
        <f t="array" ref="BI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I198)),""))</f>
        <v/>
      </c>
      <c r="BJ198" t="str" cm="1">
        <f t="array" ref="BJ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J198)),""))</f>
        <v/>
      </c>
      <c r="BK198" t="str" cm="1">
        <f t="array" ref="BK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K198)),""))</f>
        <v/>
      </c>
      <c r="BL198" t="str" cm="1">
        <f t="array" ref="BL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L198)),""))</f>
        <v/>
      </c>
      <c r="BM198" t="str" cm="1">
        <f t="array" ref="BM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M198)),""))</f>
        <v/>
      </c>
      <c r="BN198" t="str" cm="1">
        <f t="array" ref="BN198">IF(COUNTIFS(Calc_Anclaje!$A$5:$A$1058,$B$2,Calc_Anclaje!$H$5:$H$1058,VALUE(SUBSTITUTE($AJ198,"d-","")),Calc_Anclaje!$K$5:$K$1058,"&gt;=2",Calc_Anclaje!$K$5:$K$1058,"&lt;=4")&lt;5,"",IFERROR(INDEX(_xlfn._xlws.FILTER(Calc_Anclaje!$O$5:$O$1058,(Calc_Anclaje!$A$5:$A$1058=$B$2)*(Calc_Anclaje!$H$5:$H$1058=VALUE(SUBSTITUTE($AJ198,"d-","")))*(Calc_Anclaje!$K$5:$K$1058&gt;=2)*(Calc_Anclaje!$K$5:$K$1058&lt;=4)),COLUMNS($AK198:BN198)),""))</f>
        <v/>
      </c>
    </row>
    <row r="199" spans="1:66">
      <c r="A199" s="52" t="str" cm="1">
        <f t="array" ref="A199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199)),""))</f>
        <v/>
      </c>
      <c r="B199" s="52" t="str" cm="1">
        <f t="array" ref="B199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199)),""))</f>
        <v/>
      </c>
      <c r="C199" s="52" t="str" cm="1">
        <f t="array" ref="C199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199)),""))</f>
        <v/>
      </c>
      <c r="D199" s="52" t="str" cm="1">
        <f t="array" ref="D199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199)),""))</f>
        <v/>
      </c>
      <c r="E199" s="52" t="str" cm="1">
        <f t="array" ref="E199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199)),""))</f>
        <v/>
      </c>
      <c r="F199" s="52" t="str" cm="1">
        <f t="array" ref="F199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199)),""))</f>
        <v/>
      </c>
      <c r="G199" s="52" t="str" cm="1">
        <f t="array" ref="G199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199)),""))</f>
        <v/>
      </c>
      <c r="H199" s="52" t="str" cm="1">
        <f t="array" ref="H199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199)),""))</f>
        <v/>
      </c>
      <c r="I199" s="52" t="str" cm="1">
        <f t="array" ref="I199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199)),""))</f>
        <v/>
      </c>
      <c r="J199" s="52" t="str" cm="1">
        <f t="array" ref="J199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199)),""))</f>
        <v/>
      </c>
      <c r="K199" s="52" t="str" cm="1">
        <f t="array" ref="K199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199)),""))</f>
        <v/>
      </c>
      <c r="L199" s="52" t="str" cm="1">
        <f t="array" ref="L199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199)),""))</f>
        <v/>
      </c>
      <c r="M199" s="52" t="str" cm="1">
        <f t="array" ref="M199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199)),""))</f>
        <v/>
      </c>
      <c r="N199" s="52" t="str" cm="1">
        <f t="array" ref="N199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199)),""))</f>
        <v/>
      </c>
      <c r="O199" s="52" t="str" cm="1">
        <f t="array" ref="O199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199)),""))</f>
        <v/>
      </c>
      <c r="P199" s="52" t="str" cm="1">
        <f t="array" ref="P199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199)),""))</f>
        <v/>
      </c>
      <c r="Q199" s="52" t="str" cm="1">
        <f t="array" ref="Q199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199)),""))</f>
        <v/>
      </c>
      <c r="W199">
        <v>-1</v>
      </c>
      <c r="X199">
        <v>-0.20000000000000018</v>
      </c>
      <c r="AJ199" t="str">
        <v>d-13</v>
      </c>
      <c r="AK199">
        <v>-0.5</v>
      </c>
      <c r="AP199" t="str">
        <v>d-10</v>
      </c>
      <c r="AQ199">
        <v>-1.0999999999999996</v>
      </c>
      <c r="AS199" t="str">
        <v>d-0</v>
      </c>
      <c r="AT199">
        <v>9.9999999999999645E-2</v>
      </c>
      <c r="AU199" t="str" cm="1">
        <f t="array" ref="AU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U199)),""))</f>
        <v/>
      </c>
      <c r="AV199" t="str" cm="1">
        <f t="array" ref="AV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V199)),""))</f>
        <v/>
      </c>
      <c r="AW199" t="str" cm="1">
        <f t="array" ref="AW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W199)),""))</f>
        <v/>
      </c>
      <c r="AX199" t="str" cm="1">
        <f t="array" ref="AX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X199)),""))</f>
        <v/>
      </c>
      <c r="AY199" t="str" cm="1">
        <f t="array" ref="AY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Y199)),""))</f>
        <v/>
      </c>
      <c r="AZ199" t="str" cm="1">
        <f t="array" ref="AZ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AZ199)),""))</f>
        <v/>
      </c>
      <c r="BA199" t="str" cm="1">
        <f t="array" ref="BA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A199)),""))</f>
        <v/>
      </c>
      <c r="BB199" t="str" cm="1">
        <f t="array" ref="BB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B199)),""))</f>
        <v/>
      </c>
      <c r="BC199" t="str" cm="1">
        <f t="array" ref="BC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C199)),""))</f>
        <v/>
      </c>
      <c r="BD199" t="str" cm="1">
        <f t="array" ref="BD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D199)),""))</f>
        <v/>
      </c>
      <c r="BE199" t="str" cm="1">
        <f t="array" ref="BE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E199)),""))</f>
        <v/>
      </c>
      <c r="BF199" t="str" cm="1">
        <f t="array" ref="BF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F199)),""))</f>
        <v/>
      </c>
      <c r="BG199" t="str" cm="1">
        <f t="array" ref="BG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G199)),""))</f>
        <v/>
      </c>
      <c r="BH199" t="str" cm="1">
        <f t="array" ref="BH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H199)),""))</f>
        <v/>
      </c>
      <c r="BI199" t="str" cm="1">
        <f t="array" ref="BI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I199)),""))</f>
        <v/>
      </c>
      <c r="BJ199" t="str" cm="1">
        <f t="array" ref="BJ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J199)),""))</f>
        <v/>
      </c>
      <c r="BK199" t="str" cm="1">
        <f t="array" ref="BK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K199)),""))</f>
        <v/>
      </c>
      <c r="BL199" t="str" cm="1">
        <f t="array" ref="BL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L199)),""))</f>
        <v/>
      </c>
      <c r="BM199" t="str" cm="1">
        <f t="array" ref="BM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M199)),""))</f>
        <v/>
      </c>
      <c r="BN199" t="str" cm="1">
        <f t="array" ref="BN199">IF(COUNTIFS(Calc_Anclaje!$A$5:$A$1058,$B$2,Calc_Anclaje!$H$5:$H$1058,VALUE(SUBSTITUTE($AJ199,"d-","")),Calc_Anclaje!$K$5:$K$1058,"&gt;=2",Calc_Anclaje!$K$5:$K$1058,"&lt;=4")&lt;5,"",IFERROR(INDEX(_xlfn._xlws.FILTER(Calc_Anclaje!$O$5:$O$1058,(Calc_Anclaje!$A$5:$A$1058=$B$2)*(Calc_Anclaje!$H$5:$H$1058=VALUE(SUBSTITUTE($AJ199,"d-","")))*(Calc_Anclaje!$K$5:$K$1058&gt;=2)*(Calc_Anclaje!$K$5:$K$1058&lt;=4)),COLUMNS($AK199:BN199)),""))</f>
        <v/>
      </c>
    </row>
    <row r="200" spans="1:66">
      <c r="A200" s="52" t="str" cm="1">
        <f t="array" ref="A200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200)),""))</f>
        <v/>
      </c>
      <c r="B200" s="52" t="str" cm="1">
        <f t="array" ref="B200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200)),""))</f>
        <v/>
      </c>
      <c r="C200" s="52" t="str" cm="1">
        <f t="array" ref="C200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200)),""))</f>
        <v/>
      </c>
      <c r="D200" s="52" t="str" cm="1">
        <f t="array" ref="D200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200)),""))</f>
        <v/>
      </c>
      <c r="E200" s="52" t="str" cm="1">
        <f t="array" ref="E200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200)),""))</f>
        <v/>
      </c>
      <c r="F200" s="52" t="str" cm="1">
        <f t="array" ref="F200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200)),""))</f>
        <v/>
      </c>
      <c r="G200" s="52" t="str" cm="1">
        <f t="array" ref="G200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200)),""))</f>
        <v/>
      </c>
      <c r="H200" s="52" t="str" cm="1">
        <f t="array" ref="H200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200)),""))</f>
        <v/>
      </c>
      <c r="I200" s="52" t="str" cm="1">
        <f t="array" ref="I200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200)),""))</f>
        <v/>
      </c>
      <c r="J200" s="52" t="str" cm="1">
        <f t="array" ref="J200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200)),""))</f>
        <v/>
      </c>
      <c r="K200" s="52" t="str" cm="1">
        <f t="array" ref="K200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200)),""))</f>
        <v/>
      </c>
      <c r="L200" s="52" t="str" cm="1">
        <f t="array" ref="L200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200)),""))</f>
        <v/>
      </c>
      <c r="M200" s="52" t="str" cm="1">
        <f t="array" ref="M200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200)),""))</f>
        <v/>
      </c>
      <c r="N200" s="52" t="str" cm="1">
        <f t="array" ref="N200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200)),""))</f>
        <v/>
      </c>
      <c r="O200" s="52" t="str" cm="1">
        <f t="array" ref="O200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200)),""))</f>
        <v/>
      </c>
      <c r="P200" s="52" t="str" cm="1">
        <f t="array" ref="P200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200)),""))</f>
        <v/>
      </c>
      <c r="Q200" s="52" t="str" cm="1">
        <f t="array" ref="Q200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200)),""))</f>
        <v/>
      </c>
      <c r="W200">
        <v>0</v>
      </c>
      <c r="X200">
        <v>0</v>
      </c>
      <c r="AJ200" t="str">
        <v>d-13</v>
      </c>
      <c r="AK200">
        <v>-0.70000000000000018</v>
      </c>
      <c r="AP200" t="str">
        <v>d-10</v>
      </c>
      <c r="AQ200">
        <v>-0.40000000000000036</v>
      </c>
      <c r="AS200" t="str">
        <v>d-0</v>
      </c>
      <c r="AT200">
        <v>9.9999999999999645E-2</v>
      </c>
      <c r="AU200" t="str" cm="1">
        <f t="array" ref="AU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U200)),""))</f>
        <v/>
      </c>
      <c r="AV200" t="str" cm="1">
        <f t="array" ref="AV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V200)),""))</f>
        <v/>
      </c>
      <c r="AW200" t="str" cm="1">
        <f t="array" ref="AW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W200)),""))</f>
        <v/>
      </c>
      <c r="AX200" t="str" cm="1">
        <f t="array" ref="AX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X200)),""))</f>
        <v/>
      </c>
      <c r="AY200" t="str" cm="1">
        <f t="array" ref="AY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Y200)),""))</f>
        <v/>
      </c>
      <c r="AZ200" t="str" cm="1">
        <f t="array" ref="AZ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AZ200)),""))</f>
        <v/>
      </c>
      <c r="BA200" t="str" cm="1">
        <f t="array" ref="BA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A200)),""))</f>
        <v/>
      </c>
      <c r="BB200" t="str" cm="1">
        <f t="array" ref="BB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B200)),""))</f>
        <v/>
      </c>
      <c r="BC200" t="str" cm="1">
        <f t="array" ref="BC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C200)),""))</f>
        <v/>
      </c>
      <c r="BD200" t="str" cm="1">
        <f t="array" ref="BD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D200)),""))</f>
        <v/>
      </c>
      <c r="BE200" t="str" cm="1">
        <f t="array" ref="BE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E200)),""))</f>
        <v/>
      </c>
      <c r="BF200" t="str" cm="1">
        <f t="array" ref="BF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F200)),""))</f>
        <v/>
      </c>
      <c r="BG200" t="str" cm="1">
        <f t="array" ref="BG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G200)),""))</f>
        <v/>
      </c>
      <c r="BH200" t="str" cm="1">
        <f t="array" ref="BH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H200)),""))</f>
        <v/>
      </c>
      <c r="BI200" t="str" cm="1">
        <f t="array" ref="BI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I200)),""))</f>
        <v/>
      </c>
      <c r="BJ200" t="str" cm="1">
        <f t="array" ref="BJ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J200)),""))</f>
        <v/>
      </c>
      <c r="BK200" t="str" cm="1">
        <f t="array" ref="BK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K200)),""))</f>
        <v/>
      </c>
      <c r="BL200" t="str" cm="1">
        <f t="array" ref="BL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L200)),""))</f>
        <v/>
      </c>
      <c r="BM200" t="str" cm="1">
        <f t="array" ref="BM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M200)),""))</f>
        <v/>
      </c>
      <c r="BN200" t="str" cm="1">
        <f t="array" ref="BN200">IF(COUNTIFS(Calc_Anclaje!$A$5:$A$1058,$B$2,Calc_Anclaje!$H$5:$H$1058,VALUE(SUBSTITUTE($AJ200,"d-","")),Calc_Anclaje!$K$5:$K$1058,"&gt;=2",Calc_Anclaje!$K$5:$K$1058,"&lt;=4")&lt;5,"",IFERROR(INDEX(_xlfn._xlws.FILTER(Calc_Anclaje!$O$5:$O$1058,(Calc_Anclaje!$A$5:$A$1058=$B$2)*(Calc_Anclaje!$H$5:$H$1058=VALUE(SUBSTITUTE($AJ200,"d-","")))*(Calc_Anclaje!$K$5:$K$1058&gt;=2)*(Calc_Anclaje!$K$5:$K$1058&lt;=4)),COLUMNS($AK200:BN200)),""))</f>
        <v/>
      </c>
    </row>
    <row r="201" spans="1:66">
      <c r="A201" s="52" t="str" cm="1">
        <f t="array" ref="A201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201)),""))</f>
        <v/>
      </c>
      <c r="B201" s="52" t="str" cm="1">
        <f t="array" ref="B201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201)),""))</f>
        <v/>
      </c>
      <c r="C201" s="52" t="str" cm="1">
        <f t="array" ref="C201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201)),""))</f>
        <v/>
      </c>
      <c r="D201" s="52" t="str" cm="1">
        <f t="array" ref="D201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201)),""))</f>
        <v/>
      </c>
      <c r="E201" s="52" t="str" cm="1">
        <f t="array" ref="E201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201)),""))</f>
        <v/>
      </c>
      <c r="F201" s="52" t="str" cm="1">
        <f t="array" ref="F201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201)),""))</f>
        <v/>
      </c>
      <c r="G201" s="52" t="str" cm="1">
        <f t="array" ref="G201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201)),""))</f>
        <v/>
      </c>
      <c r="H201" s="52" t="str" cm="1">
        <f t="array" ref="H201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201)),""))</f>
        <v/>
      </c>
      <c r="I201" s="52" t="str" cm="1">
        <f t="array" ref="I201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201)),""))</f>
        <v/>
      </c>
      <c r="J201" s="52" t="str" cm="1">
        <f t="array" ref="J201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201)),""))</f>
        <v/>
      </c>
      <c r="K201" s="52" t="str" cm="1">
        <f t="array" ref="K201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201)),""))</f>
        <v/>
      </c>
      <c r="L201" s="52" t="str" cm="1">
        <f t="array" ref="L201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201)),""))</f>
        <v/>
      </c>
      <c r="M201" s="52" t="str" cm="1">
        <f t="array" ref="M201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201)),""))</f>
        <v/>
      </c>
      <c r="N201" s="52" t="str" cm="1">
        <f t="array" ref="N201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201)),""))</f>
        <v/>
      </c>
      <c r="O201" s="52" t="str" cm="1">
        <f t="array" ref="O201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201)),""))</f>
        <v/>
      </c>
      <c r="P201" s="52" t="str" cm="1">
        <f t="array" ref="P201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201)),""))</f>
        <v/>
      </c>
      <c r="Q201" s="52" t="str" cm="1">
        <f t="array" ref="Q201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201)),""))</f>
        <v/>
      </c>
      <c r="W201">
        <v>-16</v>
      </c>
      <c r="X201">
        <v>-0.89999999999999991</v>
      </c>
      <c r="AJ201" t="str">
        <v>d-13</v>
      </c>
      <c r="AK201">
        <v>-1.0999999999999996</v>
      </c>
      <c r="AP201" t="str">
        <v>d-10</v>
      </c>
      <c r="AQ201">
        <v>-0.79999999999999982</v>
      </c>
      <c r="AS201" t="str">
        <v>d-0</v>
      </c>
      <c r="AT201">
        <v>0</v>
      </c>
      <c r="AU201" t="str" cm="1">
        <f t="array" ref="AU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U201)),""))</f>
        <v/>
      </c>
      <c r="AV201" t="str" cm="1">
        <f t="array" ref="AV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V201)),""))</f>
        <v/>
      </c>
      <c r="AW201" t="str" cm="1">
        <f t="array" ref="AW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W201)),""))</f>
        <v/>
      </c>
      <c r="AX201" t="str" cm="1">
        <f t="array" ref="AX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X201)),""))</f>
        <v/>
      </c>
      <c r="AY201" t="str" cm="1">
        <f t="array" ref="AY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Y201)),""))</f>
        <v/>
      </c>
      <c r="AZ201" t="str" cm="1">
        <f t="array" ref="AZ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AZ201)),""))</f>
        <v/>
      </c>
      <c r="BA201" t="str" cm="1">
        <f t="array" ref="BA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A201)),""))</f>
        <v/>
      </c>
      <c r="BB201" t="str" cm="1">
        <f t="array" ref="BB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B201)),""))</f>
        <v/>
      </c>
      <c r="BC201" t="str" cm="1">
        <f t="array" ref="BC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C201)),""))</f>
        <v/>
      </c>
      <c r="BD201" t="str" cm="1">
        <f t="array" ref="BD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D201)),""))</f>
        <v/>
      </c>
      <c r="BE201" t="str" cm="1">
        <f t="array" ref="BE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E201)),""))</f>
        <v/>
      </c>
      <c r="BF201" t="str" cm="1">
        <f t="array" ref="BF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F201)),""))</f>
        <v/>
      </c>
      <c r="BG201" t="str" cm="1">
        <f t="array" ref="BG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G201)),""))</f>
        <v/>
      </c>
      <c r="BH201" t="str" cm="1">
        <f t="array" ref="BH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H201)),""))</f>
        <v/>
      </c>
      <c r="BI201" t="str" cm="1">
        <f t="array" ref="BI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I201)),""))</f>
        <v/>
      </c>
      <c r="BJ201" t="str" cm="1">
        <f t="array" ref="BJ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J201)),""))</f>
        <v/>
      </c>
      <c r="BK201" t="str" cm="1">
        <f t="array" ref="BK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K201)),""))</f>
        <v/>
      </c>
      <c r="BL201" t="str" cm="1">
        <f t="array" ref="BL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L201)),""))</f>
        <v/>
      </c>
      <c r="BM201" t="str" cm="1">
        <f t="array" ref="BM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M201)),""))</f>
        <v/>
      </c>
      <c r="BN201" t="str" cm="1">
        <f t="array" ref="BN201">IF(COUNTIFS(Calc_Anclaje!$A$5:$A$1058,$B$2,Calc_Anclaje!$H$5:$H$1058,VALUE(SUBSTITUTE($AJ201,"d-","")),Calc_Anclaje!$K$5:$K$1058,"&gt;=2",Calc_Anclaje!$K$5:$K$1058,"&lt;=4")&lt;5,"",IFERROR(INDEX(_xlfn._xlws.FILTER(Calc_Anclaje!$O$5:$O$1058,(Calc_Anclaje!$A$5:$A$1058=$B$2)*(Calc_Anclaje!$H$5:$H$1058=VALUE(SUBSTITUTE($AJ201,"d-","")))*(Calc_Anclaje!$K$5:$K$1058&gt;=2)*(Calc_Anclaje!$K$5:$K$1058&lt;=4)),COLUMNS($AK201:BN201)),""))</f>
        <v/>
      </c>
    </row>
    <row r="202" spans="1:66">
      <c r="A202" s="52" t="str" cm="1">
        <f t="array" ref="A202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202)),""))</f>
        <v/>
      </c>
      <c r="B202" s="52" t="str" cm="1">
        <f t="array" ref="B202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202)),""))</f>
        <v/>
      </c>
      <c r="C202" s="52" t="str" cm="1">
        <f t="array" ref="C202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202)),""))</f>
        <v/>
      </c>
      <c r="D202" s="52" t="str" cm="1">
        <f t="array" ref="D202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202)),""))</f>
        <v/>
      </c>
      <c r="E202" s="52" t="str" cm="1">
        <f t="array" ref="E202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202)),""))</f>
        <v/>
      </c>
      <c r="F202" s="52" t="str" cm="1">
        <f t="array" ref="F202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202)),""))</f>
        <v/>
      </c>
      <c r="G202" s="52" t="str" cm="1">
        <f t="array" ref="G202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202)),""))</f>
        <v/>
      </c>
      <c r="H202" s="52" t="str" cm="1">
        <f t="array" ref="H202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202)),""))</f>
        <v/>
      </c>
      <c r="I202" s="52" t="str" cm="1">
        <f t="array" ref="I202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202)),""))</f>
        <v/>
      </c>
      <c r="J202" s="52" t="str" cm="1">
        <f t="array" ref="J202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202)),""))</f>
        <v/>
      </c>
      <c r="K202" s="52" t="str" cm="1">
        <f t="array" ref="K202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202)),""))</f>
        <v/>
      </c>
      <c r="L202" s="52" t="str" cm="1">
        <f t="array" ref="L202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202)),""))</f>
        <v/>
      </c>
      <c r="M202" s="52" t="str" cm="1">
        <f t="array" ref="M202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202)),""))</f>
        <v/>
      </c>
      <c r="N202" s="52" t="str" cm="1">
        <f t="array" ref="N202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202)),""))</f>
        <v/>
      </c>
      <c r="O202" s="52" t="str" cm="1">
        <f t="array" ref="O202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202)),""))</f>
        <v/>
      </c>
      <c r="P202" s="52" t="str" cm="1">
        <f t="array" ref="P202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202)),""))</f>
        <v/>
      </c>
      <c r="Q202" s="52" t="str" cm="1">
        <f t="array" ref="Q202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202)),""))</f>
        <v/>
      </c>
      <c r="W202">
        <v>-15</v>
      </c>
      <c r="X202">
        <v>-0.89999999999999991</v>
      </c>
      <c r="AJ202" t="str">
        <v>d-13</v>
      </c>
      <c r="AK202">
        <v>-0.89999999999999991</v>
      </c>
      <c r="AP202" t="str">
        <v>d-10</v>
      </c>
      <c r="AQ202">
        <v>-1.0999999999999996</v>
      </c>
      <c r="AS202" t="str">
        <v>d-0</v>
      </c>
      <c r="AT202">
        <v>0</v>
      </c>
    </row>
    <row r="203" spans="1:66">
      <c r="A203" s="52" t="str" cm="1">
        <f t="array" ref="A203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203)),""))</f>
        <v/>
      </c>
      <c r="B203" s="52" t="str" cm="1">
        <f t="array" ref="B203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203)),""))</f>
        <v/>
      </c>
      <c r="C203" s="52" t="str" cm="1">
        <f t="array" ref="C203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203)),""))</f>
        <v/>
      </c>
      <c r="D203" s="52" t="str" cm="1">
        <f t="array" ref="D203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203)),""))</f>
        <v/>
      </c>
      <c r="E203" s="52" t="str" cm="1">
        <f t="array" ref="E203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203)),""))</f>
        <v/>
      </c>
      <c r="F203" s="52" t="str" cm="1">
        <f t="array" ref="F203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203)),""))</f>
        <v/>
      </c>
      <c r="G203" s="52" t="str" cm="1">
        <f t="array" ref="G203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203)),""))</f>
        <v/>
      </c>
      <c r="H203" s="52" t="str" cm="1">
        <f t="array" ref="H203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203)),""))</f>
        <v/>
      </c>
      <c r="I203" s="52" t="str" cm="1">
        <f t="array" ref="I203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203)),""))</f>
        <v/>
      </c>
      <c r="J203" s="52" t="str" cm="1">
        <f t="array" ref="J203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203)),""))</f>
        <v/>
      </c>
      <c r="K203" s="52" t="str" cm="1">
        <f t="array" ref="K203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203)),""))</f>
        <v/>
      </c>
      <c r="L203" s="52" t="str" cm="1">
        <f t="array" ref="L203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203)),""))</f>
        <v/>
      </c>
      <c r="M203" s="52" t="str" cm="1">
        <f t="array" ref="M203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203)),""))</f>
        <v/>
      </c>
      <c r="N203" s="52" t="str" cm="1">
        <f t="array" ref="N203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203)),""))</f>
        <v/>
      </c>
      <c r="O203" s="52" t="str" cm="1">
        <f t="array" ref="O203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203)),""))</f>
        <v/>
      </c>
      <c r="P203" s="52" t="str" cm="1">
        <f t="array" ref="P203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203)),""))</f>
        <v/>
      </c>
      <c r="Q203" s="52" t="str" cm="1">
        <f t="array" ref="Q203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203)),""))</f>
        <v/>
      </c>
      <c r="W203">
        <v>-14</v>
      </c>
      <c r="X203">
        <v>-0.89999999999999991</v>
      </c>
      <c r="AJ203" t="str">
        <v>d-12</v>
      </c>
      <c r="AK203">
        <v>-4.2</v>
      </c>
      <c r="AP203" t="str">
        <v>d-10</v>
      </c>
      <c r="AQ203">
        <v>-1.6</v>
      </c>
    </row>
    <row r="204" spans="1:66">
      <c r="A204" s="52" t="str" cm="1">
        <f t="array" ref="A204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204)),""))</f>
        <v/>
      </c>
      <c r="B204" s="52" t="str" cm="1">
        <f t="array" ref="B204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204)),""))</f>
        <v/>
      </c>
      <c r="C204" s="52" t="str" cm="1">
        <f t="array" ref="C204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204)),""))</f>
        <v/>
      </c>
      <c r="D204" s="52" t="str" cm="1">
        <f t="array" ref="D204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204)),""))</f>
        <v/>
      </c>
      <c r="E204" s="52" t="str" cm="1">
        <f t="array" ref="E204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204)),""))</f>
        <v/>
      </c>
      <c r="F204" s="52" t="str" cm="1">
        <f t="array" ref="F204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204)),""))</f>
        <v/>
      </c>
      <c r="G204" s="52" t="str" cm="1">
        <f t="array" ref="G204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204)),""))</f>
        <v/>
      </c>
      <c r="H204" s="52" t="str" cm="1">
        <f t="array" ref="H204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204)),""))</f>
        <v/>
      </c>
      <c r="I204" s="52" t="str" cm="1">
        <f t="array" ref="I204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204)),""))</f>
        <v/>
      </c>
      <c r="J204" s="52" t="str" cm="1">
        <f t="array" ref="J204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204)),""))</f>
        <v/>
      </c>
      <c r="K204" s="52" t="str" cm="1">
        <f t="array" ref="K204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204)),""))</f>
        <v/>
      </c>
      <c r="L204" s="52" t="str" cm="1">
        <f t="array" ref="L204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204)),""))</f>
        <v/>
      </c>
      <c r="M204" s="52" t="str" cm="1">
        <f t="array" ref="M204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204)),""))</f>
        <v/>
      </c>
      <c r="N204" s="52" t="str" cm="1">
        <f t="array" ref="N204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204)),""))</f>
        <v/>
      </c>
      <c r="O204" s="52" t="str" cm="1">
        <f t="array" ref="O204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204)),""))</f>
        <v/>
      </c>
      <c r="P204" s="52" t="str" cm="1">
        <f t="array" ref="P204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204)),""))</f>
        <v/>
      </c>
      <c r="Q204" s="52" t="str" cm="1">
        <f t="array" ref="Q204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204)),""))</f>
        <v/>
      </c>
      <c r="W204">
        <v>-13</v>
      </c>
      <c r="X204">
        <v>-0.89999999999999991</v>
      </c>
      <c r="AJ204" t="str">
        <v>d-12</v>
      </c>
      <c r="AK204">
        <v>-2.5</v>
      </c>
      <c r="AP204" t="str">
        <v>d-10</v>
      </c>
      <c r="AQ204">
        <v>-1.1000000000000001</v>
      </c>
    </row>
    <row r="205" spans="1:66">
      <c r="A205" s="52" t="str" cm="1">
        <f t="array" ref="A205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205)),""))</f>
        <v/>
      </c>
      <c r="B205" s="52" t="str" cm="1">
        <f t="array" ref="B205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205)),""))</f>
        <v/>
      </c>
      <c r="C205" s="52" t="str" cm="1">
        <f t="array" ref="C205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205)),""))</f>
        <v/>
      </c>
      <c r="D205" s="52" t="str" cm="1">
        <f t="array" ref="D205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205)),""))</f>
        <v/>
      </c>
      <c r="E205" s="52" t="str" cm="1">
        <f t="array" ref="E205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205)),""))</f>
        <v/>
      </c>
      <c r="F205" s="52" t="str" cm="1">
        <f t="array" ref="F205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205)),""))</f>
        <v/>
      </c>
      <c r="G205" s="52" t="str" cm="1">
        <f t="array" ref="G205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205)),""))</f>
        <v/>
      </c>
      <c r="H205" s="52" t="str" cm="1">
        <f t="array" ref="H205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205)),""))</f>
        <v/>
      </c>
      <c r="I205" s="52" t="str" cm="1">
        <f t="array" ref="I205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205)),""))</f>
        <v/>
      </c>
      <c r="J205" s="52" t="str" cm="1">
        <f t="array" ref="J205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205)),""))</f>
        <v/>
      </c>
      <c r="K205" s="52" t="str" cm="1">
        <f t="array" ref="K205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205)),""))</f>
        <v/>
      </c>
      <c r="L205" s="52" t="str" cm="1">
        <f t="array" ref="L205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205)),""))</f>
        <v/>
      </c>
      <c r="M205" s="52" t="str" cm="1">
        <f t="array" ref="M205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205)),""))</f>
        <v/>
      </c>
      <c r="N205" s="52" t="str" cm="1">
        <f t="array" ref="N205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205)),""))</f>
        <v/>
      </c>
      <c r="O205" s="52" t="str" cm="1">
        <f t="array" ref="O205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205)),""))</f>
        <v/>
      </c>
      <c r="P205" s="52" t="str" cm="1">
        <f t="array" ref="P205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205)),""))</f>
        <v/>
      </c>
      <c r="Q205" s="52" t="str" cm="1">
        <f t="array" ref="Q205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205)),""))</f>
        <v/>
      </c>
      <c r="W205">
        <v>-12</v>
      </c>
      <c r="X205">
        <v>-0.79999999999999982</v>
      </c>
      <c r="AJ205" t="str">
        <v>d-12</v>
      </c>
      <c r="AK205">
        <v>-1.3999999999999995</v>
      </c>
      <c r="AP205" t="str">
        <v>d-10</v>
      </c>
      <c r="AQ205">
        <v>-1.1000000000000001</v>
      </c>
    </row>
    <row r="206" spans="1:66">
      <c r="A206" s="52" t="str" cm="1">
        <f t="array" ref="A206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206)),""))</f>
        <v/>
      </c>
      <c r="B206" s="52" t="str" cm="1">
        <f t="array" ref="B206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206)),""))</f>
        <v/>
      </c>
      <c r="C206" s="52" t="str" cm="1">
        <f t="array" ref="C206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206)),""))</f>
        <v/>
      </c>
      <c r="D206" s="52" t="str" cm="1">
        <f t="array" ref="D206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206)),""))</f>
        <v/>
      </c>
      <c r="E206" s="52" t="str" cm="1">
        <f t="array" ref="E206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206)),""))</f>
        <v/>
      </c>
      <c r="F206" s="52" t="str" cm="1">
        <f t="array" ref="F206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206)),""))</f>
        <v/>
      </c>
      <c r="G206" s="52" t="str" cm="1">
        <f t="array" ref="G206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206)),""))</f>
        <v/>
      </c>
      <c r="H206" s="52" t="str" cm="1">
        <f t="array" ref="H206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206)),""))</f>
        <v/>
      </c>
      <c r="I206" s="52" t="str" cm="1">
        <f t="array" ref="I206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206)),""))</f>
        <v/>
      </c>
      <c r="J206" s="52" t="str" cm="1">
        <f t="array" ref="J206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206)),""))</f>
        <v/>
      </c>
      <c r="K206" s="52" t="str" cm="1">
        <f t="array" ref="K206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206)),""))</f>
        <v/>
      </c>
      <c r="L206" s="52" t="str" cm="1">
        <f t="array" ref="L206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206)),""))</f>
        <v/>
      </c>
      <c r="M206" s="52" t="str" cm="1">
        <f t="array" ref="M206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206)),""))</f>
        <v/>
      </c>
      <c r="N206" s="52" t="str" cm="1">
        <f t="array" ref="N206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206)),""))</f>
        <v/>
      </c>
      <c r="O206" s="52" t="str" cm="1">
        <f t="array" ref="O206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206)),""))</f>
        <v/>
      </c>
      <c r="P206" s="52" t="str" cm="1">
        <f t="array" ref="P206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206)),""))</f>
        <v/>
      </c>
      <c r="Q206" s="52" t="str" cm="1">
        <f t="array" ref="Q206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206)),""))</f>
        <v/>
      </c>
      <c r="W206">
        <v>-11</v>
      </c>
      <c r="X206">
        <v>-0.79999999999999982</v>
      </c>
      <c r="AJ206" t="str">
        <v>d-12</v>
      </c>
      <c r="AK206">
        <v>-1.2000000000000002</v>
      </c>
      <c r="AP206" t="str">
        <v>d-10</v>
      </c>
      <c r="AQ206">
        <v>-0.89999999999999947</v>
      </c>
    </row>
    <row r="207" spans="1:66">
      <c r="A207" s="52" t="str" cm="1">
        <f t="array" ref="A207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207)),""))</f>
        <v/>
      </c>
      <c r="B207" s="52" t="str" cm="1">
        <f t="array" ref="B207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207)),""))</f>
        <v/>
      </c>
      <c r="C207" s="52" t="str" cm="1">
        <f t="array" ref="C207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207)),""))</f>
        <v/>
      </c>
      <c r="D207" s="52" t="str" cm="1">
        <f t="array" ref="D207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207)),""))</f>
        <v/>
      </c>
      <c r="E207" s="52" t="str" cm="1">
        <f t="array" ref="E207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207)),""))</f>
        <v/>
      </c>
      <c r="F207" s="52" t="str" cm="1">
        <f t="array" ref="F207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207)),""))</f>
        <v/>
      </c>
      <c r="G207" s="52" t="str" cm="1">
        <f t="array" ref="G207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207)),""))</f>
        <v/>
      </c>
      <c r="H207" s="52" t="str" cm="1">
        <f t="array" ref="H207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207)),""))</f>
        <v/>
      </c>
      <c r="I207" s="52" t="str" cm="1">
        <f t="array" ref="I207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207)),""))</f>
        <v/>
      </c>
      <c r="J207" s="52" t="str" cm="1">
        <f t="array" ref="J207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207)),""))</f>
        <v/>
      </c>
      <c r="K207" s="52" t="str" cm="1">
        <f t="array" ref="K207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207)),""))</f>
        <v/>
      </c>
      <c r="L207" s="52" t="str" cm="1">
        <f t="array" ref="L207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207)),""))</f>
        <v/>
      </c>
      <c r="M207" s="52" t="str" cm="1">
        <f t="array" ref="M207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207)),""))</f>
        <v/>
      </c>
      <c r="N207" s="52" t="str" cm="1">
        <f t="array" ref="N207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207)),""))</f>
        <v/>
      </c>
      <c r="O207" s="52" t="str" cm="1">
        <f t="array" ref="O207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207)),""))</f>
        <v/>
      </c>
      <c r="P207" s="52" t="str" cm="1">
        <f t="array" ref="P207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207)),""))</f>
        <v/>
      </c>
      <c r="Q207" s="52" t="str" cm="1">
        <f t="array" ref="Q207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207)),""))</f>
        <v/>
      </c>
      <c r="W207">
        <v>-10</v>
      </c>
      <c r="X207">
        <v>-0.79999999999999982</v>
      </c>
      <c r="AJ207" t="str">
        <v>d-12</v>
      </c>
      <c r="AK207">
        <v>-0.89999999999999947</v>
      </c>
      <c r="AP207" t="str">
        <v>d-9</v>
      </c>
      <c r="AQ207">
        <v>-0.89999999999999947</v>
      </c>
    </row>
    <row r="208" spans="1:66">
      <c r="A208" s="52" t="str" cm="1">
        <f t="array" ref="A208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208)),""))</f>
        <v/>
      </c>
      <c r="B208" s="52" t="str" cm="1">
        <f t="array" ref="B208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208)),""))</f>
        <v/>
      </c>
      <c r="C208" s="52" t="str" cm="1">
        <f t="array" ref="C208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208)),""))</f>
        <v/>
      </c>
      <c r="D208" s="52" t="str" cm="1">
        <f t="array" ref="D208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208)),""))</f>
        <v/>
      </c>
      <c r="E208" s="52" t="str" cm="1">
        <f t="array" ref="E208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208)),""))</f>
        <v/>
      </c>
      <c r="F208" s="52" t="str" cm="1">
        <f t="array" ref="F208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208)),""))</f>
        <v/>
      </c>
      <c r="G208" s="52" t="str" cm="1">
        <f t="array" ref="G208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208)),""))</f>
        <v/>
      </c>
      <c r="H208" s="52" t="str" cm="1">
        <f t="array" ref="H208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208)),""))</f>
        <v/>
      </c>
      <c r="I208" s="52" t="str" cm="1">
        <f t="array" ref="I208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208)),""))</f>
        <v/>
      </c>
      <c r="J208" s="52" t="str" cm="1">
        <f t="array" ref="J208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208)),""))</f>
        <v/>
      </c>
      <c r="K208" s="52" t="str" cm="1">
        <f t="array" ref="K208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208)),""))</f>
        <v/>
      </c>
      <c r="L208" s="52" t="str" cm="1">
        <f t="array" ref="L208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208)),""))</f>
        <v/>
      </c>
      <c r="M208" s="52" t="str" cm="1">
        <f t="array" ref="M208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208)),""))</f>
        <v/>
      </c>
      <c r="N208" s="52" t="str" cm="1">
        <f t="array" ref="N208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208)),""))</f>
        <v/>
      </c>
      <c r="O208" s="52" t="str" cm="1">
        <f t="array" ref="O208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208)),""))</f>
        <v/>
      </c>
      <c r="P208" s="52" t="str" cm="1">
        <f t="array" ref="P208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208)),""))</f>
        <v/>
      </c>
      <c r="Q208" s="52" t="str" cm="1">
        <f t="array" ref="Q208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208)),""))</f>
        <v/>
      </c>
      <c r="W208">
        <v>-9</v>
      </c>
      <c r="X208">
        <v>-0.79999999999999982</v>
      </c>
      <c r="AJ208" t="str">
        <v>d-12</v>
      </c>
      <c r="AK208">
        <v>-1.4</v>
      </c>
      <c r="AP208" t="str">
        <v>d-9</v>
      </c>
      <c r="AQ208">
        <v>-0.30000000000000071</v>
      </c>
    </row>
    <row r="209" spans="1:66">
      <c r="A209" s="52" t="str" cm="1">
        <f t="array" ref="A209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209)),""))</f>
        <v/>
      </c>
      <c r="B209" s="52" t="str" cm="1">
        <f t="array" ref="B209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209)),""))</f>
        <v/>
      </c>
      <c r="C209" s="52" t="str" cm="1">
        <f t="array" ref="C209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209)),""))</f>
        <v/>
      </c>
      <c r="D209" s="52" t="str" cm="1">
        <f t="array" ref="D209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209)),""))</f>
        <v/>
      </c>
      <c r="E209" s="52" t="str" cm="1">
        <f t="array" ref="E209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209)),""))</f>
        <v/>
      </c>
      <c r="F209" s="52" t="str" cm="1">
        <f t="array" ref="F209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209)),""))</f>
        <v/>
      </c>
      <c r="G209" s="52" t="str" cm="1">
        <f t="array" ref="G209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209)),""))</f>
        <v/>
      </c>
      <c r="H209" s="52" t="str" cm="1">
        <f t="array" ref="H209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209)),""))</f>
        <v/>
      </c>
      <c r="I209" s="52" t="str" cm="1">
        <f t="array" ref="I209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209)),""))</f>
        <v/>
      </c>
      <c r="J209" s="52" t="str" cm="1">
        <f t="array" ref="J209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209)),""))</f>
        <v/>
      </c>
      <c r="K209" s="52" t="str" cm="1">
        <f t="array" ref="K209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209)),""))</f>
        <v/>
      </c>
      <c r="L209" s="52" t="str" cm="1">
        <f t="array" ref="L209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209)),""))</f>
        <v/>
      </c>
      <c r="M209" s="52" t="str" cm="1">
        <f t="array" ref="M209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209)),""))</f>
        <v/>
      </c>
      <c r="N209" s="52" t="str" cm="1">
        <f t="array" ref="N209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209)),""))</f>
        <v/>
      </c>
      <c r="O209" s="52" t="str" cm="1">
        <f t="array" ref="O209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209)),""))</f>
        <v/>
      </c>
      <c r="P209" s="52" t="str" cm="1">
        <f t="array" ref="P209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209)),""))</f>
        <v/>
      </c>
      <c r="Q209" s="52" t="str" cm="1">
        <f t="array" ref="Q209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209)),""))</f>
        <v/>
      </c>
      <c r="W209">
        <v>-8</v>
      </c>
      <c r="X209">
        <v>-0.79999999999999982</v>
      </c>
      <c r="AJ209" t="str">
        <v>d-12</v>
      </c>
      <c r="AK209">
        <v>-1.6</v>
      </c>
      <c r="AP209" t="str">
        <v>d-9</v>
      </c>
      <c r="AQ209">
        <v>-0.39999999999999947</v>
      </c>
    </row>
    <row r="210" spans="1:66">
      <c r="A210" s="52" t="str" cm="1">
        <f t="array" ref="A210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210)),""))</f>
        <v/>
      </c>
      <c r="B210" s="52" t="str" cm="1">
        <f t="array" ref="B210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210)),""))</f>
        <v/>
      </c>
      <c r="C210" s="52" t="str" cm="1">
        <f t="array" ref="C210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210)),""))</f>
        <v/>
      </c>
      <c r="D210" s="52" t="str" cm="1">
        <f t="array" ref="D210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210)),""))</f>
        <v/>
      </c>
      <c r="E210" s="52" t="str" cm="1">
        <f t="array" ref="E210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210)),""))</f>
        <v/>
      </c>
      <c r="F210" s="52" t="str" cm="1">
        <f t="array" ref="F210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210)),""))</f>
        <v/>
      </c>
      <c r="G210" s="52" t="str" cm="1">
        <f t="array" ref="G210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210)),""))</f>
        <v/>
      </c>
      <c r="H210" s="52" t="str" cm="1">
        <f t="array" ref="H210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210)),""))</f>
        <v/>
      </c>
      <c r="I210" s="52" t="str" cm="1">
        <f t="array" ref="I210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210)),""))</f>
        <v/>
      </c>
      <c r="J210" s="52" t="str" cm="1">
        <f t="array" ref="J210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210)),""))</f>
        <v/>
      </c>
      <c r="K210" s="52" t="str" cm="1">
        <f t="array" ref="K210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210)),""))</f>
        <v/>
      </c>
      <c r="L210" s="52" t="str" cm="1">
        <f t="array" ref="L210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210)),""))</f>
        <v/>
      </c>
      <c r="M210" s="52" t="str" cm="1">
        <f t="array" ref="M210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210)),""))</f>
        <v/>
      </c>
      <c r="N210" s="52" t="str" cm="1">
        <f t="array" ref="N210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210)),""))</f>
        <v/>
      </c>
      <c r="O210" s="52" t="str" cm="1">
        <f t="array" ref="O210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210)),""))</f>
        <v/>
      </c>
      <c r="P210" s="52" t="str" cm="1">
        <f t="array" ref="P210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210)),""))</f>
        <v/>
      </c>
      <c r="Q210" s="52" t="str" cm="1">
        <f t="array" ref="Q210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210)),""))</f>
        <v/>
      </c>
      <c r="W210">
        <v>-7</v>
      </c>
      <c r="X210">
        <v>-0.79999999999999982</v>
      </c>
      <c r="AJ210" t="str">
        <v>d-12</v>
      </c>
      <c r="AK210">
        <v>-1.4</v>
      </c>
      <c r="AP210" t="str">
        <v>d-9</v>
      </c>
      <c r="AQ210">
        <v>-1.0999999999999996</v>
      </c>
    </row>
    <row r="211" spans="1:66">
      <c r="A211" s="52" t="str" cm="1">
        <f t="array" ref="A211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211)),""))</f>
        <v/>
      </c>
      <c r="B211" s="52" t="str" cm="1">
        <f t="array" ref="B211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211)),""))</f>
        <v/>
      </c>
      <c r="C211" s="52" t="str" cm="1">
        <f t="array" ref="C211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211)),""))</f>
        <v/>
      </c>
      <c r="D211" s="52" t="str" cm="1">
        <f t="array" ref="D211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211)),""))</f>
        <v/>
      </c>
      <c r="E211" s="52" t="str" cm="1">
        <f t="array" ref="E211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211)),""))</f>
        <v/>
      </c>
      <c r="F211" s="52" t="str" cm="1">
        <f t="array" ref="F211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211)),""))</f>
        <v/>
      </c>
      <c r="G211" s="52" t="str" cm="1">
        <f t="array" ref="G211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211)),""))</f>
        <v/>
      </c>
      <c r="H211" s="52" t="str" cm="1">
        <f t="array" ref="H211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211)),""))</f>
        <v/>
      </c>
      <c r="I211" s="52" t="str" cm="1">
        <f t="array" ref="I211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211)),""))</f>
        <v/>
      </c>
      <c r="J211" s="52" t="str" cm="1">
        <f t="array" ref="J211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211)),""))</f>
        <v/>
      </c>
      <c r="K211" s="52" t="str" cm="1">
        <f t="array" ref="K211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211)),""))</f>
        <v/>
      </c>
      <c r="L211" s="52" t="str" cm="1">
        <f t="array" ref="L211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211)),""))</f>
        <v/>
      </c>
      <c r="M211" s="52" t="str" cm="1">
        <f t="array" ref="M211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211)),""))</f>
        <v/>
      </c>
      <c r="N211" s="52" t="str" cm="1">
        <f t="array" ref="N211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211)),""))</f>
        <v/>
      </c>
      <c r="O211" s="52" t="str" cm="1">
        <f t="array" ref="O211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211)),""))</f>
        <v/>
      </c>
      <c r="P211" s="52" t="str" cm="1">
        <f t="array" ref="P211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211)),""))</f>
        <v/>
      </c>
      <c r="Q211" s="52" t="str" cm="1">
        <f t="array" ref="Q211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211)),""))</f>
        <v/>
      </c>
      <c r="W211">
        <v>-6</v>
      </c>
      <c r="X211">
        <v>-0.79999999999999982</v>
      </c>
      <c r="AJ211" t="str">
        <v>d-12</v>
      </c>
      <c r="AK211">
        <v>-0.5</v>
      </c>
      <c r="AP211" t="str">
        <v>d-9</v>
      </c>
      <c r="AQ211">
        <v>-1.6</v>
      </c>
    </row>
    <row r="212" spans="1:66">
      <c r="A212" s="52" t="str" cm="1">
        <f t="array" ref="A212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212)),""))</f>
        <v/>
      </c>
      <c r="B212" s="52" t="str" cm="1">
        <f t="array" ref="B212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212)),""))</f>
        <v/>
      </c>
      <c r="C212" s="52" t="str" cm="1">
        <f t="array" ref="C212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212)),""))</f>
        <v/>
      </c>
      <c r="D212" s="52" t="str" cm="1">
        <f t="array" ref="D212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212)),""))</f>
        <v/>
      </c>
      <c r="E212" s="52" t="str" cm="1">
        <f t="array" ref="E212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212)),""))</f>
        <v/>
      </c>
      <c r="F212" s="52" t="str" cm="1">
        <f t="array" ref="F212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212)),""))</f>
        <v/>
      </c>
      <c r="G212" s="52" t="str" cm="1">
        <f t="array" ref="G212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212)),""))</f>
        <v/>
      </c>
      <c r="H212" s="52" t="str" cm="1">
        <f t="array" ref="H212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212)),""))</f>
        <v/>
      </c>
      <c r="I212" s="52" t="str" cm="1">
        <f t="array" ref="I212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212)),""))</f>
        <v/>
      </c>
      <c r="J212" s="52" t="str" cm="1">
        <f t="array" ref="J212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212)),""))</f>
        <v/>
      </c>
      <c r="K212" s="52" t="str" cm="1">
        <f t="array" ref="K212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212)),""))</f>
        <v/>
      </c>
      <c r="L212" s="52" t="str" cm="1">
        <f t="array" ref="L212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212)),""))</f>
        <v/>
      </c>
      <c r="M212" s="52" t="str" cm="1">
        <f t="array" ref="M212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212)),""))</f>
        <v/>
      </c>
      <c r="N212" s="52" t="str" cm="1">
        <f t="array" ref="N212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212)),""))</f>
        <v/>
      </c>
      <c r="O212" s="52" t="str" cm="1">
        <f t="array" ref="O212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212)),""))</f>
        <v/>
      </c>
      <c r="P212" s="52" t="str" cm="1">
        <f t="array" ref="P212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212)),""))</f>
        <v/>
      </c>
      <c r="Q212" s="52" t="str" cm="1">
        <f t="array" ref="Q212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212)),""))</f>
        <v/>
      </c>
      <c r="W212">
        <v>-5</v>
      </c>
      <c r="X212">
        <v>-0.69999999999999973</v>
      </c>
      <c r="AJ212" t="str">
        <v>d-12</v>
      </c>
      <c r="AK212">
        <v>-1.1000000000000001</v>
      </c>
      <c r="AP212" t="str">
        <v>d-9</v>
      </c>
      <c r="AQ212">
        <v>-1.1000000000000001</v>
      </c>
    </row>
    <row r="213" spans="1:66">
      <c r="A213" s="52" t="str" cm="1">
        <f t="array" ref="A213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213)),""))</f>
        <v/>
      </c>
      <c r="B213" s="52" t="str" cm="1">
        <f t="array" ref="B213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213)),""))</f>
        <v/>
      </c>
      <c r="C213" s="52" t="str" cm="1">
        <f t="array" ref="C213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213)),""))</f>
        <v/>
      </c>
      <c r="D213" s="52" t="str" cm="1">
        <f t="array" ref="D213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213)),""))</f>
        <v/>
      </c>
      <c r="E213" s="52" t="str" cm="1">
        <f t="array" ref="E213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213)),""))</f>
        <v/>
      </c>
      <c r="F213" s="52" t="str" cm="1">
        <f t="array" ref="F213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213)),""))</f>
        <v/>
      </c>
      <c r="G213" s="52" t="str" cm="1">
        <f t="array" ref="G213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213)),""))</f>
        <v/>
      </c>
      <c r="H213" s="52" t="str" cm="1">
        <f t="array" ref="H213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213)),""))</f>
        <v/>
      </c>
      <c r="I213" s="52" t="str" cm="1">
        <f t="array" ref="I213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213)),""))</f>
        <v/>
      </c>
      <c r="J213" s="52" t="str" cm="1">
        <f t="array" ref="J213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213)),""))</f>
        <v/>
      </c>
      <c r="K213" s="52" t="str" cm="1">
        <f t="array" ref="K213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213)),""))</f>
        <v/>
      </c>
      <c r="L213" s="52" t="str" cm="1">
        <f t="array" ref="L213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213)),""))</f>
        <v/>
      </c>
      <c r="M213" s="52" t="str" cm="1">
        <f t="array" ref="M213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213)),""))</f>
        <v/>
      </c>
      <c r="N213" s="52" t="str" cm="1">
        <f t="array" ref="N213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213)),""))</f>
        <v/>
      </c>
      <c r="O213" s="52" t="str" cm="1">
        <f t="array" ref="O213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213)),""))</f>
        <v/>
      </c>
      <c r="P213" s="52" t="str" cm="1">
        <f t="array" ref="P213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213)),""))</f>
        <v/>
      </c>
      <c r="Q213" s="52" t="str" cm="1">
        <f t="array" ref="Q213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213)),""))</f>
        <v/>
      </c>
      <c r="W213">
        <v>-4</v>
      </c>
      <c r="X213">
        <v>-0.60000000000000009</v>
      </c>
      <c r="AJ213" t="str">
        <v>d-12</v>
      </c>
      <c r="AK213">
        <v>-0.5</v>
      </c>
      <c r="AP213" t="str">
        <v>d-9</v>
      </c>
      <c r="AQ213">
        <v>-0.90000000000000036</v>
      </c>
    </row>
    <row r="214" spans="1:66">
      <c r="A214" s="52" t="str" cm="1">
        <f t="array" ref="A214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214)),""))</f>
        <v/>
      </c>
      <c r="B214" s="52" t="str" cm="1">
        <f t="array" ref="B214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214)),""))</f>
        <v/>
      </c>
      <c r="C214" s="52" t="str" cm="1">
        <f t="array" ref="C214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214)),""))</f>
        <v/>
      </c>
      <c r="D214" s="52" t="str" cm="1">
        <f t="array" ref="D214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214)),""))</f>
        <v/>
      </c>
      <c r="E214" s="52" t="str" cm="1">
        <f t="array" ref="E214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214)),""))</f>
        <v/>
      </c>
      <c r="F214" s="52" t="str" cm="1">
        <f t="array" ref="F214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214)),""))</f>
        <v/>
      </c>
      <c r="G214" s="52" t="str" cm="1">
        <f t="array" ref="G214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214)),""))</f>
        <v/>
      </c>
      <c r="H214" s="52" t="str" cm="1">
        <f t="array" ref="H214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214)),""))</f>
        <v/>
      </c>
      <c r="I214" s="52" t="str" cm="1">
        <f t="array" ref="I214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214)),""))</f>
        <v/>
      </c>
      <c r="J214" s="52" t="str" cm="1">
        <f t="array" ref="J214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214)),""))</f>
        <v/>
      </c>
      <c r="K214" s="52" t="str" cm="1">
        <f t="array" ref="K214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214)),""))</f>
        <v/>
      </c>
      <c r="L214" s="52" t="str" cm="1">
        <f t="array" ref="L214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214)),""))</f>
        <v/>
      </c>
      <c r="M214" s="52" t="str" cm="1">
        <f t="array" ref="M214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214)),""))</f>
        <v/>
      </c>
      <c r="N214" s="52" t="str" cm="1">
        <f t="array" ref="N214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214)),""))</f>
        <v/>
      </c>
      <c r="O214" s="52" t="str" cm="1">
        <f t="array" ref="O214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214)),""))</f>
        <v/>
      </c>
      <c r="P214" s="52" t="str" cm="1">
        <f t="array" ref="P214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214)),""))</f>
        <v/>
      </c>
      <c r="Q214" s="52" t="str" cm="1">
        <f t="array" ref="Q214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214)),""))</f>
        <v/>
      </c>
      <c r="W214">
        <v>-3</v>
      </c>
      <c r="X214">
        <v>-0.10000000000000009</v>
      </c>
      <c r="AJ214" t="str">
        <v>d-12</v>
      </c>
      <c r="AK214">
        <v>-0.70000000000000018</v>
      </c>
      <c r="AP214" t="str">
        <v>d-9</v>
      </c>
      <c r="AQ214">
        <v>-0.89999999999999947</v>
      </c>
    </row>
    <row r="215" spans="1:66">
      <c r="A215" s="52" t="str" cm="1">
        <f t="array" ref="A215">IF(COUNTIFS(Calc_Anclaje!$A$5:$A$1058,$B$2,Calc_Anclaje!$H$5:$H$1058,VALUE(SUBSTITUTE(A$185,"d-","")),Calc_Anclaje!$K$5:$K$1058,"&gt;=2",Calc_Anclaje!$K$5:$K$1058,"&lt;=4")&lt;5,"",IFERROR(INDEX(_xlfn._xlws.FILTER(Calc_Anclaje!$O$5:$O$1058,(Calc_Anclaje!$A$5:$A$1058=$B$2)*(Calc_Anclaje!$H$5:$H$1058=VALUE(SUBSTITUTE(A$185,"d-","")))*(Calc_Anclaje!$K$5:$K$1058&gt;=2)*(Calc_Anclaje!$K$5:$K$1058&lt;=4)),ROWS(A$186:A215)),""))</f>
        <v/>
      </c>
      <c r="B215" s="52" t="str" cm="1">
        <f t="array" ref="B215">IF(COUNTIFS(Calc_Anclaje!$A$5:$A$1058,$B$2,Calc_Anclaje!$H$5:$H$1058,VALUE(SUBSTITUTE(B$185,"d-","")),Calc_Anclaje!$K$5:$K$1058,"&gt;=2",Calc_Anclaje!$K$5:$K$1058,"&lt;=4")&lt;5,"",IFERROR(INDEX(_xlfn._xlws.FILTER(Calc_Anclaje!$O$5:$O$1058,(Calc_Anclaje!$A$5:$A$1058=$B$2)*(Calc_Anclaje!$H$5:$H$1058=VALUE(SUBSTITUTE(B$185,"d-","")))*(Calc_Anclaje!$K$5:$K$1058&gt;=2)*(Calc_Anclaje!$K$5:$K$1058&lt;=4)),ROWS(B$186:B215)),""))</f>
        <v/>
      </c>
      <c r="C215" s="52" t="str" cm="1">
        <f t="array" ref="C215">IF(COUNTIFS(Calc_Anclaje!$A$5:$A$1058,$B$2,Calc_Anclaje!$H$5:$H$1058,VALUE(SUBSTITUTE(C$185,"d-","")),Calc_Anclaje!$K$5:$K$1058,"&gt;=2",Calc_Anclaje!$K$5:$K$1058,"&lt;=4")&lt;5,"",IFERROR(INDEX(_xlfn._xlws.FILTER(Calc_Anclaje!$O$5:$O$1058,(Calc_Anclaje!$A$5:$A$1058=$B$2)*(Calc_Anclaje!$H$5:$H$1058=VALUE(SUBSTITUTE(C$185,"d-","")))*(Calc_Anclaje!$K$5:$K$1058&gt;=2)*(Calc_Anclaje!$K$5:$K$1058&lt;=4)),ROWS(C$186:C215)),""))</f>
        <v/>
      </c>
      <c r="D215" s="52" t="str" cm="1">
        <f t="array" ref="D215">IF(COUNTIFS(Calc_Anclaje!$A$5:$A$1058,$B$2,Calc_Anclaje!$H$5:$H$1058,VALUE(SUBSTITUTE(D$185,"d-","")),Calc_Anclaje!$K$5:$K$1058,"&gt;=2",Calc_Anclaje!$K$5:$K$1058,"&lt;=4")&lt;5,"",IFERROR(INDEX(_xlfn._xlws.FILTER(Calc_Anclaje!$O$5:$O$1058,(Calc_Anclaje!$A$5:$A$1058=$B$2)*(Calc_Anclaje!$H$5:$H$1058=VALUE(SUBSTITUTE(D$185,"d-","")))*(Calc_Anclaje!$K$5:$K$1058&gt;=2)*(Calc_Anclaje!$K$5:$K$1058&lt;=4)),ROWS(D$186:D215)),""))</f>
        <v/>
      </c>
      <c r="E215" s="52" t="str" cm="1">
        <f t="array" ref="E215">IF(COUNTIFS(Calc_Anclaje!$A$5:$A$1058,$B$2,Calc_Anclaje!$H$5:$H$1058,VALUE(SUBSTITUTE(E$185,"d-","")),Calc_Anclaje!$K$5:$K$1058,"&gt;=2",Calc_Anclaje!$K$5:$K$1058,"&lt;=4")&lt;5,"",IFERROR(INDEX(_xlfn._xlws.FILTER(Calc_Anclaje!$O$5:$O$1058,(Calc_Anclaje!$A$5:$A$1058=$B$2)*(Calc_Anclaje!$H$5:$H$1058=VALUE(SUBSTITUTE(E$185,"d-","")))*(Calc_Anclaje!$K$5:$K$1058&gt;=2)*(Calc_Anclaje!$K$5:$K$1058&lt;=4)),ROWS(E$186:E215)),""))</f>
        <v/>
      </c>
      <c r="F215" s="52" t="str" cm="1">
        <f t="array" ref="F215">IF(COUNTIFS(Calc_Anclaje!$A$5:$A$1058,$B$2,Calc_Anclaje!$H$5:$H$1058,VALUE(SUBSTITUTE(F$185,"d-","")),Calc_Anclaje!$K$5:$K$1058,"&gt;=2",Calc_Anclaje!$K$5:$K$1058,"&lt;=4")&lt;5,"",IFERROR(INDEX(_xlfn._xlws.FILTER(Calc_Anclaje!$O$5:$O$1058,(Calc_Anclaje!$A$5:$A$1058=$B$2)*(Calc_Anclaje!$H$5:$H$1058=VALUE(SUBSTITUTE(F$185,"d-","")))*(Calc_Anclaje!$K$5:$K$1058&gt;=2)*(Calc_Anclaje!$K$5:$K$1058&lt;=4)),ROWS(F$186:F215)),""))</f>
        <v/>
      </c>
      <c r="G215" s="52" t="str" cm="1">
        <f t="array" ref="G215">IF(COUNTIFS(Calc_Anclaje!$A$5:$A$1058,$B$2,Calc_Anclaje!$H$5:$H$1058,VALUE(SUBSTITUTE(G$185,"d-","")),Calc_Anclaje!$K$5:$K$1058,"&gt;=2",Calc_Anclaje!$K$5:$K$1058,"&lt;=4")&lt;5,"",IFERROR(INDEX(_xlfn._xlws.FILTER(Calc_Anclaje!$O$5:$O$1058,(Calc_Anclaje!$A$5:$A$1058=$B$2)*(Calc_Anclaje!$H$5:$H$1058=VALUE(SUBSTITUTE(G$185,"d-","")))*(Calc_Anclaje!$K$5:$K$1058&gt;=2)*(Calc_Anclaje!$K$5:$K$1058&lt;=4)),ROWS(G$186:G215)),""))</f>
        <v/>
      </c>
      <c r="H215" s="52" t="str" cm="1">
        <f t="array" ref="H215">IF(COUNTIFS(Calc_Anclaje!$A$5:$A$1058,$B$2,Calc_Anclaje!$H$5:$H$1058,VALUE(SUBSTITUTE(H$185,"d-","")),Calc_Anclaje!$K$5:$K$1058,"&gt;=2",Calc_Anclaje!$K$5:$K$1058,"&lt;=4")&lt;5,"",IFERROR(INDEX(_xlfn._xlws.FILTER(Calc_Anclaje!$O$5:$O$1058,(Calc_Anclaje!$A$5:$A$1058=$B$2)*(Calc_Anclaje!$H$5:$H$1058=VALUE(SUBSTITUTE(H$185,"d-","")))*(Calc_Anclaje!$K$5:$K$1058&gt;=2)*(Calc_Anclaje!$K$5:$K$1058&lt;=4)),ROWS(H$186:H215)),""))</f>
        <v/>
      </c>
      <c r="I215" s="52" t="str" cm="1">
        <f t="array" ref="I215">IF(COUNTIFS(Calc_Anclaje!$A$5:$A$1058,$B$2,Calc_Anclaje!$H$5:$H$1058,VALUE(SUBSTITUTE(I$185,"d-","")),Calc_Anclaje!$K$5:$K$1058,"&gt;=2",Calc_Anclaje!$K$5:$K$1058,"&lt;=4")&lt;5,"",IFERROR(INDEX(_xlfn._xlws.FILTER(Calc_Anclaje!$O$5:$O$1058,(Calc_Anclaje!$A$5:$A$1058=$B$2)*(Calc_Anclaje!$H$5:$H$1058=VALUE(SUBSTITUTE(I$185,"d-","")))*(Calc_Anclaje!$K$5:$K$1058&gt;=2)*(Calc_Anclaje!$K$5:$K$1058&lt;=4)),ROWS(I$186:I215)),""))</f>
        <v/>
      </c>
      <c r="J215" s="52" t="str" cm="1">
        <f t="array" ref="J215">IF(COUNTIFS(Calc_Anclaje!$A$5:$A$1058,$B$2,Calc_Anclaje!$H$5:$H$1058,VALUE(SUBSTITUTE(J$185,"d-","")),Calc_Anclaje!$K$5:$K$1058,"&gt;=2",Calc_Anclaje!$K$5:$K$1058,"&lt;=4")&lt;5,"",IFERROR(INDEX(_xlfn._xlws.FILTER(Calc_Anclaje!$O$5:$O$1058,(Calc_Anclaje!$A$5:$A$1058=$B$2)*(Calc_Anclaje!$H$5:$H$1058=VALUE(SUBSTITUTE(J$185,"d-","")))*(Calc_Anclaje!$K$5:$K$1058&gt;=2)*(Calc_Anclaje!$K$5:$K$1058&lt;=4)),ROWS(J$186:J215)),""))</f>
        <v/>
      </c>
      <c r="K215" s="52" t="str" cm="1">
        <f t="array" ref="K215">IF(COUNTIFS(Calc_Anclaje!$A$5:$A$1058,$B$2,Calc_Anclaje!$H$5:$H$1058,VALUE(SUBSTITUTE(K$185,"d-","")),Calc_Anclaje!$K$5:$K$1058,"&gt;=2",Calc_Anclaje!$K$5:$K$1058,"&lt;=4")&lt;5,"",IFERROR(INDEX(_xlfn._xlws.FILTER(Calc_Anclaje!$O$5:$O$1058,(Calc_Anclaje!$A$5:$A$1058=$B$2)*(Calc_Anclaje!$H$5:$H$1058=VALUE(SUBSTITUTE(K$185,"d-","")))*(Calc_Anclaje!$K$5:$K$1058&gt;=2)*(Calc_Anclaje!$K$5:$K$1058&lt;=4)),ROWS(K$186:K215)),""))</f>
        <v/>
      </c>
      <c r="L215" s="52" t="str" cm="1">
        <f t="array" ref="L215">IF(COUNTIFS(Calc_Anclaje!$A$5:$A$1058,$B$2,Calc_Anclaje!$H$5:$H$1058,VALUE(SUBSTITUTE(L$185,"d-","")),Calc_Anclaje!$K$5:$K$1058,"&gt;=2",Calc_Anclaje!$K$5:$K$1058,"&lt;=4")&lt;5,"",IFERROR(INDEX(_xlfn._xlws.FILTER(Calc_Anclaje!$O$5:$O$1058,(Calc_Anclaje!$A$5:$A$1058=$B$2)*(Calc_Anclaje!$H$5:$H$1058=VALUE(SUBSTITUTE(L$185,"d-","")))*(Calc_Anclaje!$K$5:$K$1058&gt;=2)*(Calc_Anclaje!$K$5:$K$1058&lt;=4)),ROWS(L$186:L215)),""))</f>
        <v/>
      </c>
      <c r="M215" s="52" t="str" cm="1">
        <f t="array" ref="M215">IF(COUNTIFS(Calc_Anclaje!$A$5:$A$1058,$B$2,Calc_Anclaje!$H$5:$H$1058,VALUE(SUBSTITUTE(M$185,"d-","")),Calc_Anclaje!$K$5:$K$1058,"&gt;=2",Calc_Anclaje!$K$5:$K$1058,"&lt;=4")&lt;5,"",IFERROR(INDEX(_xlfn._xlws.FILTER(Calc_Anclaje!$O$5:$O$1058,(Calc_Anclaje!$A$5:$A$1058=$B$2)*(Calc_Anclaje!$H$5:$H$1058=VALUE(SUBSTITUTE(M$185,"d-","")))*(Calc_Anclaje!$K$5:$K$1058&gt;=2)*(Calc_Anclaje!$K$5:$K$1058&lt;=4)),ROWS(M$186:M215)),""))</f>
        <v/>
      </c>
      <c r="N215" s="52" t="str" cm="1">
        <f t="array" ref="N215">IF(COUNTIFS(Calc_Anclaje!$A$5:$A$1058,$B$2,Calc_Anclaje!$H$5:$H$1058,VALUE(SUBSTITUTE(N$185,"d-","")),Calc_Anclaje!$K$5:$K$1058,"&gt;=2",Calc_Anclaje!$K$5:$K$1058,"&lt;=4")&lt;5,"",IFERROR(INDEX(_xlfn._xlws.FILTER(Calc_Anclaje!$O$5:$O$1058,(Calc_Anclaje!$A$5:$A$1058=$B$2)*(Calc_Anclaje!$H$5:$H$1058=VALUE(SUBSTITUTE(N$185,"d-","")))*(Calc_Anclaje!$K$5:$K$1058&gt;=2)*(Calc_Anclaje!$K$5:$K$1058&lt;=4)),ROWS(N$186:N215)),""))</f>
        <v/>
      </c>
      <c r="O215" s="52" t="str" cm="1">
        <f t="array" ref="O215">IF(COUNTIFS(Calc_Anclaje!$A$5:$A$1058,$B$2,Calc_Anclaje!$H$5:$H$1058,VALUE(SUBSTITUTE(O$185,"d-","")),Calc_Anclaje!$K$5:$K$1058,"&gt;=2",Calc_Anclaje!$K$5:$K$1058,"&lt;=4")&lt;5,"",IFERROR(INDEX(_xlfn._xlws.FILTER(Calc_Anclaje!$O$5:$O$1058,(Calc_Anclaje!$A$5:$A$1058=$B$2)*(Calc_Anclaje!$H$5:$H$1058=VALUE(SUBSTITUTE(O$185,"d-","")))*(Calc_Anclaje!$K$5:$K$1058&gt;=2)*(Calc_Anclaje!$K$5:$K$1058&lt;=4)),ROWS(O$186:O215)),""))</f>
        <v/>
      </c>
      <c r="P215" s="52" t="str" cm="1">
        <f t="array" ref="P215">IF(COUNTIFS(Calc_Anclaje!$A$5:$A$1058,$B$2,Calc_Anclaje!$H$5:$H$1058,VALUE(SUBSTITUTE(P$185,"d-","")),Calc_Anclaje!$K$5:$K$1058,"&gt;=2",Calc_Anclaje!$K$5:$K$1058,"&lt;=4")&lt;5,"",IFERROR(INDEX(_xlfn._xlws.FILTER(Calc_Anclaje!$O$5:$O$1058,(Calc_Anclaje!$A$5:$A$1058=$B$2)*(Calc_Anclaje!$H$5:$H$1058=VALUE(SUBSTITUTE(P$185,"d-","")))*(Calc_Anclaje!$K$5:$K$1058&gt;=2)*(Calc_Anclaje!$K$5:$K$1058&lt;=4)),ROWS(P$186:P215)),""))</f>
        <v/>
      </c>
      <c r="Q215" s="52" t="str" cm="1">
        <f t="array" ref="Q215">IF(COUNTIFS(Calc_Anclaje!$A$5:$A$1058,$B$2,Calc_Anclaje!$H$5:$H$1058,VALUE(SUBSTITUTE(Q$185,"d-","")),Calc_Anclaje!$K$5:$K$1058,"&gt;=2",Calc_Anclaje!$K$5:$K$1058,"&lt;=4")&lt;5,"",IFERROR(INDEX(_xlfn._xlws.FILTER(Calc_Anclaje!$O$5:$O$1058,(Calc_Anclaje!$A$5:$A$1058=$B$2)*(Calc_Anclaje!$H$5:$H$1058=VALUE(SUBSTITUTE(Q$185,"d-","")))*(Calc_Anclaje!$K$5:$K$1058&gt;=2)*(Calc_Anclaje!$K$5:$K$1058&lt;=4)),ROWS(Q$186:Q215)),""))</f>
        <v/>
      </c>
      <c r="W215">
        <v>-2</v>
      </c>
      <c r="X215">
        <v>0.10000000000000009</v>
      </c>
      <c r="AJ215" t="str">
        <v>d-12</v>
      </c>
      <c r="AK215">
        <v>-1.0999999999999996</v>
      </c>
      <c r="AP215" t="str">
        <v>d-8</v>
      </c>
      <c r="AQ215">
        <v>0.20000000000000018</v>
      </c>
    </row>
    <row r="216" spans="1:66">
      <c r="W216">
        <v>-1</v>
      </c>
      <c r="X216">
        <v>0.19999999999999973</v>
      </c>
      <c r="AJ216" t="str">
        <v>d-12</v>
      </c>
      <c r="AK216">
        <v>-0.79999999999999982</v>
      </c>
      <c r="AP216" t="str">
        <v>d-8</v>
      </c>
      <c r="AQ216">
        <v>-0.20000000000000018</v>
      </c>
    </row>
    <row r="217" spans="1:66">
      <c r="W217">
        <v>0</v>
      </c>
      <c r="X217">
        <v>0.10000000000000009</v>
      </c>
      <c r="AJ217" t="str">
        <v>d-11</v>
      </c>
      <c r="AK217">
        <v>-4.5999999999999996</v>
      </c>
      <c r="AP217" t="str">
        <v>d-8</v>
      </c>
      <c r="AQ217">
        <v>-0.39999999999999947</v>
      </c>
    </row>
    <row r="218" spans="1:66">
      <c r="AJ218" t="str">
        <v>d-11</v>
      </c>
      <c r="AK218">
        <v>-4.3</v>
      </c>
      <c r="AP218" t="str">
        <v>d-8</v>
      </c>
      <c r="AQ218">
        <v>-1.0999999999999996</v>
      </c>
    </row>
    <row r="219" spans="1:66">
      <c r="AJ219" t="str">
        <v>d-11</v>
      </c>
      <c r="AK219">
        <v>-2.5</v>
      </c>
      <c r="AP219" t="str">
        <v>d-8</v>
      </c>
      <c r="AQ219">
        <v>-1.2999999999999998</v>
      </c>
    </row>
    <row r="220" spans="1:66">
      <c r="A220" s="22" t="s">
        <v>2512</v>
      </c>
      <c r="B220" s="22" t="s">
        <v>2510</v>
      </c>
      <c r="C220" s="22" t="s">
        <v>2511</v>
      </c>
      <c r="D220" s="22" t="s">
        <v>2508</v>
      </c>
      <c r="E220" s="22" t="s">
        <v>2509</v>
      </c>
      <c r="F220" s="22" t="s">
        <v>2506</v>
      </c>
      <c r="G220" s="22" t="s">
        <v>2507</v>
      </c>
      <c r="H220" s="22" t="s">
        <v>2504</v>
      </c>
      <c r="I220" s="22" t="s">
        <v>2505</v>
      </c>
      <c r="J220" s="22" t="s">
        <v>2502</v>
      </c>
      <c r="K220" s="22" t="s">
        <v>2503</v>
      </c>
      <c r="L220" s="22" t="s">
        <v>2500</v>
      </c>
      <c r="M220" s="22" t="s">
        <v>2501</v>
      </c>
      <c r="N220" s="22" t="s">
        <v>2498</v>
      </c>
      <c r="O220" s="22" t="s">
        <v>2499</v>
      </c>
      <c r="P220" s="22" t="s">
        <v>2495</v>
      </c>
      <c r="Q220" s="22" t="s">
        <v>2497</v>
      </c>
      <c r="AJ220" t="str">
        <v>d-11</v>
      </c>
      <c r="AK220">
        <v>-1.3999999999999995</v>
      </c>
      <c r="AP220" t="str">
        <v>d-8</v>
      </c>
      <c r="AQ220">
        <v>-1</v>
      </c>
      <c r="AU220" t="str" cm="1">
        <f t="array" ref="AU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U220)),""))</f>
        <v/>
      </c>
      <c r="AV220" t="str" cm="1">
        <f t="array" ref="AV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V220)),""))</f>
        <v/>
      </c>
      <c r="AW220" t="str" cm="1">
        <f t="array" ref="AW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W220)),""))</f>
        <v/>
      </c>
      <c r="AX220" t="str" cm="1">
        <f t="array" ref="AX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X220)),""))</f>
        <v/>
      </c>
      <c r="AY220" t="str" cm="1">
        <f t="array" ref="AY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Y220)),""))</f>
        <v/>
      </c>
      <c r="AZ220" t="str" cm="1">
        <f t="array" ref="AZ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AZ220)),""))</f>
        <v/>
      </c>
      <c r="BA220" t="str" cm="1">
        <f t="array" ref="BA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A220)),""))</f>
        <v/>
      </c>
      <c r="BB220" t="str" cm="1">
        <f t="array" ref="BB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B220)),""))</f>
        <v/>
      </c>
      <c r="BC220" t="str" cm="1">
        <f t="array" ref="BC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C220)),""))</f>
        <v/>
      </c>
      <c r="BD220" t="str" cm="1">
        <f t="array" ref="BD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D220)),""))</f>
        <v/>
      </c>
      <c r="BE220" t="str" cm="1">
        <f t="array" ref="BE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E220)),""))</f>
        <v/>
      </c>
      <c r="BF220" t="str" cm="1">
        <f t="array" ref="BF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F220)),""))</f>
        <v/>
      </c>
      <c r="BG220" t="str" cm="1">
        <f t="array" ref="BG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G220)),""))</f>
        <v/>
      </c>
      <c r="BH220" t="str" cm="1">
        <f t="array" ref="BH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H220)),""))</f>
        <v/>
      </c>
      <c r="BI220" t="str" cm="1">
        <f t="array" ref="BI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I220)),""))</f>
        <v/>
      </c>
      <c r="BJ220" t="str" cm="1">
        <f t="array" ref="BJ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J220)),""))</f>
        <v/>
      </c>
      <c r="BK220" t="str" cm="1">
        <f t="array" ref="BK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K220)),""))</f>
        <v/>
      </c>
      <c r="BL220" t="str" cm="1">
        <f t="array" ref="BL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L220)),""))</f>
        <v/>
      </c>
      <c r="BM220" t="str" cm="1">
        <f t="array" ref="BM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M220)),""))</f>
        <v/>
      </c>
      <c r="BN220" t="str" cm="1">
        <f t="array" ref="BN220">IF(COUNTIFS(Calc_Anclaje!$A$5:$A$1058,$B$2,Calc_Anclaje!$H$5:$H$1058,VALUE(SUBSTITUTE($AJ220,"d-","")),Calc_Anclaje!$K$5:$K$1058,"&gt;4",Calc_Anclaje!$K$5:$K$1058,"&lt;=5")&lt;5,"",IFERROR(INDEX(_xlfn._xlws.FILTER(Calc_Anclaje!$O$5:$O$1058,(Calc_Anclaje!$A$5:$A$1058=$B$2)*(Calc_Anclaje!$H$5:$H$1058=VALUE(SUBSTITUTE($AJ220,"d-","")))*(Calc_Anclaje!$K$5:$K$1058&gt;4)*(Calc_Anclaje!$K$5:$K$1058&lt;=5)),COLUMNS($AK220:BN220)),""))</f>
        <v/>
      </c>
    </row>
    <row r="221" spans="1:66">
      <c r="A221" s="52" cm="1">
        <f t="array" ref="A221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221)),""))</f>
        <v>-1.4999999999999996</v>
      </c>
      <c r="B221" s="52" cm="1">
        <f t="array" ref="B221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221)),""))</f>
        <v>-1.4999999999999996</v>
      </c>
      <c r="C221" s="52" cm="1">
        <f t="array" ref="C221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221)),""))</f>
        <v>-1.4999999999999996</v>
      </c>
      <c r="D221" s="52" cm="1">
        <f t="array" ref="D221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221)),""))</f>
        <v>-1.4999999999999996</v>
      </c>
      <c r="E221" s="52" cm="1">
        <f t="array" ref="E221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221)),""))</f>
        <v>-1.3999999999999995</v>
      </c>
      <c r="F221" s="52" cm="1">
        <f t="array" ref="F221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221)),""))</f>
        <v>-1.3999999999999995</v>
      </c>
      <c r="G221" s="52" cm="1">
        <f t="array" ref="G221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221)),""))</f>
        <v>-1.0999999999999996</v>
      </c>
      <c r="H221" s="52" cm="1">
        <f t="array" ref="H221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221)),""))</f>
        <v>-0.89999999999999947</v>
      </c>
      <c r="I221" s="52" cm="1">
        <f t="array" ref="I221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221)),""))</f>
        <v>0.20000000000000018</v>
      </c>
      <c r="J221" s="52" cm="1">
        <f t="array" ref="J221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221)),""))</f>
        <v>0.10000000000000053</v>
      </c>
      <c r="K221" s="52" cm="1">
        <f t="array" ref="K221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221)),""))</f>
        <v>0.20000000000000018</v>
      </c>
      <c r="L221" s="52" cm="1">
        <f t="array" ref="L221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221)),""))</f>
        <v>0.70000000000000018</v>
      </c>
      <c r="M221" s="52" cm="1">
        <f t="array" ref="M221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221)),""))</f>
        <v>0.70000000000000018</v>
      </c>
      <c r="N221" s="52" cm="1">
        <f t="array" ref="N221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221)),""))</f>
        <v>0.60000000000000053</v>
      </c>
      <c r="O221" s="52" cm="1">
        <f t="array" ref="O221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221)),""))</f>
        <v>0.40000000000000036</v>
      </c>
      <c r="P221" s="52" cm="1">
        <f t="array" ref="P221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221)),""))</f>
        <v>0.10000000000000053</v>
      </c>
      <c r="Q221" s="52" cm="1">
        <f t="array" ref="Q221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221)),""))</f>
        <v>0</v>
      </c>
      <c r="AJ221" t="str">
        <v>d-11</v>
      </c>
      <c r="AK221">
        <v>-1.2000000000000002</v>
      </c>
      <c r="AP221" t="str">
        <v>d-8</v>
      </c>
      <c r="AQ221">
        <v>-0.90000000000000036</v>
      </c>
      <c r="AU221" t="str" cm="1">
        <f t="array" ref="AU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U221)),""))</f>
        <v/>
      </c>
      <c r="AV221" t="str" cm="1">
        <f t="array" ref="AV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V221)),""))</f>
        <v/>
      </c>
      <c r="AW221" t="str" cm="1">
        <f t="array" ref="AW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W221)),""))</f>
        <v/>
      </c>
      <c r="AX221" t="str" cm="1">
        <f t="array" ref="AX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X221)),""))</f>
        <v/>
      </c>
      <c r="AY221" t="str" cm="1">
        <f t="array" ref="AY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Y221)),""))</f>
        <v/>
      </c>
      <c r="AZ221" t="str" cm="1">
        <f t="array" ref="AZ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AZ221)),""))</f>
        <v/>
      </c>
      <c r="BA221" t="str" cm="1">
        <f t="array" ref="BA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A221)),""))</f>
        <v/>
      </c>
      <c r="BB221" t="str" cm="1">
        <f t="array" ref="BB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B221)),""))</f>
        <v/>
      </c>
      <c r="BC221" t="str" cm="1">
        <f t="array" ref="BC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C221)),""))</f>
        <v/>
      </c>
      <c r="BD221" t="str" cm="1">
        <f t="array" ref="BD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D221)),""))</f>
        <v/>
      </c>
      <c r="BE221" t="str" cm="1">
        <f t="array" ref="BE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E221)),""))</f>
        <v/>
      </c>
      <c r="BF221" t="str" cm="1">
        <f t="array" ref="BF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F221)),""))</f>
        <v/>
      </c>
      <c r="BG221" t="str" cm="1">
        <f t="array" ref="BG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G221)),""))</f>
        <v/>
      </c>
      <c r="BH221" t="str" cm="1">
        <f t="array" ref="BH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H221)),""))</f>
        <v/>
      </c>
      <c r="BI221" t="str" cm="1">
        <f t="array" ref="BI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I221)),""))</f>
        <v/>
      </c>
      <c r="BJ221" t="str" cm="1">
        <f t="array" ref="BJ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J221)),""))</f>
        <v/>
      </c>
      <c r="BK221" t="str" cm="1">
        <f t="array" ref="BK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K221)),""))</f>
        <v/>
      </c>
      <c r="BL221" t="str" cm="1">
        <f t="array" ref="BL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L221)),""))</f>
        <v/>
      </c>
      <c r="BM221" t="str" cm="1">
        <f t="array" ref="BM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M221)),""))</f>
        <v/>
      </c>
      <c r="BN221" t="str" cm="1">
        <f t="array" ref="BN221">IF(COUNTIFS(Calc_Anclaje!$A$5:$A$1058,$B$2,Calc_Anclaje!$H$5:$H$1058,VALUE(SUBSTITUTE($AJ221,"d-","")),Calc_Anclaje!$K$5:$K$1058,"&gt;4",Calc_Anclaje!$K$5:$K$1058,"&lt;=5")&lt;5,"",IFERROR(INDEX(_xlfn._xlws.FILTER(Calc_Anclaje!$O$5:$O$1058,(Calc_Anclaje!$A$5:$A$1058=$B$2)*(Calc_Anclaje!$H$5:$H$1058=VALUE(SUBSTITUTE($AJ221,"d-","")))*(Calc_Anclaje!$K$5:$K$1058&gt;4)*(Calc_Anclaje!$K$5:$K$1058&lt;=5)),COLUMNS($AK221:BN221)),""))</f>
        <v/>
      </c>
    </row>
    <row r="222" spans="1:66">
      <c r="A222" s="52" cm="1">
        <f t="array" ref="A222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222)),""))</f>
        <v>-1.4000000000000004</v>
      </c>
      <c r="B222" s="52" cm="1">
        <f t="array" ref="B222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222)),""))</f>
        <v>-1.3000000000000003</v>
      </c>
      <c r="C222" s="52" cm="1">
        <f t="array" ref="C222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222)),""))</f>
        <v>-1.2000000000000002</v>
      </c>
      <c r="D222" s="52" cm="1">
        <f t="array" ref="D222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222)),""))</f>
        <v>-1.2000000000000002</v>
      </c>
      <c r="E222" s="52" cm="1">
        <f t="array" ref="E222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222)),""))</f>
        <v>-1.2000000000000002</v>
      </c>
      <c r="F222" s="52" cm="1">
        <f t="array" ref="F222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222)),""))</f>
        <v>-1.2000000000000002</v>
      </c>
      <c r="G222" s="52" cm="1">
        <f t="array" ref="G222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222)),""))</f>
        <v>-0.40000000000000036</v>
      </c>
      <c r="H222" s="52" cm="1">
        <f t="array" ref="H222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222)),""))</f>
        <v>-0.30000000000000071</v>
      </c>
      <c r="I222" s="52" cm="1">
        <f t="array" ref="I222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222)),""))</f>
        <v>-0.20000000000000018</v>
      </c>
      <c r="J222" s="52" cm="1">
        <f t="array" ref="J222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222)),""))</f>
        <v>0.5</v>
      </c>
      <c r="K222" s="52" cm="1">
        <f t="array" ref="K222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222)),""))</f>
        <v>0.39999999999999947</v>
      </c>
      <c r="L222" s="52" cm="1">
        <f t="array" ref="L222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222)),""))</f>
        <v>0.29999999999999982</v>
      </c>
      <c r="M222" s="52" cm="1">
        <f t="array" ref="M222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222)),""))</f>
        <v>0.19999999999999929</v>
      </c>
      <c r="N222" s="52" cm="1">
        <f t="array" ref="N222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222)),""))</f>
        <v>0.19999999999999929</v>
      </c>
      <c r="O222" s="52" cm="1">
        <f t="array" ref="O222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222)),""))</f>
        <v>0.29999999999999982</v>
      </c>
      <c r="P222" s="52" cm="1">
        <f t="array" ref="P222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222)),""))</f>
        <v>0</v>
      </c>
      <c r="Q222" s="52" cm="1">
        <f t="array" ref="Q222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222)),""))</f>
        <v>0</v>
      </c>
      <c r="AJ222" t="str">
        <v>d-11</v>
      </c>
      <c r="AK222">
        <v>-0.79999999999999982</v>
      </c>
      <c r="AP222" t="str">
        <v>d-8</v>
      </c>
      <c r="AQ222">
        <v>-0.89999999999999947</v>
      </c>
      <c r="AU222" t="str" cm="1">
        <f t="array" ref="AU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U222)),""))</f>
        <v/>
      </c>
      <c r="AV222" t="str" cm="1">
        <f t="array" ref="AV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V222)),""))</f>
        <v/>
      </c>
      <c r="AW222" t="str" cm="1">
        <f t="array" ref="AW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W222)),""))</f>
        <v/>
      </c>
      <c r="AX222" t="str" cm="1">
        <f t="array" ref="AX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X222)),""))</f>
        <v/>
      </c>
      <c r="AY222" t="str" cm="1">
        <f t="array" ref="AY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Y222)),""))</f>
        <v/>
      </c>
      <c r="AZ222" t="str" cm="1">
        <f t="array" ref="AZ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AZ222)),""))</f>
        <v/>
      </c>
      <c r="BA222" t="str" cm="1">
        <f t="array" ref="BA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A222)),""))</f>
        <v/>
      </c>
      <c r="BB222" t="str" cm="1">
        <f t="array" ref="BB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B222)),""))</f>
        <v/>
      </c>
      <c r="BC222" t="str" cm="1">
        <f t="array" ref="BC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C222)),""))</f>
        <v/>
      </c>
      <c r="BD222" t="str" cm="1">
        <f t="array" ref="BD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D222)),""))</f>
        <v/>
      </c>
      <c r="BE222" t="str" cm="1">
        <f t="array" ref="BE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E222)),""))</f>
        <v/>
      </c>
      <c r="BF222" t="str" cm="1">
        <f t="array" ref="BF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F222)),""))</f>
        <v/>
      </c>
      <c r="BG222" t="str" cm="1">
        <f t="array" ref="BG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G222)),""))</f>
        <v/>
      </c>
      <c r="BH222" t="str" cm="1">
        <f t="array" ref="BH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H222)),""))</f>
        <v/>
      </c>
      <c r="BI222" t="str" cm="1">
        <f t="array" ref="BI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I222)),""))</f>
        <v/>
      </c>
      <c r="BJ222" t="str" cm="1">
        <f t="array" ref="BJ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J222)),""))</f>
        <v/>
      </c>
      <c r="BK222" t="str" cm="1">
        <f t="array" ref="BK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K222)),""))</f>
        <v/>
      </c>
      <c r="BL222" t="str" cm="1">
        <f t="array" ref="BL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L222)),""))</f>
        <v/>
      </c>
      <c r="BM222" t="str" cm="1">
        <f t="array" ref="BM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M222)),""))</f>
        <v/>
      </c>
      <c r="BN222" t="str" cm="1">
        <f t="array" ref="BN222">IF(COUNTIFS(Calc_Anclaje!$A$5:$A$1058,$B$2,Calc_Anclaje!$H$5:$H$1058,VALUE(SUBSTITUTE($AJ222,"d-","")),Calc_Anclaje!$K$5:$K$1058,"&gt;4",Calc_Anclaje!$K$5:$K$1058,"&lt;=5")&lt;5,"",IFERROR(INDEX(_xlfn._xlws.FILTER(Calc_Anclaje!$O$5:$O$1058,(Calc_Anclaje!$A$5:$A$1058=$B$2)*(Calc_Anclaje!$H$5:$H$1058=VALUE(SUBSTITUTE($AJ222,"d-","")))*(Calc_Anclaje!$K$5:$K$1058&gt;4)*(Calc_Anclaje!$K$5:$K$1058&lt;=5)),COLUMNS($AK222:BN222)),""))</f>
        <v/>
      </c>
    </row>
    <row r="223" spans="1:66">
      <c r="A223" s="52" cm="1">
        <f t="array" ref="A223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223)),""))</f>
        <v>-1.4999999999999996</v>
      </c>
      <c r="B223" s="52" cm="1">
        <f t="array" ref="B223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223)),""))</f>
        <v>-1.4999999999999996</v>
      </c>
      <c r="C223" s="52" cm="1">
        <f t="array" ref="C223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223)),""))</f>
        <v>-1.4999999999999996</v>
      </c>
      <c r="D223" s="52" cm="1">
        <f t="array" ref="D223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223)),""))</f>
        <v>-1.4999999999999996</v>
      </c>
      <c r="E223" s="52" cm="1">
        <f t="array" ref="E223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223)),""))</f>
        <v>-0.89999999999999947</v>
      </c>
      <c r="F223" s="52" cm="1">
        <f t="array" ref="F223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223)),""))</f>
        <v>-0.79999999999999982</v>
      </c>
      <c r="G223" s="52" cm="1">
        <f t="array" ref="G223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223)),""))</f>
        <v>-0.79999999999999982</v>
      </c>
      <c r="H223" s="52" cm="1">
        <f t="array" ref="H223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223)),""))</f>
        <v>-0.39999999999999947</v>
      </c>
      <c r="I223" s="52" cm="1">
        <f t="array" ref="I223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223)),""))</f>
        <v>-0.39999999999999947</v>
      </c>
      <c r="J223" s="52" cm="1">
        <f t="array" ref="J223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223)),""))</f>
        <v>-0.39999999999999947</v>
      </c>
      <c r="K223" s="52" cm="1">
        <f t="array" ref="K223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223)),""))</f>
        <v>-0.5</v>
      </c>
      <c r="L223" s="52" cm="1">
        <f t="array" ref="L223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223)),""))</f>
        <v>-0.5</v>
      </c>
      <c r="M223" s="52" cm="1">
        <f t="array" ref="M223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223)),""))</f>
        <v>-0.19999999999999929</v>
      </c>
      <c r="N223" s="52" cm="1">
        <f t="array" ref="N223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223)),""))</f>
        <v>-0.29999999999999982</v>
      </c>
      <c r="O223" s="52" cm="1">
        <f t="array" ref="O223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223)),""))</f>
        <v>-0.29999999999999982</v>
      </c>
      <c r="P223" s="52" cm="1">
        <f t="array" ref="P223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223)),""))</f>
        <v>0.10000000000000053</v>
      </c>
      <c r="Q223" s="52" cm="1">
        <f t="array" ref="Q223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223)),""))</f>
        <v>0</v>
      </c>
      <c r="AJ223" t="str">
        <v>d-11</v>
      </c>
      <c r="AK223">
        <v>-1.0999999999999996</v>
      </c>
      <c r="AP223" t="str">
        <v>d-7</v>
      </c>
      <c r="AQ223">
        <v>0.10000000000000053</v>
      </c>
      <c r="AU223" t="str" cm="1">
        <f t="array" ref="AU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U223)),""))</f>
        <v/>
      </c>
      <c r="AV223" t="str" cm="1">
        <f t="array" ref="AV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V223)),""))</f>
        <v/>
      </c>
      <c r="AW223" t="str" cm="1">
        <f t="array" ref="AW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W223)),""))</f>
        <v/>
      </c>
      <c r="AX223" t="str" cm="1">
        <f t="array" ref="AX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X223)),""))</f>
        <v/>
      </c>
      <c r="AY223" t="str" cm="1">
        <f t="array" ref="AY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Y223)),""))</f>
        <v/>
      </c>
      <c r="AZ223" t="str" cm="1">
        <f t="array" ref="AZ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AZ223)),""))</f>
        <v/>
      </c>
      <c r="BA223" t="str" cm="1">
        <f t="array" ref="BA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A223)),""))</f>
        <v/>
      </c>
      <c r="BB223" t="str" cm="1">
        <f t="array" ref="BB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B223)),""))</f>
        <v/>
      </c>
      <c r="BC223" t="str" cm="1">
        <f t="array" ref="BC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C223)),""))</f>
        <v/>
      </c>
      <c r="BD223" t="str" cm="1">
        <f t="array" ref="BD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D223)),""))</f>
        <v/>
      </c>
      <c r="BE223" t="str" cm="1">
        <f t="array" ref="BE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E223)),""))</f>
        <v/>
      </c>
      <c r="BF223" t="str" cm="1">
        <f t="array" ref="BF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F223)),""))</f>
        <v/>
      </c>
      <c r="BG223" t="str" cm="1">
        <f t="array" ref="BG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G223)),""))</f>
        <v/>
      </c>
      <c r="BH223" t="str" cm="1">
        <f t="array" ref="BH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H223)),""))</f>
        <v/>
      </c>
      <c r="BI223" t="str" cm="1">
        <f t="array" ref="BI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I223)),""))</f>
        <v/>
      </c>
      <c r="BJ223" t="str" cm="1">
        <f t="array" ref="BJ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J223)),""))</f>
        <v/>
      </c>
      <c r="BK223" t="str" cm="1">
        <f t="array" ref="BK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K223)),""))</f>
        <v/>
      </c>
      <c r="BL223" t="str" cm="1">
        <f t="array" ref="BL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L223)),""))</f>
        <v/>
      </c>
      <c r="BM223" t="str" cm="1">
        <f t="array" ref="BM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M223)),""))</f>
        <v/>
      </c>
      <c r="BN223" t="str" cm="1">
        <f t="array" ref="BN223">IF(COUNTIFS(Calc_Anclaje!$A$5:$A$1058,$B$2,Calc_Anclaje!$H$5:$H$1058,VALUE(SUBSTITUTE($AJ223,"d-","")),Calc_Anclaje!$K$5:$K$1058,"&gt;4",Calc_Anclaje!$K$5:$K$1058,"&lt;=5")&lt;5,"",IFERROR(INDEX(_xlfn._xlws.FILTER(Calc_Anclaje!$O$5:$O$1058,(Calc_Anclaje!$A$5:$A$1058=$B$2)*(Calc_Anclaje!$H$5:$H$1058=VALUE(SUBSTITUTE($AJ223,"d-","")))*(Calc_Anclaje!$K$5:$K$1058&gt;4)*(Calc_Anclaje!$K$5:$K$1058&lt;=5)),COLUMNS($AK223:BN223)),""))</f>
        <v/>
      </c>
    </row>
    <row r="224" spans="1:66">
      <c r="A224" s="52" cm="1">
        <f t="array" ref="A224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224)),""))</f>
        <v>-1.6999999999999997</v>
      </c>
      <c r="B224" s="52" cm="1">
        <f t="array" ref="B224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224)),""))</f>
        <v>-1.6999999999999997</v>
      </c>
      <c r="C224" s="52" cm="1">
        <f t="array" ref="C224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224)),""))</f>
        <v>-1.4</v>
      </c>
      <c r="D224" s="52" cm="1">
        <f t="array" ref="D224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224)),""))</f>
        <v>-1.4</v>
      </c>
      <c r="E224" s="52" cm="1">
        <f t="array" ref="E224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224)),""))</f>
        <v>-1.4</v>
      </c>
      <c r="F224" s="52" cm="1">
        <f t="array" ref="F224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224)),""))</f>
        <v>-1.0999999999999996</v>
      </c>
      <c r="G224" s="52" cm="1">
        <f t="array" ref="G224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224)),""))</f>
        <v>-1.0999999999999996</v>
      </c>
      <c r="H224" s="52" cm="1">
        <f t="array" ref="H224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224)),""))</f>
        <v>-1.0999999999999996</v>
      </c>
      <c r="I224" s="52" cm="1">
        <f t="array" ref="I224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224)),""))</f>
        <v>-1.0999999999999996</v>
      </c>
      <c r="J224" s="52" cm="1">
        <f t="array" ref="J224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224)),""))</f>
        <v>-1.0999999999999996</v>
      </c>
      <c r="K224" s="52" cm="1">
        <f t="array" ref="K224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224)),""))</f>
        <v>-0.79999999999999982</v>
      </c>
      <c r="L224" s="52" cm="1">
        <f t="array" ref="L224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224)),""))</f>
        <v>-0.79999999999999982</v>
      </c>
      <c r="M224" s="52" cm="1">
        <f t="array" ref="M224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224)),""))</f>
        <v>-0.70000000000000018</v>
      </c>
      <c r="N224" s="52" cm="1">
        <f t="array" ref="N224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224)),""))</f>
        <v>-0.5</v>
      </c>
      <c r="O224" s="52" cm="1">
        <f t="array" ref="O224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224)),""))</f>
        <v>-0.39999999999999947</v>
      </c>
      <c r="P224" s="52" cm="1">
        <f t="array" ref="P224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224)),""))</f>
        <v>-0.20000000000000018</v>
      </c>
      <c r="Q224" s="52" cm="1">
        <f t="array" ref="Q224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224)),""))</f>
        <v>-9.9999999999999645E-2</v>
      </c>
      <c r="AJ224" t="str">
        <v>d-11</v>
      </c>
      <c r="AK224">
        <v>-1.6</v>
      </c>
      <c r="AP224" t="str">
        <v>d-7</v>
      </c>
      <c r="AQ224">
        <v>0.5</v>
      </c>
      <c r="AU224" t="str" cm="1">
        <f t="array" ref="AU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U224)),""))</f>
        <v/>
      </c>
      <c r="AV224" t="str" cm="1">
        <f t="array" ref="AV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V224)),""))</f>
        <v/>
      </c>
      <c r="AW224" t="str" cm="1">
        <f t="array" ref="AW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W224)),""))</f>
        <v/>
      </c>
      <c r="AX224" t="str" cm="1">
        <f t="array" ref="AX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X224)),""))</f>
        <v/>
      </c>
      <c r="AY224" t="str" cm="1">
        <f t="array" ref="AY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Y224)),""))</f>
        <v/>
      </c>
      <c r="AZ224" t="str" cm="1">
        <f t="array" ref="AZ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AZ224)),""))</f>
        <v/>
      </c>
      <c r="BA224" t="str" cm="1">
        <f t="array" ref="BA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A224)),""))</f>
        <v/>
      </c>
      <c r="BB224" t="str" cm="1">
        <f t="array" ref="BB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B224)),""))</f>
        <v/>
      </c>
      <c r="BC224" t="str" cm="1">
        <f t="array" ref="BC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C224)),""))</f>
        <v/>
      </c>
      <c r="BD224" t="str" cm="1">
        <f t="array" ref="BD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D224)),""))</f>
        <v/>
      </c>
      <c r="BE224" t="str" cm="1">
        <f t="array" ref="BE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E224)),""))</f>
        <v/>
      </c>
      <c r="BF224" t="str" cm="1">
        <f t="array" ref="BF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F224)),""))</f>
        <v/>
      </c>
      <c r="BG224" t="str" cm="1">
        <f t="array" ref="BG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G224)),""))</f>
        <v/>
      </c>
      <c r="BH224" t="str" cm="1">
        <f t="array" ref="BH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H224)),""))</f>
        <v/>
      </c>
      <c r="BI224" t="str" cm="1">
        <f t="array" ref="BI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I224)),""))</f>
        <v/>
      </c>
      <c r="BJ224" t="str" cm="1">
        <f t="array" ref="BJ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J224)),""))</f>
        <v/>
      </c>
      <c r="BK224" t="str" cm="1">
        <f t="array" ref="BK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K224)),""))</f>
        <v/>
      </c>
      <c r="BL224" t="str" cm="1">
        <f t="array" ref="BL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L224)),""))</f>
        <v/>
      </c>
      <c r="BM224" t="str" cm="1">
        <f t="array" ref="BM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M224)),""))</f>
        <v/>
      </c>
      <c r="BN224" t="str" cm="1">
        <f t="array" ref="BN224">IF(COUNTIFS(Calc_Anclaje!$A$5:$A$1058,$B$2,Calc_Anclaje!$H$5:$H$1058,VALUE(SUBSTITUTE($AJ224,"d-","")),Calc_Anclaje!$K$5:$K$1058,"&gt;4",Calc_Anclaje!$K$5:$K$1058,"&lt;=5")&lt;5,"",IFERROR(INDEX(_xlfn._xlws.FILTER(Calc_Anclaje!$O$5:$O$1058,(Calc_Anclaje!$A$5:$A$1058=$B$2)*(Calc_Anclaje!$H$5:$H$1058=VALUE(SUBSTITUTE($AJ224,"d-","")))*(Calc_Anclaje!$K$5:$K$1058&gt;4)*(Calc_Anclaje!$K$5:$K$1058&lt;=5)),COLUMNS($AK224:BN224)),""))</f>
        <v/>
      </c>
    </row>
    <row r="225" spans="1:66">
      <c r="A225" s="52" cm="1">
        <f t="array" ref="A225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225)),""))</f>
        <v>-1.9</v>
      </c>
      <c r="B225" s="52" cm="1">
        <f t="array" ref="B225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225)),""))</f>
        <v>-1.9</v>
      </c>
      <c r="C225" s="52" cm="1">
        <f t="array" ref="C225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225)),""))</f>
        <v>-1.9</v>
      </c>
      <c r="D225" s="52" cm="1">
        <f t="array" ref="D225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225)),""))</f>
        <v>-1.6</v>
      </c>
      <c r="E225" s="52" cm="1">
        <f t="array" ref="E225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225)),""))</f>
        <v>-1.6</v>
      </c>
      <c r="F225" s="52" cm="1">
        <f t="array" ref="F225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225)),""))</f>
        <v>-1.6</v>
      </c>
      <c r="G225" s="52" cm="1">
        <f t="array" ref="G225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225)),""))</f>
        <v>-1.6</v>
      </c>
      <c r="H225" s="52" cm="1">
        <f t="array" ref="H225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225)),""))</f>
        <v>-1.6</v>
      </c>
      <c r="I225" s="52" cm="1">
        <f t="array" ref="I225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225)),""))</f>
        <v>-1.2999999999999998</v>
      </c>
      <c r="J225" s="52" cm="1">
        <f t="array" ref="J225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225)),""))</f>
        <v>-1.2999999999999998</v>
      </c>
      <c r="K225" s="52" cm="1">
        <f t="array" ref="K225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225)),""))</f>
        <v>-1.2000000000000002</v>
      </c>
      <c r="L225" s="52" cm="1">
        <f t="array" ref="L225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225)),""))</f>
        <v>-1.1000000000000001</v>
      </c>
      <c r="M225" s="52" cm="1">
        <f t="array" ref="M225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225)),""))</f>
        <v>-1</v>
      </c>
      <c r="N225" s="52" cm="1">
        <f t="array" ref="N225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225)),""))</f>
        <v>-0.59999999999999964</v>
      </c>
      <c r="O225" s="52" cm="1">
        <f t="array" ref="O225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225)),""))</f>
        <v>-0.5</v>
      </c>
      <c r="P225" s="52" cm="1">
        <f t="array" ref="P225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225)),""))</f>
        <v>0.20000000000000018</v>
      </c>
      <c r="Q225" s="52" cm="1">
        <f t="array" ref="Q225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225)),""))</f>
        <v>9.9999999999999645E-2</v>
      </c>
      <c r="AJ225" t="str">
        <v>d-11</v>
      </c>
      <c r="AK225">
        <v>-1.4</v>
      </c>
      <c r="AP225" t="str">
        <v>d-7</v>
      </c>
      <c r="AQ225">
        <v>-0.39999999999999947</v>
      </c>
      <c r="AU225" t="str" cm="1">
        <f t="array" ref="AU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U225)),""))</f>
        <v/>
      </c>
      <c r="AV225" t="str" cm="1">
        <f t="array" ref="AV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V225)),""))</f>
        <v/>
      </c>
      <c r="AW225" t="str" cm="1">
        <f t="array" ref="AW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W225)),""))</f>
        <v/>
      </c>
      <c r="AX225" t="str" cm="1">
        <f t="array" ref="AX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X225)),""))</f>
        <v/>
      </c>
      <c r="AY225" t="str" cm="1">
        <f t="array" ref="AY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Y225)),""))</f>
        <v/>
      </c>
      <c r="AZ225" t="str" cm="1">
        <f t="array" ref="AZ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AZ225)),""))</f>
        <v/>
      </c>
      <c r="BA225" t="str" cm="1">
        <f t="array" ref="BA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A225)),""))</f>
        <v/>
      </c>
      <c r="BB225" t="str" cm="1">
        <f t="array" ref="BB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B225)),""))</f>
        <v/>
      </c>
      <c r="BC225" t="str" cm="1">
        <f t="array" ref="BC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C225)),""))</f>
        <v/>
      </c>
      <c r="BD225" t="str" cm="1">
        <f t="array" ref="BD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D225)),""))</f>
        <v/>
      </c>
      <c r="BE225" t="str" cm="1">
        <f t="array" ref="BE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E225)),""))</f>
        <v/>
      </c>
      <c r="BF225" t="str" cm="1">
        <f t="array" ref="BF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F225)),""))</f>
        <v/>
      </c>
      <c r="BG225" t="str" cm="1">
        <f t="array" ref="BG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G225)),""))</f>
        <v/>
      </c>
      <c r="BH225" t="str" cm="1">
        <f t="array" ref="BH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H225)),""))</f>
        <v/>
      </c>
      <c r="BI225" t="str" cm="1">
        <f t="array" ref="BI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I225)),""))</f>
        <v/>
      </c>
      <c r="BJ225" t="str" cm="1">
        <f t="array" ref="BJ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J225)),""))</f>
        <v/>
      </c>
      <c r="BK225" t="str" cm="1">
        <f t="array" ref="BK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K225)),""))</f>
        <v/>
      </c>
      <c r="BL225" t="str" cm="1">
        <f t="array" ref="BL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L225)),""))</f>
        <v/>
      </c>
      <c r="BM225" t="str" cm="1">
        <f t="array" ref="BM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M225)),""))</f>
        <v/>
      </c>
      <c r="BN225" t="str" cm="1">
        <f t="array" ref="BN225">IF(COUNTIFS(Calc_Anclaje!$A$5:$A$1058,$B$2,Calc_Anclaje!$H$5:$H$1058,VALUE(SUBSTITUTE($AJ225,"d-","")),Calc_Anclaje!$K$5:$K$1058,"&gt;4",Calc_Anclaje!$K$5:$K$1058,"&lt;=5")&lt;5,"",IFERROR(INDEX(_xlfn._xlws.FILTER(Calc_Anclaje!$O$5:$O$1058,(Calc_Anclaje!$A$5:$A$1058=$B$2)*(Calc_Anclaje!$H$5:$H$1058=VALUE(SUBSTITUTE($AJ225,"d-","")))*(Calc_Anclaje!$K$5:$K$1058&gt;4)*(Calc_Anclaje!$K$5:$K$1058&lt;=5)),COLUMNS($AK225:BN225)),""))</f>
        <v/>
      </c>
    </row>
    <row r="226" spans="1:66">
      <c r="A226" s="52" cm="1">
        <f t="array" ref="A226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226)),""))</f>
        <v>-1.5</v>
      </c>
      <c r="B226" s="52" cm="1">
        <f t="array" ref="B226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226)),""))</f>
        <v>-1.4</v>
      </c>
      <c r="C226" s="52" cm="1">
        <f t="array" ref="C226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226)),""))</f>
        <v>-1.4</v>
      </c>
      <c r="D226" s="52" cm="1">
        <f t="array" ref="D226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226)),""))</f>
        <v>-1.4</v>
      </c>
      <c r="E226" s="52" cm="1">
        <f t="array" ref="E226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226)),""))</f>
        <v>-1.4</v>
      </c>
      <c r="F226" s="52" cm="1">
        <f t="array" ref="F226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226)),""))</f>
        <v>-1.4</v>
      </c>
      <c r="G226" s="52" cm="1">
        <f t="array" ref="G226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226)),""))</f>
        <v>-1.1000000000000001</v>
      </c>
      <c r="H226" s="52" cm="1">
        <f t="array" ref="H226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226)),""))</f>
        <v>-1.1000000000000001</v>
      </c>
      <c r="I226" s="52" cm="1">
        <f t="array" ref="I226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226)),""))</f>
        <v>-1</v>
      </c>
      <c r="J226" s="52" cm="1">
        <f t="array" ref="J226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226)),""))</f>
        <v>-1</v>
      </c>
      <c r="K226" s="52" cm="1">
        <f t="array" ref="K226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226)),""))</f>
        <v>-0.89999999999999991</v>
      </c>
      <c r="L226" s="52" cm="1">
        <f t="array" ref="L226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226)),""))</f>
        <v>-0.5</v>
      </c>
      <c r="M226" s="52" cm="1">
        <f t="array" ref="M226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226)),""))</f>
        <v>-0.5</v>
      </c>
      <c r="N226" s="52" cm="1">
        <f t="array" ref="N226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226)),""))</f>
        <v>-9.9999999999999645E-2</v>
      </c>
      <c r="O226" s="52" cm="1">
        <f t="array" ref="O226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226)),""))</f>
        <v>-0.20000000000000018</v>
      </c>
      <c r="P226" s="52" cm="1">
        <f t="array" ref="P226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226)),""))</f>
        <v>0.20000000000000018</v>
      </c>
      <c r="Q226" s="52" cm="1">
        <f t="array" ref="Q226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226)),""))</f>
        <v>9.9999999999999645E-2</v>
      </c>
      <c r="AJ226" t="str">
        <v>d-11</v>
      </c>
      <c r="AK226">
        <v>-0.5</v>
      </c>
      <c r="AP226" t="str">
        <v>d-7</v>
      </c>
      <c r="AQ226">
        <v>-1.0999999999999996</v>
      </c>
      <c r="AU226" t="str" cm="1">
        <f t="array" ref="AU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U226)),""))</f>
        <v/>
      </c>
      <c r="AV226" t="str" cm="1">
        <f t="array" ref="AV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V226)),""))</f>
        <v/>
      </c>
      <c r="AW226" t="str" cm="1">
        <f t="array" ref="AW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W226)),""))</f>
        <v/>
      </c>
      <c r="AX226" t="str" cm="1">
        <f t="array" ref="AX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X226)),""))</f>
        <v/>
      </c>
      <c r="AY226" t="str" cm="1">
        <f t="array" ref="AY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Y226)),""))</f>
        <v/>
      </c>
      <c r="AZ226" t="str" cm="1">
        <f t="array" ref="AZ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AZ226)),""))</f>
        <v/>
      </c>
      <c r="BA226" t="str" cm="1">
        <f t="array" ref="BA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A226)),""))</f>
        <v/>
      </c>
      <c r="BB226" t="str" cm="1">
        <f t="array" ref="BB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B226)),""))</f>
        <v/>
      </c>
      <c r="BC226" t="str" cm="1">
        <f t="array" ref="BC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C226)),""))</f>
        <v/>
      </c>
      <c r="BD226" t="str" cm="1">
        <f t="array" ref="BD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D226)),""))</f>
        <v/>
      </c>
      <c r="BE226" t="str" cm="1">
        <f t="array" ref="BE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E226)),""))</f>
        <v/>
      </c>
      <c r="BF226" t="str" cm="1">
        <f t="array" ref="BF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F226)),""))</f>
        <v/>
      </c>
      <c r="BG226" t="str" cm="1">
        <f t="array" ref="BG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G226)),""))</f>
        <v/>
      </c>
      <c r="BH226" t="str" cm="1">
        <f t="array" ref="BH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H226)),""))</f>
        <v/>
      </c>
      <c r="BI226" t="str" cm="1">
        <f t="array" ref="BI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I226)),""))</f>
        <v/>
      </c>
      <c r="BJ226" t="str" cm="1">
        <f t="array" ref="BJ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J226)),""))</f>
        <v/>
      </c>
      <c r="BK226" t="str" cm="1">
        <f t="array" ref="BK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K226)),""))</f>
        <v/>
      </c>
      <c r="BL226" t="str" cm="1">
        <f t="array" ref="BL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L226)),""))</f>
        <v/>
      </c>
      <c r="BM226" t="str" cm="1">
        <f t="array" ref="BM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M226)),""))</f>
        <v/>
      </c>
      <c r="BN226" t="str" cm="1">
        <f t="array" ref="BN226">IF(COUNTIFS(Calc_Anclaje!$A$5:$A$1058,$B$2,Calc_Anclaje!$H$5:$H$1058,VALUE(SUBSTITUTE($AJ226,"d-","")),Calc_Anclaje!$K$5:$K$1058,"&gt;4",Calc_Anclaje!$K$5:$K$1058,"&lt;=5")&lt;5,"",IFERROR(INDEX(_xlfn._xlws.FILTER(Calc_Anclaje!$O$5:$O$1058,(Calc_Anclaje!$A$5:$A$1058=$B$2)*(Calc_Anclaje!$H$5:$H$1058=VALUE(SUBSTITUTE($AJ226,"d-","")))*(Calc_Anclaje!$K$5:$K$1058&gt;4)*(Calc_Anclaje!$K$5:$K$1058&lt;=5)),COLUMNS($AK226:BN226)),""))</f>
        <v/>
      </c>
    </row>
    <row r="227" spans="1:66">
      <c r="A227" s="52" cm="1">
        <f t="array" ref="A227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227)),""))</f>
        <v>-1.1000000000000001</v>
      </c>
      <c r="B227" s="52" cm="1">
        <f t="array" ref="B227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227)),""))</f>
        <v>-1.1000000000000001</v>
      </c>
      <c r="C227" s="52" cm="1">
        <f t="array" ref="C227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227)),""))</f>
        <v>-1.1000000000000001</v>
      </c>
      <c r="D227" s="52" cm="1">
        <f t="array" ref="D227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227)),""))</f>
        <v>-1.1000000000000001</v>
      </c>
      <c r="E227" s="52" cm="1">
        <f t="array" ref="E227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227)),""))</f>
        <v>-1.1000000000000001</v>
      </c>
      <c r="F227" s="52" cm="1">
        <f t="array" ref="F227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227)),""))</f>
        <v>-1.1000000000000001</v>
      </c>
      <c r="G227" s="52" cm="1">
        <f t="array" ref="G227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227)),""))</f>
        <v>-1.1000000000000001</v>
      </c>
      <c r="H227" s="52" cm="1">
        <f t="array" ref="H227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227)),""))</f>
        <v>-0.90000000000000036</v>
      </c>
      <c r="I227" s="52" cm="1">
        <f t="array" ref="I227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227)),""))</f>
        <v>-0.90000000000000036</v>
      </c>
      <c r="J227" s="52" cm="1">
        <f t="array" ref="J227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227)),""))</f>
        <v>-0.90000000000000036</v>
      </c>
      <c r="K227" s="52" cm="1">
        <f t="array" ref="K227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227)),""))</f>
        <v>-0.90000000000000036</v>
      </c>
      <c r="L227" s="52" cm="1">
        <f t="array" ref="L227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227)),""))</f>
        <v>-0.80000000000000027</v>
      </c>
      <c r="M227" s="52" cm="1">
        <f t="array" ref="M227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227)),""))</f>
        <v>-0.70000000000000018</v>
      </c>
      <c r="N227" s="52" cm="1">
        <f t="array" ref="N227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227)),""))</f>
        <v>-0.70000000000000018</v>
      </c>
      <c r="O227" s="52" cm="1">
        <f t="array" ref="O227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227)),""))</f>
        <v>-0.70000000000000018</v>
      </c>
      <c r="P227" s="52" cm="1">
        <f t="array" ref="P227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227)),""))</f>
        <v>-0.30000000000000027</v>
      </c>
      <c r="Q227" s="52" cm="1">
        <f t="array" ref="Q227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227)),""))</f>
        <v>9.9999999999999645E-2</v>
      </c>
      <c r="AJ227" t="str">
        <v>d-11</v>
      </c>
      <c r="AK227">
        <v>-1.1000000000000001</v>
      </c>
      <c r="AP227" t="str">
        <v>d-7</v>
      </c>
      <c r="AQ227">
        <v>-1.2999999999999998</v>
      </c>
      <c r="AU227" t="str" cm="1">
        <f t="array" ref="AU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U227)),""))</f>
        <v/>
      </c>
      <c r="AV227" t="str" cm="1">
        <f t="array" ref="AV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V227)),""))</f>
        <v/>
      </c>
      <c r="AW227" t="str" cm="1">
        <f t="array" ref="AW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W227)),""))</f>
        <v/>
      </c>
      <c r="AX227" t="str" cm="1">
        <f t="array" ref="AX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X227)),""))</f>
        <v/>
      </c>
      <c r="AY227" t="str" cm="1">
        <f t="array" ref="AY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Y227)),""))</f>
        <v/>
      </c>
      <c r="AZ227" t="str" cm="1">
        <f t="array" ref="AZ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AZ227)),""))</f>
        <v/>
      </c>
      <c r="BA227" t="str" cm="1">
        <f t="array" ref="BA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A227)),""))</f>
        <v/>
      </c>
      <c r="BB227" t="str" cm="1">
        <f t="array" ref="BB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B227)),""))</f>
        <v/>
      </c>
      <c r="BC227" t="str" cm="1">
        <f t="array" ref="BC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C227)),""))</f>
        <v/>
      </c>
      <c r="BD227" t="str" cm="1">
        <f t="array" ref="BD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D227)),""))</f>
        <v/>
      </c>
      <c r="BE227" t="str" cm="1">
        <f t="array" ref="BE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E227)),""))</f>
        <v/>
      </c>
      <c r="BF227" t="str" cm="1">
        <f t="array" ref="BF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F227)),""))</f>
        <v/>
      </c>
      <c r="BG227" t="str" cm="1">
        <f t="array" ref="BG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G227)),""))</f>
        <v/>
      </c>
      <c r="BH227" t="str" cm="1">
        <f t="array" ref="BH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H227)),""))</f>
        <v/>
      </c>
      <c r="BI227" t="str" cm="1">
        <f t="array" ref="BI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I227)),""))</f>
        <v/>
      </c>
      <c r="BJ227" t="str" cm="1">
        <f t="array" ref="BJ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J227)),""))</f>
        <v/>
      </c>
      <c r="BK227" t="str" cm="1">
        <f t="array" ref="BK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K227)),""))</f>
        <v/>
      </c>
      <c r="BL227" t="str" cm="1">
        <f t="array" ref="BL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L227)),""))</f>
        <v/>
      </c>
      <c r="BM227" t="str" cm="1">
        <f t="array" ref="BM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M227)),""))</f>
        <v/>
      </c>
      <c r="BN227" t="str" cm="1">
        <f t="array" ref="BN227">IF(COUNTIFS(Calc_Anclaje!$A$5:$A$1058,$B$2,Calc_Anclaje!$H$5:$H$1058,VALUE(SUBSTITUTE($AJ227,"d-","")),Calc_Anclaje!$K$5:$K$1058,"&gt;4",Calc_Anclaje!$K$5:$K$1058,"&lt;=5")&lt;5,"",IFERROR(INDEX(_xlfn._xlws.FILTER(Calc_Anclaje!$O$5:$O$1058,(Calc_Anclaje!$A$5:$A$1058=$B$2)*(Calc_Anclaje!$H$5:$H$1058=VALUE(SUBSTITUTE($AJ227,"d-","")))*(Calc_Anclaje!$K$5:$K$1058&gt;4)*(Calc_Anclaje!$K$5:$K$1058&lt;=5)),COLUMNS($AK227:BN227)),""))</f>
        <v/>
      </c>
    </row>
    <row r="228" spans="1:66">
      <c r="A228" s="52" cm="1">
        <f t="array" ref="A228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228)),""))</f>
        <v>-0.99999999999999956</v>
      </c>
      <c r="B228" s="52" cm="1">
        <f t="array" ref="B228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228)),""))</f>
        <v>-1.0999999999999996</v>
      </c>
      <c r="C228" s="52" cm="1">
        <f t="array" ref="C228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228)),""))</f>
        <v>-1.0999999999999996</v>
      </c>
      <c r="D228" s="52" cm="1">
        <f t="array" ref="D228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228)),""))</f>
        <v>-1.0999999999999996</v>
      </c>
      <c r="E228" s="52" cm="1">
        <f t="array" ref="E228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228)),""))</f>
        <v>-1.0999999999999996</v>
      </c>
      <c r="F228" s="52" cm="1">
        <f t="array" ref="F228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228)),""))</f>
        <v>-1.0999999999999996</v>
      </c>
      <c r="G228" s="52" cm="1">
        <f t="array" ref="G228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228)),""))</f>
        <v>-0.89999999999999947</v>
      </c>
      <c r="H228" s="52" cm="1">
        <f t="array" ref="H228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228)),""))</f>
        <v>-0.89999999999999947</v>
      </c>
      <c r="I228" s="52" cm="1">
        <f t="array" ref="I228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228)),""))</f>
        <v>-0.89999999999999947</v>
      </c>
      <c r="J228" s="52" cm="1">
        <f t="array" ref="J228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228)),""))</f>
        <v>-0.89999999999999947</v>
      </c>
      <c r="K228" s="52" cm="1">
        <f t="array" ref="K228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228)),""))</f>
        <v>-0.69999999999999973</v>
      </c>
      <c r="L228" s="52" cm="1">
        <f t="array" ref="L228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228)),""))</f>
        <v>-0.69999999999999973</v>
      </c>
      <c r="M228" s="52" cm="1">
        <f t="array" ref="M228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228)),""))</f>
        <v>-0.69999999999999973</v>
      </c>
      <c r="N228" s="52" cm="1">
        <f t="array" ref="N228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228)),""))</f>
        <v>-0.59999999999999964</v>
      </c>
      <c r="O228" s="52" cm="1">
        <f t="array" ref="O228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228)),""))</f>
        <v>-0.39999999999999947</v>
      </c>
      <c r="P228" s="52" cm="1">
        <f t="array" ref="P228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228)),""))</f>
        <v>-9.9999999999999645E-2</v>
      </c>
      <c r="Q228" s="52" cm="1">
        <f t="array" ref="Q228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228)),""))</f>
        <v>0</v>
      </c>
      <c r="AJ228" t="str">
        <v>d-11</v>
      </c>
      <c r="AK228">
        <v>-0.39999999999999991</v>
      </c>
      <c r="AP228" t="str">
        <v>d-7</v>
      </c>
      <c r="AQ228">
        <v>-1</v>
      </c>
      <c r="AU228" t="str" cm="1">
        <f t="array" ref="AU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U228)),""))</f>
        <v/>
      </c>
      <c r="AV228" t="str" cm="1">
        <f t="array" ref="AV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V228)),""))</f>
        <v/>
      </c>
      <c r="AW228" t="str" cm="1">
        <f t="array" ref="AW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W228)),""))</f>
        <v/>
      </c>
      <c r="AX228" t="str" cm="1">
        <f t="array" ref="AX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X228)),""))</f>
        <v/>
      </c>
      <c r="AY228" t="str" cm="1">
        <f t="array" ref="AY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Y228)),""))</f>
        <v/>
      </c>
      <c r="AZ228" t="str" cm="1">
        <f t="array" ref="AZ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AZ228)),""))</f>
        <v/>
      </c>
      <c r="BA228" t="str" cm="1">
        <f t="array" ref="BA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A228)),""))</f>
        <v/>
      </c>
      <c r="BB228" t="str" cm="1">
        <f t="array" ref="BB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B228)),""))</f>
        <v/>
      </c>
      <c r="BC228" t="str" cm="1">
        <f t="array" ref="BC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C228)),""))</f>
        <v/>
      </c>
      <c r="BD228" t="str" cm="1">
        <f t="array" ref="BD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D228)),""))</f>
        <v/>
      </c>
      <c r="BE228" t="str" cm="1">
        <f t="array" ref="BE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E228)),""))</f>
        <v/>
      </c>
      <c r="BF228" t="str" cm="1">
        <f t="array" ref="BF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F228)),""))</f>
        <v/>
      </c>
      <c r="BG228" t="str" cm="1">
        <f t="array" ref="BG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G228)),""))</f>
        <v/>
      </c>
      <c r="BH228" t="str" cm="1">
        <f t="array" ref="BH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H228)),""))</f>
        <v/>
      </c>
      <c r="BI228" t="str" cm="1">
        <f t="array" ref="BI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I228)),""))</f>
        <v/>
      </c>
      <c r="BJ228" t="str" cm="1">
        <f t="array" ref="BJ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J228)),""))</f>
        <v/>
      </c>
      <c r="BK228" t="str" cm="1">
        <f t="array" ref="BK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K228)),""))</f>
        <v/>
      </c>
      <c r="BL228" t="str" cm="1">
        <f t="array" ref="BL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L228)),""))</f>
        <v/>
      </c>
      <c r="BM228" t="str" cm="1">
        <f t="array" ref="BM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M228)),""))</f>
        <v/>
      </c>
      <c r="BN228" t="str" cm="1">
        <f t="array" ref="BN228">IF(COUNTIFS(Calc_Anclaje!$A$5:$A$1058,$B$2,Calc_Anclaje!$H$5:$H$1058,VALUE(SUBSTITUTE($AJ228,"d-","")),Calc_Anclaje!$K$5:$K$1058,"&gt;4",Calc_Anclaje!$K$5:$K$1058,"&lt;=5")&lt;5,"",IFERROR(INDEX(_xlfn._xlws.FILTER(Calc_Anclaje!$O$5:$O$1058,(Calc_Anclaje!$A$5:$A$1058=$B$2)*(Calc_Anclaje!$H$5:$H$1058=VALUE(SUBSTITUTE($AJ228,"d-","")))*(Calc_Anclaje!$K$5:$K$1058&gt;4)*(Calc_Anclaje!$K$5:$K$1058&lt;=5)),COLUMNS($AK228:BN228)),""))</f>
        <v/>
      </c>
    </row>
    <row r="229" spans="1:66">
      <c r="A229" s="52" t="str" cm="1">
        <f t="array" ref="A229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229)),""))</f>
        <v/>
      </c>
      <c r="B229" s="52" t="str" cm="1">
        <f t="array" ref="B229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229)),""))</f>
        <v/>
      </c>
      <c r="C229" s="52" t="str" cm="1">
        <f t="array" ref="C229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229)),""))</f>
        <v/>
      </c>
      <c r="D229" s="52" t="str" cm="1">
        <f t="array" ref="D229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229)),""))</f>
        <v/>
      </c>
      <c r="E229" s="52" t="str" cm="1">
        <f t="array" ref="E229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229)),""))</f>
        <v/>
      </c>
      <c r="F229" s="52" t="str" cm="1">
        <f t="array" ref="F229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229)),""))</f>
        <v/>
      </c>
      <c r="G229" s="52" t="str" cm="1">
        <f t="array" ref="G229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229)),""))</f>
        <v/>
      </c>
      <c r="H229" s="52" t="str" cm="1">
        <f t="array" ref="H229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229)),""))</f>
        <v/>
      </c>
      <c r="I229" s="52" t="str" cm="1">
        <f t="array" ref="I229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229)),""))</f>
        <v/>
      </c>
      <c r="J229" s="52" t="str" cm="1">
        <f t="array" ref="J229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229)),""))</f>
        <v/>
      </c>
      <c r="K229" s="52" t="str" cm="1">
        <f t="array" ref="K229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229)),""))</f>
        <v/>
      </c>
      <c r="L229" s="52" t="str" cm="1">
        <f t="array" ref="L229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229)),""))</f>
        <v/>
      </c>
      <c r="M229" s="52" t="str" cm="1">
        <f t="array" ref="M229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229)),""))</f>
        <v/>
      </c>
      <c r="N229" s="52" t="str" cm="1">
        <f t="array" ref="N229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229)),""))</f>
        <v/>
      </c>
      <c r="O229" s="52" t="str" cm="1">
        <f t="array" ref="O229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229)),""))</f>
        <v/>
      </c>
      <c r="P229" s="52" t="str" cm="1">
        <f t="array" ref="P229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229)),""))</f>
        <v/>
      </c>
      <c r="Q229" s="52" t="str" cm="1">
        <f t="array" ref="Q229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229)),""))</f>
        <v/>
      </c>
      <c r="AJ229" t="str">
        <v>d-11</v>
      </c>
      <c r="AK229">
        <v>-0.70000000000000018</v>
      </c>
      <c r="AP229" t="str">
        <v>d-7</v>
      </c>
      <c r="AQ229">
        <v>-0.90000000000000036</v>
      </c>
      <c r="AU229" t="str" cm="1">
        <f t="array" ref="AU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U229)),""))</f>
        <v/>
      </c>
      <c r="AV229" t="str" cm="1">
        <f t="array" ref="AV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V229)),""))</f>
        <v/>
      </c>
      <c r="AW229" t="str" cm="1">
        <f t="array" ref="AW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W229)),""))</f>
        <v/>
      </c>
      <c r="AX229" t="str" cm="1">
        <f t="array" ref="AX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X229)),""))</f>
        <v/>
      </c>
      <c r="AY229" t="str" cm="1">
        <f t="array" ref="AY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Y229)),""))</f>
        <v/>
      </c>
      <c r="AZ229" t="str" cm="1">
        <f t="array" ref="AZ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AZ229)),""))</f>
        <v/>
      </c>
      <c r="BA229" t="str" cm="1">
        <f t="array" ref="BA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A229)),""))</f>
        <v/>
      </c>
      <c r="BB229" t="str" cm="1">
        <f t="array" ref="BB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B229)),""))</f>
        <v/>
      </c>
      <c r="BC229" t="str" cm="1">
        <f t="array" ref="BC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C229)),""))</f>
        <v/>
      </c>
      <c r="BD229" t="str" cm="1">
        <f t="array" ref="BD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D229)),""))</f>
        <v/>
      </c>
      <c r="BE229" t="str" cm="1">
        <f t="array" ref="BE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E229)),""))</f>
        <v/>
      </c>
      <c r="BF229" t="str" cm="1">
        <f t="array" ref="BF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F229)),""))</f>
        <v/>
      </c>
      <c r="BG229" t="str" cm="1">
        <f t="array" ref="BG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G229)),""))</f>
        <v/>
      </c>
      <c r="BH229" t="str" cm="1">
        <f t="array" ref="BH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H229)),""))</f>
        <v/>
      </c>
      <c r="BI229" t="str" cm="1">
        <f t="array" ref="BI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I229)),""))</f>
        <v/>
      </c>
      <c r="BJ229" t="str" cm="1">
        <f t="array" ref="BJ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J229)),""))</f>
        <v/>
      </c>
      <c r="BK229" t="str" cm="1">
        <f t="array" ref="BK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K229)),""))</f>
        <v/>
      </c>
      <c r="BL229" t="str" cm="1">
        <f t="array" ref="BL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L229)),""))</f>
        <v/>
      </c>
      <c r="BM229" t="str" cm="1">
        <f t="array" ref="BM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M229)),""))</f>
        <v/>
      </c>
      <c r="BN229" t="str" cm="1">
        <f t="array" ref="BN229">IF(COUNTIFS(Calc_Anclaje!$A$5:$A$1058,$B$2,Calc_Anclaje!$H$5:$H$1058,VALUE(SUBSTITUTE($AJ229,"d-","")),Calc_Anclaje!$K$5:$K$1058,"&gt;4",Calc_Anclaje!$K$5:$K$1058,"&lt;=5")&lt;5,"",IFERROR(INDEX(_xlfn._xlws.FILTER(Calc_Anclaje!$O$5:$O$1058,(Calc_Anclaje!$A$5:$A$1058=$B$2)*(Calc_Anclaje!$H$5:$H$1058=VALUE(SUBSTITUTE($AJ229,"d-","")))*(Calc_Anclaje!$K$5:$K$1058&gt;4)*(Calc_Anclaje!$K$5:$K$1058&lt;=5)),COLUMNS($AK229:BN229)),""))</f>
        <v/>
      </c>
    </row>
    <row r="230" spans="1:66">
      <c r="A230" s="52" t="str" cm="1">
        <f t="array" ref="A230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230)),""))</f>
        <v/>
      </c>
      <c r="B230" s="52" t="str" cm="1">
        <f t="array" ref="B230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230)),""))</f>
        <v/>
      </c>
      <c r="C230" s="52" t="str" cm="1">
        <f t="array" ref="C230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230)),""))</f>
        <v/>
      </c>
      <c r="D230" s="52" t="str" cm="1">
        <f t="array" ref="D230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230)),""))</f>
        <v/>
      </c>
      <c r="E230" s="52" t="str" cm="1">
        <f t="array" ref="E230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230)),""))</f>
        <v/>
      </c>
      <c r="F230" s="52" t="str" cm="1">
        <f t="array" ref="F230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230)),""))</f>
        <v/>
      </c>
      <c r="G230" s="52" t="str" cm="1">
        <f t="array" ref="G230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230)),""))</f>
        <v/>
      </c>
      <c r="H230" s="52" t="str" cm="1">
        <f t="array" ref="H230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230)),""))</f>
        <v/>
      </c>
      <c r="I230" s="52" t="str" cm="1">
        <f t="array" ref="I230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230)),""))</f>
        <v/>
      </c>
      <c r="J230" s="52" t="str" cm="1">
        <f t="array" ref="J230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230)),""))</f>
        <v/>
      </c>
      <c r="K230" s="52" t="str" cm="1">
        <f t="array" ref="K230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230)),""))</f>
        <v/>
      </c>
      <c r="L230" s="52" t="str" cm="1">
        <f t="array" ref="L230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230)),""))</f>
        <v/>
      </c>
      <c r="M230" s="52" t="str" cm="1">
        <f t="array" ref="M230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230)),""))</f>
        <v/>
      </c>
      <c r="N230" s="52" t="str" cm="1">
        <f t="array" ref="N230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230)),""))</f>
        <v/>
      </c>
      <c r="O230" s="52" t="str" cm="1">
        <f t="array" ref="O230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230)),""))</f>
        <v/>
      </c>
      <c r="P230" s="52" t="str" cm="1">
        <f t="array" ref="P230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230)),""))</f>
        <v/>
      </c>
      <c r="Q230" s="52" t="str" cm="1">
        <f t="array" ref="Q230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230)),""))</f>
        <v/>
      </c>
      <c r="AJ230" t="str">
        <v>d-11</v>
      </c>
      <c r="AK230">
        <v>-1.0999999999999996</v>
      </c>
      <c r="AP230" t="str">
        <v>d-7</v>
      </c>
      <c r="AQ230">
        <v>-0.89999999999999947</v>
      </c>
      <c r="AU230" t="str" cm="1">
        <f t="array" ref="AU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U230)),""))</f>
        <v/>
      </c>
      <c r="AV230" t="str" cm="1">
        <f t="array" ref="AV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V230)),""))</f>
        <v/>
      </c>
      <c r="AW230" t="str" cm="1">
        <f t="array" ref="AW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W230)),""))</f>
        <v/>
      </c>
      <c r="AX230" t="str" cm="1">
        <f t="array" ref="AX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X230)),""))</f>
        <v/>
      </c>
      <c r="AY230" t="str" cm="1">
        <f t="array" ref="AY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Y230)),""))</f>
        <v/>
      </c>
      <c r="AZ230" t="str" cm="1">
        <f t="array" ref="AZ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AZ230)),""))</f>
        <v/>
      </c>
      <c r="BA230" t="str" cm="1">
        <f t="array" ref="BA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A230)),""))</f>
        <v/>
      </c>
      <c r="BB230" t="str" cm="1">
        <f t="array" ref="BB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B230)),""))</f>
        <v/>
      </c>
      <c r="BC230" t="str" cm="1">
        <f t="array" ref="BC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C230)),""))</f>
        <v/>
      </c>
      <c r="BD230" t="str" cm="1">
        <f t="array" ref="BD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D230)),""))</f>
        <v/>
      </c>
      <c r="BE230" t="str" cm="1">
        <f t="array" ref="BE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E230)),""))</f>
        <v/>
      </c>
      <c r="BF230" t="str" cm="1">
        <f t="array" ref="BF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F230)),""))</f>
        <v/>
      </c>
      <c r="BG230" t="str" cm="1">
        <f t="array" ref="BG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G230)),""))</f>
        <v/>
      </c>
      <c r="BH230" t="str" cm="1">
        <f t="array" ref="BH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H230)),""))</f>
        <v/>
      </c>
      <c r="BI230" t="str" cm="1">
        <f t="array" ref="BI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I230)),""))</f>
        <v/>
      </c>
      <c r="BJ230" t="str" cm="1">
        <f t="array" ref="BJ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J230)),""))</f>
        <v/>
      </c>
      <c r="BK230" t="str" cm="1">
        <f t="array" ref="BK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K230)),""))</f>
        <v/>
      </c>
      <c r="BL230" t="str" cm="1">
        <f t="array" ref="BL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L230)),""))</f>
        <v/>
      </c>
      <c r="BM230" t="str" cm="1">
        <f t="array" ref="BM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M230)),""))</f>
        <v/>
      </c>
      <c r="BN230" t="str" cm="1">
        <f t="array" ref="BN230">IF(COUNTIFS(Calc_Anclaje!$A$5:$A$1058,$B$2,Calc_Anclaje!$H$5:$H$1058,VALUE(SUBSTITUTE($AJ230,"d-","")),Calc_Anclaje!$K$5:$K$1058,"&gt;4",Calc_Anclaje!$K$5:$K$1058,"&lt;=5")&lt;5,"",IFERROR(INDEX(_xlfn._xlws.FILTER(Calc_Anclaje!$O$5:$O$1058,(Calc_Anclaje!$A$5:$A$1058=$B$2)*(Calc_Anclaje!$H$5:$H$1058=VALUE(SUBSTITUTE($AJ230,"d-","")))*(Calc_Anclaje!$K$5:$K$1058&gt;4)*(Calc_Anclaje!$K$5:$K$1058&lt;=5)),COLUMNS($AK230:BN230)),""))</f>
        <v/>
      </c>
    </row>
    <row r="231" spans="1:66">
      <c r="A231" s="52" t="str" cm="1">
        <f t="array" ref="A231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231)),""))</f>
        <v/>
      </c>
      <c r="B231" s="52" t="str" cm="1">
        <f t="array" ref="B231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231)),""))</f>
        <v/>
      </c>
      <c r="C231" s="52" t="str" cm="1">
        <f t="array" ref="C231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231)),""))</f>
        <v/>
      </c>
      <c r="D231" s="52" t="str" cm="1">
        <f t="array" ref="D231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231)),""))</f>
        <v/>
      </c>
      <c r="E231" s="52" t="str" cm="1">
        <f t="array" ref="E231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231)),""))</f>
        <v/>
      </c>
      <c r="F231" s="52" t="str" cm="1">
        <f t="array" ref="F231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231)),""))</f>
        <v/>
      </c>
      <c r="G231" s="52" t="str" cm="1">
        <f t="array" ref="G231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231)),""))</f>
        <v/>
      </c>
      <c r="H231" s="52" t="str" cm="1">
        <f t="array" ref="H231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231)),""))</f>
        <v/>
      </c>
      <c r="I231" s="52" t="str" cm="1">
        <f t="array" ref="I231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231)),""))</f>
        <v/>
      </c>
      <c r="J231" s="52" t="str" cm="1">
        <f t="array" ref="J231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231)),""))</f>
        <v/>
      </c>
      <c r="K231" s="52" t="str" cm="1">
        <f t="array" ref="K231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231)),""))</f>
        <v/>
      </c>
      <c r="L231" s="52" t="str" cm="1">
        <f t="array" ref="L231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231)),""))</f>
        <v/>
      </c>
      <c r="M231" s="52" t="str" cm="1">
        <f t="array" ref="M231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231)),""))</f>
        <v/>
      </c>
      <c r="N231" s="52" t="str" cm="1">
        <f t="array" ref="N231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231)),""))</f>
        <v/>
      </c>
      <c r="O231" s="52" t="str" cm="1">
        <f t="array" ref="O231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231)),""))</f>
        <v/>
      </c>
      <c r="P231" s="52" t="str" cm="1">
        <f t="array" ref="P231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231)),""))</f>
        <v/>
      </c>
      <c r="Q231" s="52" t="str" cm="1">
        <f t="array" ref="Q231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231)),""))</f>
        <v/>
      </c>
      <c r="AJ231" t="str">
        <v>d-11</v>
      </c>
      <c r="AK231">
        <v>-0.79999999999999982</v>
      </c>
      <c r="AP231" t="str">
        <v>d-6</v>
      </c>
      <c r="AQ231">
        <v>0.20000000000000018</v>
      </c>
      <c r="AU231" t="str" cm="1">
        <f t="array" ref="AU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U231)),""))</f>
        <v/>
      </c>
      <c r="AV231" t="str" cm="1">
        <f t="array" ref="AV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V231)),""))</f>
        <v/>
      </c>
      <c r="AW231" t="str" cm="1">
        <f t="array" ref="AW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W231)),""))</f>
        <v/>
      </c>
      <c r="AX231" t="str" cm="1">
        <f t="array" ref="AX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X231)),""))</f>
        <v/>
      </c>
      <c r="AY231" t="str" cm="1">
        <f t="array" ref="AY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Y231)),""))</f>
        <v/>
      </c>
      <c r="AZ231" t="str" cm="1">
        <f t="array" ref="AZ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AZ231)),""))</f>
        <v/>
      </c>
      <c r="BA231" t="str" cm="1">
        <f t="array" ref="BA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A231)),""))</f>
        <v/>
      </c>
      <c r="BB231" t="str" cm="1">
        <f t="array" ref="BB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B231)),""))</f>
        <v/>
      </c>
      <c r="BC231" t="str" cm="1">
        <f t="array" ref="BC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C231)),""))</f>
        <v/>
      </c>
      <c r="BD231" t="str" cm="1">
        <f t="array" ref="BD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D231)),""))</f>
        <v/>
      </c>
      <c r="BE231" t="str" cm="1">
        <f t="array" ref="BE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E231)),""))</f>
        <v/>
      </c>
      <c r="BF231" t="str" cm="1">
        <f t="array" ref="BF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F231)),""))</f>
        <v/>
      </c>
      <c r="BG231" t="str" cm="1">
        <f t="array" ref="BG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G231)),""))</f>
        <v/>
      </c>
      <c r="BH231" t="str" cm="1">
        <f t="array" ref="BH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H231)),""))</f>
        <v/>
      </c>
      <c r="BI231" t="str" cm="1">
        <f t="array" ref="BI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I231)),""))</f>
        <v/>
      </c>
      <c r="BJ231" t="str" cm="1">
        <f t="array" ref="BJ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J231)),""))</f>
        <v/>
      </c>
      <c r="BK231" t="str" cm="1">
        <f t="array" ref="BK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K231)),""))</f>
        <v/>
      </c>
      <c r="BL231" t="str" cm="1">
        <f t="array" ref="BL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L231)),""))</f>
        <v/>
      </c>
      <c r="BM231" t="str" cm="1">
        <f t="array" ref="BM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M231)),""))</f>
        <v/>
      </c>
      <c r="BN231" t="str" cm="1">
        <f t="array" ref="BN231">IF(COUNTIFS(Calc_Anclaje!$A$5:$A$1058,$B$2,Calc_Anclaje!$H$5:$H$1058,VALUE(SUBSTITUTE($AJ231,"d-","")),Calc_Anclaje!$K$5:$K$1058,"&gt;4",Calc_Anclaje!$K$5:$K$1058,"&lt;=5")&lt;5,"",IFERROR(INDEX(_xlfn._xlws.FILTER(Calc_Anclaje!$O$5:$O$1058,(Calc_Anclaje!$A$5:$A$1058=$B$2)*(Calc_Anclaje!$H$5:$H$1058=VALUE(SUBSTITUTE($AJ231,"d-","")))*(Calc_Anclaje!$K$5:$K$1058&gt;4)*(Calc_Anclaje!$K$5:$K$1058&lt;=5)),COLUMNS($AK231:BN231)),""))</f>
        <v/>
      </c>
    </row>
    <row r="232" spans="1:66">
      <c r="A232" s="52" t="str" cm="1">
        <f t="array" ref="A232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232)),""))</f>
        <v/>
      </c>
      <c r="B232" s="52" t="str" cm="1">
        <f t="array" ref="B232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232)),""))</f>
        <v/>
      </c>
      <c r="C232" s="52" t="str" cm="1">
        <f t="array" ref="C232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232)),""))</f>
        <v/>
      </c>
      <c r="D232" s="52" t="str" cm="1">
        <f t="array" ref="D232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232)),""))</f>
        <v/>
      </c>
      <c r="E232" s="52" t="str" cm="1">
        <f t="array" ref="E232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232)),""))</f>
        <v/>
      </c>
      <c r="F232" s="52" t="str" cm="1">
        <f t="array" ref="F232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232)),""))</f>
        <v/>
      </c>
      <c r="G232" s="52" t="str" cm="1">
        <f t="array" ref="G232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232)),""))</f>
        <v/>
      </c>
      <c r="H232" s="52" t="str" cm="1">
        <f t="array" ref="H232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232)),""))</f>
        <v/>
      </c>
      <c r="I232" s="52" t="str" cm="1">
        <f t="array" ref="I232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232)),""))</f>
        <v/>
      </c>
      <c r="J232" s="52" t="str" cm="1">
        <f t="array" ref="J232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232)),""))</f>
        <v/>
      </c>
      <c r="K232" s="52" t="str" cm="1">
        <f t="array" ref="K232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232)),""))</f>
        <v/>
      </c>
      <c r="L232" s="52" t="str" cm="1">
        <f t="array" ref="L232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232)),""))</f>
        <v/>
      </c>
      <c r="M232" s="52" t="str" cm="1">
        <f t="array" ref="M232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232)),""))</f>
        <v/>
      </c>
      <c r="N232" s="52" t="str" cm="1">
        <f t="array" ref="N232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232)),""))</f>
        <v/>
      </c>
      <c r="O232" s="52" t="str" cm="1">
        <f t="array" ref="O232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232)),""))</f>
        <v/>
      </c>
      <c r="P232" s="52" t="str" cm="1">
        <f t="array" ref="P232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232)),""))</f>
        <v/>
      </c>
      <c r="Q232" s="52" t="str" cm="1">
        <f t="array" ref="Q232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232)),""))</f>
        <v/>
      </c>
      <c r="AJ232" t="str">
        <v>d-10</v>
      </c>
      <c r="AK232">
        <v>-4.5999999999999996</v>
      </c>
      <c r="AP232" t="str">
        <v>d-6</v>
      </c>
      <c r="AQ232">
        <v>0.39999999999999947</v>
      </c>
      <c r="AU232" t="str" cm="1">
        <f t="array" ref="AU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U232)),""))</f>
        <v/>
      </c>
      <c r="AV232" t="str" cm="1">
        <f t="array" ref="AV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V232)),""))</f>
        <v/>
      </c>
      <c r="AW232" t="str" cm="1">
        <f t="array" ref="AW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W232)),""))</f>
        <v/>
      </c>
      <c r="AX232" t="str" cm="1">
        <f t="array" ref="AX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X232)),""))</f>
        <v/>
      </c>
      <c r="AY232" t="str" cm="1">
        <f t="array" ref="AY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Y232)),""))</f>
        <v/>
      </c>
      <c r="AZ232" t="str" cm="1">
        <f t="array" ref="AZ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AZ232)),""))</f>
        <v/>
      </c>
      <c r="BA232" t="str" cm="1">
        <f t="array" ref="BA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A232)),""))</f>
        <v/>
      </c>
      <c r="BB232" t="str" cm="1">
        <f t="array" ref="BB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B232)),""))</f>
        <v/>
      </c>
      <c r="BC232" t="str" cm="1">
        <f t="array" ref="BC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C232)),""))</f>
        <v/>
      </c>
      <c r="BD232" t="str" cm="1">
        <f t="array" ref="BD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D232)),""))</f>
        <v/>
      </c>
      <c r="BE232" t="str" cm="1">
        <f t="array" ref="BE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E232)),""))</f>
        <v/>
      </c>
      <c r="BF232" t="str" cm="1">
        <f t="array" ref="BF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F232)),""))</f>
        <v/>
      </c>
      <c r="BG232" t="str" cm="1">
        <f t="array" ref="BG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G232)),""))</f>
        <v/>
      </c>
      <c r="BH232" t="str" cm="1">
        <f t="array" ref="BH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H232)),""))</f>
        <v/>
      </c>
      <c r="BI232" t="str" cm="1">
        <f t="array" ref="BI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I232)),""))</f>
        <v/>
      </c>
      <c r="BJ232" t="str" cm="1">
        <f t="array" ref="BJ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J232)),""))</f>
        <v/>
      </c>
      <c r="BK232" t="str" cm="1">
        <f t="array" ref="BK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K232)),""))</f>
        <v/>
      </c>
      <c r="BL232" t="str" cm="1">
        <f t="array" ref="BL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L232)),""))</f>
        <v/>
      </c>
      <c r="BM232" t="str" cm="1">
        <f t="array" ref="BM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M232)),""))</f>
        <v/>
      </c>
      <c r="BN232" t="str" cm="1">
        <f t="array" ref="BN232">IF(COUNTIFS(Calc_Anclaje!$A$5:$A$1058,$B$2,Calc_Anclaje!$H$5:$H$1058,VALUE(SUBSTITUTE($AJ232,"d-","")),Calc_Anclaje!$K$5:$K$1058,"&gt;4",Calc_Anclaje!$K$5:$K$1058,"&lt;=5")&lt;5,"",IFERROR(INDEX(_xlfn._xlws.FILTER(Calc_Anclaje!$O$5:$O$1058,(Calc_Anclaje!$A$5:$A$1058=$B$2)*(Calc_Anclaje!$H$5:$H$1058=VALUE(SUBSTITUTE($AJ232,"d-","")))*(Calc_Anclaje!$K$5:$K$1058&gt;4)*(Calc_Anclaje!$K$5:$K$1058&lt;=5)),COLUMNS($AK232:BN232)),""))</f>
        <v/>
      </c>
    </row>
    <row r="233" spans="1:66">
      <c r="A233" s="52" t="str" cm="1">
        <f t="array" ref="A233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233)),""))</f>
        <v/>
      </c>
      <c r="B233" s="52" t="str" cm="1">
        <f t="array" ref="B233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233)),""))</f>
        <v/>
      </c>
      <c r="C233" s="52" t="str" cm="1">
        <f t="array" ref="C233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233)),""))</f>
        <v/>
      </c>
      <c r="D233" s="52" t="str" cm="1">
        <f t="array" ref="D233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233)),""))</f>
        <v/>
      </c>
      <c r="E233" s="52" t="str" cm="1">
        <f t="array" ref="E233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233)),""))</f>
        <v/>
      </c>
      <c r="F233" s="52" t="str" cm="1">
        <f t="array" ref="F233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233)),""))</f>
        <v/>
      </c>
      <c r="G233" s="52" t="str" cm="1">
        <f t="array" ref="G233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233)),""))</f>
        <v/>
      </c>
      <c r="H233" s="52" t="str" cm="1">
        <f t="array" ref="H233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233)),""))</f>
        <v/>
      </c>
      <c r="I233" s="52" t="str" cm="1">
        <f t="array" ref="I233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233)),""))</f>
        <v/>
      </c>
      <c r="J233" s="52" t="str" cm="1">
        <f t="array" ref="J233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233)),""))</f>
        <v/>
      </c>
      <c r="K233" s="52" t="str" cm="1">
        <f t="array" ref="K233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233)),""))</f>
        <v/>
      </c>
      <c r="L233" s="52" t="str" cm="1">
        <f t="array" ref="L233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233)),""))</f>
        <v/>
      </c>
      <c r="M233" s="52" t="str" cm="1">
        <f t="array" ref="M233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233)),""))</f>
        <v/>
      </c>
      <c r="N233" s="52" t="str" cm="1">
        <f t="array" ref="N233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233)),""))</f>
        <v/>
      </c>
      <c r="O233" s="52" t="str" cm="1">
        <f t="array" ref="O233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233)),""))</f>
        <v/>
      </c>
      <c r="P233" s="52" t="str" cm="1">
        <f t="array" ref="P233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233)),""))</f>
        <v/>
      </c>
      <c r="Q233" s="52" t="str" cm="1">
        <f t="array" ref="Q233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233)),""))</f>
        <v/>
      </c>
      <c r="AJ233" t="str">
        <v>d-10</v>
      </c>
      <c r="AK233">
        <v>-4.2</v>
      </c>
      <c r="AP233" t="str">
        <v>d-6</v>
      </c>
      <c r="AQ233">
        <v>-0.5</v>
      </c>
      <c r="AU233" t="str" cm="1">
        <f t="array" ref="AU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U233)),""))</f>
        <v/>
      </c>
      <c r="AV233" t="str" cm="1">
        <f t="array" ref="AV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V233)),""))</f>
        <v/>
      </c>
      <c r="AW233" t="str" cm="1">
        <f t="array" ref="AW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W233)),""))</f>
        <v/>
      </c>
      <c r="AX233" t="str" cm="1">
        <f t="array" ref="AX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X233)),""))</f>
        <v/>
      </c>
      <c r="AY233" t="str" cm="1">
        <f t="array" ref="AY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Y233)),""))</f>
        <v/>
      </c>
      <c r="AZ233" t="str" cm="1">
        <f t="array" ref="AZ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AZ233)),""))</f>
        <v/>
      </c>
      <c r="BA233" t="str" cm="1">
        <f t="array" ref="BA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A233)),""))</f>
        <v/>
      </c>
      <c r="BB233" t="str" cm="1">
        <f t="array" ref="BB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B233)),""))</f>
        <v/>
      </c>
      <c r="BC233" t="str" cm="1">
        <f t="array" ref="BC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C233)),""))</f>
        <v/>
      </c>
      <c r="BD233" t="str" cm="1">
        <f t="array" ref="BD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D233)),""))</f>
        <v/>
      </c>
      <c r="BE233" t="str" cm="1">
        <f t="array" ref="BE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E233)),""))</f>
        <v/>
      </c>
      <c r="BF233" t="str" cm="1">
        <f t="array" ref="BF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F233)),""))</f>
        <v/>
      </c>
      <c r="BG233" t="str" cm="1">
        <f t="array" ref="BG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G233)),""))</f>
        <v/>
      </c>
      <c r="BH233" t="str" cm="1">
        <f t="array" ref="BH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H233)),""))</f>
        <v/>
      </c>
      <c r="BI233" t="str" cm="1">
        <f t="array" ref="BI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I233)),""))</f>
        <v/>
      </c>
      <c r="BJ233" t="str" cm="1">
        <f t="array" ref="BJ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J233)),""))</f>
        <v/>
      </c>
      <c r="BK233" t="str" cm="1">
        <f t="array" ref="BK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K233)),""))</f>
        <v/>
      </c>
      <c r="BL233" t="str" cm="1">
        <f t="array" ref="BL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L233)),""))</f>
        <v/>
      </c>
      <c r="BM233" t="str" cm="1">
        <f t="array" ref="BM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M233)),""))</f>
        <v/>
      </c>
      <c r="BN233" t="str" cm="1">
        <f t="array" ref="BN233">IF(COUNTIFS(Calc_Anclaje!$A$5:$A$1058,$B$2,Calc_Anclaje!$H$5:$H$1058,VALUE(SUBSTITUTE($AJ233,"d-","")),Calc_Anclaje!$K$5:$K$1058,"&gt;4",Calc_Anclaje!$K$5:$K$1058,"&lt;=5")&lt;5,"",IFERROR(INDEX(_xlfn._xlws.FILTER(Calc_Anclaje!$O$5:$O$1058,(Calc_Anclaje!$A$5:$A$1058=$B$2)*(Calc_Anclaje!$H$5:$H$1058=VALUE(SUBSTITUTE($AJ233,"d-","")))*(Calc_Anclaje!$K$5:$K$1058&gt;4)*(Calc_Anclaje!$K$5:$K$1058&lt;=5)),COLUMNS($AK233:BN233)),""))</f>
        <v/>
      </c>
    </row>
    <row r="234" spans="1:66">
      <c r="A234" s="52" t="str" cm="1">
        <f t="array" ref="A234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234)),""))</f>
        <v/>
      </c>
      <c r="B234" s="52" t="str" cm="1">
        <f t="array" ref="B234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234)),""))</f>
        <v/>
      </c>
      <c r="C234" s="52" t="str" cm="1">
        <f t="array" ref="C234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234)),""))</f>
        <v/>
      </c>
      <c r="D234" s="52" t="str" cm="1">
        <f t="array" ref="D234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234)),""))</f>
        <v/>
      </c>
      <c r="E234" s="52" t="str" cm="1">
        <f t="array" ref="E234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234)),""))</f>
        <v/>
      </c>
      <c r="F234" s="52" t="str" cm="1">
        <f t="array" ref="F234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234)),""))</f>
        <v/>
      </c>
      <c r="G234" s="52" t="str" cm="1">
        <f t="array" ref="G234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234)),""))</f>
        <v/>
      </c>
      <c r="H234" s="52" t="str" cm="1">
        <f t="array" ref="H234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234)),""))</f>
        <v/>
      </c>
      <c r="I234" s="52" t="str" cm="1">
        <f t="array" ref="I234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234)),""))</f>
        <v/>
      </c>
      <c r="J234" s="52" t="str" cm="1">
        <f t="array" ref="J234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234)),""))</f>
        <v/>
      </c>
      <c r="K234" s="52" t="str" cm="1">
        <f t="array" ref="K234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234)),""))</f>
        <v/>
      </c>
      <c r="L234" s="52" t="str" cm="1">
        <f t="array" ref="L234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234)),""))</f>
        <v/>
      </c>
      <c r="M234" s="52" t="str" cm="1">
        <f t="array" ref="M234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234)),""))</f>
        <v/>
      </c>
      <c r="N234" s="52" t="str" cm="1">
        <f t="array" ref="N234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234)),""))</f>
        <v/>
      </c>
      <c r="O234" s="52" t="str" cm="1">
        <f t="array" ref="O234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234)),""))</f>
        <v/>
      </c>
      <c r="P234" s="52" t="str" cm="1">
        <f t="array" ref="P234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234)),""))</f>
        <v/>
      </c>
      <c r="Q234" s="52" t="str" cm="1">
        <f t="array" ref="Q234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234)),""))</f>
        <v/>
      </c>
      <c r="AJ234" t="str">
        <v>d-10</v>
      </c>
      <c r="AK234">
        <v>-2.3000000000000003</v>
      </c>
      <c r="AP234" t="str">
        <v>d-6</v>
      </c>
      <c r="AQ234">
        <v>-0.79999999999999982</v>
      </c>
      <c r="AU234" t="str" cm="1">
        <f t="array" ref="AU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U234)),""))</f>
        <v/>
      </c>
      <c r="AV234" t="str" cm="1">
        <f t="array" ref="AV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V234)),""))</f>
        <v/>
      </c>
      <c r="AW234" t="str" cm="1">
        <f t="array" ref="AW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W234)),""))</f>
        <v/>
      </c>
      <c r="AX234" t="str" cm="1">
        <f t="array" ref="AX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X234)),""))</f>
        <v/>
      </c>
      <c r="AY234" t="str" cm="1">
        <f t="array" ref="AY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Y234)),""))</f>
        <v/>
      </c>
      <c r="AZ234" t="str" cm="1">
        <f t="array" ref="AZ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AZ234)),""))</f>
        <v/>
      </c>
      <c r="BA234" t="str" cm="1">
        <f t="array" ref="BA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A234)),""))</f>
        <v/>
      </c>
      <c r="BB234" t="str" cm="1">
        <f t="array" ref="BB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B234)),""))</f>
        <v/>
      </c>
      <c r="BC234" t="str" cm="1">
        <f t="array" ref="BC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C234)),""))</f>
        <v/>
      </c>
      <c r="BD234" t="str" cm="1">
        <f t="array" ref="BD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D234)),""))</f>
        <v/>
      </c>
      <c r="BE234" t="str" cm="1">
        <f t="array" ref="BE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E234)),""))</f>
        <v/>
      </c>
      <c r="BF234" t="str" cm="1">
        <f t="array" ref="BF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F234)),""))</f>
        <v/>
      </c>
      <c r="BG234" t="str" cm="1">
        <f t="array" ref="BG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G234)),""))</f>
        <v/>
      </c>
      <c r="BH234" t="str" cm="1">
        <f t="array" ref="BH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H234)),""))</f>
        <v/>
      </c>
      <c r="BI234" t="str" cm="1">
        <f t="array" ref="BI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I234)),""))</f>
        <v/>
      </c>
      <c r="BJ234" t="str" cm="1">
        <f t="array" ref="BJ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J234)),""))</f>
        <v/>
      </c>
      <c r="BK234" t="str" cm="1">
        <f t="array" ref="BK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K234)),""))</f>
        <v/>
      </c>
      <c r="BL234" t="str" cm="1">
        <f t="array" ref="BL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L234)),""))</f>
        <v/>
      </c>
      <c r="BM234" t="str" cm="1">
        <f t="array" ref="BM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M234)),""))</f>
        <v/>
      </c>
      <c r="BN234" t="str" cm="1">
        <f t="array" ref="BN234">IF(COUNTIFS(Calc_Anclaje!$A$5:$A$1058,$B$2,Calc_Anclaje!$H$5:$H$1058,VALUE(SUBSTITUTE($AJ234,"d-","")),Calc_Anclaje!$K$5:$K$1058,"&gt;4",Calc_Anclaje!$K$5:$K$1058,"&lt;=5")&lt;5,"",IFERROR(INDEX(_xlfn._xlws.FILTER(Calc_Anclaje!$O$5:$O$1058,(Calc_Anclaje!$A$5:$A$1058=$B$2)*(Calc_Anclaje!$H$5:$H$1058=VALUE(SUBSTITUTE($AJ234,"d-","")))*(Calc_Anclaje!$K$5:$K$1058&gt;4)*(Calc_Anclaje!$K$5:$K$1058&lt;=5)),COLUMNS($AK234:BN234)),""))</f>
        <v/>
      </c>
    </row>
    <row r="235" spans="1:66">
      <c r="A235" s="52" t="str" cm="1">
        <f t="array" ref="A235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235)),""))</f>
        <v/>
      </c>
      <c r="B235" s="52" t="str" cm="1">
        <f t="array" ref="B235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235)),""))</f>
        <v/>
      </c>
      <c r="C235" s="52" t="str" cm="1">
        <f t="array" ref="C235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235)),""))</f>
        <v/>
      </c>
      <c r="D235" s="52" t="str" cm="1">
        <f t="array" ref="D235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235)),""))</f>
        <v/>
      </c>
      <c r="E235" s="52" t="str" cm="1">
        <f t="array" ref="E235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235)),""))</f>
        <v/>
      </c>
      <c r="F235" s="52" t="str" cm="1">
        <f t="array" ref="F235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235)),""))</f>
        <v/>
      </c>
      <c r="G235" s="52" t="str" cm="1">
        <f t="array" ref="G235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235)),""))</f>
        <v/>
      </c>
      <c r="H235" s="52" t="str" cm="1">
        <f t="array" ref="H235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235)),""))</f>
        <v/>
      </c>
      <c r="I235" s="52" t="str" cm="1">
        <f t="array" ref="I235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235)),""))</f>
        <v/>
      </c>
      <c r="J235" s="52" t="str" cm="1">
        <f t="array" ref="J235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235)),""))</f>
        <v/>
      </c>
      <c r="K235" s="52" t="str" cm="1">
        <f t="array" ref="K235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235)),""))</f>
        <v/>
      </c>
      <c r="L235" s="52" t="str" cm="1">
        <f t="array" ref="L235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235)),""))</f>
        <v/>
      </c>
      <c r="M235" s="52" t="str" cm="1">
        <f t="array" ref="M235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235)),""))</f>
        <v/>
      </c>
      <c r="N235" s="52" t="str" cm="1">
        <f t="array" ref="N235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235)),""))</f>
        <v/>
      </c>
      <c r="O235" s="52" t="str" cm="1">
        <f t="array" ref="O235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235)),""))</f>
        <v/>
      </c>
      <c r="P235" s="52" t="str" cm="1">
        <f t="array" ref="P235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235)),""))</f>
        <v/>
      </c>
      <c r="Q235" s="52" t="str" cm="1">
        <f t="array" ref="Q235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235)),""))</f>
        <v/>
      </c>
      <c r="AJ235" t="str">
        <v>d-10</v>
      </c>
      <c r="AK235">
        <v>-1.0999999999999996</v>
      </c>
      <c r="AP235" t="str">
        <v>d-6</v>
      </c>
      <c r="AQ235">
        <v>-1.2000000000000002</v>
      </c>
      <c r="AU235" t="str" cm="1">
        <f t="array" ref="AU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U235)),""))</f>
        <v/>
      </c>
      <c r="AV235" t="str" cm="1">
        <f t="array" ref="AV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V235)),""))</f>
        <v/>
      </c>
      <c r="AW235" t="str" cm="1">
        <f t="array" ref="AW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W235)),""))</f>
        <v/>
      </c>
      <c r="AX235" t="str" cm="1">
        <f t="array" ref="AX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X235)),""))</f>
        <v/>
      </c>
      <c r="AY235" t="str" cm="1">
        <f t="array" ref="AY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Y235)),""))</f>
        <v/>
      </c>
      <c r="AZ235" t="str" cm="1">
        <f t="array" ref="AZ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AZ235)),""))</f>
        <v/>
      </c>
      <c r="BA235" t="str" cm="1">
        <f t="array" ref="BA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A235)),""))</f>
        <v/>
      </c>
      <c r="BB235" t="str" cm="1">
        <f t="array" ref="BB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B235)),""))</f>
        <v/>
      </c>
      <c r="BC235" t="str" cm="1">
        <f t="array" ref="BC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C235)),""))</f>
        <v/>
      </c>
      <c r="BD235" t="str" cm="1">
        <f t="array" ref="BD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D235)),""))</f>
        <v/>
      </c>
      <c r="BE235" t="str" cm="1">
        <f t="array" ref="BE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E235)),""))</f>
        <v/>
      </c>
      <c r="BF235" t="str" cm="1">
        <f t="array" ref="BF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F235)),""))</f>
        <v/>
      </c>
      <c r="BG235" t="str" cm="1">
        <f t="array" ref="BG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G235)),""))</f>
        <v/>
      </c>
      <c r="BH235" t="str" cm="1">
        <f t="array" ref="BH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H235)),""))</f>
        <v/>
      </c>
      <c r="BI235" t="str" cm="1">
        <f t="array" ref="BI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I235)),""))</f>
        <v/>
      </c>
      <c r="BJ235" t="str" cm="1">
        <f t="array" ref="BJ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J235)),""))</f>
        <v/>
      </c>
      <c r="BK235" t="str" cm="1">
        <f t="array" ref="BK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K235)),""))</f>
        <v/>
      </c>
      <c r="BL235" t="str" cm="1">
        <f t="array" ref="BL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L235)),""))</f>
        <v/>
      </c>
      <c r="BM235" t="str" cm="1">
        <f t="array" ref="BM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M235)),""))</f>
        <v/>
      </c>
      <c r="BN235" t="str" cm="1">
        <f t="array" ref="BN235">IF(COUNTIFS(Calc_Anclaje!$A$5:$A$1058,$B$2,Calc_Anclaje!$H$5:$H$1058,VALUE(SUBSTITUTE($AJ235,"d-","")),Calc_Anclaje!$K$5:$K$1058,"&gt;4",Calc_Anclaje!$K$5:$K$1058,"&lt;=5")&lt;5,"",IFERROR(INDEX(_xlfn._xlws.FILTER(Calc_Anclaje!$O$5:$O$1058,(Calc_Anclaje!$A$5:$A$1058=$B$2)*(Calc_Anclaje!$H$5:$H$1058=VALUE(SUBSTITUTE($AJ235,"d-","")))*(Calc_Anclaje!$K$5:$K$1058&gt;4)*(Calc_Anclaje!$K$5:$K$1058&lt;=5)),COLUMNS($AK235:BN235)),""))</f>
        <v/>
      </c>
    </row>
    <row r="236" spans="1:66">
      <c r="A236" s="52" t="str" cm="1">
        <f t="array" ref="A236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236)),""))</f>
        <v/>
      </c>
      <c r="B236" s="52" t="str" cm="1">
        <f t="array" ref="B236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236)),""))</f>
        <v/>
      </c>
      <c r="C236" s="52" t="str" cm="1">
        <f t="array" ref="C236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236)),""))</f>
        <v/>
      </c>
      <c r="D236" s="52" t="str" cm="1">
        <f t="array" ref="D236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236)),""))</f>
        <v/>
      </c>
      <c r="E236" s="52" t="str" cm="1">
        <f t="array" ref="E236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236)),""))</f>
        <v/>
      </c>
      <c r="F236" s="52" t="str" cm="1">
        <f t="array" ref="F236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236)),""))</f>
        <v/>
      </c>
      <c r="G236" s="52" t="str" cm="1">
        <f t="array" ref="G236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236)),""))</f>
        <v/>
      </c>
      <c r="H236" s="52" t="str" cm="1">
        <f t="array" ref="H236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236)),""))</f>
        <v/>
      </c>
      <c r="I236" s="52" t="str" cm="1">
        <f t="array" ref="I236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236)),""))</f>
        <v/>
      </c>
      <c r="J236" s="52" t="str" cm="1">
        <f t="array" ref="J236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236)),""))</f>
        <v/>
      </c>
      <c r="K236" s="52" t="str" cm="1">
        <f t="array" ref="K236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236)),""))</f>
        <v/>
      </c>
      <c r="L236" s="52" t="str" cm="1">
        <f t="array" ref="L236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236)),""))</f>
        <v/>
      </c>
      <c r="M236" s="52" t="str" cm="1">
        <f t="array" ref="M236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236)),""))</f>
        <v/>
      </c>
      <c r="N236" s="52" t="str" cm="1">
        <f t="array" ref="N236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236)),""))</f>
        <v/>
      </c>
      <c r="O236" s="52" t="str" cm="1">
        <f t="array" ref="O236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236)),""))</f>
        <v/>
      </c>
      <c r="P236" s="52" t="str" cm="1">
        <f t="array" ref="P236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236)),""))</f>
        <v/>
      </c>
      <c r="Q236" s="52" t="str" cm="1">
        <f t="array" ref="Q236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236)),""))</f>
        <v/>
      </c>
      <c r="AJ236" t="str">
        <v>d-10</v>
      </c>
      <c r="AK236">
        <v>-0.40000000000000036</v>
      </c>
      <c r="AP236" t="str">
        <v>d-6</v>
      </c>
      <c r="AQ236">
        <v>-0.89999999999999991</v>
      </c>
      <c r="AU236" t="str" cm="1">
        <f t="array" ref="AU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U236)),""))</f>
        <v/>
      </c>
      <c r="AV236" t="str" cm="1">
        <f t="array" ref="AV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V236)),""))</f>
        <v/>
      </c>
      <c r="AW236" t="str" cm="1">
        <f t="array" ref="AW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W236)),""))</f>
        <v/>
      </c>
      <c r="AX236" t="str" cm="1">
        <f t="array" ref="AX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X236)),""))</f>
        <v/>
      </c>
      <c r="AY236" t="str" cm="1">
        <f t="array" ref="AY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Y236)),""))</f>
        <v/>
      </c>
      <c r="AZ236" t="str" cm="1">
        <f t="array" ref="AZ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AZ236)),""))</f>
        <v/>
      </c>
      <c r="BA236" t="str" cm="1">
        <f t="array" ref="BA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A236)),""))</f>
        <v/>
      </c>
      <c r="BB236" t="str" cm="1">
        <f t="array" ref="BB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B236)),""))</f>
        <v/>
      </c>
      <c r="BC236" t="str" cm="1">
        <f t="array" ref="BC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C236)),""))</f>
        <v/>
      </c>
      <c r="BD236" t="str" cm="1">
        <f t="array" ref="BD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D236)),""))</f>
        <v/>
      </c>
      <c r="BE236" t="str" cm="1">
        <f t="array" ref="BE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E236)),""))</f>
        <v/>
      </c>
      <c r="BF236" t="str" cm="1">
        <f t="array" ref="BF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F236)),""))</f>
        <v/>
      </c>
      <c r="BG236" t="str" cm="1">
        <f t="array" ref="BG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G236)),""))</f>
        <v/>
      </c>
      <c r="BH236" t="str" cm="1">
        <f t="array" ref="BH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H236)),""))</f>
        <v/>
      </c>
      <c r="BI236" t="str" cm="1">
        <f t="array" ref="BI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I236)),""))</f>
        <v/>
      </c>
      <c r="BJ236" t="str" cm="1">
        <f t="array" ref="BJ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J236)),""))</f>
        <v/>
      </c>
      <c r="BK236" t="str" cm="1">
        <f t="array" ref="BK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K236)),""))</f>
        <v/>
      </c>
      <c r="BL236" t="str" cm="1">
        <f t="array" ref="BL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L236)),""))</f>
        <v/>
      </c>
      <c r="BM236" t="str" cm="1">
        <f t="array" ref="BM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M236)),""))</f>
        <v/>
      </c>
      <c r="BN236" t="str" cm="1">
        <f t="array" ref="BN236">IF(COUNTIFS(Calc_Anclaje!$A$5:$A$1058,$B$2,Calc_Anclaje!$H$5:$H$1058,VALUE(SUBSTITUTE($AJ236,"d-","")),Calc_Anclaje!$K$5:$K$1058,"&gt;4",Calc_Anclaje!$K$5:$K$1058,"&lt;=5")&lt;5,"",IFERROR(INDEX(_xlfn._xlws.FILTER(Calc_Anclaje!$O$5:$O$1058,(Calc_Anclaje!$A$5:$A$1058=$B$2)*(Calc_Anclaje!$H$5:$H$1058=VALUE(SUBSTITUTE($AJ236,"d-","")))*(Calc_Anclaje!$K$5:$K$1058&gt;4)*(Calc_Anclaje!$K$5:$K$1058&lt;=5)),COLUMNS($AK236:BN236)),""))</f>
        <v/>
      </c>
    </row>
    <row r="237" spans="1:66">
      <c r="A237" s="52" t="str" cm="1">
        <f t="array" ref="A237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237)),""))</f>
        <v/>
      </c>
      <c r="B237" s="52" t="str" cm="1">
        <f t="array" ref="B237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237)),""))</f>
        <v/>
      </c>
      <c r="C237" s="52" t="str" cm="1">
        <f t="array" ref="C237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237)),""))</f>
        <v/>
      </c>
      <c r="D237" s="52" t="str" cm="1">
        <f t="array" ref="D237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237)),""))</f>
        <v/>
      </c>
      <c r="E237" s="52" t="str" cm="1">
        <f t="array" ref="E237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237)),""))</f>
        <v/>
      </c>
      <c r="F237" s="52" t="str" cm="1">
        <f t="array" ref="F237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237)),""))</f>
        <v/>
      </c>
      <c r="G237" s="52" t="str" cm="1">
        <f t="array" ref="G237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237)),""))</f>
        <v/>
      </c>
      <c r="H237" s="52" t="str" cm="1">
        <f t="array" ref="H237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237)),""))</f>
        <v/>
      </c>
      <c r="I237" s="52" t="str" cm="1">
        <f t="array" ref="I237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237)),""))</f>
        <v/>
      </c>
      <c r="J237" s="52" t="str" cm="1">
        <f t="array" ref="J237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237)),""))</f>
        <v/>
      </c>
      <c r="K237" s="52" t="str" cm="1">
        <f t="array" ref="K237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237)),""))</f>
        <v/>
      </c>
      <c r="L237" s="52" t="str" cm="1">
        <f t="array" ref="L237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237)),""))</f>
        <v/>
      </c>
      <c r="M237" s="52" t="str" cm="1">
        <f t="array" ref="M237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237)),""))</f>
        <v/>
      </c>
      <c r="N237" s="52" t="str" cm="1">
        <f t="array" ref="N237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237)),""))</f>
        <v/>
      </c>
      <c r="O237" s="52" t="str" cm="1">
        <f t="array" ref="O237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237)),""))</f>
        <v/>
      </c>
      <c r="P237" s="52" t="str" cm="1">
        <f t="array" ref="P237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237)),""))</f>
        <v/>
      </c>
      <c r="Q237" s="52" t="str" cm="1">
        <f t="array" ref="Q237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237)),""))</f>
        <v/>
      </c>
      <c r="AJ237" t="str">
        <v>d-10</v>
      </c>
      <c r="AK237">
        <v>-0.79999999999999982</v>
      </c>
      <c r="AP237" t="str">
        <v>d-6</v>
      </c>
      <c r="AQ237">
        <v>-0.90000000000000036</v>
      </c>
    </row>
    <row r="238" spans="1:66">
      <c r="A238" s="52" t="str" cm="1">
        <f t="array" ref="A238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238)),""))</f>
        <v/>
      </c>
      <c r="B238" s="52" t="str" cm="1">
        <f t="array" ref="B238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238)),""))</f>
        <v/>
      </c>
      <c r="C238" s="52" t="str" cm="1">
        <f t="array" ref="C238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238)),""))</f>
        <v/>
      </c>
      <c r="D238" s="52" t="str" cm="1">
        <f t="array" ref="D238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238)),""))</f>
        <v/>
      </c>
      <c r="E238" s="52" t="str" cm="1">
        <f t="array" ref="E238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238)),""))</f>
        <v/>
      </c>
      <c r="F238" s="52" t="str" cm="1">
        <f t="array" ref="F238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238)),""))</f>
        <v/>
      </c>
      <c r="G238" s="52" t="str" cm="1">
        <f t="array" ref="G238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238)),""))</f>
        <v/>
      </c>
      <c r="H238" s="52" t="str" cm="1">
        <f t="array" ref="H238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238)),""))</f>
        <v/>
      </c>
      <c r="I238" s="52" t="str" cm="1">
        <f t="array" ref="I238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238)),""))</f>
        <v/>
      </c>
      <c r="J238" s="52" t="str" cm="1">
        <f t="array" ref="J238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238)),""))</f>
        <v/>
      </c>
      <c r="K238" s="52" t="str" cm="1">
        <f t="array" ref="K238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238)),""))</f>
        <v/>
      </c>
      <c r="L238" s="52" t="str" cm="1">
        <f t="array" ref="L238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238)),""))</f>
        <v/>
      </c>
      <c r="M238" s="52" t="str" cm="1">
        <f t="array" ref="M238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238)),""))</f>
        <v/>
      </c>
      <c r="N238" s="52" t="str" cm="1">
        <f t="array" ref="N238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238)),""))</f>
        <v/>
      </c>
      <c r="O238" s="52" t="str" cm="1">
        <f t="array" ref="O238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238)),""))</f>
        <v/>
      </c>
      <c r="P238" s="52" t="str" cm="1">
        <f t="array" ref="P238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238)),""))</f>
        <v/>
      </c>
      <c r="Q238" s="52" t="str" cm="1">
        <f t="array" ref="Q238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238)),""))</f>
        <v/>
      </c>
      <c r="AJ238" t="str">
        <v>d-10</v>
      </c>
      <c r="AK238">
        <v>-1.0999999999999996</v>
      </c>
      <c r="AP238" t="str">
        <v>d-6</v>
      </c>
      <c r="AQ238">
        <v>-0.69999999999999973</v>
      </c>
    </row>
    <row r="239" spans="1:66">
      <c r="A239" s="52" t="str" cm="1">
        <f t="array" ref="A239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239)),""))</f>
        <v/>
      </c>
      <c r="B239" s="52" t="str" cm="1">
        <f t="array" ref="B239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239)),""))</f>
        <v/>
      </c>
      <c r="C239" s="52" t="str" cm="1">
        <f t="array" ref="C239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239)),""))</f>
        <v/>
      </c>
      <c r="D239" s="52" t="str" cm="1">
        <f t="array" ref="D239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239)),""))</f>
        <v/>
      </c>
      <c r="E239" s="52" t="str" cm="1">
        <f t="array" ref="E239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239)),""))</f>
        <v/>
      </c>
      <c r="F239" s="52" t="str" cm="1">
        <f t="array" ref="F239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239)),""))</f>
        <v/>
      </c>
      <c r="G239" s="52" t="str" cm="1">
        <f t="array" ref="G239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239)),""))</f>
        <v/>
      </c>
      <c r="H239" s="52" t="str" cm="1">
        <f t="array" ref="H239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239)),""))</f>
        <v/>
      </c>
      <c r="I239" s="52" t="str" cm="1">
        <f t="array" ref="I239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239)),""))</f>
        <v/>
      </c>
      <c r="J239" s="52" t="str" cm="1">
        <f t="array" ref="J239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239)),""))</f>
        <v/>
      </c>
      <c r="K239" s="52" t="str" cm="1">
        <f t="array" ref="K239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239)),""))</f>
        <v/>
      </c>
      <c r="L239" s="52" t="str" cm="1">
        <f t="array" ref="L239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239)),""))</f>
        <v/>
      </c>
      <c r="M239" s="52" t="str" cm="1">
        <f t="array" ref="M239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239)),""))</f>
        <v/>
      </c>
      <c r="N239" s="52" t="str" cm="1">
        <f t="array" ref="N239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239)),""))</f>
        <v/>
      </c>
      <c r="O239" s="52" t="str" cm="1">
        <f t="array" ref="O239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239)),""))</f>
        <v/>
      </c>
      <c r="P239" s="52" t="str" cm="1">
        <f t="array" ref="P239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239)),""))</f>
        <v/>
      </c>
      <c r="Q239" s="52" t="str" cm="1">
        <f t="array" ref="Q239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239)),""))</f>
        <v/>
      </c>
      <c r="AJ239" t="str">
        <v>d-10</v>
      </c>
      <c r="AK239">
        <v>-1.6</v>
      </c>
      <c r="AP239" t="str">
        <v>d-5</v>
      </c>
      <c r="AQ239">
        <v>0.70000000000000018</v>
      </c>
    </row>
    <row r="240" spans="1:66">
      <c r="A240" s="52" t="str" cm="1">
        <f t="array" ref="A240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240)),""))</f>
        <v/>
      </c>
      <c r="B240" s="52" t="str" cm="1">
        <f t="array" ref="B240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240)),""))</f>
        <v/>
      </c>
      <c r="C240" s="52" t="str" cm="1">
        <f t="array" ref="C240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240)),""))</f>
        <v/>
      </c>
      <c r="D240" s="52" t="str" cm="1">
        <f t="array" ref="D240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240)),""))</f>
        <v/>
      </c>
      <c r="E240" s="52" t="str" cm="1">
        <f t="array" ref="E240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240)),""))</f>
        <v/>
      </c>
      <c r="F240" s="52" t="str" cm="1">
        <f t="array" ref="F240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240)),""))</f>
        <v/>
      </c>
      <c r="G240" s="52" t="str" cm="1">
        <f t="array" ref="G240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240)),""))</f>
        <v/>
      </c>
      <c r="H240" s="52" t="str" cm="1">
        <f t="array" ref="H240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240)),""))</f>
        <v/>
      </c>
      <c r="I240" s="52" t="str" cm="1">
        <f t="array" ref="I240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240)),""))</f>
        <v/>
      </c>
      <c r="J240" s="52" t="str" cm="1">
        <f t="array" ref="J240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240)),""))</f>
        <v/>
      </c>
      <c r="K240" s="52" t="str" cm="1">
        <f t="array" ref="K240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240)),""))</f>
        <v/>
      </c>
      <c r="L240" s="52" t="str" cm="1">
        <f t="array" ref="L240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240)),""))</f>
        <v/>
      </c>
      <c r="M240" s="52" t="str" cm="1">
        <f t="array" ref="M240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240)),""))</f>
        <v/>
      </c>
      <c r="N240" s="52" t="str" cm="1">
        <f t="array" ref="N240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240)),""))</f>
        <v/>
      </c>
      <c r="O240" s="52" t="str" cm="1">
        <f t="array" ref="O240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240)),""))</f>
        <v/>
      </c>
      <c r="P240" s="52" t="str" cm="1">
        <f t="array" ref="P240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240)),""))</f>
        <v/>
      </c>
      <c r="Q240" s="52" t="str" cm="1">
        <f t="array" ref="Q240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240)),""))</f>
        <v/>
      </c>
      <c r="AJ240" t="str">
        <v>d-10</v>
      </c>
      <c r="AK240">
        <v>-1.1000000000000001</v>
      </c>
      <c r="AP240" t="str">
        <v>d-5</v>
      </c>
      <c r="AQ240">
        <v>0.29999999999999982</v>
      </c>
    </row>
    <row r="241" spans="1:66">
      <c r="A241" s="52" t="str" cm="1">
        <f t="array" ref="A241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241)),""))</f>
        <v/>
      </c>
      <c r="B241" s="52" t="str" cm="1">
        <f t="array" ref="B241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241)),""))</f>
        <v/>
      </c>
      <c r="C241" s="52" t="str" cm="1">
        <f t="array" ref="C241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241)),""))</f>
        <v/>
      </c>
      <c r="D241" s="52" t="str" cm="1">
        <f t="array" ref="D241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241)),""))</f>
        <v/>
      </c>
      <c r="E241" s="52" t="str" cm="1">
        <f t="array" ref="E241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241)),""))</f>
        <v/>
      </c>
      <c r="F241" s="52" t="str" cm="1">
        <f t="array" ref="F241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241)),""))</f>
        <v/>
      </c>
      <c r="G241" s="52" t="str" cm="1">
        <f t="array" ref="G241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241)),""))</f>
        <v/>
      </c>
      <c r="H241" s="52" t="str" cm="1">
        <f t="array" ref="H241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241)),""))</f>
        <v/>
      </c>
      <c r="I241" s="52" t="str" cm="1">
        <f t="array" ref="I241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241)),""))</f>
        <v/>
      </c>
      <c r="J241" s="52" t="str" cm="1">
        <f t="array" ref="J241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241)),""))</f>
        <v/>
      </c>
      <c r="K241" s="52" t="str" cm="1">
        <f t="array" ref="K241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241)),""))</f>
        <v/>
      </c>
      <c r="L241" s="52" t="str" cm="1">
        <f t="array" ref="L241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241)),""))</f>
        <v/>
      </c>
      <c r="M241" s="52" t="str" cm="1">
        <f t="array" ref="M241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241)),""))</f>
        <v/>
      </c>
      <c r="N241" s="52" t="str" cm="1">
        <f t="array" ref="N241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241)),""))</f>
        <v/>
      </c>
      <c r="O241" s="52" t="str" cm="1">
        <f t="array" ref="O241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241)),""))</f>
        <v/>
      </c>
      <c r="P241" s="52" t="str" cm="1">
        <f t="array" ref="P241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241)),""))</f>
        <v/>
      </c>
      <c r="Q241" s="52" t="str" cm="1">
        <f t="array" ref="Q241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241)),""))</f>
        <v/>
      </c>
      <c r="AJ241" t="str">
        <v>d-10</v>
      </c>
      <c r="AK241">
        <v>-0.5</v>
      </c>
      <c r="AP241" t="str">
        <v>d-5</v>
      </c>
      <c r="AQ241">
        <v>-0.5</v>
      </c>
    </row>
    <row r="242" spans="1:66">
      <c r="A242" s="52" t="str" cm="1">
        <f t="array" ref="A242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242)),""))</f>
        <v/>
      </c>
      <c r="B242" s="52" t="str" cm="1">
        <f t="array" ref="B242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242)),""))</f>
        <v/>
      </c>
      <c r="C242" s="52" t="str" cm="1">
        <f t="array" ref="C242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242)),""))</f>
        <v/>
      </c>
      <c r="D242" s="52" t="str" cm="1">
        <f t="array" ref="D242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242)),""))</f>
        <v/>
      </c>
      <c r="E242" s="52" t="str" cm="1">
        <f t="array" ref="E242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242)),""))</f>
        <v/>
      </c>
      <c r="F242" s="52" t="str" cm="1">
        <f t="array" ref="F242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242)),""))</f>
        <v/>
      </c>
      <c r="G242" s="52" t="str" cm="1">
        <f t="array" ref="G242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242)),""))</f>
        <v/>
      </c>
      <c r="H242" s="52" t="str" cm="1">
        <f t="array" ref="H242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242)),""))</f>
        <v/>
      </c>
      <c r="I242" s="52" t="str" cm="1">
        <f t="array" ref="I242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242)),""))</f>
        <v/>
      </c>
      <c r="J242" s="52" t="str" cm="1">
        <f t="array" ref="J242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242)),""))</f>
        <v/>
      </c>
      <c r="K242" s="52" t="str" cm="1">
        <f t="array" ref="K242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242)),""))</f>
        <v/>
      </c>
      <c r="L242" s="52" t="str" cm="1">
        <f t="array" ref="L242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242)),""))</f>
        <v/>
      </c>
      <c r="M242" s="52" t="str" cm="1">
        <f t="array" ref="M242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242)),""))</f>
        <v/>
      </c>
      <c r="N242" s="52" t="str" cm="1">
        <f t="array" ref="N242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242)),""))</f>
        <v/>
      </c>
      <c r="O242" s="52" t="str" cm="1">
        <f t="array" ref="O242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242)),""))</f>
        <v/>
      </c>
      <c r="P242" s="52" t="str" cm="1">
        <f t="array" ref="P242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242)),""))</f>
        <v/>
      </c>
      <c r="Q242" s="52" t="str" cm="1">
        <f t="array" ref="Q242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242)),""))</f>
        <v/>
      </c>
      <c r="AJ242" t="str">
        <v>d-10</v>
      </c>
      <c r="AK242">
        <v>-1.1000000000000001</v>
      </c>
      <c r="AP242" t="str">
        <v>d-5</v>
      </c>
      <c r="AQ242">
        <v>-0.79999999999999982</v>
      </c>
    </row>
    <row r="243" spans="1:66">
      <c r="A243" s="52" t="str" cm="1">
        <f t="array" ref="A243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243)),""))</f>
        <v/>
      </c>
      <c r="B243" s="52" t="str" cm="1">
        <f t="array" ref="B243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243)),""))</f>
        <v/>
      </c>
      <c r="C243" s="52" t="str" cm="1">
        <f t="array" ref="C243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243)),""))</f>
        <v/>
      </c>
      <c r="D243" s="52" t="str" cm="1">
        <f t="array" ref="D243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243)),""))</f>
        <v/>
      </c>
      <c r="E243" s="52" t="str" cm="1">
        <f t="array" ref="E243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243)),""))</f>
        <v/>
      </c>
      <c r="F243" s="52" t="str" cm="1">
        <f t="array" ref="F243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243)),""))</f>
        <v/>
      </c>
      <c r="G243" s="52" t="str" cm="1">
        <f t="array" ref="G243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243)),""))</f>
        <v/>
      </c>
      <c r="H243" s="52" t="str" cm="1">
        <f t="array" ref="H243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243)),""))</f>
        <v/>
      </c>
      <c r="I243" s="52" t="str" cm="1">
        <f t="array" ref="I243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243)),""))</f>
        <v/>
      </c>
      <c r="J243" s="52" t="str" cm="1">
        <f t="array" ref="J243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243)),""))</f>
        <v/>
      </c>
      <c r="K243" s="52" t="str" cm="1">
        <f t="array" ref="K243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243)),""))</f>
        <v/>
      </c>
      <c r="L243" s="52" t="str" cm="1">
        <f t="array" ref="L243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243)),""))</f>
        <v/>
      </c>
      <c r="M243" s="52" t="str" cm="1">
        <f t="array" ref="M243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243)),""))</f>
        <v/>
      </c>
      <c r="N243" s="52" t="str" cm="1">
        <f t="array" ref="N243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243)),""))</f>
        <v/>
      </c>
      <c r="O243" s="52" t="str" cm="1">
        <f t="array" ref="O243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243)),""))</f>
        <v/>
      </c>
      <c r="P243" s="52" t="str" cm="1">
        <f t="array" ref="P243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243)),""))</f>
        <v/>
      </c>
      <c r="Q243" s="52" t="str" cm="1">
        <f t="array" ref="Q243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243)),""))</f>
        <v/>
      </c>
      <c r="AJ243" t="str">
        <v>d-10</v>
      </c>
      <c r="AK243">
        <v>-0.5</v>
      </c>
      <c r="AP243" t="str">
        <v>d-5</v>
      </c>
      <c r="AQ243">
        <v>-1.1000000000000001</v>
      </c>
    </row>
    <row r="244" spans="1:66">
      <c r="A244" s="52" t="str" cm="1">
        <f t="array" ref="A244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244)),""))</f>
        <v/>
      </c>
      <c r="B244" s="52" t="str" cm="1">
        <f t="array" ref="B244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244)),""))</f>
        <v/>
      </c>
      <c r="C244" s="52" t="str" cm="1">
        <f t="array" ref="C244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244)),""))</f>
        <v/>
      </c>
      <c r="D244" s="52" t="str" cm="1">
        <f t="array" ref="D244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244)),""))</f>
        <v/>
      </c>
      <c r="E244" s="52" t="str" cm="1">
        <f t="array" ref="E244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244)),""))</f>
        <v/>
      </c>
      <c r="F244" s="52" t="str" cm="1">
        <f t="array" ref="F244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244)),""))</f>
        <v/>
      </c>
      <c r="G244" s="52" t="str" cm="1">
        <f t="array" ref="G244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244)),""))</f>
        <v/>
      </c>
      <c r="H244" s="52" t="str" cm="1">
        <f t="array" ref="H244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244)),""))</f>
        <v/>
      </c>
      <c r="I244" s="52" t="str" cm="1">
        <f t="array" ref="I244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244)),""))</f>
        <v/>
      </c>
      <c r="J244" s="52" t="str" cm="1">
        <f t="array" ref="J244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244)),""))</f>
        <v/>
      </c>
      <c r="K244" s="52" t="str" cm="1">
        <f t="array" ref="K244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244)),""))</f>
        <v/>
      </c>
      <c r="L244" s="52" t="str" cm="1">
        <f t="array" ref="L244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244)),""))</f>
        <v/>
      </c>
      <c r="M244" s="52" t="str" cm="1">
        <f t="array" ref="M244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244)),""))</f>
        <v/>
      </c>
      <c r="N244" s="52" t="str" cm="1">
        <f t="array" ref="N244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244)),""))</f>
        <v/>
      </c>
      <c r="O244" s="52" t="str" cm="1">
        <f t="array" ref="O244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244)),""))</f>
        <v/>
      </c>
      <c r="P244" s="52" t="str" cm="1">
        <f t="array" ref="P244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244)),""))</f>
        <v/>
      </c>
      <c r="Q244" s="52" t="str" cm="1">
        <f t="array" ref="Q244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244)),""))</f>
        <v/>
      </c>
      <c r="AJ244" t="str">
        <v>d-10</v>
      </c>
      <c r="AK244">
        <v>-0.70000000000000018</v>
      </c>
      <c r="AP244" t="str">
        <v>d-5</v>
      </c>
      <c r="AQ244">
        <v>-0.5</v>
      </c>
    </row>
    <row r="245" spans="1:66">
      <c r="A245" s="52" t="str" cm="1">
        <f t="array" ref="A245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245)),""))</f>
        <v/>
      </c>
      <c r="B245" s="52" t="str" cm="1">
        <f t="array" ref="B245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245)),""))</f>
        <v/>
      </c>
      <c r="C245" s="52" t="str" cm="1">
        <f t="array" ref="C245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245)),""))</f>
        <v/>
      </c>
      <c r="D245" s="52" t="str" cm="1">
        <f t="array" ref="D245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245)),""))</f>
        <v/>
      </c>
      <c r="E245" s="52" t="str" cm="1">
        <f t="array" ref="E245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245)),""))</f>
        <v/>
      </c>
      <c r="F245" s="52" t="str" cm="1">
        <f t="array" ref="F245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245)),""))</f>
        <v/>
      </c>
      <c r="G245" s="52" t="str" cm="1">
        <f t="array" ref="G245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245)),""))</f>
        <v/>
      </c>
      <c r="H245" s="52" t="str" cm="1">
        <f t="array" ref="H245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245)),""))</f>
        <v/>
      </c>
      <c r="I245" s="52" t="str" cm="1">
        <f t="array" ref="I245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245)),""))</f>
        <v/>
      </c>
      <c r="J245" s="52" t="str" cm="1">
        <f t="array" ref="J245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245)),""))</f>
        <v/>
      </c>
      <c r="K245" s="52" t="str" cm="1">
        <f t="array" ref="K245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245)),""))</f>
        <v/>
      </c>
      <c r="L245" s="52" t="str" cm="1">
        <f t="array" ref="L245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245)),""))</f>
        <v/>
      </c>
      <c r="M245" s="52" t="str" cm="1">
        <f t="array" ref="M245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245)),""))</f>
        <v/>
      </c>
      <c r="N245" s="52" t="str" cm="1">
        <f t="array" ref="N245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245)),""))</f>
        <v/>
      </c>
      <c r="O245" s="52" t="str" cm="1">
        <f t="array" ref="O245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245)),""))</f>
        <v/>
      </c>
      <c r="P245" s="52" t="str" cm="1">
        <f t="array" ref="P245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245)),""))</f>
        <v/>
      </c>
      <c r="Q245" s="52" t="str" cm="1">
        <f t="array" ref="Q245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245)),""))</f>
        <v/>
      </c>
      <c r="AJ245" t="str">
        <v>d-10</v>
      </c>
      <c r="AK245">
        <v>-0.89999999999999947</v>
      </c>
      <c r="AP245" t="str">
        <v>d-5</v>
      </c>
      <c r="AQ245">
        <v>-0.80000000000000027</v>
      </c>
    </row>
    <row r="246" spans="1:66">
      <c r="A246" s="52" t="str" cm="1">
        <f t="array" ref="A246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246)),""))</f>
        <v/>
      </c>
      <c r="B246" s="52" t="str" cm="1">
        <f t="array" ref="B246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246)),""))</f>
        <v/>
      </c>
      <c r="C246" s="52" t="str" cm="1">
        <f t="array" ref="C246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246)),""))</f>
        <v/>
      </c>
      <c r="D246" s="52" t="str" cm="1">
        <f t="array" ref="D246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246)),""))</f>
        <v/>
      </c>
      <c r="E246" s="52" t="str" cm="1">
        <f t="array" ref="E246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246)),""))</f>
        <v/>
      </c>
      <c r="F246" s="52" t="str" cm="1">
        <f t="array" ref="F246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246)),""))</f>
        <v/>
      </c>
      <c r="G246" s="52" t="str" cm="1">
        <f t="array" ref="G246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246)),""))</f>
        <v/>
      </c>
      <c r="H246" s="52" t="str" cm="1">
        <f t="array" ref="H246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246)),""))</f>
        <v/>
      </c>
      <c r="I246" s="52" t="str" cm="1">
        <f t="array" ref="I246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246)),""))</f>
        <v/>
      </c>
      <c r="J246" s="52" t="str" cm="1">
        <f t="array" ref="J246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246)),""))</f>
        <v/>
      </c>
      <c r="K246" s="52" t="str" cm="1">
        <f t="array" ref="K246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246)),""))</f>
        <v/>
      </c>
      <c r="L246" s="52" t="str" cm="1">
        <f t="array" ref="L246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246)),""))</f>
        <v/>
      </c>
      <c r="M246" s="52" t="str" cm="1">
        <f t="array" ref="M246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246)),""))</f>
        <v/>
      </c>
      <c r="N246" s="52" t="str" cm="1">
        <f t="array" ref="N246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246)),""))</f>
        <v/>
      </c>
      <c r="O246" s="52" t="str" cm="1">
        <f t="array" ref="O246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246)),""))</f>
        <v/>
      </c>
      <c r="P246" s="52" t="str" cm="1">
        <f t="array" ref="P246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246)),""))</f>
        <v/>
      </c>
      <c r="Q246" s="52" t="str" cm="1">
        <f t="array" ref="Q246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246)),""))</f>
        <v/>
      </c>
      <c r="AJ246" t="str">
        <v>d-10</v>
      </c>
      <c r="AK246">
        <v>-0.79999999999999982</v>
      </c>
      <c r="AP246" t="str">
        <v>d-5</v>
      </c>
      <c r="AQ246">
        <v>-0.69999999999999973</v>
      </c>
    </row>
    <row r="247" spans="1:66">
      <c r="A247" s="52" t="str" cm="1">
        <f t="array" ref="A247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247)),""))</f>
        <v/>
      </c>
      <c r="B247" s="52" t="str" cm="1">
        <f t="array" ref="B247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247)),""))</f>
        <v/>
      </c>
      <c r="C247" s="52" t="str" cm="1">
        <f t="array" ref="C247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247)),""))</f>
        <v/>
      </c>
      <c r="D247" s="52" t="str" cm="1">
        <f t="array" ref="D247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247)),""))</f>
        <v/>
      </c>
      <c r="E247" s="52" t="str" cm="1">
        <f t="array" ref="E247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247)),""))</f>
        <v/>
      </c>
      <c r="F247" s="52" t="str" cm="1">
        <f t="array" ref="F247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247)),""))</f>
        <v/>
      </c>
      <c r="G247" s="52" t="str" cm="1">
        <f t="array" ref="G247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247)),""))</f>
        <v/>
      </c>
      <c r="H247" s="52" t="str" cm="1">
        <f t="array" ref="H247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247)),""))</f>
        <v/>
      </c>
      <c r="I247" s="52" t="str" cm="1">
        <f t="array" ref="I247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247)),""))</f>
        <v/>
      </c>
      <c r="J247" s="52" t="str" cm="1">
        <f t="array" ref="J247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247)),""))</f>
        <v/>
      </c>
      <c r="K247" s="52" t="str" cm="1">
        <f t="array" ref="K247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247)),""))</f>
        <v/>
      </c>
      <c r="L247" s="52" t="str" cm="1">
        <f t="array" ref="L247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247)),""))</f>
        <v/>
      </c>
      <c r="M247" s="52" t="str" cm="1">
        <f t="array" ref="M247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247)),""))</f>
        <v/>
      </c>
      <c r="N247" s="52" t="str" cm="1">
        <f t="array" ref="N247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247)),""))</f>
        <v/>
      </c>
      <c r="O247" s="52" t="str" cm="1">
        <f t="array" ref="O247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247)),""))</f>
        <v/>
      </c>
      <c r="P247" s="52" t="str" cm="1">
        <f t="array" ref="P247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247)),""))</f>
        <v/>
      </c>
      <c r="Q247" s="52" t="str" cm="1">
        <f t="array" ref="Q247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247)),""))</f>
        <v/>
      </c>
      <c r="AJ247" t="str">
        <v>d-9</v>
      </c>
      <c r="AK247">
        <v>-5.3</v>
      </c>
      <c r="AP247" t="str">
        <v>d-4</v>
      </c>
      <c r="AQ247">
        <v>0.70000000000000018</v>
      </c>
    </row>
    <row r="248" spans="1:66">
      <c r="A248" s="52" t="str" cm="1">
        <f t="array" ref="A248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248)),""))</f>
        <v/>
      </c>
      <c r="B248" s="52" t="str" cm="1">
        <f t="array" ref="B248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248)),""))</f>
        <v/>
      </c>
      <c r="C248" s="52" t="str" cm="1">
        <f t="array" ref="C248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248)),""))</f>
        <v/>
      </c>
      <c r="D248" s="52" t="str" cm="1">
        <f t="array" ref="D248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248)),""))</f>
        <v/>
      </c>
      <c r="E248" s="52" t="str" cm="1">
        <f t="array" ref="E248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248)),""))</f>
        <v/>
      </c>
      <c r="F248" s="52" t="str" cm="1">
        <f t="array" ref="F248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248)),""))</f>
        <v/>
      </c>
      <c r="G248" s="52" t="str" cm="1">
        <f t="array" ref="G248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248)),""))</f>
        <v/>
      </c>
      <c r="H248" s="52" t="str" cm="1">
        <f t="array" ref="H248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248)),""))</f>
        <v/>
      </c>
      <c r="I248" s="52" t="str" cm="1">
        <f t="array" ref="I248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248)),""))</f>
        <v/>
      </c>
      <c r="J248" s="52" t="str" cm="1">
        <f t="array" ref="J248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248)),""))</f>
        <v/>
      </c>
      <c r="K248" s="52" t="str" cm="1">
        <f t="array" ref="K248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248)),""))</f>
        <v/>
      </c>
      <c r="L248" s="52" t="str" cm="1">
        <f t="array" ref="L248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248)),""))</f>
        <v/>
      </c>
      <c r="M248" s="52" t="str" cm="1">
        <f t="array" ref="M248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248)),""))</f>
        <v/>
      </c>
      <c r="N248" s="52" t="str" cm="1">
        <f t="array" ref="N248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248)),""))</f>
        <v/>
      </c>
      <c r="O248" s="52" t="str" cm="1">
        <f t="array" ref="O248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248)),""))</f>
        <v/>
      </c>
      <c r="P248" s="52" t="str" cm="1">
        <f t="array" ref="P248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248)),""))</f>
        <v/>
      </c>
      <c r="Q248" s="52" t="str" cm="1">
        <f t="array" ref="Q248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248)),""))</f>
        <v/>
      </c>
      <c r="AJ248" t="str">
        <v>d-9</v>
      </c>
      <c r="AK248">
        <v>-4.7</v>
      </c>
      <c r="AP248" t="str">
        <v>d-4</v>
      </c>
      <c r="AQ248">
        <v>0.19999999999999929</v>
      </c>
    </row>
    <row r="249" spans="1:66">
      <c r="A249" s="52" t="str" cm="1">
        <f t="array" ref="A249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249)),""))</f>
        <v/>
      </c>
      <c r="B249" s="52" t="str" cm="1">
        <f t="array" ref="B249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249)),""))</f>
        <v/>
      </c>
      <c r="C249" s="52" t="str" cm="1">
        <f t="array" ref="C249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249)),""))</f>
        <v/>
      </c>
      <c r="D249" s="52" t="str" cm="1">
        <f t="array" ref="D249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249)),""))</f>
        <v/>
      </c>
      <c r="E249" s="52" t="str" cm="1">
        <f t="array" ref="E249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249)),""))</f>
        <v/>
      </c>
      <c r="F249" s="52" t="str" cm="1">
        <f t="array" ref="F249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249)),""))</f>
        <v/>
      </c>
      <c r="G249" s="52" t="str" cm="1">
        <f t="array" ref="G249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249)),""))</f>
        <v/>
      </c>
      <c r="H249" s="52" t="str" cm="1">
        <f t="array" ref="H249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249)),""))</f>
        <v/>
      </c>
      <c r="I249" s="52" t="str" cm="1">
        <f t="array" ref="I249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249)),""))</f>
        <v/>
      </c>
      <c r="J249" s="52" t="str" cm="1">
        <f t="array" ref="J249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249)),""))</f>
        <v/>
      </c>
      <c r="K249" s="52" t="str" cm="1">
        <f t="array" ref="K249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249)),""))</f>
        <v/>
      </c>
      <c r="L249" s="52" t="str" cm="1">
        <f t="array" ref="L249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249)),""))</f>
        <v/>
      </c>
      <c r="M249" s="52" t="str" cm="1">
        <f t="array" ref="M249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249)),""))</f>
        <v/>
      </c>
      <c r="N249" s="52" t="str" cm="1">
        <f t="array" ref="N249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249)),""))</f>
        <v/>
      </c>
      <c r="O249" s="52" t="str" cm="1">
        <f t="array" ref="O249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249)),""))</f>
        <v/>
      </c>
      <c r="P249" s="52" t="str" cm="1">
        <f t="array" ref="P249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249)),""))</f>
        <v/>
      </c>
      <c r="Q249" s="52" t="str" cm="1">
        <f t="array" ref="Q249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249)),""))</f>
        <v/>
      </c>
      <c r="AJ249" t="str">
        <v>d-9</v>
      </c>
      <c r="AK249">
        <v>-4.0999999999999996</v>
      </c>
      <c r="AP249" t="str">
        <v>d-4</v>
      </c>
      <c r="AQ249">
        <v>-0.19999999999999929</v>
      </c>
    </row>
    <row r="250" spans="1:66">
      <c r="A250" s="52" t="str" cm="1">
        <f t="array" ref="A250">IF(COUNTIFS(Calc_Anclaje!$A$5:$A$1058,$B$2,Calc_Anclaje!$H$5:$H$1058,VALUE(SUBSTITUTE(A$220,"d-","")),Calc_Anclaje!$K$5:$K$1058,"&gt;4",Calc_Anclaje!$K$5:$K$1058,"&lt;=5")&lt;5,"",IFERROR(INDEX(_xlfn._xlws.FILTER(Calc_Anclaje!$O$5:$O$1058,(Calc_Anclaje!$A$5:$A$1058=$B$2)*(Calc_Anclaje!$H$5:$H$1058=VALUE(SUBSTITUTE(A$220,"d-","")))*(Calc_Anclaje!$K$5:$K$1058&gt;4)*(Calc_Anclaje!$K$5:$K$1058&lt;=5)),ROWS(A$221:A250)),""))</f>
        <v/>
      </c>
      <c r="B250" s="52" t="str" cm="1">
        <f t="array" ref="B250">IF(COUNTIFS(Calc_Anclaje!$A$5:$A$1058,$B$2,Calc_Anclaje!$H$5:$H$1058,VALUE(SUBSTITUTE(B$220,"d-","")),Calc_Anclaje!$K$5:$K$1058,"&gt;4",Calc_Anclaje!$K$5:$K$1058,"&lt;=5")&lt;5,"",IFERROR(INDEX(_xlfn._xlws.FILTER(Calc_Anclaje!$O$5:$O$1058,(Calc_Anclaje!$A$5:$A$1058=$B$2)*(Calc_Anclaje!$H$5:$H$1058=VALUE(SUBSTITUTE(B$220,"d-","")))*(Calc_Anclaje!$K$5:$K$1058&gt;4)*(Calc_Anclaje!$K$5:$K$1058&lt;=5)),ROWS(B$221:B250)),""))</f>
        <v/>
      </c>
      <c r="C250" s="52" t="str" cm="1">
        <f t="array" ref="C250">IF(COUNTIFS(Calc_Anclaje!$A$5:$A$1058,$B$2,Calc_Anclaje!$H$5:$H$1058,VALUE(SUBSTITUTE(C$220,"d-","")),Calc_Anclaje!$K$5:$K$1058,"&gt;4",Calc_Anclaje!$K$5:$K$1058,"&lt;=5")&lt;5,"",IFERROR(INDEX(_xlfn._xlws.FILTER(Calc_Anclaje!$O$5:$O$1058,(Calc_Anclaje!$A$5:$A$1058=$B$2)*(Calc_Anclaje!$H$5:$H$1058=VALUE(SUBSTITUTE(C$220,"d-","")))*(Calc_Anclaje!$K$5:$K$1058&gt;4)*(Calc_Anclaje!$K$5:$K$1058&lt;=5)),ROWS(C$221:C250)),""))</f>
        <v/>
      </c>
      <c r="D250" s="52" t="str" cm="1">
        <f t="array" ref="D250">IF(COUNTIFS(Calc_Anclaje!$A$5:$A$1058,$B$2,Calc_Anclaje!$H$5:$H$1058,VALUE(SUBSTITUTE(D$220,"d-","")),Calc_Anclaje!$K$5:$K$1058,"&gt;4",Calc_Anclaje!$K$5:$K$1058,"&lt;=5")&lt;5,"",IFERROR(INDEX(_xlfn._xlws.FILTER(Calc_Anclaje!$O$5:$O$1058,(Calc_Anclaje!$A$5:$A$1058=$B$2)*(Calc_Anclaje!$H$5:$H$1058=VALUE(SUBSTITUTE(D$220,"d-","")))*(Calc_Anclaje!$K$5:$K$1058&gt;4)*(Calc_Anclaje!$K$5:$K$1058&lt;=5)),ROWS(D$221:D250)),""))</f>
        <v/>
      </c>
      <c r="E250" s="52" t="str" cm="1">
        <f t="array" ref="E250">IF(COUNTIFS(Calc_Anclaje!$A$5:$A$1058,$B$2,Calc_Anclaje!$H$5:$H$1058,VALUE(SUBSTITUTE(E$220,"d-","")),Calc_Anclaje!$K$5:$K$1058,"&gt;4",Calc_Anclaje!$K$5:$K$1058,"&lt;=5")&lt;5,"",IFERROR(INDEX(_xlfn._xlws.FILTER(Calc_Anclaje!$O$5:$O$1058,(Calc_Anclaje!$A$5:$A$1058=$B$2)*(Calc_Anclaje!$H$5:$H$1058=VALUE(SUBSTITUTE(E$220,"d-","")))*(Calc_Anclaje!$K$5:$K$1058&gt;4)*(Calc_Anclaje!$K$5:$K$1058&lt;=5)),ROWS(E$221:E250)),""))</f>
        <v/>
      </c>
      <c r="F250" s="52" t="str" cm="1">
        <f t="array" ref="F250">IF(COUNTIFS(Calc_Anclaje!$A$5:$A$1058,$B$2,Calc_Anclaje!$H$5:$H$1058,VALUE(SUBSTITUTE(F$220,"d-","")),Calc_Anclaje!$K$5:$K$1058,"&gt;4",Calc_Anclaje!$K$5:$K$1058,"&lt;=5")&lt;5,"",IFERROR(INDEX(_xlfn._xlws.FILTER(Calc_Anclaje!$O$5:$O$1058,(Calc_Anclaje!$A$5:$A$1058=$B$2)*(Calc_Anclaje!$H$5:$H$1058=VALUE(SUBSTITUTE(F$220,"d-","")))*(Calc_Anclaje!$K$5:$K$1058&gt;4)*(Calc_Anclaje!$K$5:$K$1058&lt;=5)),ROWS(F$221:F250)),""))</f>
        <v/>
      </c>
      <c r="G250" s="52" t="str" cm="1">
        <f t="array" ref="G250">IF(COUNTIFS(Calc_Anclaje!$A$5:$A$1058,$B$2,Calc_Anclaje!$H$5:$H$1058,VALUE(SUBSTITUTE(G$220,"d-","")),Calc_Anclaje!$K$5:$K$1058,"&gt;4",Calc_Anclaje!$K$5:$K$1058,"&lt;=5")&lt;5,"",IFERROR(INDEX(_xlfn._xlws.FILTER(Calc_Anclaje!$O$5:$O$1058,(Calc_Anclaje!$A$5:$A$1058=$B$2)*(Calc_Anclaje!$H$5:$H$1058=VALUE(SUBSTITUTE(G$220,"d-","")))*(Calc_Anclaje!$K$5:$K$1058&gt;4)*(Calc_Anclaje!$K$5:$K$1058&lt;=5)),ROWS(G$221:G250)),""))</f>
        <v/>
      </c>
      <c r="H250" s="52" t="str" cm="1">
        <f t="array" ref="H250">IF(COUNTIFS(Calc_Anclaje!$A$5:$A$1058,$B$2,Calc_Anclaje!$H$5:$H$1058,VALUE(SUBSTITUTE(H$220,"d-","")),Calc_Anclaje!$K$5:$K$1058,"&gt;4",Calc_Anclaje!$K$5:$K$1058,"&lt;=5")&lt;5,"",IFERROR(INDEX(_xlfn._xlws.FILTER(Calc_Anclaje!$O$5:$O$1058,(Calc_Anclaje!$A$5:$A$1058=$B$2)*(Calc_Anclaje!$H$5:$H$1058=VALUE(SUBSTITUTE(H$220,"d-","")))*(Calc_Anclaje!$K$5:$K$1058&gt;4)*(Calc_Anclaje!$K$5:$K$1058&lt;=5)),ROWS(H$221:H250)),""))</f>
        <v/>
      </c>
      <c r="I250" s="52" t="str" cm="1">
        <f t="array" ref="I250">IF(COUNTIFS(Calc_Anclaje!$A$5:$A$1058,$B$2,Calc_Anclaje!$H$5:$H$1058,VALUE(SUBSTITUTE(I$220,"d-","")),Calc_Anclaje!$K$5:$K$1058,"&gt;4",Calc_Anclaje!$K$5:$K$1058,"&lt;=5")&lt;5,"",IFERROR(INDEX(_xlfn._xlws.FILTER(Calc_Anclaje!$O$5:$O$1058,(Calc_Anclaje!$A$5:$A$1058=$B$2)*(Calc_Anclaje!$H$5:$H$1058=VALUE(SUBSTITUTE(I$220,"d-","")))*(Calc_Anclaje!$K$5:$K$1058&gt;4)*(Calc_Anclaje!$K$5:$K$1058&lt;=5)),ROWS(I$221:I250)),""))</f>
        <v/>
      </c>
      <c r="J250" s="52" t="str" cm="1">
        <f t="array" ref="J250">IF(COUNTIFS(Calc_Anclaje!$A$5:$A$1058,$B$2,Calc_Anclaje!$H$5:$H$1058,VALUE(SUBSTITUTE(J$220,"d-","")),Calc_Anclaje!$K$5:$K$1058,"&gt;4",Calc_Anclaje!$K$5:$K$1058,"&lt;=5")&lt;5,"",IFERROR(INDEX(_xlfn._xlws.FILTER(Calc_Anclaje!$O$5:$O$1058,(Calc_Anclaje!$A$5:$A$1058=$B$2)*(Calc_Anclaje!$H$5:$H$1058=VALUE(SUBSTITUTE(J$220,"d-","")))*(Calc_Anclaje!$K$5:$K$1058&gt;4)*(Calc_Anclaje!$K$5:$K$1058&lt;=5)),ROWS(J$221:J250)),""))</f>
        <v/>
      </c>
      <c r="K250" s="52" t="str" cm="1">
        <f t="array" ref="K250">IF(COUNTIFS(Calc_Anclaje!$A$5:$A$1058,$B$2,Calc_Anclaje!$H$5:$H$1058,VALUE(SUBSTITUTE(K$220,"d-","")),Calc_Anclaje!$K$5:$K$1058,"&gt;4",Calc_Anclaje!$K$5:$K$1058,"&lt;=5")&lt;5,"",IFERROR(INDEX(_xlfn._xlws.FILTER(Calc_Anclaje!$O$5:$O$1058,(Calc_Anclaje!$A$5:$A$1058=$B$2)*(Calc_Anclaje!$H$5:$H$1058=VALUE(SUBSTITUTE(K$220,"d-","")))*(Calc_Anclaje!$K$5:$K$1058&gt;4)*(Calc_Anclaje!$K$5:$K$1058&lt;=5)),ROWS(K$221:K250)),""))</f>
        <v/>
      </c>
      <c r="L250" s="52" t="str" cm="1">
        <f t="array" ref="L250">IF(COUNTIFS(Calc_Anclaje!$A$5:$A$1058,$B$2,Calc_Anclaje!$H$5:$H$1058,VALUE(SUBSTITUTE(L$220,"d-","")),Calc_Anclaje!$K$5:$K$1058,"&gt;4",Calc_Anclaje!$K$5:$K$1058,"&lt;=5")&lt;5,"",IFERROR(INDEX(_xlfn._xlws.FILTER(Calc_Anclaje!$O$5:$O$1058,(Calc_Anclaje!$A$5:$A$1058=$B$2)*(Calc_Anclaje!$H$5:$H$1058=VALUE(SUBSTITUTE(L$220,"d-","")))*(Calc_Anclaje!$K$5:$K$1058&gt;4)*(Calc_Anclaje!$K$5:$K$1058&lt;=5)),ROWS(L$221:L250)),""))</f>
        <v/>
      </c>
      <c r="M250" s="52" t="str" cm="1">
        <f t="array" ref="M250">IF(COUNTIFS(Calc_Anclaje!$A$5:$A$1058,$B$2,Calc_Anclaje!$H$5:$H$1058,VALUE(SUBSTITUTE(M$220,"d-","")),Calc_Anclaje!$K$5:$K$1058,"&gt;4",Calc_Anclaje!$K$5:$K$1058,"&lt;=5")&lt;5,"",IFERROR(INDEX(_xlfn._xlws.FILTER(Calc_Anclaje!$O$5:$O$1058,(Calc_Anclaje!$A$5:$A$1058=$B$2)*(Calc_Anclaje!$H$5:$H$1058=VALUE(SUBSTITUTE(M$220,"d-","")))*(Calc_Anclaje!$K$5:$K$1058&gt;4)*(Calc_Anclaje!$K$5:$K$1058&lt;=5)),ROWS(M$221:M250)),""))</f>
        <v/>
      </c>
      <c r="N250" s="52" t="str" cm="1">
        <f t="array" ref="N250">IF(COUNTIFS(Calc_Anclaje!$A$5:$A$1058,$B$2,Calc_Anclaje!$H$5:$H$1058,VALUE(SUBSTITUTE(N$220,"d-","")),Calc_Anclaje!$K$5:$K$1058,"&gt;4",Calc_Anclaje!$K$5:$K$1058,"&lt;=5")&lt;5,"",IFERROR(INDEX(_xlfn._xlws.FILTER(Calc_Anclaje!$O$5:$O$1058,(Calc_Anclaje!$A$5:$A$1058=$B$2)*(Calc_Anclaje!$H$5:$H$1058=VALUE(SUBSTITUTE(N$220,"d-","")))*(Calc_Anclaje!$K$5:$K$1058&gt;4)*(Calc_Anclaje!$K$5:$K$1058&lt;=5)),ROWS(N$221:N250)),""))</f>
        <v/>
      </c>
      <c r="O250" s="52" t="str" cm="1">
        <f t="array" ref="O250">IF(COUNTIFS(Calc_Anclaje!$A$5:$A$1058,$B$2,Calc_Anclaje!$H$5:$H$1058,VALUE(SUBSTITUTE(O$220,"d-","")),Calc_Anclaje!$K$5:$K$1058,"&gt;4",Calc_Anclaje!$K$5:$K$1058,"&lt;=5")&lt;5,"",IFERROR(INDEX(_xlfn._xlws.FILTER(Calc_Anclaje!$O$5:$O$1058,(Calc_Anclaje!$A$5:$A$1058=$B$2)*(Calc_Anclaje!$H$5:$H$1058=VALUE(SUBSTITUTE(O$220,"d-","")))*(Calc_Anclaje!$K$5:$K$1058&gt;4)*(Calc_Anclaje!$K$5:$K$1058&lt;=5)),ROWS(O$221:O250)),""))</f>
        <v/>
      </c>
      <c r="P250" s="52" t="str" cm="1">
        <f t="array" ref="P250">IF(COUNTIFS(Calc_Anclaje!$A$5:$A$1058,$B$2,Calc_Anclaje!$H$5:$H$1058,VALUE(SUBSTITUTE(P$220,"d-","")),Calc_Anclaje!$K$5:$K$1058,"&gt;4",Calc_Anclaje!$K$5:$K$1058,"&lt;=5")&lt;5,"",IFERROR(INDEX(_xlfn._xlws.FILTER(Calc_Anclaje!$O$5:$O$1058,(Calc_Anclaje!$A$5:$A$1058=$B$2)*(Calc_Anclaje!$H$5:$H$1058=VALUE(SUBSTITUTE(P$220,"d-","")))*(Calc_Anclaje!$K$5:$K$1058&gt;4)*(Calc_Anclaje!$K$5:$K$1058&lt;=5)),ROWS(P$221:P250)),""))</f>
        <v/>
      </c>
      <c r="Q250" s="52" t="str" cm="1">
        <f t="array" ref="Q250">IF(COUNTIFS(Calc_Anclaje!$A$5:$A$1058,$B$2,Calc_Anclaje!$H$5:$H$1058,VALUE(SUBSTITUTE(Q$220,"d-","")),Calc_Anclaje!$K$5:$K$1058,"&gt;4",Calc_Anclaje!$K$5:$K$1058,"&lt;=5")&lt;5,"",IFERROR(INDEX(_xlfn._xlws.FILTER(Calc_Anclaje!$O$5:$O$1058,(Calc_Anclaje!$A$5:$A$1058=$B$2)*(Calc_Anclaje!$H$5:$H$1058=VALUE(SUBSTITUTE(Q$220,"d-","")))*(Calc_Anclaje!$K$5:$K$1058&gt;4)*(Calc_Anclaje!$K$5:$K$1058&lt;=5)),ROWS(Q$221:Q250)),""))</f>
        <v/>
      </c>
      <c r="AJ250" t="str">
        <v>d-9</v>
      </c>
      <c r="AK250">
        <v>-2.2000000000000002</v>
      </c>
      <c r="AP250" t="str">
        <v>d-4</v>
      </c>
      <c r="AQ250">
        <v>-0.70000000000000018</v>
      </c>
    </row>
    <row r="251" spans="1:66">
      <c r="AJ251" t="str">
        <v>d-9</v>
      </c>
      <c r="AK251">
        <v>-0.89999999999999947</v>
      </c>
      <c r="AP251" t="str">
        <v>d-4</v>
      </c>
      <c r="AQ251">
        <v>-1</v>
      </c>
    </row>
    <row r="252" spans="1:66">
      <c r="AJ252" t="str">
        <v>d-9</v>
      </c>
      <c r="AK252">
        <v>-0.30000000000000071</v>
      </c>
      <c r="AP252" t="str">
        <v>d-4</v>
      </c>
      <c r="AQ252">
        <v>-0.5</v>
      </c>
    </row>
    <row r="253" spans="1:66">
      <c r="AJ253" t="str">
        <v>d-9</v>
      </c>
      <c r="AK253">
        <v>-0.39999999999999947</v>
      </c>
      <c r="AP253" t="str">
        <v>d-4</v>
      </c>
      <c r="AQ253">
        <v>-0.70000000000000018</v>
      </c>
    </row>
    <row r="254" spans="1:66">
      <c r="AJ254" t="str">
        <v>d-9</v>
      </c>
      <c r="AK254">
        <v>-1.0999999999999996</v>
      </c>
      <c r="AP254" t="str">
        <v>d-4</v>
      </c>
      <c r="AQ254">
        <v>-0.69999999999999973</v>
      </c>
    </row>
    <row r="255" spans="1:66">
      <c r="A255" s="22" t="s">
        <v>2512</v>
      </c>
      <c r="B255" s="22" t="s">
        <v>2510</v>
      </c>
      <c r="C255" s="22" t="s">
        <v>2511</v>
      </c>
      <c r="D255" s="22" t="s">
        <v>2508</v>
      </c>
      <c r="E255" s="22" t="s">
        <v>2509</v>
      </c>
      <c r="F255" s="22" t="s">
        <v>2506</v>
      </c>
      <c r="G255" s="22" t="s">
        <v>2507</v>
      </c>
      <c r="H255" s="22" t="s">
        <v>2504</v>
      </c>
      <c r="I255" s="22" t="s">
        <v>2505</v>
      </c>
      <c r="J255" s="22" t="s">
        <v>2502</v>
      </c>
      <c r="K255" s="22" t="s">
        <v>2503</v>
      </c>
      <c r="L255" s="22" t="s">
        <v>2500</v>
      </c>
      <c r="M255" s="22" t="s">
        <v>2501</v>
      </c>
      <c r="N255" s="22" t="s">
        <v>2498</v>
      </c>
      <c r="O255" s="22" t="s">
        <v>2499</v>
      </c>
      <c r="P255" s="22" t="s">
        <v>2495</v>
      </c>
      <c r="Q255" s="22" t="s">
        <v>2497</v>
      </c>
      <c r="AJ255" t="str">
        <v>d-9</v>
      </c>
      <c r="AK255">
        <v>-1.6</v>
      </c>
      <c r="AP255" t="str">
        <v>d-3</v>
      </c>
      <c r="AQ255">
        <v>0.60000000000000053</v>
      </c>
      <c r="AU255" t="str" cm="1">
        <f t="array" ref="AU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U255)),""))</f>
        <v/>
      </c>
      <c r="AV255" t="str" cm="1">
        <f t="array" ref="AV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V255)),""))</f>
        <v/>
      </c>
      <c r="AW255" t="str" cm="1">
        <f t="array" ref="AW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W255)),""))</f>
        <v/>
      </c>
      <c r="AX255" t="str" cm="1">
        <f t="array" ref="AX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X255)),""))</f>
        <v/>
      </c>
      <c r="AY255" t="str" cm="1">
        <f t="array" ref="AY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Y255)),""))</f>
        <v/>
      </c>
      <c r="AZ255" t="str" cm="1">
        <f t="array" ref="AZ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AZ255)),""))</f>
        <v/>
      </c>
      <c r="BA255" t="str" cm="1">
        <f t="array" ref="BA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A255)),""))</f>
        <v/>
      </c>
      <c r="BB255" t="str" cm="1">
        <f t="array" ref="BB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B255)),""))</f>
        <v/>
      </c>
      <c r="BC255" t="str" cm="1">
        <f t="array" ref="BC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C255)),""))</f>
        <v/>
      </c>
      <c r="BD255" t="str" cm="1">
        <f t="array" ref="BD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D255)),""))</f>
        <v/>
      </c>
      <c r="BE255" t="str" cm="1">
        <f t="array" ref="BE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E255)),""))</f>
        <v/>
      </c>
      <c r="BF255" t="str" cm="1">
        <f t="array" ref="BF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F255)),""))</f>
        <v/>
      </c>
      <c r="BG255" t="str" cm="1">
        <f t="array" ref="BG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G255)),""))</f>
        <v/>
      </c>
      <c r="BH255" t="str" cm="1">
        <f t="array" ref="BH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H255)),""))</f>
        <v/>
      </c>
      <c r="BI255" t="str" cm="1">
        <f t="array" ref="BI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I255)),""))</f>
        <v/>
      </c>
      <c r="BJ255" t="str" cm="1">
        <f t="array" ref="BJ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J255)),""))</f>
        <v/>
      </c>
      <c r="BK255" t="str" cm="1">
        <f t="array" ref="BK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K255)),""))</f>
        <v/>
      </c>
      <c r="BL255" t="str" cm="1">
        <f t="array" ref="BL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L255)),""))</f>
        <v/>
      </c>
      <c r="BM255" t="str" cm="1">
        <f t="array" ref="BM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M255)),""))</f>
        <v/>
      </c>
      <c r="BN255" t="str" cm="1">
        <f t="array" ref="BN255">IF(COUNTIFS(Calc_Anclaje!$A$5:$A$1058,$B$2,Calc_Anclaje!$H$5:$H$1058,VALUE(SUBSTITUTE($AJ255,"d-","")),Calc_Anclaje!$K$5:$K$1058,"&gt;5")&lt;5,"",IFERROR(INDEX(_xlfn._xlws.FILTER(Calc_Anclaje!$O$5:$O$1058,(Calc_Anclaje!$A$5:$A$1058=$B$2)*(Calc_Anclaje!$H$5:$H$1058=VALUE(SUBSTITUTE($AJ255,"d-","")))*(Calc_Anclaje!$K$5:$K$1058&gt;5)),COLUMNS($AK255:BN255)),""))</f>
        <v/>
      </c>
    </row>
    <row r="256" spans="1:66">
      <c r="A256" s="52" t="str" cm="1">
        <f t="array" ref="A256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256)),""))</f>
        <v/>
      </c>
      <c r="B256" s="52" t="str" cm="1">
        <f t="array" ref="B256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256)),""))</f>
        <v/>
      </c>
      <c r="C256" s="52" t="str" cm="1">
        <f t="array" ref="C256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256)),""))</f>
        <v/>
      </c>
      <c r="D256" s="52" t="str" cm="1">
        <f t="array" ref="D256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256)),""))</f>
        <v/>
      </c>
      <c r="E256" s="52" t="str" cm="1">
        <f t="array" ref="E256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256)),""))</f>
        <v/>
      </c>
      <c r="F256" s="52" t="str" cm="1">
        <f t="array" ref="F256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256)),""))</f>
        <v/>
      </c>
      <c r="G256" s="52" t="str" cm="1">
        <f t="array" ref="G256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256)),""))</f>
        <v/>
      </c>
      <c r="H256" s="52" t="str" cm="1">
        <f t="array" ref="H256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256)),""))</f>
        <v/>
      </c>
      <c r="I256" s="52" t="str" cm="1">
        <f t="array" ref="I256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256)),""))</f>
        <v/>
      </c>
      <c r="J256" s="52" cm="1">
        <f t="array" ref="J256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256)),""))</f>
        <v>-3.9</v>
      </c>
      <c r="K256" s="52" cm="1">
        <f t="array" ref="K256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256)),""))</f>
        <v>-3.5</v>
      </c>
      <c r="L256" s="52" cm="1">
        <f t="array" ref="L256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256)),""))</f>
        <v>-2.0999999999999996</v>
      </c>
      <c r="M256" s="52" cm="1">
        <f t="array" ref="M256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256)),""))</f>
        <v>-1.7000000000000002</v>
      </c>
      <c r="N256" s="52" cm="1">
        <f t="array" ref="N256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256)),""))</f>
        <v>-1.2999999999999998</v>
      </c>
      <c r="O256" s="52" cm="1">
        <f t="array" ref="O256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256)),""))</f>
        <v>-0.79999999999999982</v>
      </c>
      <c r="P256" s="52" cm="1">
        <f t="array" ref="P256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256)),""))</f>
        <v>-0.20000000000000018</v>
      </c>
      <c r="Q256" s="52" cm="1">
        <f t="array" ref="Q256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256)),""))</f>
        <v>0</v>
      </c>
      <c r="AJ256" t="str">
        <v>d-9</v>
      </c>
      <c r="AK256">
        <v>-1.1000000000000001</v>
      </c>
      <c r="AP256" t="str">
        <v>d-3</v>
      </c>
      <c r="AQ256">
        <v>0.19999999999999929</v>
      </c>
      <c r="AU256" t="str" cm="1">
        <f t="array" ref="AU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U256)),""))</f>
        <v/>
      </c>
      <c r="AV256" t="str" cm="1">
        <f t="array" ref="AV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V256)),""))</f>
        <v/>
      </c>
      <c r="AW256" t="str" cm="1">
        <f t="array" ref="AW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W256)),""))</f>
        <v/>
      </c>
      <c r="AX256" t="str" cm="1">
        <f t="array" ref="AX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X256)),""))</f>
        <v/>
      </c>
      <c r="AY256" t="str" cm="1">
        <f t="array" ref="AY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Y256)),""))</f>
        <v/>
      </c>
      <c r="AZ256" t="str" cm="1">
        <f t="array" ref="AZ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AZ256)),""))</f>
        <v/>
      </c>
      <c r="BA256" t="str" cm="1">
        <f t="array" ref="BA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A256)),""))</f>
        <v/>
      </c>
      <c r="BB256" t="str" cm="1">
        <f t="array" ref="BB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B256)),""))</f>
        <v/>
      </c>
      <c r="BC256" t="str" cm="1">
        <f t="array" ref="BC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C256)),""))</f>
        <v/>
      </c>
      <c r="BD256" t="str" cm="1">
        <f t="array" ref="BD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D256)),""))</f>
        <v/>
      </c>
      <c r="BE256" t="str" cm="1">
        <f t="array" ref="BE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E256)),""))</f>
        <v/>
      </c>
      <c r="BF256" t="str" cm="1">
        <f t="array" ref="BF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F256)),""))</f>
        <v/>
      </c>
      <c r="BG256" t="str" cm="1">
        <f t="array" ref="BG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G256)),""))</f>
        <v/>
      </c>
      <c r="BH256" t="str" cm="1">
        <f t="array" ref="BH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H256)),""))</f>
        <v/>
      </c>
      <c r="BI256" t="str" cm="1">
        <f t="array" ref="BI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I256)),""))</f>
        <v/>
      </c>
      <c r="BJ256" t="str" cm="1">
        <f t="array" ref="BJ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J256)),""))</f>
        <v/>
      </c>
      <c r="BK256" t="str" cm="1">
        <f t="array" ref="BK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K256)),""))</f>
        <v/>
      </c>
      <c r="BL256" t="str" cm="1">
        <f t="array" ref="BL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L256)),""))</f>
        <v/>
      </c>
      <c r="BM256" t="str" cm="1">
        <f t="array" ref="BM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M256)),""))</f>
        <v/>
      </c>
      <c r="BN256" t="str" cm="1">
        <f t="array" ref="BN256">IF(COUNTIFS(Calc_Anclaje!$A$5:$A$1058,$B$2,Calc_Anclaje!$H$5:$H$1058,VALUE(SUBSTITUTE($AJ256,"d-","")),Calc_Anclaje!$K$5:$K$1058,"&gt;5")&lt;5,"",IFERROR(INDEX(_xlfn._xlws.FILTER(Calc_Anclaje!$O$5:$O$1058,(Calc_Anclaje!$A$5:$A$1058=$B$2)*(Calc_Anclaje!$H$5:$H$1058=VALUE(SUBSTITUTE($AJ256,"d-","")))*(Calc_Anclaje!$K$5:$K$1058&gt;5)),COLUMNS($AK256:BN256)),""))</f>
        <v/>
      </c>
    </row>
    <row r="257" spans="1:66">
      <c r="A257" s="52" t="str" cm="1">
        <f t="array" ref="A257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257)),""))</f>
        <v/>
      </c>
      <c r="B257" s="52" t="str" cm="1">
        <f t="array" ref="B257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257)),""))</f>
        <v/>
      </c>
      <c r="C257" s="52" t="str" cm="1">
        <f t="array" ref="C257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257)),""))</f>
        <v/>
      </c>
      <c r="D257" s="52" t="str" cm="1">
        <f t="array" ref="D257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257)),""))</f>
        <v/>
      </c>
      <c r="E257" s="52" t="str" cm="1">
        <f t="array" ref="E257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257)),""))</f>
        <v/>
      </c>
      <c r="F257" s="52" t="str" cm="1">
        <f t="array" ref="F257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257)),""))</f>
        <v/>
      </c>
      <c r="G257" s="52" t="str" cm="1">
        <f t="array" ref="G257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257)),""))</f>
        <v/>
      </c>
      <c r="H257" s="52" t="str" cm="1">
        <f t="array" ref="H257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257)),""))</f>
        <v/>
      </c>
      <c r="I257" s="52" t="str" cm="1">
        <f t="array" ref="I257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257)),""))</f>
        <v/>
      </c>
      <c r="J257" s="52" cm="1">
        <f t="array" ref="J257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257)),""))</f>
        <v>-4.5999999999999996</v>
      </c>
      <c r="K257" s="52" cm="1">
        <f t="array" ref="K257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257)),""))</f>
        <v>-4.2</v>
      </c>
      <c r="L257" s="52" cm="1">
        <f t="array" ref="L257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257)),""))</f>
        <v>-3</v>
      </c>
      <c r="M257" s="52" cm="1">
        <f t="array" ref="M257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257)),""))</f>
        <v>-2.7</v>
      </c>
      <c r="N257" s="52" cm="1">
        <f t="array" ref="N257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257)),""))</f>
        <v>-1</v>
      </c>
      <c r="O257" s="52" cm="1">
        <f t="array" ref="O257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257)),""))</f>
        <v>-0.59999999999999964</v>
      </c>
      <c r="P257" s="52" cm="1">
        <f t="array" ref="P257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257)),""))</f>
        <v>-0.20000000000000018</v>
      </c>
      <c r="Q257" s="52" cm="1">
        <f t="array" ref="Q257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257)),""))</f>
        <v>9.9999999999999645E-2</v>
      </c>
      <c r="AJ257" t="str">
        <v>d-9</v>
      </c>
      <c r="AK257">
        <v>-0.5</v>
      </c>
      <c r="AP257" t="str">
        <v>d-3</v>
      </c>
      <c r="AQ257">
        <v>-0.29999999999999982</v>
      </c>
      <c r="AU257" t="str" cm="1">
        <f t="array" ref="AU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U257)),""))</f>
        <v/>
      </c>
      <c r="AV257" t="str" cm="1">
        <f t="array" ref="AV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V257)),""))</f>
        <v/>
      </c>
      <c r="AW257" t="str" cm="1">
        <f t="array" ref="AW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W257)),""))</f>
        <v/>
      </c>
      <c r="AX257" t="str" cm="1">
        <f t="array" ref="AX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X257)),""))</f>
        <v/>
      </c>
      <c r="AY257" t="str" cm="1">
        <f t="array" ref="AY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Y257)),""))</f>
        <v/>
      </c>
      <c r="AZ257" t="str" cm="1">
        <f t="array" ref="AZ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AZ257)),""))</f>
        <v/>
      </c>
      <c r="BA257" t="str" cm="1">
        <f t="array" ref="BA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A257)),""))</f>
        <v/>
      </c>
      <c r="BB257" t="str" cm="1">
        <f t="array" ref="BB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B257)),""))</f>
        <v/>
      </c>
      <c r="BC257" t="str" cm="1">
        <f t="array" ref="BC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C257)),""))</f>
        <v/>
      </c>
      <c r="BD257" t="str" cm="1">
        <f t="array" ref="BD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D257)),""))</f>
        <v/>
      </c>
      <c r="BE257" t="str" cm="1">
        <f t="array" ref="BE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E257)),""))</f>
        <v/>
      </c>
      <c r="BF257" t="str" cm="1">
        <f t="array" ref="BF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F257)),""))</f>
        <v/>
      </c>
      <c r="BG257" t="str" cm="1">
        <f t="array" ref="BG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G257)),""))</f>
        <v/>
      </c>
      <c r="BH257" t="str" cm="1">
        <f t="array" ref="BH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H257)),""))</f>
        <v/>
      </c>
      <c r="BI257" t="str" cm="1">
        <f t="array" ref="BI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I257)),""))</f>
        <v/>
      </c>
      <c r="BJ257" t="str" cm="1">
        <f t="array" ref="BJ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J257)),""))</f>
        <v/>
      </c>
      <c r="BK257" t="str" cm="1">
        <f t="array" ref="BK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K257)),""))</f>
        <v/>
      </c>
      <c r="BL257" t="str" cm="1">
        <f t="array" ref="BL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L257)),""))</f>
        <v/>
      </c>
      <c r="BM257" t="str" cm="1">
        <f t="array" ref="BM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M257)),""))</f>
        <v/>
      </c>
      <c r="BN257" t="str" cm="1">
        <f t="array" ref="BN257">IF(COUNTIFS(Calc_Anclaje!$A$5:$A$1058,$B$2,Calc_Anclaje!$H$5:$H$1058,VALUE(SUBSTITUTE($AJ257,"d-","")),Calc_Anclaje!$K$5:$K$1058,"&gt;5")&lt;5,"",IFERROR(INDEX(_xlfn._xlws.FILTER(Calc_Anclaje!$O$5:$O$1058,(Calc_Anclaje!$A$5:$A$1058=$B$2)*(Calc_Anclaje!$H$5:$H$1058=VALUE(SUBSTITUTE($AJ257,"d-","")))*(Calc_Anclaje!$K$5:$K$1058&gt;5)),COLUMNS($AK257:BN257)),""))</f>
        <v/>
      </c>
    </row>
    <row r="258" spans="1:66">
      <c r="A258" s="52" t="str" cm="1">
        <f t="array" ref="A258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258)),""))</f>
        <v/>
      </c>
      <c r="B258" s="52" t="str" cm="1">
        <f t="array" ref="B258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258)),""))</f>
        <v/>
      </c>
      <c r="C258" s="52" t="str" cm="1">
        <f t="array" ref="C258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258)),""))</f>
        <v/>
      </c>
      <c r="D258" s="52" t="str" cm="1">
        <f t="array" ref="D258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258)),""))</f>
        <v/>
      </c>
      <c r="E258" s="52" t="str" cm="1">
        <f t="array" ref="E258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258)),""))</f>
        <v/>
      </c>
      <c r="F258" s="52" t="str" cm="1">
        <f t="array" ref="F258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258)),""))</f>
        <v/>
      </c>
      <c r="G258" s="52" t="str" cm="1">
        <f t="array" ref="G258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258)),""))</f>
        <v/>
      </c>
      <c r="H258" s="52" t="str" cm="1">
        <f t="array" ref="H258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258)),""))</f>
        <v/>
      </c>
      <c r="I258" s="52" t="str" cm="1">
        <f t="array" ref="I258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258)),""))</f>
        <v/>
      </c>
      <c r="J258" s="52" cm="1">
        <f t="array" ref="J258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258)),""))</f>
        <v>-4</v>
      </c>
      <c r="K258" s="52" cm="1">
        <f t="array" ref="K258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258)),""))</f>
        <v>-2.5</v>
      </c>
      <c r="L258" s="52" cm="1">
        <f t="array" ref="L258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258)),""))</f>
        <v>-3.9000000000000004</v>
      </c>
      <c r="M258" s="52" cm="1">
        <f t="array" ref="M258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258)),""))</f>
        <v>-2.4000000000000004</v>
      </c>
      <c r="N258" s="52" cm="1">
        <f t="array" ref="N258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258)),""))</f>
        <v>-2.3999999999999995</v>
      </c>
      <c r="O258" s="52" cm="1">
        <f t="array" ref="O258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258)),""))</f>
        <v>-0.89999999999999947</v>
      </c>
      <c r="P258" s="52" cm="1">
        <f t="array" ref="P258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258)),""))</f>
        <v>-0.39999999999999947</v>
      </c>
      <c r="Q258" s="52" cm="1">
        <f t="array" ref="Q258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258)),""))</f>
        <v>-9.9999999999999645E-2</v>
      </c>
      <c r="AJ258" t="str">
        <v>d-9</v>
      </c>
      <c r="AK258">
        <v>-0.90000000000000036</v>
      </c>
      <c r="AP258" t="str">
        <v>d-3</v>
      </c>
      <c r="AQ258">
        <v>-0.5</v>
      </c>
      <c r="AU258" t="str" cm="1">
        <f t="array" ref="AU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U258)),""))</f>
        <v/>
      </c>
      <c r="AV258" t="str" cm="1">
        <f t="array" ref="AV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V258)),""))</f>
        <v/>
      </c>
      <c r="AW258" t="str" cm="1">
        <f t="array" ref="AW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W258)),""))</f>
        <v/>
      </c>
      <c r="AX258" t="str" cm="1">
        <f t="array" ref="AX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X258)),""))</f>
        <v/>
      </c>
      <c r="AY258" t="str" cm="1">
        <f t="array" ref="AY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Y258)),""))</f>
        <v/>
      </c>
      <c r="AZ258" t="str" cm="1">
        <f t="array" ref="AZ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AZ258)),""))</f>
        <v/>
      </c>
      <c r="BA258" t="str" cm="1">
        <f t="array" ref="BA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A258)),""))</f>
        <v/>
      </c>
      <c r="BB258" t="str" cm="1">
        <f t="array" ref="BB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B258)),""))</f>
        <v/>
      </c>
      <c r="BC258" t="str" cm="1">
        <f t="array" ref="BC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C258)),""))</f>
        <v/>
      </c>
      <c r="BD258" t="str" cm="1">
        <f t="array" ref="BD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D258)),""))</f>
        <v/>
      </c>
      <c r="BE258" t="str" cm="1">
        <f t="array" ref="BE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E258)),""))</f>
        <v/>
      </c>
      <c r="BF258" t="str" cm="1">
        <f t="array" ref="BF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F258)),""))</f>
        <v/>
      </c>
      <c r="BG258" t="str" cm="1">
        <f t="array" ref="BG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G258)),""))</f>
        <v/>
      </c>
      <c r="BH258" t="str" cm="1">
        <f t="array" ref="BH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H258)),""))</f>
        <v/>
      </c>
      <c r="BI258" t="str" cm="1">
        <f t="array" ref="BI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I258)),""))</f>
        <v/>
      </c>
      <c r="BJ258" t="str" cm="1">
        <f t="array" ref="BJ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J258)),""))</f>
        <v/>
      </c>
      <c r="BK258" t="str" cm="1">
        <f t="array" ref="BK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K258)),""))</f>
        <v/>
      </c>
      <c r="BL258" t="str" cm="1">
        <f t="array" ref="BL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L258)),""))</f>
        <v/>
      </c>
      <c r="BM258" t="str" cm="1">
        <f t="array" ref="BM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M258)),""))</f>
        <v/>
      </c>
      <c r="BN258" t="str" cm="1">
        <f t="array" ref="BN258">IF(COUNTIFS(Calc_Anclaje!$A$5:$A$1058,$B$2,Calc_Anclaje!$H$5:$H$1058,VALUE(SUBSTITUTE($AJ258,"d-","")),Calc_Anclaje!$K$5:$K$1058,"&gt;5")&lt;5,"",IFERROR(INDEX(_xlfn._xlws.FILTER(Calc_Anclaje!$O$5:$O$1058,(Calc_Anclaje!$A$5:$A$1058=$B$2)*(Calc_Anclaje!$H$5:$H$1058=VALUE(SUBSTITUTE($AJ258,"d-","")))*(Calc_Anclaje!$K$5:$K$1058&gt;5)),COLUMNS($AK258:BN258)),""))</f>
        <v/>
      </c>
    </row>
    <row r="259" spans="1:66">
      <c r="A259" s="52" t="str" cm="1">
        <f t="array" ref="A259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259)),""))</f>
        <v/>
      </c>
      <c r="B259" s="52" t="str" cm="1">
        <f t="array" ref="B259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259)),""))</f>
        <v/>
      </c>
      <c r="C259" s="52" t="str" cm="1">
        <f t="array" ref="C259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259)),""))</f>
        <v/>
      </c>
      <c r="D259" s="52" t="str" cm="1">
        <f t="array" ref="D259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259)),""))</f>
        <v/>
      </c>
      <c r="E259" s="52" t="str" cm="1">
        <f t="array" ref="E259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259)),""))</f>
        <v/>
      </c>
      <c r="F259" s="52" t="str" cm="1">
        <f t="array" ref="F259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259)),""))</f>
        <v/>
      </c>
      <c r="G259" s="52" t="str" cm="1">
        <f t="array" ref="G259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259)),""))</f>
        <v/>
      </c>
      <c r="H259" s="52" t="str" cm="1">
        <f t="array" ref="H259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259)),""))</f>
        <v/>
      </c>
      <c r="I259" s="52" t="str" cm="1">
        <f t="array" ref="I259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259)),""))</f>
        <v/>
      </c>
      <c r="J259" s="52" cm="1">
        <f t="array" ref="J259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259)),""))</f>
        <v>-2.2000000000000002</v>
      </c>
      <c r="K259" s="52" cm="1">
        <f t="array" ref="K259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259)),""))</f>
        <v>-1</v>
      </c>
      <c r="L259" s="52" cm="1">
        <f t="array" ref="L259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259)),""))</f>
        <v>-1.5999999999999996</v>
      </c>
      <c r="M259" s="52" cm="1">
        <f t="array" ref="M259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259)),""))</f>
        <v>-0.5</v>
      </c>
      <c r="N259" s="52" cm="1">
        <f t="array" ref="N259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259)),""))</f>
        <v>-1.5</v>
      </c>
      <c r="O259" s="52" cm="1">
        <f t="array" ref="O259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259)),""))</f>
        <v>-0.40000000000000036</v>
      </c>
      <c r="P259" s="52" cm="1">
        <f t="array" ref="P259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259)),""))</f>
        <v>-0.20000000000000018</v>
      </c>
      <c r="Q259" s="52" cm="1">
        <f t="array" ref="Q259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259)),""))</f>
        <v>0</v>
      </c>
      <c r="AJ259" t="str">
        <v>d-9</v>
      </c>
      <c r="AK259">
        <v>-0.5</v>
      </c>
      <c r="AP259" t="str">
        <v>d-3</v>
      </c>
      <c r="AQ259">
        <v>-0.59999999999999964</v>
      </c>
      <c r="AU259" t="str" cm="1">
        <f t="array" ref="AU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U259)),""))</f>
        <v/>
      </c>
      <c r="AV259" t="str" cm="1">
        <f t="array" ref="AV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V259)),""))</f>
        <v/>
      </c>
      <c r="AW259" t="str" cm="1">
        <f t="array" ref="AW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W259)),""))</f>
        <v/>
      </c>
      <c r="AX259" t="str" cm="1">
        <f t="array" ref="AX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X259)),""))</f>
        <v/>
      </c>
      <c r="AY259" t="str" cm="1">
        <f t="array" ref="AY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Y259)),""))</f>
        <v/>
      </c>
      <c r="AZ259" t="str" cm="1">
        <f t="array" ref="AZ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AZ259)),""))</f>
        <v/>
      </c>
      <c r="BA259" t="str" cm="1">
        <f t="array" ref="BA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A259)),""))</f>
        <v/>
      </c>
      <c r="BB259" t="str" cm="1">
        <f t="array" ref="BB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B259)),""))</f>
        <v/>
      </c>
      <c r="BC259" t="str" cm="1">
        <f t="array" ref="BC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C259)),""))</f>
        <v/>
      </c>
      <c r="BD259" t="str" cm="1">
        <f t="array" ref="BD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D259)),""))</f>
        <v/>
      </c>
      <c r="BE259" t="str" cm="1">
        <f t="array" ref="BE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E259)),""))</f>
        <v/>
      </c>
      <c r="BF259" t="str" cm="1">
        <f t="array" ref="BF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F259)),""))</f>
        <v/>
      </c>
      <c r="BG259" t="str" cm="1">
        <f t="array" ref="BG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G259)),""))</f>
        <v/>
      </c>
      <c r="BH259" t="str" cm="1">
        <f t="array" ref="BH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H259)),""))</f>
        <v/>
      </c>
      <c r="BI259" t="str" cm="1">
        <f t="array" ref="BI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I259)),""))</f>
        <v/>
      </c>
      <c r="BJ259" t="str" cm="1">
        <f t="array" ref="BJ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J259)),""))</f>
        <v/>
      </c>
      <c r="BK259" t="str" cm="1">
        <f t="array" ref="BK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K259)),""))</f>
        <v/>
      </c>
      <c r="BL259" t="str" cm="1">
        <f t="array" ref="BL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L259)),""))</f>
        <v/>
      </c>
      <c r="BM259" t="str" cm="1">
        <f t="array" ref="BM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M259)),""))</f>
        <v/>
      </c>
      <c r="BN259" t="str" cm="1">
        <f t="array" ref="BN259">IF(COUNTIFS(Calc_Anclaje!$A$5:$A$1058,$B$2,Calc_Anclaje!$H$5:$H$1058,VALUE(SUBSTITUTE($AJ259,"d-","")),Calc_Anclaje!$K$5:$K$1058,"&gt;5")&lt;5,"",IFERROR(INDEX(_xlfn._xlws.FILTER(Calc_Anclaje!$O$5:$O$1058,(Calc_Anclaje!$A$5:$A$1058=$B$2)*(Calc_Anclaje!$H$5:$H$1058=VALUE(SUBSTITUTE($AJ259,"d-","")))*(Calc_Anclaje!$K$5:$K$1058&gt;5)),COLUMNS($AK259:BN259)),""))</f>
        <v/>
      </c>
    </row>
    <row r="260" spans="1:66">
      <c r="A260" s="52" t="str" cm="1">
        <f t="array" ref="A260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260)),""))</f>
        <v/>
      </c>
      <c r="B260" s="52" t="str" cm="1">
        <f t="array" ref="B260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260)),""))</f>
        <v/>
      </c>
      <c r="C260" s="52" t="str" cm="1">
        <f t="array" ref="C260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260)),""))</f>
        <v/>
      </c>
      <c r="D260" s="52" t="str" cm="1">
        <f t="array" ref="D260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260)),""))</f>
        <v/>
      </c>
      <c r="E260" s="52" t="str" cm="1">
        <f t="array" ref="E260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260)),""))</f>
        <v/>
      </c>
      <c r="F260" s="52" t="str" cm="1">
        <f t="array" ref="F260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260)),""))</f>
        <v/>
      </c>
      <c r="G260" s="52" t="str" cm="1">
        <f t="array" ref="G260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260)),""))</f>
        <v/>
      </c>
      <c r="H260" s="52" t="str" cm="1">
        <f t="array" ref="H260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260)),""))</f>
        <v/>
      </c>
      <c r="I260" s="52" t="str" cm="1">
        <f t="array" ref="I260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260)),""))</f>
        <v/>
      </c>
      <c r="J260" s="52" cm="1">
        <f t="array" ref="J260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260)),""))</f>
        <v>-0.70000000000000018</v>
      </c>
      <c r="K260" s="52" cm="1">
        <f t="array" ref="K260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260)),""))</f>
        <v>0.29999999999999982</v>
      </c>
      <c r="L260" s="52" cm="1">
        <f t="array" ref="L260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260)),""))</f>
        <v>-0.40000000000000036</v>
      </c>
      <c r="M260" s="52" cm="1">
        <f t="array" ref="M260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260)),""))</f>
        <v>0.40000000000000036</v>
      </c>
      <c r="N260" s="52" cm="1">
        <f t="array" ref="N260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260)),""))</f>
        <v>9.9999999999999645E-2</v>
      </c>
      <c r="O260" s="52" cm="1">
        <f t="array" ref="O260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260)),""))</f>
        <v>0.59999999999999964</v>
      </c>
      <c r="P260" s="52" cm="1">
        <f t="array" ref="P260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260)),""))</f>
        <v>0</v>
      </c>
      <c r="Q260" s="52" cm="1">
        <f t="array" ref="Q260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260)),""))</f>
        <v>9.9999999999999645E-2</v>
      </c>
      <c r="AJ260" t="str">
        <v>d-9</v>
      </c>
      <c r="AK260">
        <v>-0.70000000000000018</v>
      </c>
      <c r="AP260" t="str">
        <v>d-3</v>
      </c>
      <c r="AQ260">
        <v>-9.9999999999999645E-2</v>
      </c>
      <c r="AU260" t="str" cm="1">
        <f t="array" ref="AU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U260)),""))</f>
        <v/>
      </c>
      <c r="AV260" t="str" cm="1">
        <f t="array" ref="AV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V260)),""))</f>
        <v/>
      </c>
      <c r="AW260" t="str" cm="1">
        <f t="array" ref="AW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W260)),""))</f>
        <v/>
      </c>
      <c r="AX260" t="str" cm="1">
        <f t="array" ref="AX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X260)),""))</f>
        <v/>
      </c>
      <c r="AY260" t="str" cm="1">
        <f t="array" ref="AY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Y260)),""))</f>
        <v/>
      </c>
      <c r="AZ260" t="str" cm="1">
        <f t="array" ref="AZ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AZ260)),""))</f>
        <v/>
      </c>
      <c r="BA260" t="str" cm="1">
        <f t="array" ref="BA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A260)),""))</f>
        <v/>
      </c>
      <c r="BB260" t="str" cm="1">
        <f t="array" ref="BB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B260)),""))</f>
        <v/>
      </c>
      <c r="BC260" t="str" cm="1">
        <f t="array" ref="BC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C260)),""))</f>
        <v/>
      </c>
      <c r="BD260" t="str" cm="1">
        <f t="array" ref="BD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D260)),""))</f>
        <v/>
      </c>
      <c r="BE260" t="str" cm="1">
        <f t="array" ref="BE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E260)),""))</f>
        <v/>
      </c>
      <c r="BF260" t="str" cm="1">
        <f t="array" ref="BF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F260)),""))</f>
        <v/>
      </c>
      <c r="BG260" t="str" cm="1">
        <f t="array" ref="BG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G260)),""))</f>
        <v/>
      </c>
      <c r="BH260" t="str" cm="1">
        <f t="array" ref="BH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H260)),""))</f>
        <v/>
      </c>
      <c r="BI260" t="str" cm="1">
        <f t="array" ref="BI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I260)),""))</f>
        <v/>
      </c>
      <c r="BJ260" t="str" cm="1">
        <f t="array" ref="BJ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J260)),""))</f>
        <v/>
      </c>
      <c r="BK260" t="str" cm="1">
        <f t="array" ref="BK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K260)),""))</f>
        <v/>
      </c>
      <c r="BL260" t="str" cm="1">
        <f t="array" ref="BL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L260)),""))</f>
        <v/>
      </c>
      <c r="BM260" t="str" cm="1">
        <f t="array" ref="BM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M260)),""))</f>
        <v/>
      </c>
      <c r="BN260" t="str" cm="1">
        <f t="array" ref="BN260">IF(COUNTIFS(Calc_Anclaje!$A$5:$A$1058,$B$2,Calc_Anclaje!$H$5:$H$1058,VALUE(SUBSTITUTE($AJ260,"d-","")),Calc_Anclaje!$K$5:$K$1058,"&gt;5")&lt;5,"",IFERROR(INDEX(_xlfn._xlws.FILTER(Calc_Anclaje!$O$5:$O$1058,(Calc_Anclaje!$A$5:$A$1058=$B$2)*(Calc_Anclaje!$H$5:$H$1058=VALUE(SUBSTITUTE($AJ260,"d-","")))*(Calc_Anclaje!$K$5:$K$1058&gt;5)),COLUMNS($AK260:BN260)),""))</f>
        <v/>
      </c>
    </row>
    <row r="261" spans="1:66">
      <c r="A261" s="52" t="str" cm="1">
        <f t="array" ref="A261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261)),""))</f>
        <v/>
      </c>
      <c r="B261" s="52" t="str" cm="1">
        <f t="array" ref="B261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261)),""))</f>
        <v/>
      </c>
      <c r="C261" s="52" t="str" cm="1">
        <f t="array" ref="C261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261)),""))</f>
        <v/>
      </c>
      <c r="D261" s="52" t="str" cm="1">
        <f t="array" ref="D261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261)),""))</f>
        <v/>
      </c>
      <c r="E261" s="52" t="str" cm="1">
        <f t="array" ref="E261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261)),""))</f>
        <v/>
      </c>
      <c r="F261" s="52" t="str" cm="1">
        <f t="array" ref="F261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261)),""))</f>
        <v/>
      </c>
      <c r="G261" s="52" t="str" cm="1">
        <f t="array" ref="G261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261)),""))</f>
        <v/>
      </c>
      <c r="H261" s="52" t="str" cm="1">
        <f t="array" ref="H261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261)),""))</f>
        <v/>
      </c>
      <c r="I261" s="52" t="str" cm="1">
        <f t="array" ref="I261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261)),""))</f>
        <v/>
      </c>
      <c r="J261" s="52" t="str" cm="1">
        <f t="array" ref="J261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261)),""))</f>
        <v/>
      </c>
      <c r="K261" s="52" t="str" cm="1">
        <f t="array" ref="K261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261)),""))</f>
        <v/>
      </c>
      <c r="L261" s="52" cm="1">
        <f t="array" ref="L261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261)),""))</f>
        <v>9.9999999999999645E-2</v>
      </c>
      <c r="M261" s="52" cm="1">
        <f t="array" ref="M261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261)),""))</f>
        <v>0.20000000000000018</v>
      </c>
      <c r="N261" s="52" cm="1">
        <f t="array" ref="N261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261)),""))</f>
        <v>9.9999999999999645E-2</v>
      </c>
      <c r="O261" s="52" cm="1">
        <f t="array" ref="O261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261)),""))</f>
        <v>0</v>
      </c>
      <c r="P261" s="52" cm="1">
        <f t="array" ref="P261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261)),""))</f>
        <v>0.30000000000000071</v>
      </c>
      <c r="Q261" s="52" cm="1">
        <f t="array" ref="Q261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261)),""))</f>
        <v>9.9999999999999645E-2</v>
      </c>
      <c r="AJ261" t="str">
        <v>d-9</v>
      </c>
      <c r="AK261">
        <v>-0.89999999999999947</v>
      </c>
      <c r="AP261" t="str">
        <v>d-3</v>
      </c>
      <c r="AQ261">
        <v>-0.70000000000000018</v>
      </c>
      <c r="AU261" t="str" cm="1">
        <f t="array" ref="AU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U261)),""))</f>
        <v/>
      </c>
      <c r="AV261" t="str" cm="1">
        <f t="array" ref="AV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V261)),""))</f>
        <v/>
      </c>
      <c r="AW261" t="str" cm="1">
        <f t="array" ref="AW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W261)),""))</f>
        <v/>
      </c>
      <c r="AX261" t="str" cm="1">
        <f t="array" ref="AX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X261)),""))</f>
        <v/>
      </c>
      <c r="AY261" t="str" cm="1">
        <f t="array" ref="AY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Y261)),""))</f>
        <v/>
      </c>
      <c r="AZ261" t="str" cm="1">
        <f t="array" ref="AZ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AZ261)),""))</f>
        <v/>
      </c>
      <c r="BA261" t="str" cm="1">
        <f t="array" ref="BA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A261)),""))</f>
        <v/>
      </c>
      <c r="BB261" t="str" cm="1">
        <f t="array" ref="BB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B261)),""))</f>
        <v/>
      </c>
      <c r="BC261" t="str" cm="1">
        <f t="array" ref="BC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C261)),""))</f>
        <v/>
      </c>
      <c r="BD261" t="str" cm="1">
        <f t="array" ref="BD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D261)),""))</f>
        <v/>
      </c>
      <c r="BE261" t="str" cm="1">
        <f t="array" ref="BE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E261)),""))</f>
        <v/>
      </c>
      <c r="BF261" t="str" cm="1">
        <f t="array" ref="BF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F261)),""))</f>
        <v/>
      </c>
      <c r="BG261" t="str" cm="1">
        <f t="array" ref="BG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G261)),""))</f>
        <v/>
      </c>
      <c r="BH261" t="str" cm="1">
        <f t="array" ref="BH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H261)),""))</f>
        <v/>
      </c>
      <c r="BI261" t="str" cm="1">
        <f t="array" ref="BI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I261)),""))</f>
        <v/>
      </c>
      <c r="BJ261" t="str" cm="1">
        <f t="array" ref="BJ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J261)),""))</f>
        <v/>
      </c>
      <c r="BK261" t="str" cm="1">
        <f t="array" ref="BK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K261)),""))</f>
        <v/>
      </c>
      <c r="BL261" t="str" cm="1">
        <f t="array" ref="BL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L261)),""))</f>
        <v/>
      </c>
      <c r="BM261" t="str" cm="1">
        <f t="array" ref="BM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M261)),""))</f>
        <v/>
      </c>
      <c r="BN261" t="str" cm="1">
        <f t="array" ref="BN261">IF(COUNTIFS(Calc_Anclaje!$A$5:$A$1058,$B$2,Calc_Anclaje!$H$5:$H$1058,VALUE(SUBSTITUTE($AJ261,"d-","")),Calc_Anclaje!$K$5:$K$1058,"&gt;5")&lt;5,"",IFERROR(INDEX(_xlfn._xlws.FILTER(Calc_Anclaje!$O$5:$O$1058,(Calc_Anclaje!$A$5:$A$1058=$B$2)*(Calc_Anclaje!$H$5:$H$1058=VALUE(SUBSTITUTE($AJ261,"d-","")))*(Calc_Anclaje!$K$5:$K$1058&gt;5)),COLUMNS($AK261:BN261)),""))</f>
        <v/>
      </c>
    </row>
    <row r="262" spans="1:66">
      <c r="A262" s="52" t="str" cm="1">
        <f t="array" ref="A262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262)),""))</f>
        <v/>
      </c>
      <c r="B262" s="52" t="str" cm="1">
        <f t="array" ref="B262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262)),""))</f>
        <v/>
      </c>
      <c r="C262" s="52" t="str" cm="1">
        <f t="array" ref="C262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262)),""))</f>
        <v/>
      </c>
      <c r="D262" s="52" t="str" cm="1">
        <f t="array" ref="D262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262)),""))</f>
        <v/>
      </c>
      <c r="E262" s="52" t="str" cm="1">
        <f t="array" ref="E262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262)),""))</f>
        <v/>
      </c>
      <c r="F262" s="52" t="str" cm="1">
        <f t="array" ref="F262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262)),""))</f>
        <v/>
      </c>
      <c r="G262" s="52" t="str" cm="1">
        <f t="array" ref="G262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262)),""))</f>
        <v/>
      </c>
      <c r="H262" s="52" t="str" cm="1">
        <f t="array" ref="H262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262)),""))</f>
        <v/>
      </c>
      <c r="I262" s="52" t="str" cm="1">
        <f t="array" ref="I262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262)),""))</f>
        <v/>
      </c>
      <c r="J262" s="52" t="str" cm="1">
        <f t="array" ref="J262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262)),""))</f>
        <v/>
      </c>
      <c r="K262" s="52" t="str" cm="1">
        <f t="array" ref="K262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262)),""))</f>
        <v/>
      </c>
      <c r="L262" s="52" t="str" cm="1">
        <f t="array" ref="L262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262)),""))</f>
        <v/>
      </c>
      <c r="M262" s="52" t="str" cm="1">
        <f t="array" ref="M262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262)),""))</f>
        <v/>
      </c>
      <c r="N262" s="52" cm="1">
        <f t="array" ref="N262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262)),""))</f>
        <v>0.70000000000000018</v>
      </c>
      <c r="O262" s="52" cm="1">
        <f t="array" ref="O262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262)),""))</f>
        <v>0.59999999999999964</v>
      </c>
      <c r="P262" s="52" cm="1">
        <f t="array" ref="P262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262)),""))</f>
        <v>0.20000000000000018</v>
      </c>
      <c r="Q262" s="52" cm="1">
        <f t="array" ref="Q262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262)),""))</f>
        <v>0</v>
      </c>
      <c r="AJ262" t="str">
        <v>d-9</v>
      </c>
      <c r="AK262">
        <v>-0.79999999999999982</v>
      </c>
      <c r="AP262" t="str">
        <v>d-3</v>
      </c>
      <c r="AQ262">
        <v>-0.59999999999999964</v>
      </c>
      <c r="AU262" t="str" cm="1">
        <f t="array" ref="AU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U262)),""))</f>
        <v/>
      </c>
      <c r="AV262" t="str" cm="1">
        <f t="array" ref="AV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V262)),""))</f>
        <v/>
      </c>
      <c r="AW262" t="str" cm="1">
        <f t="array" ref="AW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W262)),""))</f>
        <v/>
      </c>
      <c r="AX262" t="str" cm="1">
        <f t="array" ref="AX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X262)),""))</f>
        <v/>
      </c>
      <c r="AY262" t="str" cm="1">
        <f t="array" ref="AY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Y262)),""))</f>
        <v/>
      </c>
      <c r="AZ262" t="str" cm="1">
        <f t="array" ref="AZ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AZ262)),""))</f>
        <v/>
      </c>
      <c r="BA262" t="str" cm="1">
        <f t="array" ref="BA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A262)),""))</f>
        <v/>
      </c>
      <c r="BB262" t="str" cm="1">
        <f t="array" ref="BB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B262)),""))</f>
        <v/>
      </c>
      <c r="BC262" t="str" cm="1">
        <f t="array" ref="BC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C262)),""))</f>
        <v/>
      </c>
      <c r="BD262" t="str" cm="1">
        <f t="array" ref="BD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D262)),""))</f>
        <v/>
      </c>
      <c r="BE262" t="str" cm="1">
        <f t="array" ref="BE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E262)),""))</f>
        <v/>
      </c>
      <c r="BF262" t="str" cm="1">
        <f t="array" ref="BF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F262)),""))</f>
        <v/>
      </c>
      <c r="BG262" t="str" cm="1">
        <f t="array" ref="BG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G262)),""))</f>
        <v/>
      </c>
      <c r="BH262" t="str" cm="1">
        <f t="array" ref="BH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H262)),""))</f>
        <v/>
      </c>
      <c r="BI262" t="str" cm="1">
        <f t="array" ref="BI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I262)),""))</f>
        <v/>
      </c>
      <c r="BJ262" t="str" cm="1">
        <f t="array" ref="BJ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J262)),""))</f>
        <v/>
      </c>
      <c r="BK262" t="str" cm="1">
        <f t="array" ref="BK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K262)),""))</f>
        <v/>
      </c>
      <c r="BL262" t="str" cm="1">
        <f t="array" ref="BL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L262)),""))</f>
        <v/>
      </c>
      <c r="BM262" t="str" cm="1">
        <f t="array" ref="BM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M262)),""))</f>
        <v/>
      </c>
      <c r="BN262" t="str" cm="1">
        <f t="array" ref="BN262">IF(COUNTIFS(Calc_Anclaje!$A$5:$A$1058,$B$2,Calc_Anclaje!$H$5:$H$1058,VALUE(SUBSTITUTE($AJ262,"d-","")),Calc_Anclaje!$K$5:$K$1058,"&gt;5")&lt;5,"",IFERROR(INDEX(_xlfn._xlws.FILTER(Calc_Anclaje!$O$5:$O$1058,(Calc_Anclaje!$A$5:$A$1058=$B$2)*(Calc_Anclaje!$H$5:$H$1058=VALUE(SUBSTITUTE($AJ262,"d-","")))*(Calc_Anclaje!$K$5:$K$1058&gt;5)),COLUMNS($AK262:BN262)),""))</f>
        <v/>
      </c>
    </row>
    <row r="263" spans="1:66">
      <c r="A263" s="52" t="str" cm="1">
        <f t="array" ref="A263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263)),""))</f>
        <v/>
      </c>
      <c r="B263" s="52" t="str" cm="1">
        <f t="array" ref="B263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263)),""))</f>
        <v/>
      </c>
      <c r="C263" s="52" t="str" cm="1">
        <f t="array" ref="C263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263)),""))</f>
        <v/>
      </c>
      <c r="D263" s="52" t="str" cm="1">
        <f t="array" ref="D263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263)),""))</f>
        <v/>
      </c>
      <c r="E263" s="52" t="str" cm="1">
        <f t="array" ref="E263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263)),""))</f>
        <v/>
      </c>
      <c r="F263" s="52" t="str" cm="1">
        <f t="array" ref="F263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263)),""))</f>
        <v/>
      </c>
      <c r="G263" s="52" t="str" cm="1">
        <f t="array" ref="G263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263)),""))</f>
        <v/>
      </c>
      <c r="H263" s="52" t="str" cm="1">
        <f t="array" ref="H263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263)),""))</f>
        <v/>
      </c>
      <c r="I263" s="52" t="str" cm="1">
        <f t="array" ref="I263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263)),""))</f>
        <v/>
      </c>
      <c r="J263" s="52" t="str" cm="1">
        <f t="array" ref="J263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263)),""))</f>
        <v/>
      </c>
      <c r="K263" s="52" t="str" cm="1">
        <f t="array" ref="K263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263)),""))</f>
        <v/>
      </c>
      <c r="L263" s="52" t="str" cm="1">
        <f t="array" ref="L263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263)),""))</f>
        <v/>
      </c>
      <c r="M263" s="52" t="str" cm="1">
        <f t="array" ref="M263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263)),""))</f>
        <v/>
      </c>
      <c r="N263" s="52" t="str" cm="1">
        <f t="array" ref="N263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263)),""))</f>
        <v/>
      </c>
      <c r="O263" s="52" t="str" cm="1">
        <f t="array" ref="O263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263)),""))</f>
        <v/>
      </c>
      <c r="P263" s="52" cm="1">
        <f t="array" ref="P263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263)),""))</f>
        <v>0.29999999999999982</v>
      </c>
      <c r="Q263" s="52" cm="1">
        <f t="array" ref="Q263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263)),""))</f>
        <v>0</v>
      </c>
      <c r="AJ263" t="str">
        <v>d-8</v>
      </c>
      <c r="AK263">
        <v>-5</v>
      </c>
      <c r="AP263" t="str">
        <v>d-2</v>
      </c>
      <c r="AQ263">
        <v>0.40000000000000036</v>
      </c>
      <c r="AU263" t="str" cm="1">
        <f t="array" ref="AU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U263)),""))</f>
        <v/>
      </c>
      <c r="AV263" t="str" cm="1">
        <f t="array" ref="AV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V263)),""))</f>
        <v/>
      </c>
      <c r="AW263" t="str" cm="1">
        <f t="array" ref="AW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W263)),""))</f>
        <v/>
      </c>
      <c r="AX263" t="str" cm="1">
        <f t="array" ref="AX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X263)),""))</f>
        <v/>
      </c>
      <c r="AY263" t="str" cm="1">
        <f t="array" ref="AY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Y263)),""))</f>
        <v/>
      </c>
      <c r="AZ263" t="str" cm="1">
        <f t="array" ref="AZ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AZ263)),""))</f>
        <v/>
      </c>
      <c r="BA263" t="str" cm="1">
        <f t="array" ref="BA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A263)),""))</f>
        <v/>
      </c>
      <c r="BB263" t="str" cm="1">
        <f t="array" ref="BB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B263)),""))</f>
        <v/>
      </c>
      <c r="BC263" t="str" cm="1">
        <f t="array" ref="BC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C263)),""))</f>
        <v/>
      </c>
      <c r="BD263" t="str" cm="1">
        <f t="array" ref="BD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D263)),""))</f>
        <v/>
      </c>
      <c r="BE263" t="str" cm="1">
        <f t="array" ref="BE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E263)),""))</f>
        <v/>
      </c>
      <c r="BF263" t="str" cm="1">
        <f t="array" ref="BF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F263)),""))</f>
        <v/>
      </c>
      <c r="BG263" t="str" cm="1">
        <f t="array" ref="BG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G263)),""))</f>
        <v/>
      </c>
      <c r="BH263" t="str" cm="1">
        <f t="array" ref="BH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H263)),""))</f>
        <v/>
      </c>
      <c r="BI263" t="str" cm="1">
        <f t="array" ref="BI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I263)),""))</f>
        <v/>
      </c>
      <c r="BJ263" t="str" cm="1">
        <f t="array" ref="BJ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J263)),""))</f>
        <v/>
      </c>
      <c r="BK263" t="str" cm="1">
        <f t="array" ref="BK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K263)),""))</f>
        <v/>
      </c>
      <c r="BL263" t="str" cm="1">
        <f t="array" ref="BL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L263)),""))</f>
        <v/>
      </c>
      <c r="BM263" t="str" cm="1">
        <f t="array" ref="BM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M263)),""))</f>
        <v/>
      </c>
      <c r="BN263" t="str" cm="1">
        <f t="array" ref="BN263">IF(COUNTIFS(Calc_Anclaje!$A$5:$A$1058,$B$2,Calc_Anclaje!$H$5:$H$1058,VALUE(SUBSTITUTE($AJ263,"d-","")),Calc_Anclaje!$K$5:$K$1058,"&gt;5")&lt;5,"",IFERROR(INDEX(_xlfn._xlws.FILTER(Calc_Anclaje!$O$5:$O$1058,(Calc_Anclaje!$A$5:$A$1058=$B$2)*(Calc_Anclaje!$H$5:$H$1058=VALUE(SUBSTITUTE($AJ263,"d-","")))*(Calc_Anclaje!$K$5:$K$1058&gt;5)),COLUMNS($AK263:BN263)),""))</f>
        <v/>
      </c>
    </row>
    <row r="264" spans="1:66">
      <c r="A264" s="52" t="str" cm="1">
        <f t="array" ref="A264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264)),""))</f>
        <v/>
      </c>
      <c r="B264" s="52" t="str" cm="1">
        <f t="array" ref="B264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264)),""))</f>
        <v/>
      </c>
      <c r="C264" s="52" t="str" cm="1">
        <f t="array" ref="C264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264)),""))</f>
        <v/>
      </c>
      <c r="D264" s="52" t="str" cm="1">
        <f t="array" ref="D264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264)),""))</f>
        <v/>
      </c>
      <c r="E264" s="52" t="str" cm="1">
        <f t="array" ref="E264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264)),""))</f>
        <v/>
      </c>
      <c r="F264" s="52" t="str" cm="1">
        <f t="array" ref="F264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264)),""))</f>
        <v/>
      </c>
      <c r="G264" s="52" t="str" cm="1">
        <f t="array" ref="G264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264)),""))</f>
        <v/>
      </c>
      <c r="H264" s="52" t="str" cm="1">
        <f t="array" ref="H264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264)),""))</f>
        <v/>
      </c>
      <c r="I264" s="52" t="str" cm="1">
        <f t="array" ref="I264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264)),""))</f>
        <v/>
      </c>
      <c r="J264" s="52" t="str" cm="1">
        <f t="array" ref="J264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264)),""))</f>
        <v/>
      </c>
      <c r="K264" s="52" t="str" cm="1">
        <f t="array" ref="K264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264)),""))</f>
        <v/>
      </c>
      <c r="L264" s="52" t="str" cm="1">
        <f t="array" ref="L264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264)),""))</f>
        <v/>
      </c>
      <c r="M264" s="52" t="str" cm="1">
        <f t="array" ref="M264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264)),""))</f>
        <v/>
      </c>
      <c r="N264" s="52" t="str" cm="1">
        <f t="array" ref="N264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264)),""))</f>
        <v/>
      </c>
      <c r="O264" s="52" t="str" cm="1">
        <f t="array" ref="O264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264)),""))</f>
        <v/>
      </c>
      <c r="P264" s="52" t="str" cm="1">
        <f t="array" ref="P264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264)),""))</f>
        <v/>
      </c>
      <c r="Q264" s="52" t="str" cm="1">
        <f t="array" ref="Q264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264)),""))</f>
        <v/>
      </c>
      <c r="AJ264" t="str">
        <v>d-8</v>
      </c>
      <c r="AK264">
        <v>-4.5</v>
      </c>
      <c r="AP264" t="str">
        <v>d-2</v>
      </c>
      <c r="AQ264">
        <v>0.29999999999999982</v>
      </c>
      <c r="AU264" t="str" cm="1">
        <f t="array" ref="AU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U264)),""))</f>
        <v/>
      </c>
      <c r="AV264" t="str" cm="1">
        <f t="array" ref="AV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V264)),""))</f>
        <v/>
      </c>
      <c r="AW264" t="str" cm="1">
        <f t="array" ref="AW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W264)),""))</f>
        <v/>
      </c>
      <c r="AX264" t="str" cm="1">
        <f t="array" ref="AX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X264)),""))</f>
        <v/>
      </c>
      <c r="AY264" t="str" cm="1">
        <f t="array" ref="AY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Y264)),""))</f>
        <v/>
      </c>
      <c r="AZ264" t="str" cm="1">
        <f t="array" ref="AZ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AZ264)),""))</f>
        <v/>
      </c>
      <c r="BA264" t="str" cm="1">
        <f t="array" ref="BA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A264)),""))</f>
        <v/>
      </c>
      <c r="BB264" t="str" cm="1">
        <f t="array" ref="BB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B264)),""))</f>
        <v/>
      </c>
      <c r="BC264" t="str" cm="1">
        <f t="array" ref="BC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C264)),""))</f>
        <v/>
      </c>
      <c r="BD264" t="str" cm="1">
        <f t="array" ref="BD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D264)),""))</f>
        <v/>
      </c>
      <c r="BE264" t="str" cm="1">
        <f t="array" ref="BE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E264)),""))</f>
        <v/>
      </c>
      <c r="BF264" t="str" cm="1">
        <f t="array" ref="BF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F264)),""))</f>
        <v/>
      </c>
      <c r="BG264" t="str" cm="1">
        <f t="array" ref="BG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G264)),""))</f>
        <v/>
      </c>
      <c r="BH264" t="str" cm="1">
        <f t="array" ref="BH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H264)),""))</f>
        <v/>
      </c>
      <c r="BI264" t="str" cm="1">
        <f t="array" ref="BI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I264)),""))</f>
        <v/>
      </c>
      <c r="BJ264" t="str" cm="1">
        <f t="array" ref="BJ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J264)),""))</f>
        <v/>
      </c>
      <c r="BK264" t="str" cm="1">
        <f t="array" ref="BK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K264)),""))</f>
        <v/>
      </c>
      <c r="BL264" t="str" cm="1">
        <f t="array" ref="BL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L264)),""))</f>
        <v/>
      </c>
      <c r="BM264" t="str" cm="1">
        <f t="array" ref="BM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M264)),""))</f>
        <v/>
      </c>
      <c r="BN264" t="str" cm="1">
        <f t="array" ref="BN264">IF(COUNTIFS(Calc_Anclaje!$A$5:$A$1058,$B$2,Calc_Anclaje!$H$5:$H$1058,VALUE(SUBSTITUTE($AJ264,"d-","")),Calc_Anclaje!$K$5:$K$1058,"&gt;5")&lt;5,"",IFERROR(INDEX(_xlfn._xlws.FILTER(Calc_Anclaje!$O$5:$O$1058,(Calc_Anclaje!$A$5:$A$1058=$B$2)*(Calc_Anclaje!$H$5:$H$1058=VALUE(SUBSTITUTE($AJ264,"d-","")))*(Calc_Anclaje!$K$5:$K$1058&gt;5)),COLUMNS($AK264:BN264)),""))</f>
        <v/>
      </c>
    </row>
    <row r="265" spans="1:66">
      <c r="A265" s="52" t="str" cm="1">
        <f t="array" ref="A265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265)),""))</f>
        <v/>
      </c>
      <c r="B265" s="52" t="str" cm="1">
        <f t="array" ref="B265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265)),""))</f>
        <v/>
      </c>
      <c r="C265" s="52" t="str" cm="1">
        <f t="array" ref="C265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265)),""))</f>
        <v/>
      </c>
      <c r="D265" s="52" t="str" cm="1">
        <f t="array" ref="D265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265)),""))</f>
        <v/>
      </c>
      <c r="E265" s="52" t="str" cm="1">
        <f t="array" ref="E265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265)),""))</f>
        <v/>
      </c>
      <c r="F265" s="52" t="str" cm="1">
        <f t="array" ref="F265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265)),""))</f>
        <v/>
      </c>
      <c r="G265" s="52" t="str" cm="1">
        <f t="array" ref="G265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265)),""))</f>
        <v/>
      </c>
      <c r="H265" s="52" t="str" cm="1">
        <f t="array" ref="H265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265)),""))</f>
        <v/>
      </c>
      <c r="I265" s="52" t="str" cm="1">
        <f t="array" ref="I265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265)),""))</f>
        <v/>
      </c>
      <c r="J265" s="52" t="str" cm="1">
        <f t="array" ref="J265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265)),""))</f>
        <v/>
      </c>
      <c r="K265" s="52" t="str" cm="1">
        <f t="array" ref="K265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265)),""))</f>
        <v/>
      </c>
      <c r="L265" s="52" t="str" cm="1">
        <f t="array" ref="L265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265)),""))</f>
        <v/>
      </c>
      <c r="M265" s="52" t="str" cm="1">
        <f t="array" ref="M265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265)),""))</f>
        <v/>
      </c>
      <c r="N265" s="52" t="str" cm="1">
        <f t="array" ref="N265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265)),""))</f>
        <v/>
      </c>
      <c r="O265" s="52" t="str" cm="1">
        <f t="array" ref="O265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265)),""))</f>
        <v/>
      </c>
      <c r="P265" s="52" t="str" cm="1">
        <f t="array" ref="P265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265)),""))</f>
        <v/>
      </c>
      <c r="Q265" s="52" t="str" cm="1">
        <f t="array" ref="Q265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265)),""))</f>
        <v/>
      </c>
      <c r="AJ265" t="str">
        <v>d-8</v>
      </c>
      <c r="AK265">
        <v>-3</v>
      </c>
      <c r="AP265" t="str">
        <v>d-2</v>
      </c>
      <c r="AQ265">
        <v>-0.29999999999999982</v>
      </c>
      <c r="AU265" t="str" cm="1">
        <f t="array" ref="AU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U265)),""))</f>
        <v/>
      </c>
      <c r="AV265" t="str" cm="1">
        <f t="array" ref="AV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V265)),""))</f>
        <v/>
      </c>
      <c r="AW265" t="str" cm="1">
        <f t="array" ref="AW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W265)),""))</f>
        <v/>
      </c>
      <c r="AX265" t="str" cm="1">
        <f t="array" ref="AX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X265)),""))</f>
        <v/>
      </c>
      <c r="AY265" t="str" cm="1">
        <f t="array" ref="AY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Y265)),""))</f>
        <v/>
      </c>
      <c r="AZ265" t="str" cm="1">
        <f t="array" ref="AZ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AZ265)),""))</f>
        <v/>
      </c>
      <c r="BA265" t="str" cm="1">
        <f t="array" ref="BA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A265)),""))</f>
        <v/>
      </c>
      <c r="BB265" t="str" cm="1">
        <f t="array" ref="BB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B265)),""))</f>
        <v/>
      </c>
      <c r="BC265" t="str" cm="1">
        <f t="array" ref="BC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C265)),""))</f>
        <v/>
      </c>
      <c r="BD265" t="str" cm="1">
        <f t="array" ref="BD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D265)),""))</f>
        <v/>
      </c>
      <c r="BE265" t="str" cm="1">
        <f t="array" ref="BE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E265)),""))</f>
        <v/>
      </c>
      <c r="BF265" t="str" cm="1">
        <f t="array" ref="BF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F265)),""))</f>
        <v/>
      </c>
      <c r="BG265" t="str" cm="1">
        <f t="array" ref="BG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G265)),""))</f>
        <v/>
      </c>
      <c r="BH265" t="str" cm="1">
        <f t="array" ref="BH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H265)),""))</f>
        <v/>
      </c>
      <c r="BI265" t="str" cm="1">
        <f t="array" ref="BI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I265)),""))</f>
        <v/>
      </c>
      <c r="BJ265" t="str" cm="1">
        <f t="array" ref="BJ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J265)),""))</f>
        <v/>
      </c>
      <c r="BK265" t="str" cm="1">
        <f t="array" ref="BK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K265)),""))</f>
        <v/>
      </c>
      <c r="BL265" t="str" cm="1">
        <f t="array" ref="BL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L265)),""))</f>
        <v/>
      </c>
      <c r="BM265" t="str" cm="1">
        <f t="array" ref="BM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M265)),""))</f>
        <v/>
      </c>
      <c r="BN265" t="str" cm="1">
        <f t="array" ref="BN265">IF(COUNTIFS(Calc_Anclaje!$A$5:$A$1058,$B$2,Calc_Anclaje!$H$5:$H$1058,VALUE(SUBSTITUTE($AJ265,"d-","")),Calc_Anclaje!$K$5:$K$1058,"&gt;5")&lt;5,"",IFERROR(INDEX(_xlfn._xlws.FILTER(Calc_Anclaje!$O$5:$O$1058,(Calc_Anclaje!$A$5:$A$1058=$B$2)*(Calc_Anclaje!$H$5:$H$1058=VALUE(SUBSTITUTE($AJ265,"d-","")))*(Calc_Anclaje!$K$5:$K$1058&gt;5)),COLUMNS($AK265:BN265)),""))</f>
        <v/>
      </c>
    </row>
    <row r="266" spans="1:66">
      <c r="A266" s="52" t="str" cm="1">
        <f t="array" ref="A266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266)),""))</f>
        <v/>
      </c>
      <c r="B266" s="52" t="str" cm="1">
        <f t="array" ref="B266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266)),""))</f>
        <v/>
      </c>
      <c r="C266" s="52" t="str" cm="1">
        <f t="array" ref="C266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266)),""))</f>
        <v/>
      </c>
      <c r="D266" s="52" t="str" cm="1">
        <f t="array" ref="D266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266)),""))</f>
        <v/>
      </c>
      <c r="E266" s="52" t="str" cm="1">
        <f t="array" ref="E266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266)),""))</f>
        <v/>
      </c>
      <c r="F266" s="52" t="str" cm="1">
        <f t="array" ref="F266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266)),""))</f>
        <v/>
      </c>
      <c r="G266" s="52" t="str" cm="1">
        <f t="array" ref="G266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266)),""))</f>
        <v/>
      </c>
      <c r="H266" s="52" t="str" cm="1">
        <f t="array" ref="H266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266)),""))</f>
        <v/>
      </c>
      <c r="I266" s="52" t="str" cm="1">
        <f t="array" ref="I266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266)),""))</f>
        <v/>
      </c>
      <c r="J266" s="52" t="str" cm="1">
        <f t="array" ref="J266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266)),""))</f>
        <v/>
      </c>
      <c r="K266" s="52" t="str" cm="1">
        <f t="array" ref="K266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266)),""))</f>
        <v/>
      </c>
      <c r="L266" s="52" t="str" cm="1">
        <f t="array" ref="L266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266)),""))</f>
        <v/>
      </c>
      <c r="M266" s="52" t="str" cm="1">
        <f t="array" ref="M266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266)),""))</f>
        <v/>
      </c>
      <c r="N266" s="52" t="str" cm="1">
        <f t="array" ref="N266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266)),""))</f>
        <v/>
      </c>
      <c r="O266" s="52" t="str" cm="1">
        <f t="array" ref="O266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266)),""))</f>
        <v/>
      </c>
      <c r="P266" s="52" t="str" cm="1">
        <f t="array" ref="P266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266)),""))</f>
        <v/>
      </c>
      <c r="Q266" s="52" t="str" cm="1">
        <f t="array" ref="Q266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266)),""))</f>
        <v/>
      </c>
      <c r="AJ266" t="str">
        <v>d-8</v>
      </c>
      <c r="AK266">
        <v>-1.2999999999999998</v>
      </c>
      <c r="AP266" t="str">
        <v>d-2</v>
      </c>
      <c r="AQ266">
        <v>-0.39999999999999947</v>
      </c>
      <c r="AU266" t="str" cm="1">
        <f t="array" ref="AU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U266)),""))</f>
        <v/>
      </c>
      <c r="AV266" t="str" cm="1">
        <f t="array" ref="AV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V266)),""))</f>
        <v/>
      </c>
      <c r="AW266" t="str" cm="1">
        <f t="array" ref="AW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W266)),""))</f>
        <v/>
      </c>
      <c r="AX266" t="str" cm="1">
        <f t="array" ref="AX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X266)),""))</f>
        <v/>
      </c>
      <c r="AY266" t="str" cm="1">
        <f t="array" ref="AY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Y266)),""))</f>
        <v/>
      </c>
      <c r="AZ266" t="str" cm="1">
        <f t="array" ref="AZ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AZ266)),""))</f>
        <v/>
      </c>
      <c r="BA266" t="str" cm="1">
        <f t="array" ref="BA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A266)),""))</f>
        <v/>
      </c>
      <c r="BB266" t="str" cm="1">
        <f t="array" ref="BB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B266)),""))</f>
        <v/>
      </c>
      <c r="BC266" t="str" cm="1">
        <f t="array" ref="BC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C266)),""))</f>
        <v/>
      </c>
      <c r="BD266" t="str" cm="1">
        <f t="array" ref="BD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D266)),""))</f>
        <v/>
      </c>
      <c r="BE266" t="str" cm="1">
        <f t="array" ref="BE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E266)),""))</f>
        <v/>
      </c>
      <c r="BF266" t="str" cm="1">
        <f t="array" ref="BF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F266)),""))</f>
        <v/>
      </c>
      <c r="BG266" t="str" cm="1">
        <f t="array" ref="BG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G266)),""))</f>
        <v/>
      </c>
      <c r="BH266" t="str" cm="1">
        <f t="array" ref="BH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H266)),""))</f>
        <v/>
      </c>
      <c r="BI266" t="str" cm="1">
        <f t="array" ref="BI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I266)),""))</f>
        <v/>
      </c>
      <c r="BJ266" t="str" cm="1">
        <f t="array" ref="BJ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J266)),""))</f>
        <v/>
      </c>
      <c r="BK266" t="str" cm="1">
        <f t="array" ref="BK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K266)),""))</f>
        <v/>
      </c>
      <c r="BL266" t="str" cm="1">
        <f t="array" ref="BL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L266)),""))</f>
        <v/>
      </c>
      <c r="BM266" t="str" cm="1">
        <f t="array" ref="BM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M266)),""))</f>
        <v/>
      </c>
      <c r="BN266" t="str" cm="1">
        <f t="array" ref="BN266">IF(COUNTIFS(Calc_Anclaje!$A$5:$A$1058,$B$2,Calc_Anclaje!$H$5:$H$1058,VALUE(SUBSTITUTE($AJ266,"d-","")),Calc_Anclaje!$K$5:$K$1058,"&gt;5")&lt;5,"",IFERROR(INDEX(_xlfn._xlws.FILTER(Calc_Anclaje!$O$5:$O$1058,(Calc_Anclaje!$A$5:$A$1058=$B$2)*(Calc_Anclaje!$H$5:$H$1058=VALUE(SUBSTITUTE($AJ266,"d-","")))*(Calc_Anclaje!$K$5:$K$1058&gt;5)),COLUMNS($AK266:BN266)),""))</f>
        <v/>
      </c>
    </row>
    <row r="267" spans="1:66">
      <c r="A267" s="52" t="str" cm="1">
        <f t="array" ref="A267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267)),""))</f>
        <v/>
      </c>
      <c r="B267" s="52" t="str" cm="1">
        <f t="array" ref="B267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267)),""))</f>
        <v/>
      </c>
      <c r="C267" s="52" t="str" cm="1">
        <f t="array" ref="C267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267)),""))</f>
        <v/>
      </c>
      <c r="D267" s="52" t="str" cm="1">
        <f t="array" ref="D267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267)),""))</f>
        <v/>
      </c>
      <c r="E267" s="52" t="str" cm="1">
        <f t="array" ref="E267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267)),""))</f>
        <v/>
      </c>
      <c r="F267" s="52" t="str" cm="1">
        <f t="array" ref="F267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267)),""))</f>
        <v/>
      </c>
      <c r="G267" s="52" t="str" cm="1">
        <f t="array" ref="G267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267)),""))</f>
        <v/>
      </c>
      <c r="H267" s="52" t="str" cm="1">
        <f t="array" ref="H267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267)),""))</f>
        <v/>
      </c>
      <c r="I267" s="52" t="str" cm="1">
        <f t="array" ref="I267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267)),""))</f>
        <v/>
      </c>
      <c r="J267" s="52" t="str" cm="1">
        <f t="array" ref="J267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267)),""))</f>
        <v/>
      </c>
      <c r="K267" s="52" t="str" cm="1">
        <f t="array" ref="K267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267)),""))</f>
        <v/>
      </c>
      <c r="L267" s="52" t="str" cm="1">
        <f t="array" ref="L267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267)),""))</f>
        <v/>
      </c>
      <c r="M267" s="52" t="str" cm="1">
        <f t="array" ref="M267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267)),""))</f>
        <v/>
      </c>
      <c r="N267" s="52" t="str" cm="1">
        <f t="array" ref="N267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267)),""))</f>
        <v/>
      </c>
      <c r="O267" s="52" t="str" cm="1">
        <f t="array" ref="O267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267)),""))</f>
        <v/>
      </c>
      <c r="P267" s="52" t="str" cm="1">
        <f t="array" ref="P267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267)),""))</f>
        <v/>
      </c>
      <c r="Q267" s="52" t="str" cm="1">
        <f t="array" ref="Q267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267)),""))</f>
        <v/>
      </c>
      <c r="AJ267" t="str">
        <v>d-8</v>
      </c>
      <c r="AK267">
        <v>0.20000000000000018</v>
      </c>
      <c r="AP267" t="str">
        <v>d-2</v>
      </c>
      <c r="AQ267">
        <v>-0.5</v>
      </c>
      <c r="AU267" t="str" cm="1">
        <f t="array" ref="AU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U267)),""))</f>
        <v/>
      </c>
      <c r="AV267" t="str" cm="1">
        <f t="array" ref="AV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V267)),""))</f>
        <v/>
      </c>
      <c r="AW267" t="str" cm="1">
        <f t="array" ref="AW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W267)),""))</f>
        <v/>
      </c>
      <c r="AX267" t="str" cm="1">
        <f t="array" ref="AX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X267)),""))</f>
        <v/>
      </c>
      <c r="AY267" t="str" cm="1">
        <f t="array" ref="AY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Y267)),""))</f>
        <v/>
      </c>
      <c r="AZ267" t="str" cm="1">
        <f t="array" ref="AZ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AZ267)),""))</f>
        <v/>
      </c>
      <c r="BA267" t="str" cm="1">
        <f t="array" ref="BA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A267)),""))</f>
        <v/>
      </c>
      <c r="BB267" t="str" cm="1">
        <f t="array" ref="BB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B267)),""))</f>
        <v/>
      </c>
      <c r="BC267" t="str" cm="1">
        <f t="array" ref="BC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C267)),""))</f>
        <v/>
      </c>
      <c r="BD267" t="str" cm="1">
        <f t="array" ref="BD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D267)),""))</f>
        <v/>
      </c>
      <c r="BE267" t="str" cm="1">
        <f t="array" ref="BE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E267)),""))</f>
        <v/>
      </c>
      <c r="BF267" t="str" cm="1">
        <f t="array" ref="BF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F267)),""))</f>
        <v/>
      </c>
      <c r="BG267" t="str" cm="1">
        <f t="array" ref="BG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G267)),""))</f>
        <v/>
      </c>
      <c r="BH267" t="str" cm="1">
        <f t="array" ref="BH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H267)),""))</f>
        <v/>
      </c>
      <c r="BI267" t="str" cm="1">
        <f t="array" ref="BI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I267)),""))</f>
        <v/>
      </c>
      <c r="BJ267" t="str" cm="1">
        <f t="array" ref="BJ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J267)),""))</f>
        <v/>
      </c>
      <c r="BK267" t="str" cm="1">
        <f t="array" ref="BK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K267)),""))</f>
        <v/>
      </c>
      <c r="BL267" t="str" cm="1">
        <f t="array" ref="BL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L267)),""))</f>
        <v/>
      </c>
      <c r="BM267" t="str" cm="1">
        <f t="array" ref="BM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M267)),""))</f>
        <v/>
      </c>
      <c r="BN267" t="str" cm="1">
        <f t="array" ref="BN267">IF(COUNTIFS(Calc_Anclaje!$A$5:$A$1058,$B$2,Calc_Anclaje!$H$5:$H$1058,VALUE(SUBSTITUTE($AJ267,"d-","")),Calc_Anclaje!$K$5:$K$1058,"&gt;5")&lt;5,"",IFERROR(INDEX(_xlfn._xlws.FILTER(Calc_Anclaje!$O$5:$O$1058,(Calc_Anclaje!$A$5:$A$1058=$B$2)*(Calc_Anclaje!$H$5:$H$1058=VALUE(SUBSTITUTE($AJ267,"d-","")))*(Calc_Anclaje!$K$5:$K$1058&gt;5)),COLUMNS($AK267:BN267)),""))</f>
        <v/>
      </c>
    </row>
    <row r="268" spans="1:66">
      <c r="A268" s="52" t="str" cm="1">
        <f t="array" ref="A268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268)),""))</f>
        <v/>
      </c>
      <c r="B268" s="52" t="str" cm="1">
        <f t="array" ref="B268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268)),""))</f>
        <v/>
      </c>
      <c r="C268" s="52" t="str" cm="1">
        <f t="array" ref="C268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268)),""))</f>
        <v/>
      </c>
      <c r="D268" s="52" t="str" cm="1">
        <f t="array" ref="D268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268)),""))</f>
        <v/>
      </c>
      <c r="E268" s="52" t="str" cm="1">
        <f t="array" ref="E268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268)),""))</f>
        <v/>
      </c>
      <c r="F268" s="52" t="str" cm="1">
        <f t="array" ref="F268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268)),""))</f>
        <v/>
      </c>
      <c r="G268" s="52" t="str" cm="1">
        <f t="array" ref="G268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268)),""))</f>
        <v/>
      </c>
      <c r="H268" s="52" t="str" cm="1">
        <f t="array" ref="H268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268)),""))</f>
        <v/>
      </c>
      <c r="I268" s="52" t="str" cm="1">
        <f t="array" ref="I268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268)),""))</f>
        <v/>
      </c>
      <c r="J268" s="52" t="str" cm="1">
        <f t="array" ref="J268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268)),""))</f>
        <v/>
      </c>
      <c r="K268" s="52" t="str" cm="1">
        <f t="array" ref="K268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268)),""))</f>
        <v/>
      </c>
      <c r="L268" s="52" t="str" cm="1">
        <f t="array" ref="L268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268)),""))</f>
        <v/>
      </c>
      <c r="M268" s="52" t="str" cm="1">
        <f t="array" ref="M268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268)),""))</f>
        <v/>
      </c>
      <c r="N268" s="52" t="str" cm="1">
        <f t="array" ref="N268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268)),""))</f>
        <v/>
      </c>
      <c r="O268" s="52" t="str" cm="1">
        <f t="array" ref="O268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268)),""))</f>
        <v/>
      </c>
      <c r="P268" s="52" t="str" cm="1">
        <f t="array" ref="P268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268)),""))</f>
        <v/>
      </c>
      <c r="Q268" s="52" t="str" cm="1">
        <f t="array" ref="Q268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268)),""))</f>
        <v/>
      </c>
      <c r="AJ268" t="str">
        <v>d-8</v>
      </c>
      <c r="AK268">
        <v>-0.20000000000000018</v>
      </c>
      <c r="AP268" t="str">
        <v>d-2</v>
      </c>
      <c r="AQ268">
        <v>-0.20000000000000018</v>
      </c>
      <c r="AU268" t="str" cm="1">
        <f t="array" ref="AU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U268)),""))</f>
        <v/>
      </c>
      <c r="AV268" t="str" cm="1">
        <f t="array" ref="AV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V268)),""))</f>
        <v/>
      </c>
      <c r="AW268" t="str" cm="1">
        <f t="array" ref="AW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W268)),""))</f>
        <v/>
      </c>
      <c r="AX268" t="str" cm="1">
        <f t="array" ref="AX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X268)),""))</f>
        <v/>
      </c>
      <c r="AY268" t="str" cm="1">
        <f t="array" ref="AY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Y268)),""))</f>
        <v/>
      </c>
      <c r="AZ268" t="str" cm="1">
        <f t="array" ref="AZ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AZ268)),""))</f>
        <v/>
      </c>
      <c r="BA268" t="str" cm="1">
        <f t="array" ref="BA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A268)),""))</f>
        <v/>
      </c>
      <c r="BB268" t="str" cm="1">
        <f t="array" ref="BB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B268)),""))</f>
        <v/>
      </c>
      <c r="BC268" t="str" cm="1">
        <f t="array" ref="BC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C268)),""))</f>
        <v/>
      </c>
      <c r="BD268" t="str" cm="1">
        <f t="array" ref="BD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D268)),""))</f>
        <v/>
      </c>
      <c r="BE268" t="str" cm="1">
        <f t="array" ref="BE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E268)),""))</f>
        <v/>
      </c>
      <c r="BF268" t="str" cm="1">
        <f t="array" ref="BF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F268)),""))</f>
        <v/>
      </c>
      <c r="BG268" t="str" cm="1">
        <f t="array" ref="BG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G268)),""))</f>
        <v/>
      </c>
      <c r="BH268" t="str" cm="1">
        <f t="array" ref="BH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H268)),""))</f>
        <v/>
      </c>
      <c r="BI268" t="str" cm="1">
        <f t="array" ref="BI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I268)),""))</f>
        <v/>
      </c>
      <c r="BJ268" t="str" cm="1">
        <f t="array" ref="BJ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J268)),""))</f>
        <v/>
      </c>
      <c r="BK268" t="str" cm="1">
        <f t="array" ref="BK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K268)),""))</f>
        <v/>
      </c>
      <c r="BL268" t="str" cm="1">
        <f t="array" ref="BL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L268)),""))</f>
        <v/>
      </c>
      <c r="BM268" t="str" cm="1">
        <f t="array" ref="BM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M268)),""))</f>
        <v/>
      </c>
      <c r="BN268" t="str" cm="1">
        <f t="array" ref="BN268">IF(COUNTIFS(Calc_Anclaje!$A$5:$A$1058,$B$2,Calc_Anclaje!$H$5:$H$1058,VALUE(SUBSTITUTE($AJ268,"d-","")),Calc_Anclaje!$K$5:$K$1058,"&gt;5")&lt;5,"",IFERROR(INDEX(_xlfn._xlws.FILTER(Calc_Anclaje!$O$5:$O$1058,(Calc_Anclaje!$A$5:$A$1058=$B$2)*(Calc_Anclaje!$H$5:$H$1058=VALUE(SUBSTITUTE($AJ268,"d-","")))*(Calc_Anclaje!$K$5:$K$1058&gt;5)),COLUMNS($AK268:BN268)),""))</f>
        <v/>
      </c>
    </row>
    <row r="269" spans="1:66">
      <c r="A269" s="52" t="str" cm="1">
        <f t="array" ref="A269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269)),""))</f>
        <v/>
      </c>
      <c r="B269" s="52" t="str" cm="1">
        <f t="array" ref="B269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269)),""))</f>
        <v/>
      </c>
      <c r="C269" s="52" t="str" cm="1">
        <f t="array" ref="C269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269)),""))</f>
        <v/>
      </c>
      <c r="D269" s="52" t="str" cm="1">
        <f t="array" ref="D269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269)),""))</f>
        <v/>
      </c>
      <c r="E269" s="52" t="str" cm="1">
        <f t="array" ref="E269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269)),""))</f>
        <v/>
      </c>
      <c r="F269" s="52" t="str" cm="1">
        <f t="array" ref="F269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269)),""))</f>
        <v/>
      </c>
      <c r="G269" s="52" t="str" cm="1">
        <f t="array" ref="G269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269)),""))</f>
        <v/>
      </c>
      <c r="H269" s="52" t="str" cm="1">
        <f t="array" ref="H269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269)),""))</f>
        <v/>
      </c>
      <c r="I269" s="52" t="str" cm="1">
        <f t="array" ref="I269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269)),""))</f>
        <v/>
      </c>
      <c r="J269" s="52" t="str" cm="1">
        <f t="array" ref="J269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269)),""))</f>
        <v/>
      </c>
      <c r="K269" s="52" t="str" cm="1">
        <f t="array" ref="K269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269)),""))</f>
        <v/>
      </c>
      <c r="L269" s="52" t="str" cm="1">
        <f t="array" ref="L269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269)),""))</f>
        <v/>
      </c>
      <c r="M269" s="52" t="str" cm="1">
        <f t="array" ref="M269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269)),""))</f>
        <v/>
      </c>
      <c r="N269" s="52" t="str" cm="1">
        <f t="array" ref="N269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269)),""))</f>
        <v/>
      </c>
      <c r="O269" s="52" t="str" cm="1">
        <f t="array" ref="O269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269)),""))</f>
        <v/>
      </c>
      <c r="P269" s="52" t="str" cm="1">
        <f t="array" ref="P269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269)),""))</f>
        <v/>
      </c>
      <c r="Q269" s="52" t="str" cm="1">
        <f t="array" ref="Q269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269)),""))</f>
        <v/>
      </c>
      <c r="AJ269" t="str">
        <v>d-8</v>
      </c>
      <c r="AK269">
        <v>-0.39999999999999947</v>
      </c>
      <c r="AP269" t="str">
        <v>d-2</v>
      </c>
      <c r="AQ269">
        <v>-0.70000000000000018</v>
      </c>
      <c r="AU269" t="str" cm="1">
        <f t="array" ref="AU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U269)),""))</f>
        <v/>
      </c>
      <c r="AV269" t="str" cm="1">
        <f t="array" ref="AV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V269)),""))</f>
        <v/>
      </c>
      <c r="AW269" t="str" cm="1">
        <f t="array" ref="AW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W269)),""))</f>
        <v/>
      </c>
      <c r="AX269" t="str" cm="1">
        <f t="array" ref="AX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X269)),""))</f>
        <v/>
      </c>
      <c r="AY269" t="str" cm="1">
        <f t="array" ref="AY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Y269)),""))</f>
        <v/>
      </c>
      <c r="AZ269" t="str" cm="1">
        <f t="array" ref="AZ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AZ269)),""))</f>
        <v/>
      </c>
      <c r="BA269" t="str" cm="1">
        <f t="array" ref="BA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A269)),""))</f>
        <v/>
      </c>
      <c r="BB269" t="str" cm="1">
        <f t="array" ref="BB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B269)),""))</f>
        <v/>
      </c>
      <c r="BC269" t="str" cm="1">
        <f t="array" ref="BC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C269)),""))</f>
        <v/>
      </c>
      <c r="BD269" t="str" cm="1">
        <f t="array" ref="BD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D269)),""))</f>
        <v/>
      </c>
      <c r="BE269" t="str" cm="1">
        <f t="array" ref="BE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E269)),""))</f>
        <v/>
      </c>
      <c r="BF269" t="str" cm="1">
        <f t="array" ref="BF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F269)),""))</f>
        <v/>
      </c>
      <c r="BG269" t="str" cm="1">
        <f t="array" ref="BG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G269)),""))</f>
        <v/>
      </c>
      <c r="BH269" t="str" cm="1">
        <f t="array" ref="BH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H269)),""))</f>
        <v/>
      </c>
      <c r="BI269" t="str" cm="1">
        <f t="array" ref="BI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I269)),""))</f>
        <v/>
      </c>
      <c r="BJ269" t="str" cm="1">
        <f t="array" ref="BJ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J269)),""))</f>
        <v/>
      </c>
      <c r="BK269" t="str" cm="1">
        <f t="array" ref="BK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K269)),""))</f>
        <v/>
      </c>
      <c r="BL269" t="str" cm="1">
        <f t="array" ref="BL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L269)),""))</f>
        <v/>
      </c>
      <c r="BM269" t="str" cm="1">
        <f t="array" ref="BM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M269)),""))</f>
        <v/>
      </c>
      <c r="BN269" t="str" cm="1">
        <f t="array" ref="BN269">IF(COUNTIFS(Calc_Anclaje!$A$5:$A$1058,$B$2,Calc_Anclaje!$H$5:$H$1058,VALUE(SUBSTITUTE($AJ269,"d-","")),Calc_Anclaje!$K$5:$K$1058,"&gt;5")&lt;5,"",IFERROR(INDEX(_xlfn._xlws.FILTER(Calc_Anclaje!$O$5:$O$1058,(Calc_Anclaje!$A$5:$A$1058=$B$2)*(Calc_Anclaje!$H$5:$H$1058=VALUE(SUBSTITUTE($AJ269,"d-","")))*(Calc_Anclaje!$K$5:$K$1058&gt;5)),COLUMNS($AK269:BN269)),""))</f>
        <v/>
      </c>
    </row>
    <row r="270" spans="1:66">
      <c r="A270" s="52" t="str" cm="1">
        <f t="array" ref="A270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270)),""))</f>
        <v/>
      </c>
      <c r="B270" s="52" t="str" cm="1">
        <f t="array" ref="B270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270)),""))</f>
        <v/>
      </c>
      <c r="C270" s="52" t="str" cm="1">
        <f t="array" ref="C270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270)),""))</f>
        <v/>
      </c>
      <c r="D270" s="52" t="str" cm="1">
        <f t="array" ref="D270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270)),""))</f>
        <v/>
      </c>
      <c r="E270" s="52" t="str" cm="1">
        <f t="array" ref="E270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270)),""))</f>
        <v/>
      </c>
      <c r="F270" s="52" t="str" cm="1">
        <f t="array" ref="F270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270)),""))</f>
        <v/>
      </c>
      <c r="G270" s="52" t="str" cm="1">
        <f t="array" ref="G270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270)),""))</f>
        <v/>
      </c>
      <c r="H270" s="52" t="str" cm="1">
        <f t="array" ref="H270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270)),""))</f>
        <v/>
      </c>
      <c r="I270" s="52" t="str" cm="1">
        <f t="array" ref="I270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270)),""))</f>
        <v/>
      </c>
      <c r="J270" s="52" t="str" cm="1">
        <f t="array" ref="J270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270)),""))</f>
        <v/>
      </c>
      <c r="K270" s="52" t="str" cm="1">
        <f t="array" ref="K270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270)),""))</f>
        <v/>
      </c>
      <c r="L270" s="52" t="str" cm="1">
        <f t="array" ref="L270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270)),""))</f>
        <v/>
      </c>
      <c r="M270" s="52" t="str" cm="1">
        <f t="array" ref="M270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270)),""))</f>
        <v/>
      </c>
      <c r="N270" s="52" t="str" cm="1">
        <f t="array" ref="N270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270)),""))</f>
        <v/>
      </c>
      <c r="O270" s="52" t="str" cm="1">
        <f t="array" ref="O270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270)),""))</f>
        <v/>
      </c>
      <c r="P270" s="52" t="str" cm="1">
        <f t="array" ref="P270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270)),""))</f>
        <v/>
      </c>
      <c r="Q270" s="52" t="str" cm="1">
        <f t="array" ref="Q270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270)),""))</f>
        <v/>
      </c>
      <c r="AJ270" t="str">
        <v>d-8</v>
      </c>
      <c r="AK270">
        <v>-1.0999999999999996</v>
      </c>
      <c r="AP270" t="str">
        <v>d-2</v>
      </c>
      <c r="AQ270">
        <v>-0.39999999999999947</v>
      </c>
      <c r="AU270" t="str" cm="1">
        <f t="array" ref="AU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U270)),""))</f>
        <v/>
      </c>
      <c r="AV270" t="str" cm="1">
        <f t="array" ref="AV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V270)),""))</f>
        <v/>
      </c>
      <c r="AW270" t="str" cm="1">
        <f t="array" ref="AW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W270)),""))</f>
        <v/>
      </c>
      <c r="AX270" t="str" cm="1">
        <f t="array" ref="AX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X270)),""))</f>
        <v/>
      </c>
      <c r="AY270" t="str" cm="1">
        <f t="array" ref="AY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Y270)),""))</f>
        <v/>
      </c>
      <c r="AZ270" t="str" cm="1">
        <f t="array" ref="AZ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AZ270)),""))</f>
        <v/>
      </c>
      <c r="BA270" t="str" cm="1">
        <f t="array" ref="BA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A270)),""))</f>
        <v/>
      </c>
      <c r="BB270" t="str" cm="1">
        <f t="array" ref="BB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B270)),""))</f>
        <v/>
      </c>
      <c r="BC270" t="str" cm="1">
        <f t="array" ref="BC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C270)),""))</f>
        <v/>
      </c>
      <c r="BD270" t="str" cm="1">
        <f t="array" ref="BD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D270)),""))</f>
        <v/>
      </c>
      <c r="BE270" t="str" cm="1">
        <f t="array" ref="BE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E270)),""))</f>
        <v/>
      </c>
      <c r="BF270" t="str" cm="1">
        <f t="array" ref="BF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F270)),""))</f>
        <v/>
      </c>
      <c r="BG270" t="str" cm="1">
        <f t="array" ref="BG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G270)),""))</f>
        <v/>
      </c>
      <c r="BH270" t="str" cm="1">
        <f t="array" ref="BH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H270)),""))</f>
        <v/>
      </c>
      <c r="BI270" t="str" cm="1">
        <f t="array" ref="BI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I270)),""))</f>
        <v/>
      </c>
      <c r="BJ270" t="str" cm="1">
        <f t="array" ref="BJ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J270)),""))</f>
        <v/>
      </c>
      <c r="BK270" t="str" cm="1">
        <f t="array" ref="BK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K270)),""))</f>
        <v/>
      </c>
      <c r="BL270" t="str" cm="1">
        <f t="array" ref="BL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L270)),""))</f>
        <v/>
      </c>
      <c r="BM270" t="str" cm="1">
        <f t="array" ref="BM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M270)),""))</f>
        <v/>
      </c>
      <c r="BN270" t="str" cm="1">
        <f t="array" ref="BN270">IF(COUNTIFS(Calc_Anclaje!$A$5:$A$1058,$B$2,Calc_Anclaje!$H$5:$H$1058,VALUE(SUBSTITUTE($AJ270,"d-","")),Calc_Anclaje!$K$5:$K$1058,"&gt;5")&lt;5,"",IFERROR(INDEX(_xlfn._xlws.FILTER(Calc_Anclaje!$O$5:$O$1058,(Calc_Anclaje!$A$5:$A$1058=$B$2)*(Calc_Anclaje!$H$5:$H$1058=VALUE(SUBSTITUTE($AJ270,"d-","")))*(Calc_Anclaje!$K$5:$K$1058&gt;5)),COLUMNS($AK270:BN270)),""))</f>
        <v/>
      </c>
    </row>
    <row r="271" spans="1:66">
      <c r="A271" s="52" t="str" cm="1">
        <f t="array" ref="A271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271)),""))</f>
        <v/>
      </c>
      <c r="B271" s="52" t="str" cm="1">
        <f t="array" ref="B271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271)),""))</f>
        <v/>
      </c>
      <c r="C271" s="52" t="str" cm="1">
        <f t="array" ref="C271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271)),""))</f>
        <v/>
      </c>
      <c r="D271" s="52" t="str" cm="1">
        <f t="array" ref="D271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271)),""))</f>
        <v/>
      </c>
      <c r="E271" s="52" t="str" cm="1">
        <f t="array" ref="E271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271)),""))</f>
        <v/>
      </c>
      <c r="F271" s="52" t="str" cm="1">
        <f t="array" ref="F271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271)),""))</f>
        <v/>
      </c>
      <c r="G271" s="52" t="str" cm="1">
        <f t="array" ref="G271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271)),""))</f>
        <v/>
      </c>
      <c r="H271" s="52" t="str" cm="1">
        <f t="array" ref="H271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271)),""))</f>
        <v/>
      </c>
      <c r="I271" s="52" t="str" cm="1">
        <f t="array" ref="I271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271)),""))</f>
        <v/>
      </c>
      <c r="J271" s="52" t="str" cm="1">
        <f t="array" ref="J271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271)),""))</f>
        <v/>
      </c>
      <c r="K271" s="52" t="str" cm="1">
        <f t="array" ref="K271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271)),""))</f>
        <v/>
      </c>
      <c r="L271" s="52" t="str" cm="1">
        <f t="array" ref="L271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271)),""))</f>
        <v/>
      </c>
      <c r="M271" s="52" t="str" cm="1">
        <f t="array" ref="M271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271)),""))</f>
        <v/>
      </c>
      <c r="N271" s="52" t="str" cm="1">
        <f t="array" ref="N271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271)),""))</f>
        <v/>
      </c>
      <c r="O271" s="52" t="str" cm="1">
        <f t="array" ref="O271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271)),""))</f>
        <v/>
      </c>
      <c r="P271" s="52" t="str" cm="1">
        <f t="array" ref="P271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271)),""))</f>
        <v/>
      </c>
      <c r="Q271" s="52" t="str" cm="1">
        <f t="array" ref="Q271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271)),""))</f>
        <v/>
      </c>
      <c r="AJ271" t="str">
        <v>d-8</v>
      </c>
      <c r="AK271">
        <v>-1.2999999999999998</v>
      </c>
      <c r="AP271" t="str">
        <v>d-1</v>
      </c>
      <c r="AQ271">
        <v>0.10000000000000053</v>
      </c>
      <c r="AU271" t="str" cm="1">
        <f t="array" ref="AU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U271)),""))</f>
        <v/>
      </c>
      <c r="AV271" t="str" cm="1">
        <f t="array" ref="AV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V271)),""))</f>
        <v/>
      </c>
      <c r="AW271" t="str" cm="1">
        <f t="array" ref="AW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W271)),""))</f>
        <v/>
      </c>
      <c r="AX271" t="str" cm="1">
        <f t="array" ref="AX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X271)),""))</f>
        <v/>
      </c>
      <c r="AY271" t="str" cm="1">
        <f t="array" ref="AY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Y271)),""))</f>
        <v/>
      </c>
      <c r="AZ271" t="str" cm="1">
        <f t="array" ref="AZ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AZ271)),""))</f>
        <v/>
      </c>
      <c r="BA271" t="str" cm="1">
        <f t="array" ref="BA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A271)),""))</f>
        <v/>
      </c>
      <c r="BB271" t="str" cm="1">
        <f t="array" ref="BB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B271)),""))</f>
        <v/>
      </c>
      <c r="BC271" t="str" cm="1">
        <f t="array" ref="BC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C271)),""))</f>
        <v/>
      </c>
      <c r="BD271" t="str" cm="1">
        <f t="array" ref="BD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D271)),""))</f>
        <v/>
      </c>
      <c r="BE271" t="str" cm="1">
        <f t="array" ref="BE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E271)),""))</f>
        <v/>
      </c>
      <c r="BF271" t="str" cm="1">
        <f t="array" ref="BF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F271)),""))</f>
        <v/>
      </c>
      <c r="BG271" t="str" cm="1">
        <f t="array" ref="BG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G271)),""))</f>
        <v/>
      </c>
      <c r="BH271" t="str" cm="1">
        <f t="array" ref="BH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H271)),""))</f>
        <v/>
      </c>
      <c r="BI271" t="str" cm="1">
        <f t="array" ref="BI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I271)),""))</f>
        <v/>
      </c>
      <c r="BJ271" t="str" cm="1">
        <f t="array" ref="BJ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J271)),""))</f>
        <v/>
      </c>
      <c r="BK271" t="str" cm="1">
        <f t="array" ref="BK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K271)),""))</f>
        <v/>
      </c>
      <c r="BL271" t="str" cm="1">
        <f t="array" ref="BL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L271)),""))</f>
        <v/>
      </c>
      <c r="BM271" t="str" cm="1">
        <f t="array" ref="BM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M271)),""))</f>
        <v/>
      </c>
      <c r="BN271" t="str" cm="1">
        <f t="array" ref="BN271">IF(COUNTIFS(Calc_Anclaje!$A$5:$A$1058,$B$2,Calc_Anclaje!$H$5:$H$1058,VALUE(SUBSTITUTE($AJ271,"d-","")),Calc_Anclaje!$K$5:$K$1058,"&gt;5")&lt;5,"",IFERROR(INDEX(_xlfn._xlws.FILTER(Calc_Anclaje!$O$5:$O$1058,(Calc_Anclaje!$A$5:$A$1058=$B$2)*(Calc_Anclaje!$H$5:$H$1058=VALUE(SUBSTITUTE($AJ271,"d-","")))*(Calc_Anclaje!$K$5:$K$1058&gt;5)),COLUMNS($AK271:BN271)),""))</f>
        <v/>
      </c>
    </row>
    <row r="272" spans="1:66">
      <c r="A272" s="52" t="str" cm="1">
        <f t="array" ref="A272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272)),""))</f>
        <v/>
      </c>
      <c r="B272" s="52" t="str" cm="1">
        <f t="array" ref="B272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272)),""))</f>
        <v/>
      </c>
      <c r="C272" s="52" t="str" cm="1">
        <f t="array" ref="C272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272)),""))</f>
        <v/>
      </c>
      <c r="D272" s="52" t="str" cm="1">
        <f t="array" ref="D272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272)),""))</f>
        <v/>
      </c>
      <c r="E272" s="52" t="str" cm="1">
        <f t="array" ref="E272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272)),""))</f>
        <v/>
      </c>
      <c r="F272" s="52" t="str" cm="1">
        <f t="array" ref="F272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272)),""))</f>
        <v/>
      </c>
      <c r="G272" s="52" t="str" cm="1">
        <f t="array" ref="G272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272)),""))</f>
        <v/>
      </c>
      <c r="H272" s="52" t="str" cm="1">
        <f t="array" ref="H272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272)),""))</f>
        <v/>
      </c>
      <c r="I272" s="52" t="str" cm="1">
        <f t="array" ref="I272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272)),""))</f>
        <v/>
      </c>
      <c r="J272" s="52" t="str" cm="1">
        <f t="array" ref="J272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272)),""))</f>
        <v/>
      </c>
      <c r="K272" s="52" t="str" cm="1">
        <f t="array" ref="K272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272)),""))</f>
        <v/>
      </c>
      <c r="L272" s="52" t="str" cm="1">
        <f t="array" ref="L272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272)),""))</f>
        <v/>
      </c>
      <c r="M272" s="52" t="str" cm="1">
        <f t="array" ref="M272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272)),""))</f>
        <v/>
      </c>
      <c r="N272" s="52" t="str" cm="1">
        <f t="array" ref="N272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272)),""))</f>
        <v/>
      </c>
      <c r="O272" s="52" t="str" cm="1">
        <f t="array" ref="O272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272)),""))</f>
        <v/>
      </c>
      <c r="P272" s="52" t="str" cm="1">
        <f t="array" ref="P272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272)),""))</f>
        <v/>
      </c>
      <c r="Q272" s="52" t="str" cm="1">
        <f t="array" ref="Q272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272)),""))</f>
        <v/>
      </c>
      <c r="AJ272" t="str">
        <v>d-8</v>
      </c>
      <c r="AK272">
        <v>-1</v>
      </c>
      <c r="AP272" t="str">
        <v>d-1</v>
      </c>
      <c r="AQ272">
        <v>0</v>
      </c>
    </row>
    <row r="273" spans="1:43">
      <c r="A273" s="52" t="str" cm="1">
        <f t="array" ref="A273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273)),""))</f>
        <v/>
      </c>
      <c r="B273" s="52" t="str" cm="1">
        <f t="array" ref="B273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273)),""))</f>
        <v/>
      </c>
      <c r="C273" s="52" t="str" cm="1">
        <f t="array" ref="C273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273)),""))</f>
        <v/>
      </c>
      <c r="D273" s="52" t="str" cm="1">
        <f t="array" ref="D273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273)),""))</f>
        <v/>
      </c>
      <c r="E273" s="52" t="str" cm="1">
        <f t="array" ref="E273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273)),""))</f>
        <v/>
      </c>
      <c r="F273" s="52" t="str" cm="1">
        <f t="array" ref="F273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273)),""))</f>
        <v/>
      </c>
      <c r="G273" s="52" t="str" cm="1">
        <f t="array" ref="G273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273)),""))</f>
        <v/>
      </c>
      <c r="H273" s="52" t="str" cm="1">
        <f t="array" ref="H273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273)),""))</f>
        <v/>
      </c>
      <c r="I273" s="52" t="str" cm="1">
        <f t="array" ref="I273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273)),""))</f>
        <v/>
      </c>
      <c r="J273" s="52" t="str" cm="1">
        <f t="array" ref="J273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273)),""))</f>
        <v/>
      </c>
      <c r="K273" s="52" t="str" cm="1">
        <f t="array" ref="K273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273)),""))</f>
        <v/>
      </c>
      <c r="L273" s="52" t="str" cm="1">
        <f t="array" ref="L273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273)),""))</f>
        <v/>
      </c>
      <c r="M273" s="52" t="str" cm="1">
        <f t="array" ref="M273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273)),""))</f>
        <v/>
      </c>
      <c r="N273" s="52" t="str" cm="1">
        <f t="array" ref="N273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273)),""))</f>
        <v/>
      </c>
      <c r="O273" s="52" t="str" cm="1">
        <f t="array" ref="O273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273)),""))</f>
        <v/>
      </c>
      <c r="P273" s="52" t="str" cm="1">
        <f t="array" ref="P273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273)),""))</f>
        <v/>
      </c>
      <c r="Q273" s="52" t="str" cm="1">
        <f t="array" ref="Q273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273)),""))</f>
        <v/>
      </c>
      <c r="AJ273" t="str">
        <v>d-8</v>
      </c>
      <c r="AK273">
        <v>-0.5</v>
      </c>
      <c r="AP273" t="str">
        <v>d-1</v>
      </c>
      <c r="AQ273">
        <v>0.10000000000000053</v>
      </c>
    </row>
    <row r="274" spans="1:43">
      <c r="A274" s="52" t="str" cm="1">
        <f t="array" ref="A274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274)),""))</f>
        <v/>
      </c>
      <c r="B274" s="52" t="str" cm="1">
        <f t="array" ref="B274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274)),""))</f>
        <v/>
      </c>
      <c r="C274" s="52" t="str" cm="1">
        <f t="array" ref="C274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274)),""))</f>
        <v/>
      </c>
      <c r="D274" s="52" t="str" cm="1">
        <f t="array" ref="D274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274)),""))</f>
        <v/>
      </c>
      <c r="E274" s="52" t="str" cm="1">
        <f t="array" ref="E274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274)),""))</f>
        <v/>
      </c>
      <c r="F274" s="52" t="str" cm="1">
        <f t="array" ref="F274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274)),""))</f>
        <v/>
      </c>
      <c r="G274" s="52" t="str" cm="1">
        <f t="array" ref="G274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274)),""))</f>
        <v/>
      </c>
      <c r="H274" s="52" t="str" cm="1">
        <f t="array" ref="H274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274)),""))</f>
        <v/>
      </c>
      <c r="I274" s="52" t="str" cm="1">
        <f t="array" ref="I274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274)),""))</f>
        <v/>
      </c>
      <c r="J274" s="52" t="str" cm="1">
        <f t="array" ref="J274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274)),""))</f>
        <v/>
      </c>
      <c r="K274" s="52" t="str" cm="1">
        <f t="array" ref="K274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274)),""))</f>
        <v/>
      </c>
      <c r="L274" s="52" t="str" cm="1">
        <f t="array" ref="L274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274)),""))</f>
        <v/>
      </c>
      <c r="M274" s="52" t="str" cm="1">
        <f t="array" ref="M274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274)),""))</f>
        <v/>
      </c>
      <c r="N274" s="52" t="str" cm="1">
        <f t="array" ref="N274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274)),""))</f>
        <v/>
      </c>
      <c r="O274" s="52" t="str" cm="1">
        <f t="array" ref="O274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274)),""))</f>
        <v/>
      </c>
      <c r="P274" s="52" t="str" cm="1">
        <f t="array" ref="P274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274)),""))</f>
        <v/>
      </c>
      <c r="Q274" s="52" t="str" cm="1">
        <f t="array" ref="Q274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274)),""))</f>
        <v/>
      </c>
      <c r="AJ274" t="str">
        <v>d-8</v>
      </c>
      <c r="AK274">
        <v>-0.90000000000000036</v>
      </c>
      <c r="AP274" t="str">
        <v>d-1</v>
      </c>
      <c r="AQ274">
        <v>-0.20000000000000018</v>
      </c>
    </row>
    <row r="275" spans="1:43">
      <c r="A275" s="52" t="str" cm="1">
        <f t="array" ref="A275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275)),""))</f>
        <v/>
      </c>
      <c r="B275" s="52" t="str" cm="1">
        <f t="array" ref="B275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275)),""))</f>
        <v/>
      </c>
      <c r="C275" s="52" t="str" cm="1">
        <f t="array" ref="C275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275)),""))</f>
        <v/>
      </c>
      <c r="D275" s="52" t="str" cm="1">
        <f t="array" ref="D275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275)),""))</f>
        <v/>
      </c>
      <c r="E275" s="52" t="str" cm="1">
        <f t="array" ref="E275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275)),""))</f>
        <v/>
      </c>
      <c r="F275" s="52" t="str" cm="1">
        <f t="array" ref="F275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275)),""))</f>
        <v/>
      </c>
      <c r="G275" s="52" t="str" cm="1">
        <f t="array" ref="G275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275)),""))</f>
        <v/>
      </c>
      <c r="H275" s="52" t="str" cm="1">
        <f t="array" ref="H275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275)),""))</f>
        <v/>
      </c>
      <c r="I275" s="52" t="str" cm="1">
        <f t="array" ref="I275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275)),""))</f>
        <v/>
      </c>
      <c r="J275" s="52" t="str" cm="1">
        <f t="array" ref="J275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275)),""))</f>
        <v/>
      </c>
      <c r="K275" s="52" t="str" cm="1">
        <f t="array" ref="K275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275)),""))</f>
        <v/>
      </c>
      <c r="L275" s="52" t="str" cm="1">
        <f t="array" ref="L275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275)),""))</f>
        <v/>
      </c>
      <c r="M275" s="52" t="str" cm="1">
        <f t="array" ref="M275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275)),""))</f>
        <v/>
      </c>
      <c r="N275" s="52" t="str" cm="1">
        <f t="array" ref="N275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275)),""))</f>
        <v/>
      </c>
      <c r="O275" s="52" t="str" cm="1">
        <f t="array" ref="O275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275)),""))</f>
        <v/>
      </c>
      <c r="P275" s="52" t="str" cm="1">
        <f t="array" ref="P275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275)),""))</f>
        <v/>
      </c>
      <c r="Q275" s="52" t="str" cm="1">
        <f t="array" ref="Q275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275)),""))</f>
        <v/>
      </c>
      <c r="AJ275" t="str">
        <v>d-8</v>
      </c>
      <c r="AK275">
        <v>-0.5</v>
      </c>
      <c r="AP275" t="str">
        <v>d-1</v>
      </c>
      <c r="AQ275">
        <v>0.20000000000000018</v>
      </c>
    </row>
    <row r="276" spans="1:43">
      <c r="A276" s="52" t="str" cm="1">
        <f t="array" ref="A276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276)),""))</f>
        <v/>
      </c>
      <c r="B276" s="52" t="str" cm="1">
        <f t="array" ref="B276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276)),""))</f>
        <v/>
      </c>
      <c r="C276" s="52" t="str" cm="1">
        <f t="array" ref="C276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276)),""))</f>
        <v/>
      </c>
      <c r="D276" s="52" t="str" cm="1">
        <f t="array" ref="D276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276)),""))</f>
        <v/>
      </c>
      <c r="E276" s="52" t="str" cm="1">
        <f t="array" ref="E276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276)),""))</f>
        <v/>
      </c>
      <c r="F276" s="52" t="str" cm="1">
        <f t="array" ref="F276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276)),""))</f>
        <v/>
      </c>
      <c r="G276" s="52" t="str" cm="1">
        <f t="array" ref="G276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276)),""))</f>
        <v/>
      </c>
      <c r="H276" s="52" t="str" cm="1">
        <f t="array" ref="H276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276)),""))</f>
        <v/>
      </c>
      <c r="I276" s="52" t="str" cm="1">
        <f t="array" ref="I276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276)),""))</f>
        <v/>
      </c>
      <c r="J276" s="52" t="str" cm="1">
        <f t="array" ref="J276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276)),""))</f>
        <v/>
      </c>
      <c r="K276" s="52" t="str" cm="1">
        <f t="array" ref="K276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276)),""))</f>
        <v/>
      </c>
      <c r="L276" s="52" t="str" cm="1">
        <f t="array" ref="L276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276)),""))</f>
        <v/>
      </c>
      <c r="M276" s="52" t="str" cm="1">
        <f t="array" ref="M276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276)),""))</f>
        <v/>
      </c>
      <c r="N276" s="52" t="str" cm="1">
        <f t="array" ref="N276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276)),""))</f>
        <v/>
      </c>
      <c r="O276" s="52" t="str" cm="1">
        <f t="array" ref="O276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276)),""))</f>
        <v/>
      </c>
      <c r="P276" s="52" t="str" cm="1">
        <f t="array" ref="P276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276)),""))</f>
        <v/>
      </c>
      <c r="Q276" s="52" t="str" cm="1">
        <f t="array" ref="Q276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276)),""))</f>
        <v/>
      </c>
      <c r="AJ276" t="str">
        <v>d-8</v>
      </c>
      <c r="AK276">
        <v>-0.40000000000000036</v>
      </c>
      <c r="AP276" t="str">
        <v>d-1</v>
      </c>
      <c r="AQ276">
        <v>0.20000000000000018</v>
      </c>
    </row>
    <row r="277" spans="1:43">
      <c r="A277" s="52" t="str" cm="1">
        <f t="array" ref="A277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277)),""))</f>
        <v/>
      </c>
      <c r="B277" s="52" t="str" cm="1">
        <f t="array" ref="B277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277)),""))</f>
        <v/>
      </c>
      <c r="C277" s="52" t="str" cm="1">
        <f t="array" ref="C277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277)),""))</f>
        <v/>
      </c>
      <c r="D277" s="52" t="str" cm="1">
        <f t="array" ref="D277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277)),""))</f>
        <v/>
      </c>
      <c r="E277" s="52" t="str" cm="1">
        <f t="array" ref="E277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277)),""))</f>
        <v/>
      </c>
      <c r="F277" s="52" t="str" cm="1">
        <f t="array" ref="F277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277)),""))</f>
        <v/>
      </c>
      <c r="G277" s="52" t="str" cm="1">
        <f t="array" ref="G277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277)),""))</f>
        <v/>
      </c>
      <c r="H277" s="52" t="str" cm="1">
        <f t="array" ref="H277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277)),""))</f>
        <v/>
      </c>
      <c r="I277" s="52" t="str" cm="1">
        <f t="array" ref="I277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277)),""))</f>
        <v/>
      </c>
      <c r="J277" s="52" t="str" cm="1">
        <f t="array" ref="J277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277)),""))</f>
        <v/>
      </c>
      <c r="K277" s="52" t="str" cm="1">
        <f t="array" ref="K277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277)),""))</f>
        <v/>
      </c>
      <c r="L277" s="52" t="str" cm="1">
        <f t="array" ref="L277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277)),""))</f>
        <v/>
      </c>
      <c r="M277" s="52" t="str" cm="1">
        <f t="array" ref="M277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277)),""))</f>
        <v/>
      </c>
      <c r="N277" s="52" t="str" cm="1">
        <f t="array" ref="N277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277)),""))</f>
        <v/>
      </c>
      <c r="O277" s="52" t="str" cm="1">
        <f t="array" ref="O277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277)),""))</f>
        <v/>
      </c>
      <c r="P277" s="52" t="str" cm="1">
        <f t="array" ref="P277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277)),""))</f>
        <v/>
      </c>
      <c r="Q277" s="52" t="str" cm="1">
        <f t="array" ref="Q277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277)),""))</f>
        <v/>
      </c>
      <c r="AJ277" t="str">
        <v>d-8</v>
      </c>
      <c r="AK277">
        <v>-0.89999999999999947</v>
      </c>
      <c r="AP277" t="str">
        <v>d-1</v>
      </c>
      <c r="AQ277">
        <v>-0.30000000000000027</v>
      </c>
    </row>
    <row r="278" spans="1:43">
      <c r="A278" s="52" t="str" cm="1">
        <f t="array" ref="A278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278)),""))</f>
        <v/>
      </c>
      <c r="B278" s="52" t="str" cm="1">
        <f t="array" ref="B278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278)),""))</f>
        <v/>
      </c>
      <c r="C278" s="52" t="str" cm="1">
        <f t="array" ref="C278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278)),""))</f>
        <v/>
      </c>
      <c r="D278" s="52" t="str" cm="1">
        <f t="array" ref="D278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278)),""))</f>
        <v/>
      </c>
      <c r="E278" s="52" t="str" cm="1">
        <f t="array" ref="E278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278)),""))</f>
        <v/>
      </c>
      <c r="F278" s="52" t="str" cm="1">
        <f t="array" ref="F278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278)),""))</f>
        <v/>
      </c>
      <c r="G278" s="52" t="str" cm="1">
        <f t="array" ref="G278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278)),""))</f>
        <v/>
      </c>
      <c r="H278" s="52" t="str" cm="1">
        <f t="array" ref="H278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278)),""))</f>
        <v/>
      </c>
      <c r="I278" s="52" t="str" cm="1">
        <f t="array" ref="I278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278)),""))</f>
        <v/>
      </c>
      <c r="J278" s="52" t="str" cm="1">
        <f t="array" ref="J278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278)),""))</f>
        <v/>
      </c>
      <c r="K278" s="52" t="str" cm="1">
        <f t="array" ref="K278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278)),""))</f>
        <v/>
      </c>
      <c r="L278" s="52" t="str" cm="1">
        <f t="array" ref="L278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278)),""))</f>
        <v/>
      </c>
      <c r="M278" s="52" t="str" cm="1">
        <f t="array" ref="M278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278)),""))</f>
        <v/>
      </c>
      <c r="N278" s="52" t="str" cm="1">
        <f t="array" ref="N278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278)),""))</f>
        <v/>
      </c>
      <c r="O278" s="52" t="str" cm="1">
        <f t="array" ref="O278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278)),""))</f>
        <v/>
      </c>
      <c r="P278" s="52" t="str" cm="1">
        <f t="array" ref="P278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278)),""))</f>
        <v/>
      </c>
      <c r="Q278" s="52" t="str" cm="1">
        <f t="array" ref="Q278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278)),""))</f>
        <v/>
      </c>
      <c r="AJ278" t="str">
        <v>d-8</v>
      </c>
      <c r="AK278">
        <v>-0.79999999999999982</v>
      </c>
      <c r="AP278" t="str">
        <v>d-1</v>
      </c>
      <c r="AQ278">
        <v>-9.9999999999999645E-2</v>
      </c>
    </row>
    <row r="279" spans="1:43">
      <c r="A279" s="52" t="str" cm="1">
        <f t="array" ref="A279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279)),""))</f>
        <v/>
      </c>
      <c r="B279" s="52" t="str" cm="1">
        <f t="array" ref="B279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279)),""))</f>
        <v/>
      </c>
      <c r="C279" s="52" t="str" cm="1">
        <f t="array" ref="C279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279)),""))</f>
        <v/>
      </c>
      <c r="D279" s="52" t="str" cm="1">
        <f t="array" ref="D279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279)),""))</f>
        <v/>
      </c>
      <c r="E279" s="52" t="str" cm="1">
        <f t="array" ref="E279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279)),""))</f>
        <v/>
      </c>
      <c r="F279" s="52" t="str" cm="1">
        <f t="array" ref="F279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279)),""))</f>
        <v/>
      </c>
      <c r="G279" s="52" t="str" cm="1">
        <f t="array" ref="G279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279)),""))</f>
        <v/>
      </c>
      <c r="H279" s="52" t="str" cm="1">
        <f t="array" ref="H279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279)),""))</f>
        <v/>
      </c>
      <c r="I279" s="52" t="str" cm="1">
        <f t="array" ref="I279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279)),""))</f>
        <v/>
      </c>
      <c r="J279" s="52" t="str" cm="1">
        <f t="array" ref="J279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279)),""))</f>
        <v/>
      </c>
      <c r="K279" s="52" t="str" cm="1">
        <f t="array" ref="K279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279)),""))</f>
        <v/>
      </c>
      <c r="L279" s="52" t="str" cm="1">
        <f t="array" ref="L279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279)),""))</f>
        <v/>
      </c>
      <c r="M279" s="52" t="str" cm="1">
        <f t="array" ref="M279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279)),""))</f>
        <v/>
      </c>
      <c r="N279" s="52" t="str" cm="1">
        <f t="array" ref="N279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279)),""))</f>
        <v/>
      </c>
      <c r="O279" s="52" t="str" cm="1">
        <f t="array" ref="O279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279)),""))</f>
        <v/>
      </c>
      <c r="P279" s="52" t="str" cm="1">
        <f t="array" ref="P279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279)),""))</f>
        <v/>
      </c>
      <c r="Q279" s="52" t="str" cm="1">
        <f t="array" ref="Q279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279)),""))</f>
        <v/>
      </c>
      <c r="AJ279" t="str">
        <v>d-7</v>
      </c>
      <c r="AK279">
        <v>-3.9</v>
      </c>
      <c r="AP279" t="str">
        <v>d-0</v>
      </c>
      <c r="AQ279">
        <v>0</v>
      </c>
    </row>
    <row r="280" spans="1:43">
      <c r="A280" s="52" t="str" cm="1">
        <f t="array" ref="A280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280)),""))</f>
        <v/>
      </c>
      <c r="B280" s="52" t="str" cm="1">
        <f t="array" ref="B280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280)),""))</f>
        <v/>
      </c>
      <c r="C280" s="52" t="str" cm="1">
        <f t="array" ref="C280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280)),""))</f>
        <v/>
      </c>
      <c r="D280" s="52" t="str" cm="1">
        <f t="array" ref="D280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280)),""))</f>
        <v/>
      </c>
      <c r="E280" s="52" t="str" cm="1">
        <f t="array" ref="E280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280)),""))</f>
        <v/>
      </c>
      <c r="F280" s="52" t="str" cm="1">
        <f t="array" ref="F280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280)),""))</f>
        <v/>
      </c>
      <c r="G280" s="52" t="str" cm="1">
        <f t="array" ref="G280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280)),""))</f>
        <v/>
      </c>
      <c r="H280" s="52" t="str" cm="1">
        <f t="array" ref="H280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280)),""))</f>
        <v/>
      </c>
      <c r="I280" s="52" t="str" cm="1">
        <f t="array" ref="I280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280)),""))</f>
        <v/>
      </c>
      <c r="J280" s="52" t="str" cm="1">
        <f t="array" ref="J280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280)),""))</f>
        <v/>
      </c>
      <c r="K280" s="52" t="str" cm="1">
        <f t="array" ref="K280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280)),""))</f>
        <v/>
      </c>
      <c r="L280" s="52" t="str" cm="1">
        <f t="array" ref="L280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280)),""))</f>
        <v/>
      </c>
      <c r="M280" s="52" t="str" cm="1">
        <f t="array" ref="M280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280)),""))</f>
        <v/>
      </c>
      <c r="N280" s="52" t="str" cm="1">
        <f t="array" ref="N280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280)),""))</f>
        <v/>
      </c>
      <c r="O280" s="52" t="str" cm="1">
        <f t="array" ref="O280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280)),""))</f>
        <v/>
      </c>
      <c r="P280" s="52" t="str" cm="1">
        <f t="array" ref="P280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280)),""))</f>
        <v/>
      </c>
      <c r="Q280" s="52" t="str" cm="1">
        <f t="array" ref="Q280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280)),""))</f>
        <v/>
      </c>
      <c r="AJ280" t="str">
        <v>d-7</v>
      </c>
      <c r="AK280">
        <v>-4.5999999999999996</v>
      </c>
      <c r="AP280" t="str">
        <v>d-0</v>
      </c>
      <c r="AQ280">
        <v>0</v>
      </c>
    </row>
    <row r="281" spans="1:43">
      <c r="A281" s="52" t="str" cm="1">
        <f t="array" ref="A281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281)),""))</f>
        <v/>
      </c>
      <c r="B281" s="52" t="str" cm="1">
        <f t="array" ref="B281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281)),""))</f>
        <v/>
      </c>
      <c r="C281" s="52" t="str" cm="1">
        <f t="array" ref="C281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281)),""))</f>
        <v/>
      </c>
      <c r="D281" s="52" t="str" cm="1">
        <f t="array" ref="D281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281)),""))</f>
        <v/>
      </c>
      <c r="E281" s="52" t="str" cm="1">
        <f t="array" ref="E281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281)),""))</f>
        <v/>
      </c>
      <c r="F281" s="52" t="str" cm="1">
        <f t="array" ref="F281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281)),""))</f>
        <v/>
      </c>
      <c r="G281" s="52" t="str" cm="1">
        <f t="array" ref="G281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281)),""))</f>
        <v/>
      </c>
      <c r="H281" s="52" t="str" cm="1">
        <f t="array" ref="H281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281)),""))</f>
        <v/>
      </c>
      <c r="I281" s="52" t="str" cm="1">
        <f t="array" ref="I281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281)),""))</f>
        <v/>
      </c>
      <c r="J281" s="52" t="str" cm="1">
        <f t="array" ref="J281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281)),""))</f>
        <v/>
      </c>
      <c r="K281" s="52" t="str" cm="1">
        <f t="array" ref="K281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281)),""))</f>
        <v/>
      </c>
      <c r="L281" s="52" t="str" cm="1">
        <f t="array" ref="L281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281)),""))</f>
        <v/>
      </c>
      <c r="M281" s="52" t="str" cm="1">
        <f t="array" ref="M281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281)),""))</f>
        <v/>
      </c>
      <c r="N281" s="52" t="str" cm="1">
        <f t="array" ref="N281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281)),""))</f>
        <v/>
      </c>
      <c r="O281" s="52" t="str" cm="1">
        <f t="array" ref="O281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281)),""))</f>
        <v/>
      </c>
      <c r="P281" s="52" t="str" cm="1">
        <f t="array" ref="P281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281)),""))</f>
        <v/>
      </c>
      <c r="Q281" s="52" t="str" cm="1">
        <f t="array" ref="Q281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281)),""))</f>
        <v/>
      </c>
      <c r="AJ281" t="str">
        <v>d-7</v>
      </c>
      <c r="AK281">
        <v>-4</v>
      </c>
      <c r="AP281" t="str">
        <v>d-0</v>
      </c>
      <c r="AQ281">
        <v>0</v>
      </c>
    </row>
    <row r="282" spans="1:43">
      <c r="A282" s="52" t="str" cm="1">
        <f t="array" ref="A282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282)),""))</f>
        <v/>
      </c>
      <c r="B282" s="52" t="str" cm="1">
        <f t="array" ref="B282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282)),""))</f>
        <v/>
      </c>
      <c r="C282" s="52" t="str" cm="1">
        <f t="array" ref="C282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282)),""))</f>
        <v/>
      </c>
      <c r="D282" s="52" t="str" cm="1">
        <f t="array" ref="D282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282)),""))</f>
        <v/>
      </c>
      <c r="E282" s="52" t="str" cm="1">
        <f t="array" ref="E282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282)),""))</f>
        <v/>
      </c>
      <c r="F282" s="52" t="str" cm="1">
        <f t="array" ref="F282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282)),""))</f>
        <v/>
      </c>
      <c r="G282" s="52" t="str" cm="1">
        <f t="array" ref="G282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282)),""))</f>
        <v/>
      </c>
      <c r="H282" s="52" t="str" cm="1">
        <f t="array" ref="H282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282)),""))</f>
        <v/>
      </c>
      <c r="I282" s="52" t="str" cm="1">
        <f t="array" ref="I282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282)),""))</f>
        <v/>
      </c>
      <c r="J282" s="52" t="str" cm="1">
        <f t="array" ref="J282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282)),""))</f>
        <v/>
      </c>
      <c r="K282" s="52" t="str" cm="1">
        <f t="array" ref="K282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282)),""))</f>
        <v/>
      </c>
      <c r="L282" s="52" t="str" cm="1">
        <f t="array" ref="L282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282)),""))</f>
        <v/>
      </c>
      <c r="M282" s="52" t="str" cm="1">
        <f t="array" ref="M282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282)),""))</f>
        <v/>
      </c>
      <c r="N282" s="52" t="str" cm="1">
        <f t="array" ref="N282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282)),""))</f>
        <v/>
      </c>
      <c r="O282" s="52" t="str" cm="1">
        <f t="array" ref="O282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282)),""))</f>
        <v/>
      </c>
      <c r="P282" s="52" t="str" cm="1">
        <f t="array" ref="P282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282)),""))</f>
        <v/>
      </c>
      <c r="Q282" s="52" t="str" cm="1">
        <f t="array" ref="Q282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282)),""))</f>
        <v/>
      </c>
      <c r="AJ282" t="str">
        <v>d-7</v>
      </c>
      <c r="AK282">
        <v>-2.2000000000000002</v>
      </c>
      <c r="AP282" t="str">
        <v>d-0</v>
      </c>
      <c r="AQ282">
        <v>-9.9999999999999645E-2</v>
      </c>
    </row>
    <row r="283" spans="1:43">
      <c r="A283" s="52" t="str" cm="1">
        <f t="array" ref="A283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283)),""))</f>
        <v/>
      </c>
      <c r="B283" s="52" t="str" cm="1">
        <f t="array" ref="B283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283)),""))</f>
        <v/>
      </c>
      <c r="C283" s="52" t="str" cm="1">
        <f t="array" ref="C283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283)),""))</f>
        <v/>
      </c>
      <c r="D283" s="52" t="str" cm="1">
        <f t="array" ref="D283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283)),""))</f>
        <v/>
      </c>
      <c r="E283" s="52" t="str" cm="1">
        <f t="array" ref="E283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283)),""))</f>
        <v/>
      </c>
      <c r="F283" s="52" t="str" cm="1">
        <f t="array" ref="F283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283)),""))</f>
        <v/>
      </c>
      <c r="G283" s="52" t="str" cm="1">
        <f t="array" ref="G283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283)),""))</f>
        <v/>
      </c>
      <c r="H283" s="52" t="str" cm="1">
        <f t="array" ref="H283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283)),""))</f>
        <v/>
      </c>
      <c r="I283" s="52" t="str" cm="1">
        <f t="array" ref="I283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283)),""))</f>
        <v/>
      </c>
      <c r="J283" s="52" t="str" cm="1">
        <f t="array" ref="J283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283)),""))</f>
        <v/>
      </c>
      <c r="K283" s="52" t="str" cm="1">
        <f t="array" ref="K283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283)),""))</f>
        <v/>
      </c>
      <c r="L283" s="52" t="str" cm="1">
        <f t="array" ref="L283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283)),""))</f>
        <v/>
      </c>
      <c r="M283" s="52" t="str" cm="1">
        <f t="array" ref="M283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283)),""))</f>
        <v/>
      </c>
      <c r="N283" s="52" t="str" cm="1">
        <f t="array" ref="N283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283)),""))</f>
        <v/>
      </c>
      <c r="O283" s="52" t="str" cm="1">
        <f t="array" ref="O283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283)),""))</f>
        <v/>
      </c>
      <c r="P283" s="52" t="str" cm="1">
        <f t="array" ref="P283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283)),""))</f>
        <v/>
      </c>
      <c r="Q283" s="52" t="str" cm="1">
        <f t="array" ref="Q283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283)),""))</f>
        <v/>
      </c>
      <c r="AJ283" t="str">
        <v>d-7</v>
      </c>
      <c r="AK283">
        <v>-0.70000000000000018</v>
      </c>
      <c r="AP283" t="str">
        <v>d-0</v>
      </c>
      <c r="AQ283">
        <v>9.9999999999999645E-2</v>
      </c>
    </row>
    <row r="284" spans="1:43">
      <c r="A284" s="52" t="str" cm="1">
        <f t="array" ref="A284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284)),""))</f>
        <v/>
      </c>
      <c r="B284" s="52" t="str" cm="1">
        <f t="array" ref="B284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284)),""))</f>
        <v/>
      </c>
      <c r="C284" s="52" t="str" cm="1">
        <f t="array" ref="C284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284)),""))</f>
        <v/>
      </c>
      <c r="D284" s="52" t="str" cm="1">
        <f t="array" ref="D284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284)),""))</f>
        <v/>
      </c>
      <c r="E284" s="52" t="str" cm="1">
        <f t="array" ref="E284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284)),""))</f>
        <v/>
      </c>
      <c r="F284" s="52" t="str" cm="1">
        <f t="array" ref="F284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284)),""))</f>
        <v/>
      </c>
      <c r="G284" s="52" t="str" cm="1">
        <f t="array" ref="G284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284)),""))</f>
        <v/>
      </c>
      <c r="H284" s="52" t="str" cm="1">
        <f t="array" ref="H284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284)),""))</f>
        <v/>
      </c>
      <c r="I284" s="52" t="str" cm="1">
        <f t="array" ref="I284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284)),""))</f>
        <v/>
      </c>
      <c r="J284" s="52" t="str" cm="1">
        <f t="array" ref="J284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284)),""))</f>
        <v/>
      </c>
      <c r="K284" s="52" t="str" cm="1">
        <f t="array" ref="K284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284)),""))</f>
        <v/>
      </c>
      <c r="L284" s="52" t="str" cm="1">
        <f t="array" ref="L284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284)),""))</f>
        <v/>
      </c>
      <c r="M284" s="52" t="str" cm="1">
        <f t="array" ref="M284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284)),""))</f>
        <v/>
      </c>
      <c r="N284" s="52" t="str" cm="1">
        <f t="array" ref="N284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284)),""))</f>
        <v/>
      </c>
      <c r="O284" s="52" t="str" cm="1">
        <f t="array" ref="O284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284)),""))</f>
        <v/>
      </c>
      <c r="P284" s="52" t="str" cm="1">
        <f t="array" ref="P284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284)),""))</f>
        <v/>
      </c>
      <c r="Q284" s="52" t="str" cm="1">
        <f t="array" ref="Q284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284)),""))</f>
        <v/>
      </c>
      <c r="AJ284" t="str">
        <v>d-7</v>
      </c>
      <c r="AK284">
        <v>0.10000000000000053</v>
      </c>
      <c r="AP284" t="str">
        <v>d-0</v>
      </c>
      <c r="AQ284">
        <v>9.9999999999999645E-2</v>
      </c>
    </row>
    <row r="285" spans="1:43">
      <c r="A285" s="52" t="str" cm="1">
        <f t="array" ref="A285">IF(COUNTIFS(Calc_Anclaje!$A$5:$A$1058,$B$2,Calc_Anclaje!$H$5:$H$1058,VALUE(SUBSTITUTE(A$255,"d-","")),Calc_Anclaje!$K$5:$K$1058,"&gt;5")&lt;5,"",IFERROR(INDEX(_xlfn._xlws.FILTER(Calc_Anclaje!$O$5:$O$1058,(Calc_Anclaje!$A$5:$A$1058=$B$2)*(Calc_Anclaje!$H$5:$H$1058=VALUE(SUBSTITUTE(A$255,"d-","")))*(Calc_Anclaje!$K$5:$K$1058&gt;5)),ROWS(A$256:A285)),""))</f>
        <v/>
      </c>
      <c r="B285" s="52" t="str" cm="1">
        <f t="array" ref="B285">IF(COUNTIFS(Calc_Anclaje!$A$5:$A$1058,$B$2,Calc_Anclaje!$H$5:$H$1058,VALUE(SUBSTITUTE(B$255,"d-","")),Calc_Anclaje!$K$5:$K$1058,"&gt;5")&lt;5,"",IFERROR(INDEX(_xlfn._xlws.FILTER(Calc_Anclaje!$O$5:$O$1058,(Calc_Anclaje!$A$5:$A$1058=$B$2)*(Calc_Anclaje!$H$5:$H$1058=VALUE(SUBSTITUTE(B$255,"d-","")))*(Calc_Anclaje!$K$5:$K$1058&gt;5)),ROWS(B$256:B285)),""))</f>
        <v/>
      </c>
      <c r="C285" s="52" t="str" cm="1">
        <f t="array" ref="C285">IF(COUNTIFS(Calc_Anclaje!$A$5:$A$1058,$B$2,Calc_Anclaje!$H$5:$H$1058,VALUE(SUBSTITUTE(C$255,"d-","")),Calc_Anclaje!$K$5:$K$1058,"&gt;5")&lt;5,"",IFERROR(INDEX(_xlfn._xlws.FILTER(Calc_Anclaje!$O$5:$O$1058,(Calc_Anclaje!$A$5:$A$1058=$B$2)*(Calc_Anclaje!$H$5:$H$1058=VALUE(SUBSTITUTE(C$255,"d-","")))*(Calc_Anclaje!$K$5:$K$1058&gt;5)),ROWS(C$256:C285)),""))</f>
        <v/>
      </c>
      <c r="D285" s="52" t="str" cm="1">
        <f t="array" ref="D285">IF(COUNTIFS(Calc_Anclaje!$A$5:$A$1058,$B$2,Calc_Anclaje!$H$5:$H$1058,VALUE(SUBSTITUTE(D$255,"d-","")),Calc_Anclaje!$K$5:$K$1058,"&gt;5")&lt;5,"",IFERROR(INDEX(_xlfn._xlws.FILTER(Calc_Anclaje!$O$5:$O$1058,(Calc_Anclaje!$A$5:$A$1058=$B$2)*(Calc_Anclaje!$H$5:$H$1058=VALUE(SUBSTITUTE(D$255,"d-","")))*(Calc_Anclaje!$K$5:$K$1058&gt;5)),ROWS(D$256:D285)),""))</f>
        <v/>
      </c>
      <c r="E285" s="52" t="str" cm="1">
        <f t="array" ref="E285">IF(COUNTIFS(Calc_Anclaje!$A$5:$A$1058,$B$2,Calc_Anclaje!$H$5:$H$1058,VALUE(SUBSTITUTE(E$255,"d-","")),Calc_Anclaje!$K$5:$K$1058,"&gt;5")&lt;5,"",IFERROR(INDEX(_xlfn._xlws.FILTER(Calc_Anclaje!$O$5:$O$1058,(Calc_Anclaje!$A$5:$A$1058=$B$2)*(Calc_Anclaje!$H$5:$H$1058=VALUE(SUBSTITUTE(E$255,"d-","")))*(Calc_Anclaje!$K$5:$K$1058&gt;5)),ROWS(E$256:E285)),""))</f>
        <v/>
      </c>
      <c r="F285" s="52" t="str" cm="1">
        <f t="array" ref="F285">IF(COUNTIFS(Calc_Anclaje!$A$5:$A$1058,$B$2,Calc_Anclaje!$H$5:$H$1058,VALUE(SUBSTITUTE(F$255,"d-","")),Calc_Anclaje!$K$5:$K$1058,"&gt;5")&lt;5,"",IFERROR(INDEX(_xlfn._xlws.FILTER(Calc_Anclaje!$O$5:$O$1058,(Calc_Anclaje!$A$5:$A$1058=$B$2)*(Calc_Anclaje!$H$5:$H$1058=VALUE(SUBSTITUTE(F$255,"d-","")))*(Calc_Anclaje!$K$5:$K$1058&gt;5)),ROWS(F$256:F285)),""))</f>
        <v/>
      </c>
      <c r="G285" s="52" t="str" cm="1">
        <f t="array" ref="G285">IF(COUNTIFS(Calc_Anclaje!$A$5:$A$1058,$B$2,Calc_Anclaje!$H$5:$H$1058,VALUE(SUBSTITUTE(G$255,"d-","")),Calc_Anclaje!$K$5:$K$1058,"&gt;5")&lt;5,"",IFERROR(INDEX(_xlfn._xlws.FILTER(Calc_Anclaje!$O$5:$O$1058,(Calc_Anclaje!$A$5:$A$1058=$B$2)*(Calc_Anclaje!$H$5:$H$1058=VALUE(SUBSTITUTE(G$255,"d-","")))*(Calc_Anclaje!$K$5:$K$1058&gt;5)),ROWS(G$256:G285)),""))</f>
        <v/>
      </c>
      <c r="H285" s="52" t="str" cm="1">
        <f t="array" ref="H285">IF(COUNTIFS(Calc_Anclaje!$A$5:$A$1058,$B$2,Calc_Anclaje!$H$5:$H$1058,VALUE(SUBSTITUTE(H$255,"d-","")),Calc_Anclaje!$K$5:$K$1058,"&gt;5")&lt;5,"",IFERROR(INDEX(_xlfn._xlws.FILTER(Calc_Anclaje!$O$5:$O$1058,(Calc_Anclaje!$A$5:$A$1058=$B$2)*(Calc_Anclaje!$H$5:$H$1058=VALUE(SUBSTITUTE(H$255,"d-","")))*(Calc_Anclaje!$K$5:$K$1058&gt;5)),ROWS(H$256:H285)),""))</f>
        <v/>
      </c>
      <c r="I285" s="52" t="str" cm="1">
        <f t="array" ref="I285">IF(COUNTIFS(Calc_Anclaje!$A$5:$A$1058,$B$2,Calc_Anclaje!$H$5:$H$1058,VALUE(SUBSTITUTE(I$255,"d-","")),Calc_Anclaje!$K$5:$K$1058,"&gt;5")&lt;5,"",IFERROR(INDEX(_xlfn._xlws.FILTER(Calc_Anclaje!$O$5:$O$1058,(Calc_Anclaje!$A$5:$A$1058=$B$2)*(Calc_Anclaje!$H$5:$H$1058=VALUE(SUBSTITUTE(I$255,"d-","")))*(Calc_Anclaje!$K$5:$K$1058&gt;5)),ROWS(I$256:I285)),""))</f>
        <v/>
      </c>
      <c r="J285" s="52" t="str" cm="1">
        <f t="array" ref="J285">IF(COUNTIFS(Calc_Anclaje!$A$5:$A$1058,$B$2,Calc_Anclaje!$H$5:$H$1058,VALUE(SUBSTITUTE(J$255,"d-","")),Calc_Anclaje!$K$5:$K$1058,"&gt;5")&lt;5,"",IFERROR(INDEX(_xlfn._xlws.FILTER(Calc_Anclaje!$O$5:$O$1058,(Calc_Anclaje!$A$5:$A$1058=$B$2)*(Calc_Anclaje!$H$5:$H$1058=VALUE(SUBSTITUTE(J$255,"d-","")))*(Calc_Anclaje!$K$5:$K$1058&gt;5)),ROWS(J$256:J285)),""))</f>
        <v/>
      </c>
      <c r="K285" s="52" t="str" cm="1">
        <f t="array" ref="K285">IF(COUNTIFS(Calc_Anclaje!$A$5:$A$1058,$B$2,Calc_Anclaje!$H$5:$H$1058,VALUE(SUBSTITUTE(K$255,"d-","")),Calc_Anclaje!$K$5:$K$1058,"&gt;5")&lt;5,"",IFERROR(INDEX(_xlfn._xlws.FILTER(Calc_Anclaje!$O$5:$O$1058,(Calc_Anclaje!$A$5:$A$1058=$B$2)*(Calc_Anclaje!$H$5:$H$1058=VALUE(SUBSTITUTE(K$255,"d-","")))*(Calc_Anclaje!$K$5:$K$1058&gt;5)),ROWS(K$256:K285)),""))</f>
        <v/>
      </c>
      <c r="L285" s="52" t="str" cm="1">
        <f t="array" ref="L285">IF(COUNTIFS(Calc_Anclaje!$A$5:$A$1058,$B$2,Calc_Anclaje!$H$5:$H$1058,VALUE(SUBSTITUTE(L$255,"d-","")),Calc_Anclaje!$K$5:$K$1058,"&gt;5")&lt;5,"",IFERROR(INDEX(_xlfn._xlws.FILTER(Calc_Anclaje!$O$5:$O$1058,(Calc_Anclaje!$A$5:$A$1058=$B$2)*(Calc_Anclaje!$H$5:$H$1058=VALUE(SUBSTITUTE(L$255,"d-","")))*(Calc_Anclaje!$K$5:$K$1058&gt;5)),ROWS(L$256:L285)),""))</f>
        <v/>
      </c>
      <c r="M285" s="52" t="str" cm="1">
        <f t="array" ref="M285">IF(COUNTIFS(Calc_Anclaje!$A$5:$A$1058,$B$2,Calc_Anclaje!$H$5:$H$1058,VALUE(SUBSTITUTE(M$255,"d-","")),Calc_Anclaje!$K$5:$K$1058,"&gt;5")&lt;5,"",IFERROR(INDEX(_xlfn._xlws.FILTER(Calc_Anclaje!$O$5:$O$1058,(Calc_Anclaje!$A$5:$A$1058=$B$2)*(Calc_Anclaje!$H$5:$H$1058=VALUE(SUBSTITUTE(M$255,"d-","")))*(Calc_Anclaje!$K$5:$K$1058&gt;5)),ROWS(M$256:M285)),""))</f>
        <v/>
      </c>
      <c r="N285" s="52" t="str" cm="1">
        <f t="array" ref="N285">IF(COUNTIFS(Calc_Anclaje!$A$5:$A$1058,$B$2,Calc_Anclaje!$H$5:$H$1058,VALUE(SUBSTITUTE(N$255,"d-","")),Calc_Anclaje!$K$5:$K$1058,"&gt;5")&lt;5,"",IFERROR(INDEX(_xlfn._xlws.FILTER(Calc_Anclaje!$O$5:$O$1058,(Calc_Anclaje!$A$5:$A$1058=$B$2)*(Calc_Anclaje!$H$5:$H$1058=VALUE(SUBSTITUTE(N$255,"d-","")))*(Calc_Anclaje!$K$5:$K$1058&gt;5)),ROWS(N$256:N285)),""))</f>
        <v/>
      </c>
      <c r="O285" s="52" t="str" cm="1">
        <f t="array" ref="O285">IF(COUNTIFS(Calc_Anclaje!$A$5:$A$1058,$B$2,Calc_Anclaje!$H$5:$H$1058,VALUE(SUBSTITUTE(O$255,"d-","")),Calc_Anclaje!$K$5:$K$1058,"&gt;5")&lt;5,"",IFERROR(INDEX(_xlfn._xlws.FILTER(Calc_Anclaje!$O$5:$O$1058,(Calc_Anclaje!$A$5:$A$1058=$B$2)*(Calc_Anclaje!$H$5:$H$1058=VALUE(SUBSTITUTE(O$255,"d-","")))*(Calc_Anclaje!$K$5:$K$1058&gt;5)),ROWS(O$256:O285)),""))</f>
        <v/>
      </c>
      <c r="P285" s="52" t="str" cm="1">
        <f t="array" ref="P285">IF(COUNTIFS(Calc_Anclaje!$A$5:$A$1058,$B$2,Calc_Anclaje!$H$5:$H$1058,VALUE(SUBSTITUTE(P$255,"d-","")),Calc_Anclaje!$K$5:$K$1058,"&gt;5")&lt;5,"",IFERROR(INDEX(_xlfn._xlws.FILTER(Calc_Anclaje!$O$5:$O$1058,(Calc_Anclaje!$A$5:$A$1058=$B$2)*(Calc_Anclaje!$H$5:$H$1058=VALUE(SUBSTITUTE(P$255,"d-","")))*(Calc_Anclaje!$K$5:$K$1058&gt;5)),ROWS(P$256:P285)),""))</f>
        <v/>
      </c>
      <c r="Q285" s="52" t="str" cm="1">
        <f t="array" ref="Q285">IF(COUNTIFS(Calc_Anclaje!$A$5:$A$1058,$B$2,Calc_Anclaje!$H$5:$H$1058,VALUE(SUBSTITUTE(Q$255,"d-","")),Calc_Anclaje!$K$5:$K$1058,"&gt;5")&lt;5,"",IFERROR(INDEX(_xlfn._xlws.FILTER(Calc_Anclaje!$O$5:$O$1058,(Calc_Anclaje!$A$5:$A$1058=$B$2)*(Calc_Anclaje!$H$5:$H$1058=VALUE(SUBSTITUTE(Q$255,"d-","")))*(Calc_Anclaje!$K$5:$K$1058&gt;5)),ROWS(Q$256:Q285)),""))</f>
        <v/>
      </c>
      <c r="AJ285" t="str">
        <v>d-7</v>
      </c>
      <c r="AK285">
        <v>0.5</v>
      </c>
      <c r="AP285" t="str">
        <v>d-0</v>
      </c>
      <c r="AQ285">
        <v>9.9999999999999645E-2</v>
      </c>
    </row>
    <row r="286" spans="1:43">
      <c r="AJ286" t="str">
        <v>d-7</v>
      </c>
      <c r="AK286">
        <v>-0.39999999999999947</v>
      </c>
      <c r="AP286" t="str">
        <v>d-0</v>
      </c>
      <c r="AQ286">
        <v>0</v>
      </c>
    </row>
    <row r="287" spans="1:43">
      <c r="AJ287" t="str">
        <v>d-7</v>
      </c>
      <c r="AK287">
        <v>-1.0999999999999996</v>
      </c>
    </row>
    <row r="288" spans="1:43">
      <c r="AJ288" t="str">
        <v>d-7</v>
      </c>
      <c r="AK288">
        <v>-1.2999999999999998</v>
      </c>
    </row>
    <row r="289" spans="36:37">
      <c r="AJ289" t="str">
        <v>d-7</v>
      </c>
      <c r="AK289">
        <v>-1</v>
      </c>
    </row>
    <row r="290" spans="36:37">
      <c r="AJ290" t="str">
        <v>d-7</v>
      </c>
      <c r="AK290">
        <v>-0.20000000000000018</v>
      </c>
    </row>
    <row r="291" spans="36:37">
      <c r="AJ291" t="str">
        <v>d-7</v>
      </c>
      <c r="AK291">
        <v>-0.90000000000000036</v>
      </c>
    </row>
    <row r="292" spans="36:37">
      <c r="AJ292" t="str">
        <v>d-7</v>
      </c>
      <c r="AK292">
        <v>-0.5</v>
      </c>
    </row>
    <row r="293" spans="36:37">
      <c r="AJ293" t="str">
        <v>d-7</v>
      </c>
      <c r="AK293">
        <v>-0.40000000000000036</v>
      </c>
    </row>
    <row r="294" spans="36:37">
      <c r="AJ294" t="str">
        <v>d-7</v>
      </c>
      <c r="AK294">
        <v>-0.89999999999999947</v>
      </c>
    </row>
    <row r="295" spans="36:37">
      <c r="AJ295" t="str">
        <v>d-7</v>
      </c>
      <c r="AK295">
        <v>-0.79999999999999982</v>
      </c>
    </row>
    <row r="296" spans="36:37">
      <c r="AJ296" t="str">
        <v>d-6</v>
      </c>
      <c r="AK296">
        <v>-3.5</v>
      </c>
    </row>
    <row r="297" spans="36:37">
      <c r="AJ297" t="str">
        <v>d-6</v>
      </c>
      <c r="AK297">
        <v>-4.2</v>
      </c>
    </row>
    <row r="298" spans="36:37">
      <c r="AJ298" t="str">
        <v>d-6</v>
      </c>
      <c r="AK298">
        <v>-2.5</v>
      </c>
    </row>
    <row r="299" spans="36:37">
      <c r="AJ299" t="str">
        <v>d-6</v>
      </c>
      <c r="AK299">
        <v>-1</v>
      </c>
    </row>
    <row r="300" spans="36:37">
      <c r="AJ300" t="str">
        <v>d-6</v>
      </c>
      <c r="AK300">
        <v>0.29999999999999982</v>
      </c>
    </row>
    <row r="301" spans="36:37">
      <c r="AJ301" t="str">
        <v>d-6</v>
      </c>
      <c r="AK301">
        <v>0.20000000000000018</v>
      </c>
    </row>
    <row r="302" spans="36:37">
      <c r="AJ302" t="str">
        <v>d-6</v>
      </c>
      <c r="AK302">
        <v>0.39999999999999947</v>
      </c>
    </row>
    <row r="303" spans="36:37">
      <c r="AJ303" t="str">
        <v>d-6</v>
      </c>
      <c r="AK303">
        <v>-0.5</v>
      </c>
    </row>
    <row r="304" spans="36:37">
      <c r="AJ304" t="str">
        <v>d-6</v>
      </c>
      <c r="AK304">
        <v>-0.79999999999999982</v>
      </c>
    </row>
    <row r="305" spans="36:37">
      <c r="AJ305" t="str">
        <v>d-6</v>
      </c>
      <c r="AK305">
        <v>-1.2000000000000002</v>
      </c>
    </row>
    <row r="306" spans="36:37">
      <c r="AJ306" t="str">
        <v>d-6</v>
      </c>
      <c r="AK306">
        <v>-0.89999999999999991</v>
      </c>
    </row>
    <row r="307" spans="36:37">
      <c r="AJ307" t="str">
        <v>d-6</v>
      </c>
      <c r="AK307">
        <v>-0.20000000000000018</v>
      </c>
    </row>
    <row r="308" spans="36:37">
      <c r="AJ308" t="str">
        <v>d-6</v>
      </c>
      <c r="AK308">
        <v>-0.90000000000000036</v>
      </c>
    </row>
    <row r="309" spans="36:37">
      <c r="AJ309" t="str">
        <v>d-6</v>
      </c>
      <c r="AK309">
        <v>-0.20000000000000018</v>
      </c>
    </row>
    <row r="310" spans="36:37">
      <c r="AJ310" t="str">
        <v>d-6</v>
      </c>
      <c r="AK310">
        <v>-0.40000000000000036</v>
      </c>
    </row>
    <row r="311" spans="36:37">
      <c r="AJ311" t="str">
        <v>d-6</v>
      </c>
      <c r="AK311">
        <v>-0.69999999999999973</v>
      </c>
    </row>
    <row r="312" spans="36:37">
      <c r="AJ312" t="str">
        <v>d-6</v>
      </c>
      <c r="AK312">
        <v>-0.79999999999999982</v>
      </c>
    </row>
    <row r="313" spans="36:37">
      <c r="AJ313" t="str">
        <v>d-5</v>
      </c>
      <c r="AK313">
        <v>-2.0999999999999996</v>
      </c>
    </row>
    <row r="314" spans="36:37">
      <c r="AJ314" t="str">
        <v>d-5</v>
      </c>
      <c r="AK314">
        <v>-3</v>
      </c>
    </row>
    <row r="315" spans="36:37">
      <c r="AJ315" t="str">
        <v>d-5</v>
      </c>
      <c r="AK315">
        <v>-3.9000000000000004</v>
      </c>
    </row>
    <row r="316" spans="36:37">
      <c r="AJ316" t="str">
        <v>d-5</v>
      </c>
      <c r="AK316">
        <v>-1.5999999999999996</v>
      </c>
    </row>
    <row r="317" spans="36:37">
      <c r="AJ317" t="str">
        <v>d-5</v>
      </c>
      <c r="AK317">
        <v>-0.40000000000000036</v>
      </c>
    </row>
    <row r="318" spans="36:37">
      <c r="AJ318" t="str">
        <v>d-5</v>
      </c>
      <c r="AK318">
        <v>9.9999999999999645E-2</v>
      </c>
    </row>
    <row r="319" spans="36:37">
      <c r="AJ319" t="str">
        <v>d-5</v>
      </c>
      <c r="AK319">
        <v>0.70000000000000018</v>
      </c>
    </row>
    <row r="320" spans="36:37">
      <c r="AJ320" t="str">
        <v>d-5</v>
      </c>
      <c r="AK320">
        <v>0.29999999999999982</v>
      </c>
    </row>
    <row r="321" spans="36:37">
      <c r="AJ321" t="str">
        <v>d-5</v>
      </c>
      <c r="AK321">
        <v>-0.5</v>
      </c>
    </row>
    <row r="322" spans="36:37">
      <c r="AJ322" t="str">
        <v>d-5</v>
      </c>
      <c r="AK322">
        <v>-0.79999999999999982</v>
      </c>
    </row>
    <row r="323" spans="36:37">
      <c r="AJ323" t="str">
        <v>d-5</v>
      </c>
      <c r="AK323">
        <v>-1.1000000000000001</v>
      </c>
    </row>
    <row r="324" spans="36:37">
      <c r="AJ324" t="str">
        <v>d-5</v>
      </c>
      <c r="AK324">
        <v>-0.5</v>
      </c>
    </row>
    <row r="325" spans="36:37">
      <c r="AJ325" t="str">
        <v>d-5</v>
      </c>
      <c r="AK325">
        <v>0</v>
      </c>
    </row>
    <row r="326" spans="36:37">
      <c r="AJ326" t="str">
        <v>d-5</v>
      </c>
      <c r="AK326">
        <v>-0.80000000000000027</v>
      </c>
    </row>
    <row r="327" spans="36:37">
      <c r="AJ327" t="str">
        <v>d-5</v>
      </c>
      <c r="AK327">
        <v>-0.20000000000000018</v>
      </c>
    </row>
    <row r="328" spans="36:37">
      <c r="AJ328" t="str">
        <v>d-5</v>
      </c>
      <c r="AK328">
        <v>-0.40000000000000036</v>
      </c>
    </row>
    <row r="329" spans="36:37">
      <c r="AJ329" t="str">
        <v>d-5</v>
      </c>
      <c r="AK329">
        <v>-0.69999999999999973</v>
      </c>
    </row>
    <row r="330" spans="36:37">
      <c r="AJ330" t="str">
        <v>d-5</v>
      </c>
      <c r="AK330">
        <v>-0.69999999999999973</v>
      </c>
    </row>
    <row r="331" spans="36:37">
      <c r="AJ331" t="str">
        <v>d-4</v>
      </c>
      <c r="AK331">
        <v>-1.7000000000000002</v>
      </c>
    </row>
    <row r="332" spans="36:37">
      <c r="AJ332" t="str">
        <v>d-4</v>
      </c>
      <c r="AK332">
        <v>-2.7</v>
      </c>
    </row>
    <row r="333" spans="36:37">
      <c r="AJ333" t="str">
        <v>d-4</v>
      </c>
      <c r="AK333">
        <v>-2.4000000000000004</v>
      </c>
    </row>
    <row r="334" spans="36:37">
      <c r="AJ334" t="str">
        <v>d-4</v>
      </c>
      <c r="AK334">
        <v>-0.5</v>
      </c>
    </row>
    <row r="335" spans="36:37">
      <c r="AJ335" t="str">
        <v>d-4</v>
      </c>
      <c r="AK335">
        <v>0.40000000000000036</v>
      </c>
    </row>
    <row r="336" spans="36:37">
      <c r="AJ336" t="str">
        <v>d-4</v>
      </c>
      <c r="AK336">
        <v>0.20000000000000018</v>
      </c>
    </row>
    <row r="337" spans="36:37">
      <c r="AJ337" t="str">
        <v>d-4</v>
      </c>
      <c r="AK337">
        <v>0.70000000000000018</v>
      </c>
    </row>
    <row r="338" spans="36:37">
      <c r="AJ338" t="str">
        <v>d-4</v>
      </c>
      <c r="AK338">
        <v>0.19999999999999929</v>
      </c>
    </row>
    <row r="339" spans="36:37">
      <c r="AJ339" t="str">
        <v>d-4</v>
      </c>
      <c r="AK339">
        <v>-0.19999999999999929</v>
      </c>
    </row>
    <row r="340" spans="36:37">
      <c r="AJ340" t="str">
        <v>d-4</v>
      </c>
      <c r="AK340">
        <v>-0.70000000000000018</v>
      </c>
    </row>
    <row r="341" spans="36:37">
      <c r="AJ341" t="str">
        <v>d-4</v>
      </c>
      <c r="AK341">
        <v>-1</v>
      </c>
    </row>
    <row r="342" spans="36:37">
      <c r="AJ342" t="str">
        <v>d-4</v>
      </c>
      <c r="AK342">
        <v>-0.5</v>
      </c>
    </row>
    <row r="343" spans="36:37">
      <c r="AJ343" t="str">
        <v>d-4</v>
      </c>
      <c r="AK343">
        <v>0</v>
      </c>
    </row>
    <row r="344" spans="36:37">
      <c r="AJ344" t="str">
        <v>d-4</v>
      </c>
      <c r="AK344">
        <v>-0.70000000000000018</v>
      </c>
    </row>
    <row r="345" spans="36:37">
      <c r="AJ345" t="str">
        <v>d-4</v>
      </c>
      <c r="AK345">
        <v>-0.20000000000000018</v>
      </c>
    </row>
    <row r="346" spans="36:37">
      <c r="AJ346" t="str">
        <v>d-4</v>
      </c>
      <c r="AK346">
        <v>0</v>
      </c>
    </row>
    <row r="347" spans="36:37">
      <c r="AJ347" t="str">
        <v>d-4</v>
      </c>
      <c r="AK347">
        <v>-0.69999999999999973</v>
      </c>
    </row>
    <row r="348" spans="36:37">
      <c r="AJ348" t="str">
        <v>d-4</v>
      </c>
      <c r="AK348">
        <v>-0.60000000000000009</v>
      </c>
    </row>
    <row r="349" spans="36:37">
      <c r="AJ349" t="str">
        <v>d-3</v>
      </c>
      <c r="AK349">
        <v>-1.2999999999999998</v>
      </c>
    </row>
    <row r="350" spans="36:37">
      <c r="AJ350" t="str">
        <v>d-3</v>
      </c>
      <c r="AK350">
        <v>-1</v>
      </c>
    </row>
    <row r="351" spans="36:37">
      <c r="AJ351" t="str">
        <v>d-3</v>
      </c>
      <c r="AK351">
        <v>-2.3999999999999995</v>
      </c>
    </row>
    <row r="352" spans="36:37">
      <c r="AJ352" t="str">
        <v>d-3</v>
      </c>
      <c r="AK352">
        <v>-1.5</v>
      </c>
    </row>
    <row r="353" spans="36:37">
      <c r="AJ353" t="str">
        <v>d-3</v>
      </c>
      <c r="AK353">
        <v>9.9999999999999645E-2</v>
      </c>
    </row>
    <row r="354" spans="36:37">
      <c r="AJ354" t="str">
        <v>d-3</v>
      </c>
      <c r="AK354">
        <v>9.9999999999999645E-2</v>
      </c>
    </row>
    <row r="355" spans="36:37">
      <c r="AJ355" t="str">
        <v>d-3</v>
      </c>
      <c r="AK355">
        <v>0.70000000000000018</v>
      </c>
    </row>
    <row r="356" spans="36:37">
      <c r="AJ356" t="str">
        <v>d-3</v>
      </c>
      <c r="AK356">
        <v>0.60000000000000053</v>
      </c>
    </row>
    <row r="357" spans="36:37">
      <c r="AJ357" t="str">
        <v>d-3</v>
      </c>
      <c r="AK357">
        <v>0.19999999999999929</v>
      </c>
    </row>
    <row r="358" spans="36:37">
      <c r="AJ358" t="str">
        <v>d-3</v>
      </c>
      <c r="AK358">
        <v>-0.29999999999999982</v>
      </c>
    </row>
    <row r="359" spans="36:37">
      <c r="AJ359" t="str">
        <v>d-3</v>
      </c>
      <c r="AK359">
        <v>-0.5</v>
      </c>
    </row>
    <row r="360" spans="36:37">
      <c r="AJ360" t="str">
        <v>d-3</v>
      </c>
      <c r="AK360">
        <v>-0.59999999999999964</v>
      </c>
    </row>
    <row r="361" spans="36:37">
      <c r="AJ361" t="str">
        <v>d-3</v>
      </c>
      <c r="AK361">
        <v>-9.9999999999999645E-2</v>
      </c>
    </row>
    <row r="362" spans="36:37">
      <c r="AJ362" t="str">
        <v>d-3</v>
      </c>
      <c r="AK362">
        <v>0.19999999999999973</v>
      </c>
    </row>
    <row r="363" spans="36:37">
      <c r="AJ363" t="str">
        <v>d-3</v>
      </c>
      <c r="AK363">
        <v>-0.70000000000000018</v>
      </c>
    </row>
    <row r="364" spans="36:37">
      <c r="AJ364" t="str">
        <v>d-3</v>
      </c>
      <c r="AK364">
        <v>-0.10000000000000009</v>
      </c>
    </row>
    <row r="365" spans="36:37">
      <c r="AJ365" t="str">
        <v>d-3</v>
      </c>
      <c r="AK365">
        <v>0</v>
      </c>
    </row>
    <row r="366" spans="36:37">
      <c r="AJ366" t="str">
        <v>d-3</v>
      </c>
      <c r="AK366">
        <v>-0.59999999999999964</v>
      </c>
    </row>
    <row r="367" spans="36:37">
      <c r="AJ367" t="str">
        <v>d-3</v>
      </c>
      <c r="AK367">
        <v>-0.10000000000000009</v>
      </c>
    </row>
    <row r="368" spans="36:37">
      <c r="AJ368" t="str">
        <v>d-2</v>
      </c>
      <c r="AK368">
        <v>-0.79999999999999982</v>
      </c>
    </row>
    <row r="369" spans="36:37">
      <c r="AJ369" t="str">
        <v>d-2</v>
      </c>
      <c r="AK369">
        <v>-0.59999999999999964</v>
      </c>
    </row>
    <row r="370" spans="36:37">
      <c r="AJ370" t="str">
        <v>d-2</v>
      </c>
      <c r="AK370">
        <v>-0.89999999999999947</v>
      </c>
    </row>
    <row r="371" spans="36:37">
      <c r="AJ371" t="str">
        <v>d-2</v>
      </c>
      <c r="AK371">
        <v>-0.40000000000000036</v>
      </c>
    </row>
    <row r="372" spans="36:37">
      <c r="AJ372" t="str">
        <v>d-2</v>
      </c>
      <c r="AK372">
        <v>0.59999999999999964</v>
      </c>
    </row>
    <row r="373" spans="36:37">
      <c r="AJ373" t="str">
        <v>d-2</v>
      </c>
      <c r="AK373">
        <v>0</v>
      </c>
    </row>
    <row r="374" spans="36:37">
      <c r="AJ374" t="str">
        <v>d-2</v>
      </c>
      <c r="AK374">
        <v>0.59999999999999964</v>
      </c>
    </row>
    <row r="375" spans="36:37">
      <c r="AJ375" t="str">
        <v>d-2</v>
      </c>
      <c r="AK375">
        <v>0.40000000000000036</v>
      </c>
    </row>
    <row r="376" spans="36:37">
      <c r="AJ376" t="str">
        <v>d-2</v>
      </c>
      <c r="AK376">
        <v>0.29999999999999982</v>
      </c>
    </row>
    <row r="377" spans="36:37">
      <c r="AJ377" t="str">
        <v>d-2</v>
      </c>
      <c r="AK377">
        <v>-0.29999999999999982</v>
      </c>
    </row>
    <row r="378" spans="36:37">
      <c r="AJ378" t="str">
        <v>d-2</v>
      </c>
      <c r="AK378">
        <v>-0.39999999999999947</v>
      </c>
    </row>
    <row r="379" spans="36:37">
      <c r="AJ379" t="str">
        <v>d-2</v>
      </c>
      <c r="AK379">
        <v>-0.5</v>
      </c>
    </row>
    <row r="380" spans="36:37">
      <c r="AJ380" t="str">
        <v>d-2</v>
      </c>
      <c r="AK380">
        <v>-0.20000000000000018</v>
      </c>
    </row>
    <row r="381" spans="36:37">
      <c r="AJ381" t="str">
        <v>d-2</v>
      </c>
      <c r="AK381">
        <v>9.9999999999999645E-2</v>
      </c>
    </row>
    <row r="382" spans="36:37">
      <c r="AJ382" t="str">
        <v>d-2</v>
      </c>
      <c r="AK382">
        <v>-0.70000000000000018</v>
      </c>
    </row>
    <row r="383" spans="36:37">
      <c r="AJ383" t="str">
        <v>d-2</v>
      </c>
      <c r="AK383">
        <v>0.49999999999999956</v>
      </c>
    </row>
    <row r="384" spans="36:37">
      <c r="AJ384" t="str">
        <v>d-2</v>
      </c>
      <c r="AK384">
        <v>-0.10000000000000009</v>
      </c>
    </row>
    <row r="385" spans="36:37">
      <c r="AJ385" t="str">
        <v>d-2</v>
      </c>
      <c r="AK385">
        <v>-0.39999999999999947</v>
      </c>
    </row>
    <row r="386" spans="36:37">
      <c r="AJ386" t="str">
        <v>d-2</v>
      </c>
      <c r="AK386">
        <v>0.10000000000000009</v>
      </c>
    </row>
    <row r="387" spans="36:37">
      <c r="AJ387" t="str">
        <v>d-1</v>
      </c>
      <c r="AK387">
        <v>-0.20000000000000018</v>
      </c>
    </row>
    <row r="388" spans="36:37">
      <c r="AJ388" t="str">
        <v>d-1</v>
      </c>
      <c r="AK388">
        <v>-0.20000000000000018</v>
      </c>
    </row>
    <row r="389" spans="36:37">
      <c r="AJ389" t="str">
        <v>d-1</v>
      </c>
      <c r="AK389">
        <v>-0.39999999999999947</v>
      </c>
    </row>
    <row r="390" spans="36:37">
      <c r="AJ390" t="str">
        <v>d-1</v>
      </c>
      <c r="AK390">
        <v>-0.20000000000000018</v>
      </c>
    </row>
    <row r="391" spans="36:37">
      <c r="AJ391" t="str">
        <v>d-1</v>
      </c>
      <c r="AK391">
        <v>0</v>
      </c>
    </row>
    <row r="392" spans="36:37">
      <c r="AJ392" t="str">
        <v>d-1</v>
      </c>
      <c r="AK392">
        <v>0.30000000000000071</v>
      </c>
    </row>
    <row r="393" spans="36:37">
      <c r="AJ393" t="str">
        <v>d-1</v>
      </c>
      <c r="AK393">
        <v>0.20000000000000018</v>
      </c>
    </row>
    <row r="394" spans="36:37">
      <c r="AJ394" t="str">
        <v>d-1</v>
      </c>
      <c r="AK394">
        <v>0.29999999999999982</v>
      </c>
    </row>
    <row r="395" spans="36:37">
      <c r="AJ395" t="str">
        <v>d-1</v>
      </c>
      <c r="AK395">
        <v>0.10000000000000053</v>
      </c>
    </row>
    <row r="396" spans="36:37">
      <c r="AJ396" t="str">
        <v>d-1</v>
      </c>
      <c r="AK396">
        <v>0</v>
      </c>
    </row>
    <row r="397" spans="36:37">
      <c r="AJ397" t="str">
        <v>d-1</v>
      </c>
      <c r="AK397">
        <v>0.10000000000000053</v>
      </c>
    </row>
    <row r="398" spans="36:37">
      <c r="AJ398" t="str">
        <v>d-1</v>
      </c>
      <c r="AK398">
        <v>-0.20000000000000018</v>
      </c>
    </row>
    <row r="399" spans="36:37">
      <c r="AJ399" t="str">
        <v>d-1</v>
      </c>
      <c r="AK399">
        <v>0.20000000000000018</v>
      </c>
    </row>
    <row r="400" spans="36:37">
      <c r="AJ400" t="str">
        <v>d-1</v>
      </c>
      <c r="AK400">
        <v>0.20000000000000018</v>
      </c>
    </row>
    <row r="401" spans="36:37">
      <c r="AJ401" t="str">
        <v>d-1</v>
      </c>
      <c r="AK401">
        <v>0</v>
      </c>
    </row>
    <row r="402" spans="36:37">
      <c r="AJ402" t="str">
        <v>d-1</v>
      </c>
      <c r="AK402">
        <v>-0.30000000000000027</v>
      </c>
    </row>
    <row r="403" spans="36:37">
      <c r="AJ403" t="str">
        <v>d-1</v>
      </c>
      <c r="AK403">
        <v>0.19999999999999973</v>
      </c>
    </row>
    <row r="404" spans="36:37">
      <c r="AJ404" t="str">
        <v>d-1</v>
      </c>
      <c r="AK404">
        <v>-0.20000000000000018</v>
      </c>
    </row>
    <row r="405" spans="36:37">
      <c r="AJ405" t="str">
        <v>d-1</v>
      </c>
      <c r="AK405">
        <v>-9.9999999999999645E-2</v>
      </c>
    </row>
    <row r="406" spans="36:37">
      <c r="AJ406" t="str">
        <v>d-1</v>
      </c>
      <c r="AK406">
        <v>0.19999999999999973</v>
      </c>
    </row>
    <row r="407" spans="36:37">
      <c r="AJ407" t="str">
        <v>d-0</v>
      </c>
      <c r="AK407">
        <v>0</v>
      </c>
    </row>
    <row r="408" spans="36:37">
      <c r="AJ408" t="str">
        <v>d-0</v>
      </c>
      <c r="AK408">
        <v>9.9999999999999645E-2</v>
      </c>
    </row>
    <row r="409" spans="36:37">
      <c r="AJ409" t="str">
        <v>d-0</v>
      </c>
      <c r="AK409">
        <v>-9.9999999999999645E-2</v>
      </c>
    </row>
    <row r="410" spans="36:37">
      <c r="AJ410" t="str">
        <v>d-0</v>
      </c>
      <c r="AK410">
        <v>0</v>
      </c>
    </row>
    <row r="411" spans="36:37">
      <c r="AJ411" t="str">
        <v>d-0</v>
      </c>
      <c r="AK411">
        <v>9.9999999999999645E-2</v>
      </c>
    </row>
    <row r="412" spans="36:37">
      <c r="AJ412" t="str">
        <v>d-0</v>
      </c>
      <c r="AK412">
        <v>9.9999999999999645E-2</v>
      </c>
    </row>
    <row r="413" spans="36:37">
      <c r="AJ413" t="str">
        <v>d-0</v>
      </c>
      <c r="AK413">
        <v>0</v>
      </c>
    </row>
    <row r="414" spans="36:37">
      <c r="AJ414" t="str">
        <v>d-0</v>
      </c>
      <c r="AK414">
        <v>0</v>
      </c>
    </row>
    <row r="415" spans="36:37">
      <c r="AJ415" t="str">
        <v>d-0</v>
      </c>
      <c r="AK415">
        <v>0</v>
      </c>
    </row>
    <row r="416" spans="36:37">
      <c r="AJ416" t="str">
        <v>d-0</v>
      </c>
      <c r="AK416">
        <v>0</v>
      </c>
    </row>
    <row r="417" spans="36:37">
      <c r="AJ417" t="str">
        <v>d-0</v>
      </c>
      <c r="AK417">
        <v>0</v>
      </c>
    </row>
    <row r="418" spans="36:37">
      <c r="AJ418" t="str">
        <v>d-0</v>
      </c>
      <c r="AK418">
        <v>-9.9999999999999645E-2</v>
      </c>
    </row>
    <row r="419" spans="36:37">
      <c r="AJ419" t="str">
        <v>d-0</v>
      </c>
      <c r="AK419">
        <v>9.9999999999999645E-2</v>
      </c>
    </row>
    <row r="420" spans="36:37">
      <c r="AJ420" t="str">
        <v>d-0</v>
      </c>
      <c r="AK420">
        <v>9.9999999999999645E-2</v>
      </c>
    </row>
    <row r="421" spans="36:37">
      <c r="AJ421" t="str">
        <v>d-0</v>
      </c>
      <c r="AK421">
        <v>0</v>
      </c>
    </row>
    <row r="422" spans="36:37">
      <c r="AJ422" t="str">
        <v>d-0</v>
      </c>
      <c r="AK422">
        <v>9.9999999999999645E-2</v>
      </c>
    </row>
    <row r="423" spans="36:37">
      <c r="AJ423" t="str">
        <v>d-0</v>
      </c>
      <c r="AK423">
        <v>0</v>
      </c>
    </row>
    <row r="424" spans="36:37">
      <c r="AJ424" t="str">
        <v>d-0</v>
      </c>
      <c r="AK424">
        <v>0</v>
      </c>
    </row>
    <row r="425" spans="36:37">
      <c r="AJ425" t="str">
        <v>d-0</v>
      </c>
      <c r="AK425">
        <v>0</v>
      </c>
    </row>
    <row r="426" spans="36:37">
      <c r="AJ426" t="str">
        <v>d-0</v>
      </c>
      <c r="AK426">
        <v>0.10000000000000009</v>
      </c>
    </row>
  </sheetData>
  <mergeCells count="4">
    <mergeCell ref="A1:R1"/>
    <mergeCell ref="D2:R2"/>
    <mergeCell ref="A3:R3"/>
    <mergeCell ref="A58:R5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Charts</vt:lpstr>
      </vt:variant>
      <vt:variant>
        <vt:i4>3</vt:i4>
      </vt:variant>
    </vt:vector>
  </HeadingPairs>
  <TitlesOfParts>
    <vt:vector size="20" baseType="lpstr">
      <vt:lpstr>Resultados</vt:lpstr>
      <vt:lpstr>Metodologia</vt:lpstr>
      <vt:lpstr>Series_mensuales</vt:lpstr>
      <vt:lpstr>Series_trimestrales</vt:lpstr>
      <vt:lpstr>Factores_estacionales</vt:lpstr>
      <vt:lpstr>Observaciones</vt:lpstr>
      <vt:lpstr>Graficador3</vt:lpstr>
      <vt:lpstr>Graficador2</vt:lpstr>
      <vt:lpstr>Graficador</vt:lpstr>
      <vt:lpstr>Decisiones</vt:lpstr>
      <vt:lpstr>Pronosticos</vt:lpstr>
      <vt:lpstr>Validacion anterior</vt:lpstr>
      <vt:lpstr>Catalogos</vt:lpstr>
      <vt:lpstr>Comparacion_Observados</vt:lpstr>
      <vt:lpstr>Calc_Anclaje</vt:lpstr>
      <vt:lpstr>Dashboard_Anclaje</vt:lpstr>
      <vt:lpstr>Distribucion_Errores</vt:lpstr>
      <vt:lpstr>G3</vt:lpstr>
      <vt:lpstr>G2</vt:lpstr>
      <vt:lpstr>G1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Gutierrez, Ramse (MEX)</dc:creator>
  <cp:lastModifiedBy>ramse gutierrez</cp:lastModifiedBy>
  <dcterms:created xsi:type="dcterms:W3CDTF">2026-08-07T23:56:48Z</dcterms:created>
  <dcterms:modified xsi:type="dcterms:W3CDTF">2026-09-26T19:14:38Z</dcterms:modified>
</cp:coreProperties>
</file>